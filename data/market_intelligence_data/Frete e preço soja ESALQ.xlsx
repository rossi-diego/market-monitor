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ustomProperty2.bin" ContentType="application/vnd.openxmlformats-officedocument.spreadsheetml.customProperty"/>
  <Override PartName="/xl/drawings/drawing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market_intelligence_data\"/>
    </mc:Choice>
  </mc:AlternateContent>
  <xr:revisionPtr revIDLastSave="0" documentId="13_ncr:1_{C32FF70A-679B-43B4-82E4-AF4942AF9474}" xr6:coauthVersionLast="47" xr6:coauthVersionMax="47" xr10:uidLastSave="{00000000-0000-0000-0000-000000000000}"/>
  <bookViews>
    <workbookView xWindow="-108" yWindow="-108" windowWidth="23256" windowHeight="13896" firstSheet="3" activeTab="6" xr2:uid="{955C9470-2ECF-466D-9733-134E2464F47A}"/>
  </bookViews>
  <sheets>
    <sheet name="Preço Soja ESALQ" sheetId="1" r:id="rId1"/>
    <sheet name="Modelo Soja" sheetId="5" r:id="rId2"/>
    <sheet name="Modelo Crushing Margin" sheetId="8" r:id="rId3"/>
    <sheet name="Modelo Farelo" sheetId="7" r:id="rId4"/>
    <sheet name="Modelo Oleo" sheetId="6" r:id="rId5"/>
    <sheet name="Frete ESALQ" sheetId="4" r:id="rId6"/>
    <sheet name="Estudo PR" sheetId="9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H65" i="9" l="1"/>
  <c r="BH64" i="9"/>
  <c r="BH63" i="9"/>
  <c r="BH62" i="9"/>
  <c r="BH61" i="9"/>
  <c r="BH60" i="9"/>
  <c r="BH59" i="9"/>
  <c r="BH58" i="9"/>
  <c r="BH57" i="9"/>
  <c r="BH56" i="9"/>
  <c r="BH55" i="9"/>
  <c r="BH54" i="9"/>
  <c r="BH53" i="9"/>
  <c r="BH52" i="9"/>
  <c r="BH51" i="9"/>
  <c r="BH50" i="9"/>
  <c r="BH49" i="9"/>
  <c r="BH48" i="9"/>
  <c r="BH47" i="9"/>
  <c r="BH46" i="9"/>
  <c r="BH45" i="9"/>
  <c r="BH44" i="9"/>
  <c r="BH43" i="9"/>
  <c r="BH42" i="9"/>
  <c r="BH41" i="9"/>
  <c r="BH40" i="9"/>
  <c r="BH39" i="9"/>
  <c r="BH38" i="9"/>
  <c r="BH37" i="9"/>
  <c r="BH36" i="9"/>
  <c r="BH35" i="9"/>
  <c r="BH34" i="9"/>
  <c r="BH33" i="9"/>
  <c r="BH32" i="9"/>
  <c r="BH31" i="9"/>
  <c r="BH30" i="9"/>
  <c r="BH29" i="9"/>
  <c r="BH28" i="9"/>
  <c r="BH27" i="9"/>
  <c r="BH26" i="9"/>
  <c r="BH25" i="9"/>
  <c r="BH24" i="9"/>
  <c r="BH23" i="9"/>
  <c r="BH22" i="9"/>
  <c r="BH21" i="9"/>
  <c r="BH20" i="9"/>
  <c r="BH19" i="9"/>
  <c r="BH18" i="9"/>
  <c r="BH17" i="9"/>
  <c r="BH16" i="9"/>
  <c r="BH15" i="9"/>
  <c r="BH14" i="9"/>
  <c r="BH13" i="9"/>
  <c r="BH12" i="9"/>
  <c r="BH11" i="9"/>
  <c r="BH10" i="9"/>
  <c r="BH9" i="9"/>
  <c r="BH8" i="9"/>
  <c r="BH7" i="9"/>
  <c r="BH6" i="9"/>
  <c r="BH5" i="9"/>
  <c r="BH4" i="9"/>
  <c r="BH3" i="9"/>
  <c r="BB3" i="9"/>
  <c r="AR65" i="9"/>
  <c r="AQ65" i="9"/>
  <c r="AP65" i="9"/>
  <c r="AR64" i="9"/>
  <c r="AQ64" i="9"/>
  <c r="AP64" i="9"/>
  <c r="AR63" i="9"/>
  <c r="AQ63" i="9"/>
  <c r="AP63" i="9"/>
  <c r="AR62" i="9"/>
  <c r="AQ62" i="9"/>
  <c r="AP62" i="9"/>
  <c r="AR61" i="9"/>
  <c r="AQ61" i="9"/>
  <c r="AP61" i="9"/>
  <c r="AR60" i="9"/>
  <c r="AQ60" i="9"/>
  <c r="AP60" i="9"/>
  <c r="AR59" i="9"/>
  <c r="AQ59" i="9"/>
  <c r="AP59" i="9"/>
  <c r="AR58" i="9"/>
  <c r="AQ58" i="9"/>
  <c r="AP58" i="9"/>
  <c r="AR57" i="9"/>
  <c r="AQ57" i="9"/>
  <c r="AP57" i="9"/>
  <c r="AR56" i="9"/>
  <c r="AQ56" i="9"/>
  <c r="AP56" i="9"/>
  <c r="AR55" i="9"/>
  <c r="AQ55" i="9"/>
  <c r="AP55" i="9"/>
  <c r="AR54" i="9"/>
  <c r="AQ54" i="9"/>
  <c r="AP54" i="9"/>
  <c r="AR53" i="9"/>
  <c r="AQ53" i="9"/>
  <c r="AP53" i="9"/>
  <c r="AR52" i="9"/>
  <c r="AQ52" i="9"/>
  <c r="AP52" i="9"/>
  <c r="AR51" i="9"/>
  <c r="AQ51" i="9"/>
  <c r="AP51" i="9"/>
  <c r="AR50" i="9"/>
  <c r="AQ50" i="9"/>
  <c r="AP50" i="9"/>
  <c r="AR49" i="9"/>
  <c r="AQ49" i="9"/>
  <c r="AP49" i="9"/>
  <c r="AR48" i="9"/>
  <c r="AQ48" i="9"/>
  <c r="AP48" i="9"/>
  <c r="AR47" i="9"/>
  <c r="AQ47" i="9"/>
  <c r="AP47" i="9"/>
  <c r="AR46" i="9"/>
  <c r="AQ46" i="9"/>
  <c r="AP46" i="9"/>
  <c r="AR45" i="9"/>
  <c r="AQ45" i="9"/>
  <c r="AP45" i="9"/>
  <c r="AR44" i="9"/>
  <c r="AQ44" i="9"/>
  <c r="AP44" i="9"/>
  <c r="AR43" i="9"/>
  <c r="AQ43" i="9"/>
  <c r="AP43" i="9"/>
  <c r="AR42" i="9"/>
  <c r="AQ42" i="9"/>
  <c r="AP42" i="9"/>
  <c r="AR41" i="9"/>
  <c r="AQ41" i="9"/>
  <c r="AP41" i="9"/>
  <c r="AR40" i="9"/>
  <c r="AQ40" i="9"/>
  <c r="AP40" i="9"/>
  <c r="AR39" i="9"/>
  <c r="AQ39" i="9"/>
  <c r="AP39" i="9"/>
  <c r="AR38" i="9"/>
  <c r="AQ38" i="9"/>
  <c r="AP38" i="9"/>
  <c r="AR37" i="9"/>
  <c r="AQ37" i="9"/>
  <c r="AP37" i="9"/>
  <c r="AR36" i="9"/>
  <c r="AQ36" i="9"/>
  <c r="AP36" i="9"/>
  <c r="AR35" i="9"/>
  <c r="AQ35" i="9"/>
  <c r="AP35" i="9"/>
  <c r="AR34" i="9"/>
  <c r="AQ34" i="9"/>
  <c r="AP34" i="9"/>
  <c r="AR33" i="9"/>
  <c r="AQ33" i="9"/>
  <c r="AP33" i="9"/>
  <c r="AR32" i="9"/>
  <c r="AQ32" i="9"/>
  <c r="AP32" i="9"/>
  <c r="AR31" i="9"/>
  <c r="AQ31" i="9"/>
  <c r="AP31" i="9"/>
  <c r="AR30" i="9"/>
  <c r="AQ30" i="9"/>
  <c r="AP30" i="9"/>
  <c r="AR29" i="9"/>
  <c r="AQ29" i="9"/>
  <c r="AP29" i="9"/>
  <c r="AR28" i="9"/>
  <c r="AQ28" i="9"/>
  <c r="AP28" i="9"/>
  <c r="AR27" i="9"/>
  <c r="AQ27" i="9"/>
  <c r="AP27" i="9"/>
  <c r="AR26" i="9"/>
  <c r="AQ26" i="9"/>
  <c r="AP26" i="9"/>
  <c r="AR25" i="9"/>
  <c r="AQ25" i="9"/>
  <c r="AP25" i="9"/>
  <c r="AR24" i="9"/>
  <c r="AQ24" i="9"/>
  <c r="AP24" i="9"/>
  <c r="AR23" i="9"/>
  <c r="AQ23" i="9"/>
  <c r="AP23" i="9"/>
  <c r="AR22" i="9"/>
  <c r="AQ22" i="9"/>
  <c r="AP22" i="9"/>
  <c r="AR21" i="9"/>
  <c r="AQ21" i="9"/>
  <c r="AP21" i="9"/>
  <c r="AR20" i="9"/>
  <c r="AQ20" i="9"/>
  <c r="AP20" i="9"/>
  <c r="AR19" i="9"/>
  <c r="AQ19" i="9"/>
  <c r="AP19" i="9"/>
  <c r="AR18" i="9"/>
  <c r="AQ18" i="9"/>
  <c r="AP18" i="9"/>
  <c r="AR17" i="9"/>
  <c r="AQ17" i="9"/>
  <c r="AP17" i="9"/>
  <c r="AR16" i="9"/>
  <c r="AQ16" i="9"/>
  <c r="AP16" i="9"/>
  <c r="AR15" i="9"/>
  <c r="AQ15" i="9"/>
  <c r="AP15" i="9"/>
  <c r="AR14" i="9"/>
  <c r="AQ14" i="9"/>
  <c r="AP14" i="9"/>
  <c r="AR13" i="9"/>
  <c r="AQ13" i="9"/>
  <c r="AP13" i="9"/>
  <c r="AR12" i="9"/>
  <c r="AQ12" i="9"/>
  <c r="AP12" i="9"/>
  <c r="AR11" i="9"/>
  <c r="AQ11" i="9"/>
  <c r="AP11" i="9"/>
  <c r="AR10" i="9"/>
  <c r="AQ10" i="9"/>
  <c r="AP10" i="9"/>
  <c r="AR9" i="9"/>
  <c r="AQ9" i="9"/>
  <c r="AP9" i="9"/>
  <c r="AR8" i="9"/>
  <c r="AQ8" i="9"/>
  <c r="AP8" i="9"/>
  <c r="AR7" i="9"/>
  <c r="AQ7" i="9"/>
  <c r="AP7" i="9"/>
  <c r="AR6" i="9"/>
  <c r="AQ6" i="9"/>
  <c r="AP6" i="9"/>
  <c r="AR5" i="9"/>
  <c r="AQ5" i="9"/>
  <c r="AP5" i="9"/>
  <c r="AR4" i="9"/>
  <c r="AQ4" i="9"/>
  <c r="AP4" i="9"/>
  <c r="AR3" i="9"/>
  <c r="AQ3" i="9"/>
  <c r="AP3" i="9"/>
  <c r="AG65" i="9"/>
  <c r="AG64" i="9"/>
  <c r="AG63" i="9"/>
  <c r="AG62" i="9"/>
  <c r="AG61" i="9"/>
  <c r="AG60" i="9"/>
  <c r="AG59" i="9"/>
  <c r="AG58" i="9"/>
  <c r="AG57" i="9"/>
  <c r="AG56" i="9"/>
  <c r="AG55" i="9"/>
  <c r="AG54" i="9"/>
  <c r="AG53" i="9"/>
  <c r="AG52" i="9"/>
  <c r="AG51" i="9"/>
  <c r="AG50" i="9"/>
  <c r="AG49" i="9"/>
  <c r="AG48" i="9"/>
  <c r="AG47" i="9"/>
  <c r="AG46" i="9"/>
  <c r="AG45" i="9"/>
  <c r="AG44" i="9"/>
  <c r="AG43" i="9"/>
  <c r="AG42" i="9"/>
  <c r="AG41" i="9"/>
  <c r="AG40" i="9"/>
  <c r="AG39" i="9"/>
  <c r="AG38" i="9"/>
  <c r="AG37" i="9"/>
  <c r="AG36" i="9"/>
  <c r="AG35" i="9"/>
  <c r="AG34" i="9"/>
  <c r="AG33" i="9"/>
  <c r="AG32" i="9"/>
  <c r="AG31" i="9"/>
  <c r="AG30" i="9"/>
  <c r="AG29" i="9"/>
  <c r="AG28" i="9"/>
  <c r="AG27" i="9"/>
  <c r="AG26" i="9"/>
  <c r="AG25" i="9"/>
  <c r="AG24" i="9"/>
  <c r="AG23" i="9"/>
  <c r="AG22" i="9"/>
  <c r="AG21" i="9"/>
  <c r="AG20" i="9"/>
  <c r="AG19" i="9"/>
  <c r="AG18" i="9"/>
  <c r="AG17" i="9"/>
  <c r="AG16" i="9"/>
  <c r="AG15" i="9"/>
  <c r="AG14" i="9"/>
  <c r="AG13" i="9"/>
  <c r="AG12" i="9"/>
  <c r="AG11" i="9"/>
  <c r="AG10" i="9"/>
  <c r="AG9" i="9"/>
  <c r="AG8" i="9"/>
  <c r="AG7" i="9"/>
  <c r="AG6" i="9"/>
  <c r="AG5" i="9"/>
  <c r="AG4" i="9"/>
  <c r="AG3" i="9"/>
  <c r="AT65" i="9"/>
  <c r="AT64" i="9"/>
  <c r="AT63" i="9"/>
  <c r="AT62" i="9"/>
  <c r="AT61" i="9"/>
  <c r="AT60" i="9"/>
  <c r="AT59" i="9"/>
  <c r="AT58" i="9"/>
  <c r="AT57" i="9"/>
  <c r="AT56" i="9"/>
  <c r="AT55" i="9"/>
  <c r="AT54" i="9"/>
  <c r="AT53" i="9"/>
  <c r="AT52" i="9"/>
  <c r="AT51" i="9"/>
  <c r="AT50" i="9"/>
  <c r="AT49" i="9"/>
  <c r="AT48" i="9"/>
  <c r="AT47" i="9"/>
  <c r="AT46" i="9"/>
  <c r="AT45" i="9"/>
  <c r="AT44" i="9"/>
  <c r="AT43" i="9"/>
  <c r="AT42" i="9"/>
  <c r="AT41" i="9"/>
  <c r="AT40" i="9"/>
  <c r="AT39" i="9"/>
  <c r="AT38" i="9"/>
  <c r="AT37" i="9"/>
  <c r="AT36" i="9"/>
  <c r="AT35" i="9"/>
  <c r="AT34" i="9"/>
  <c r="AT33" i="9"/>
  <c r="AT32" i="9"/>
  <c r="AT31" i="9"/>
  <c r="AT30" i="9"/>
  <c r="AT29" i="9"/>
  <c r="AT28" i="9"/>
  <c r="AT27" i="9"/>
  <c r="AT26" i="9"/>
  <c r="AT25" i="9"/>
  <c r="AT24" i="9"/>
  <c r="AT23" i="9"/>
  <c r="AT22" i="9"/>
  <c r="AT21" i="9"/>
  <c r="AT20" i="9"/>
  <c r="AT19" i="9"/>
  <c r="AT18" i="9"/>
  <c r="AT17" i="9"/>
  <c r="AT16" i="9"/>
  <c r="AT15" i="9"/>
  <c r="AT14" i="9"/>
  <c r="AT13" i="9"/>
  <c r="AT12" i="9"/>
  <c r="AT11" i="9"/>
  <c r="AT10" i="9"/>
  <c r="AT9" i="9"/>
  <c r="AT8" i="9"/>
  <c r="AT7" i="9"/>
  <c r="AT6" i="9"/>
  <c r="AT5" i="9"/>
  <c r="AT4" i="9"/>
  <c r="AT3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BB26" i="9" s="1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C4" i="9"/>
  <c r="C5" i="9" s="1"/>
  <c r="B3" i="9"/>
  <c r="D3" i="9" s="1"/>
  <c r="K3" i="9" s="1"/>
  <c r="BB7" i="9" l="1"/>
  <c r="BB55" i="9"/>
  <c r="BB15" i="9"/>
  <c r="BB51" i="9"/>
  <c r="BB14" i="9"/>
  <c r="BB39" i="9"/>
  <c r="BB11" i="9"/>
  <c r="BB23" i="9"/>
  <c r="BB35" i="9"/>
  <c r="BB47" i="9"/>
  <c r="BB59" i="9"/>
  <c r="BB27" i="9"/>
  <c r="BB63" i="9"/>
  <c r="BB38" i="9"/>
  <c r="BB62" i="9"/>
  <c r="BB43" i="9"/>
  <c r="BB42" i="9"/>
  <c r="BB54" i="9"/>
  <c r="BB50" i="9"/>
  <c r="BB21" i="9"/>
  <c r="BB33" i="9"/>
  <c r="BB45" i="9"/>
  <c r="BB57" i="9"/>
  <c r="BB9" i="9"/>
  <c r="BB10" i="9"/>
  <c r="BB22" i="9"/>
  <c r="BB34" i="9"/>
  <c r="BB46" i="9"/>
  <c r="BB58" i="9"/>
  <c r="BB19" i="9"/>
  <c r="BB31" i="9"/>
  <c r="BB12" i="9"/>
  <c r="BB24" i="9"/>
  <c r="BB36" i="9"/>
  <c r="BB48" i="9"/>
  <c r="BB60" i="9"/>
  <c r="BB37" i="9"/>
  <c r="BB13" i="9"/>
  <c r="BB25" i="9"/>
  <c r="BB49" i="9"/>
  <c r="BB16" i="9"/>
  <c r="BB40" i="9"/>
  <c r="BB52" i="9"/>
  <c r="BB64" i="9"/>
  <c r="BB61" i="9"/>
  <c r="BB28" i="9"/>
  <c r="BB6" i="9"/>
  <c r="BB18" i="9"/>
  <c r="BB30" i="9"/>
  <c r="BB4" i="9"/>
  <c r="BB8" i="9"/>
  <c r="BB20" i="9"/>
  <c r="BB32" i="9"/>
  <c r="BB44" i="9"/>
  <c r="BB56" i="9"/>
  <c r="BB5" i="9"/>
  <c r="BB17" i="9"/>
  <c r="BB29" i="9"/>
  <c r="BB41" i="9"/>
  <c r="BB53" i="9"/>
  <c r="BB65" i="9"/>
  <c r="G3" i="9"/>
  <c r="N3" i="9" s="1"/>
  <c r="T3" i="9" s="1"/>
  <c r="X3" i="9" s="1"/>
  <c r="H3" i="9"/>
  <c r="O3" i="9" s="1"/>
  <c r="E3" i="9"/>
  <c r="L3" i="9" s="1"/>
  <c r="F3" i="9"/>
  <c r="M3" i="9" s="1"/>
  <c r="B5" i="9"/>
  <c r="C6" i="9"/>
  <c r="B4" i="9"/>
  <c r="S3" i="9" l="1"/>
  <c r="R3" i="9" s="1"/>
  <c r="Z3" i="9"/>
  <c r="AC3" i="9"/>
  <c r="AV3" i="9" s="1"/>
  <c r="F4" i="9"/>
  <c r="M4" i="9" s="1"/>
  <c r="D4" i="9"/>
  <c r="K4" i="9" s="1"/>
  <c r="H4" i="9"/>
  <c r="O4" i="9" s="1"/>
  <c r="G4" i="9"/>
  <c r="N4" i="9" s="1"/>
  <c r="E4" i="9"/>
  <c r="L4" i="9" s="1"/>
  <c r="S4" i="9" s="1"/>
  <c r="H5" i="9"/>
  <c r="O5" i="9" s="1"/>
  <c r="E5" i="9"/>
  <c r="L5" i="9" s="1"/>
  <c r="F5" i="9"/>
  <c r="M5" i="9" s="1"/>
  <c r="D5" i="9"/>
  <c r="K5" i="9" s="1"/>
  <c r="G5" i="9"/>
  <c r="N5" i="9" s="1"/>
  <c r="C7" i="9"/>
  <c r="B6" i="9"/>
  <c r="T4" i="9" l="1"/>
  <c r="X4" i="9" s="1"/>
  <c r="W3" i="9"/>
  <c r="AD3" i="9" s="1"/>
  <c r="V3" i="9"/>
  <c r="AE3" i="9" s="1"/>
  <c r="AU3" i="9" s="1"/>
  <c r="I3" i="9"/>
  <c r="P3" i="9"/>
  <c r="R4" i="9"/>
  <c r="W4" i="9"/>
  <c r="Z4" i="9"/>
  <c r="AC4" i="9"/>
  <c r="AV4" i="9" s="1"/>
  <c r="H6" i="9"/>
  <c r="O6" i="9" s="1"/>
  <c r="E6" i="9"/>
  <c r="L6" i="9" s="1"/>
  <c r="F6" i="9"/>
  <c r="M6" i="9" s="1"/>
  <c r="G6" i="9"/>
  <c r="N6" i="9" s="1"/>
  <c r="D6" i="9"/>
  <c r="K6" i="9" s="1"/>
  <c r="T5" i="9"/>
  <c r="X5" i="9" s="1"/>
  <c r="S5" i="9"/>
  <c r="C8" i="9"/>
  <c r="B7" i="9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AA3" i="9" l="1"/>
  <c r="AW3" i="9" s="1"/>
  <c r="AB3" i="9"/>
  <c r="R5" i="9"/>
  <c r="W5" i="9"/>
  <c r="AA4" i="9"/>
  <c r="AW4" i="9" s="1"/>
  <c r="AB4" i="9"/>
  <c r="AD4" i="9"/>
  <c r="AC5" i="9"/>
  <c r="AV5" i="9" s="1"/>
  <c r="Z5" i="9"/>
  <c r="P4" i="9"/>
  <c r="V4" i="9"/>
  <c r="AE4" i="9" s="1"/>
  <c r="AU4" i="9" s="1"/>
  <c r="I4" i="9"/>
  <c r="T6" i="9"/>
  <c r="X6" i="9" s="1"/>
  <c r="D7" i="9"/>
  <c r="K7" i="9" s="1"/>
  <c r="F7" i="9"/>
  <c r="M7" i="9" s="1"/>
  <c r="G7" i="9"/>
  <c r="N7" i="9" s="1"/>
  <c r="H7" i="9"/>
  <c r="O7" i="9" s="1"/>
  <c r="E7" i="9"/>
  <c r="L7" i="9" s="1"/>
  <c r="S6" i="9"/>
  <c r="C9" i="9"/>
  <c r="B8" i="9"/>
  <c r="L61" i="8"/>
  <c r="L49" i="8"/>
  <c r="L37" i="8"/>
  <c r="L25" i="8"/>
  <c r="L13" i="8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3" i="6"/>
  <c r="U65" i="6"/>
  <c r="U64" i="6"/>
  <c r="U63" i="6"/>
  <c r="U62" i="6"/>
  <c r="U61" i="6"/>
  <c r="U60" i="6"/>
  <c r="U59" i="6"/>
  <c r="U58" i="6"/>
  <c r="U57" i="6"/>
  <c r="U56" i="6"/>
  <c r="U55" i="6"/>
  <c r="U54" i="6"/>
  <c r="U53" i="6"/>
  <c r="U52" i="6"/>
  <c r="U51" i="6"/>
  <c r="U50" i="6"/>
  <c r="U49" i="6"/>
  <c r="U48" i="6"/>
  <c r="U47" i="6"/>
  <c r="U46" i="6"/>
  <c r="U45" i="6"/>
  <c r="U44" i="6"/>
  <c r="U43" i="6"/>
  <c r="U42" i="6"/>
  <c r="U41" i="6"/>
  <c r="U40" i="6"/>
  <c r="U39" i="6"/>
  <c r="U38" i="6"/>
  <c r="U37" i="6"/>
  <c r="U36" i="6"/>
  <c r="U35" i="6"/>
  <c r="U34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U5" i="6"/>
  <c r="U4" i="6"/>
  <c r="U3" i="6"/>
  <c r="T65" i="6"/>
  <c r="T64" i="6"/>
  <c r="T63" i="6"/>
  <c r="T62" i="6"/>
  <c r="T61" i="6"/>
  <c r="AA61" i="6" s="1"/>
  <c r="T60" i="6"/>
  <c r="T59" i="6"/>
  <c r="T58" i="6"/>
  <c r="T57" i="6"/>
  <c r="T56" i="6"/>
  <c r="T55" i="6"/>
  <c r="T54" i="6"/>
  <c r="T53" i="6"/>
  <c r="AA53" i="6" s="1"/>
  <c r="T52" i="6"/>
  <c r="AA52" i="6" s="1"/>
  <c r="T51" i="6"/>
  <c r="T50" i="6"/>
  <c r="T49" i="6"/>
  <c r="T48" i="6"/>
  <c r="T47" i="6"/>
  <c r="T46" i="6"/>
  <c r="AA46" i="6" s="1"/>
  <c r="T45" i="6"/>
  <c r="T44" i="6"/>
  <c r="T43" i="6"/>
  <c r="T42" i="6"/>
  <c r="T41" i="6"/>
  <c r="T40" i="6"/>
  <c r="T39" i="6"/>
  <c r="T38" i="6"/>
  <c r="T37" i="6"/>
  <c r="T36" i="6"/>
  <c r="T35" i="6"/>
  <c r="T34" i="6"/>
  <c r="T33" i="6"/>
  <c r="T32" i="6"/>
  <c r="T31" i="6"/>
  <c r="T30" i="6"/>
  <c r="AA30" i="6" s="1"/>
  <c r="T29" i="6"/>
  <c r="T28" i="6"/>
  <c r="T27" i="6"/>
  <c r="T26" i="6"/>
  <c r="T25" i="6"/>
  <c r="T24" i="6"/>
  <c r="T23" i="6"/>
  <c r="AA23" i="6" s="1"/>
  <c r="T22" i="6"/>
  <c r="AA22" i="6" s="1"/>
  <c r="T21" i="6"/>
  <c r="T20" i="6"/>
  <c r="T19" i="6"/>
  <c r="T18" i="6"/>
  <c r="AA18" i="6" s="1"/>
  <c r="T17" i="6"/>
  <c r="T16" i="6"/>
  <c r="T15" i="6"/>
  <c r="T14" i="6"/>
  <c r="T13" i="6"/>
  <c r="T12" i="6"/>
  <c r="T11" i="6"/>
  <c r="T10" i="6"/>
  <c r="T9" i="6"/>
  <c r="T8" i="6"/>
  <c r="T7" i="6"/>
  <c r="T6" i="6"/>
  <c r="AA6" i="6" s="1"/>
  <c r="T5" i="6"/>
  <c r="T4" i="6"/>
  <c r="T3" i="6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G45" i="7"/>
  <c r="AG46" i="7"/>
  <c r="AG47" i="7"/>
  <c r="AG48" i="7"/>
  <c r="AG49" i="7"/>
  <c r="AG50" i="7"/>
  <c r="AG51" i="7"/>
  <c r="AG52" i="7"/>
  <c r="AG53" i="7"/>
  <c r="AG54" i="7"/>
  <c r="AG55" i="7"/>
  <c r="AG56" i="7"/>
  <c r="AG57" i="7"/>
  <c r="AG58" i="7"/>
  <c r="AG59" i="7"/>
  <c r="AG60" i="7"/>
  <c r="AG61" i="7"/>
  <c r="AG62" i="7"/>
  <c r="AG63" i="7"/>
  <c r="AG64" i="7"/>
  <c r="AG65" i="7"/>
  <c r="AG3" i="7"/>
  <c r="U65" i="7"/>
  <c r="T65" i="7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T7" i="7"/>
  <c r="U6" i="7"/>
  <c r="T6" i="7"/>
  <c r="U5" i="7"/>
  <c r="T5" i="7"/>
  <c r="U4" i="7"/>
  <c r="T4" i="7"/>
  <c r="U3" i="7"/>
  <c r="T3" i="7"/>
  <c r="BM65" i="5"/>
  <c r="BM64" i="5"/>
  <c r="BM63" i="5"/>
  <c r="BM62" i="5"/>
  <c r="BM61" i="5"/>
  <c r="BM60" i="5"/>
  <c r="BM59" i="5"/>
  <c r="BM58" i="5"/>
  <c r="BM57" i="5"/>
  <c r="BM56" i="5"/>
  <c r="BM55" i="5"/>
  <c r="BM54" i="5"/>
  <c r="BM53" i="5"/>
  <c r="BM52" i="5"/>
  <c r="BM51" i="5"/>
  <c r="BM50" i="5"/>
  <c r="BM49" i="5"/>
  <c r="BM48" i="5"/>
  <c r="BM47" i="5"/>
  <c r="BM46" i="5"/>
  <c r="BM45" i="5"/>
  <c r="BM44" i="5"/>
  <c r="BM43" i="5"/>
  <c r="BM42" i="5"/>
  <c r="BM41" i="5"/>
  <c r="BM40" i="5"/>
  <c r="BM39" i="5"/>
  <c r="BM38" i="5"/>
  <c r="BM37" i="5"/>
  <c r="BM36" i="5"/>
  <c r="BM35" i="5"/>
  <c r="BM34" i="5"/>
  <c r="BM33" i="5"/>
  <c r="BM32" i="5"/>
  <c r="BM31" i="5"/>
  <c r="BM30" i="5"/>
  <c r="BM29" i="5"/>
  <c r="BM28" i="5"/>
  <c r="BM27" i="5"/>
  <c r="BM26" i="5"/>
  <c r="BM25" i="5"/>
  <c r="BM24" i="5"/>
  <c r="BM23" i="5"/>
  <c r="BM22" i="5"/>
  <c r="BM21" i="5"/>
  <c r="BM20" i="5"/>
  <c r="BM19" i="5"/>
  <c r="BM18" i="5"/>
  <c r="BM17" i="5"/>
  <c r="BM16" i="5"/>
  <c r="BM15" i="5"/>
  <c r="BM14" i="5"/>
  <c r="BM13" i="5"/>
  <c r="BM12" i="5"/>
  <c r="BM11" i="5"/>
  <c r="BM10" i="5"/>
  <c r="BM9" i="5"/>
  <c r="BM8" i="5"/>
  <c r="BM7" i="5"/>
  <c r="BM6" i="5"/>
  <c r="BM5" i="5"/>
  <c r="BM4" i="5"/>
  <c r="BM3" i="5"/>
  <c r="BL65" i="5"/>
  <c r="BL64" i="5"/>
  <c r="BL63" i="5"/>
  <c r="BL62" i="5"/>
  <c r="BL61" i="5"/>
  <c r="BL60" i="5"/>
  <c r="BL59" i="5"/>
  <c r="BL58" i="5"/>
  <c r="BL57" i="5"/>
  <c r="BL56" i="5"/>
  <c r="BL55" i="5"/>
  <c r="BL54" i="5"/>
  <c r="BL53" i="5"/>
  <c r="BL52" i="5"/>
  <c r="BL51" i="5"/>
  <c r="BL50" i="5"/>
  <c r="BL49" i="5"/>
  <c r="BL48" i="5"/>
  <c r="BL47" i="5"/>
  <c r="BL46" i="5"/>
  <c r="BL45" i="5"/>
  <c r="BL44" i="5"/>
  <c r="BL43" i="5"/>
  <c r="BL42" i="5"/>
  <c r="BL41" i="5"/>
  <c r="BL40" i="5"/>
  <c r="BL39" i="5"/>
  <c r="BL38" i="5"/>
  <c r="BL37" i="5"/>
  <c r="BL36" i="5"/>
  <c r="BL35" i="5"/>
  <c r="BL34" i="5"/>
  <c r="BL33" i="5"/>
  <c r="BL32" i="5"/>
  <c r="BL31" i="5"/>
  <c r="BL30" i="5"/>
  <c r="BL29" i="5"/>
  <c r="BL28" i="5"/>
  <c r="BL27" i="5"/>
  <c r="BL26" i="5"/>
  <c r="BL25" i="5"/>
  <c r="BL24" i="5"/>
  <c r="BL23" i="5"/>
  <c r="BL22" i="5"/>
  <c r="BL21" i="5"/>
  <c r="BL20" i="5"/>
  <c r="BL19" i="5"/>
  <c r="BL18" i="5"/>
  <c r="BL17" i="5"/>
  <c r="BL16" i="5"/>
  <c r="BL15" i="5"/>
  <c r="BL14" i="5"/>
  <c r="BL13" i="5"/>
  <c r="BL12" i="5"/>
  <c r="BL11" i="5"/>
  <c r="BL10" i="5"/>
  <c r="BL9" i="5"/>
  <c r="BL8" i="5"/>
  <c r="BL7" i="5"/>
  <c r="BL6" i="5"/>
  <c r="BL5" i="5"/>
  <c r="BL4" i="5"/>
  <c r="BL3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O24" i="5"/>
  <c r="AO23" i="5"/>
  <c r="AO22" i="5"/>
  <c r="AO21" i="5"/>
  <c r="AO20" i="5"/>
  <c r="AO19" i="5"/>
  <c r="AO18" i="5"/>
  <c r="AO17" i="5"/>
  <c r="AO16" i="5"/>
  <c r="AO15" i="5"/>
  <c r="AO14" i="5"/>
  <c r="AO13" i="5"/>
  <c r="AO12" i="5"/>
  <c r="AO11" i="5"/>
  <c r="AO10" i="5"/>
  <c r="AO9" i="5"/>
  <c r="AO8" i="5"/>
  <c r="AO7" i="5"/>
  <c r="AO6" i="5"/>
  <c r="AO5" i="5"/>
  <c r="AO4" i="5"/>
  <c r="AO3" i="5"/>
  <c r="AN65" i="5"/>
  <c r="AN64" i="5"/>
  <c r="AN63" i="5"/>
  <c r="AN62" i="5"/>
  <c r="AN61" i="5"/>
  <c r="AN60" i="5"/>
  <c r="AN59" i="5"/>
  <c r="AN58" i="5"/>
  <c r="AN57" i="5"/>
  <c r="AN56" i="5"/>
  <c r="AN55" i="5"/>
  <c r="AN54" i="5"/>
  <c r="AN53" i="5"/>
  <c r="AN52" i="5"/>
  <c r="AN51" i="5"/>
  <c r="AN50" i="5"/>
  <c r="AN49" i="5"/>
  <c r="AN48" i="5"/>
  <c r="AN47" i="5"/>
  <c r="AN46" i="5"/>
  <c r="AN45" i="5"/>
  <c r="AN44" i="5"/>
  <c r="AN43" i="5"/>
  <c r="AN42" i="5"/>
  <c r="AN41" i="5"/>
  <c r="AN40" i="5"/>
  <c r="AN39" i="5"/>
  <c r="AN38" i="5"/>
  <c r="AN37" i="5"/>
  <c r="AN36" i="5"/>
  <c r="AN35" i="5"/>
  <c r="AN34" i="5"/>
  <c r="AN33" i="5"/>
  <c r="AN32" i="5"/>
  <c r="AN31" i="5"/>
  <c r="AN30" i="5"/>
  <c r="AN29" i="5"/>
  <c r="AN28" i="5"/>
  <c r="AN27" i="5"/>
  <c r="AN26" i="5"/>
  <c r="AN25" i="5"/>
  <c r="AN24" i="5"/>
  <c r="AN23" i="5"/>
  <c r="AN22" i="5"/>
  <c r="AN21" i="5"/>
  <c r="AN20" i="5"/>
  <c r="AN19" i="5"/>
  <c r="AN18" i="5"/>
  <c r="AN17" i="5"/>
  <c r="AN16" i="5"/>
  <c r="AN15" i="5"/>
  <c r="AN14" i="5"/>
  <c r="AN13" i="5"/>
  <c r="AN12" i="5"/>
  <c r="AN11" i="5"/>
  <c r="AN10" i="5"/>
  <c r="AN9" i="5"/>
  <c r="AN8" i="5"/>
  <c r="AN7" i="5"/>
  <c r="AN6" i="5"/>
  <c r="AN5" i="5"/>
  <c r="AN4" i="5"/>
  <c r="AN3" i="5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L60" i="8"/>
  <c r="AB26" i="6"/>
  <c r="AA65" i="6"/>
  <c r="AA64" i="6"/>
  <c r="AA63" i="6"/>
  <c r="AA62" i="6"/>
  <c r="AA59" i="6"/>
  <c r="AA58" i="6"/>
  <c r="AB52" i="6"/>
  <c r="AA51" i="6"/>
  <c r="AB50" i="6"/>
  <c r="AA50" i="6"/>
  <c r="AA47" i="6"/>
  <c r="AA41" i="6"/>
  <c r="AB40" i="6"/>
  <c r="AA40" i="6"/>
  <c r="AA39" i="6"/>
  <c r="AA38" i="6"/>
  <c r="AA35" i="6"/>
  <c r="AA34" i="6"/>
  <c r="AA29" i="6"/>
  <c r="AA28" i="6"/>
  <c r="AA27" i="6"/>
  <c r="AA26" i="6"/>
  <c r="AA17" i="6"/>
  <c r="AA16" i="6"/>
  <c r="AA15" i="6"/>
  <c r="AB14" i="6"/>
  <c r="AA14" i="6"/>
  <c r="AA11" i="6"/>
  <c r="AA10" i="6"/>
  <c r="AA5" i="6"/>
  <c r="AA4" i="6"/>
  <c r="AA3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AB51" i="6" s="1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AB37" i="6" s="1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AB3" i="6" s="1"/>
  <c r="R6" i="9" l="1"/>
  <c r="W6" i="9"/>
  <c r="Z6" i="9"/>
  <c r="AC6" i="9"/>
  <c r="AV6" i="9" s="1"/>
  <c r="AD5" i="9"/>
  <c r="AB5" i="9"/>
  <c r="AA5" i="9"/>
  <c r="AW5" i="9" s="1"/>
  <c r="P5" i="9"/>
  <c r="V5" i="9"/>
  <c r="AE5" i="9" s="1"/>
  <c r="AU5" i="9" s="1"/>
  <c r="I5" i="9"/>
  <c r="H8" i="9"/>
  <c r="O8" i="9" s="1"/>
  <c r="E8" i="9"/>
  <c r="L8" i="9" s="1"/>
  <c r="D8" i="9"/>
  <c r="K8" i="9" s="1"/>
  <c r="F8" i="9"/>
  <c r="M8" i="9" s="1"/>
  <c r="G8" i="9"/>
  <c r="N8" i="9" s="1"/>
  <c r="S7" i="9"/>
  <c r="T7" i="9"/>
  <c r="X7" i="9" s="1"/>
  <c r="C10" i="9"/>
  <c r="B9" i="9"/>
  <c r="L42" i="8"/>
  <c r="L7" i="8"/>
  <c r="L19" i="8"/>
  <c r="L31" i="8"/>
  <c r="L43" i="8"/>
  <c r="L55" i="8"/>
  <c r="F3" i="8"/>
  <c r="L14" i="8"/>
  <c r="L26" i="8"/>
  <c r="L38" i="8"/>
  <c r="L50" i="8"/>
  <c r="L62" i="8"/>
  <c r="L3" i="8"/>
  <c r="L15" i="8"/>
  <c r="L27" i="8"/>
  <c r="L39" i="8"/>
  <c r="L63" i="8"/>
  <c r="L4" i="8"/>
  <c r="L16" i="8"/>
  <c r="L28" i="8"/>
  <c r="L40" i="8"/>
  <c r="L52" i="8"/>
  <c r="L64" i="8"/>
  <c r="L5" i="8"/>
  <c r="L17" i="8"/>
  <c r="L29" i="8"/>
  <c r="L41" i="8"/>
  <c r="L53" i="8"/>
  <c r="L65" i="8"/>
  <c r="L6" i="8"/>
  <c r="L18" i="8"/>
  <c r="L30" i="8"/>
  <c r="L54" i="8"/>
  <c r="L8" i="8"/>
  <c r="L20" i="8"/>
  <c r="L32" i="8"/>
  <c r="L44" i="8"/>
  <c r="L56" i="8"/>
  <c r="L9" i="8"/>
  <c r="L21" i="8"/>
  <c r="L33" i="8"/>
  <c r="L45" i="8"/>
  <c r="L57" i="8"/>
  <c r="L10" i="8"/>
  <c r="L22" i="8"/>
  <c r="L34" i="8"/>
  <c r="L46" i="8"/>
  <c r="L58" i="8"/>
  <c r="L51" i="8"/>
  <c r="L11" i="8"/>
  <c r="L23" i="8"/>
  <c r="L35" i="8"/>
  <c r="L47" i="8"/>
  <c r="L59" i="8"/>
  <c r="L12" i="8"/>
  <c r="L24" i="8"/>
  <c r="L36" i="8"/>
  <c r="L48" i="8"/>
  <c r="AB55" i="6"/>
  <c r="AA20" i="6"/>
  <c r="AA44" i="6"/>
  <c r="AA33" i="6"/>
  <c r="AA57" i="6"/>
  <c r="AA32" i="6"/>
  <c r="AA21" i="6"/>
  <c r="AA45" i="6"/>
  <c r="AA8" i="6"/>
  <c r="AA56" i="6"/>
  <c r="AA9" i="6"/>
  <c r="AB11" i="6"/>
  <c r="AB23" i="6"/>
  <c r="AB35" i="6"/>
  <c r="AB47" i="6"/>
  <c r="AB59" i="6"/>
  <c r="AA12" i="6"/>
  <c r="AA24" i="6"/>
  <c r="AA36" i="6"/>
  <c r="AA42" i="6"/>
  <c r="AA48" i="6"/>
  <c r="AA54" i="6"/>
  <c r="AA60" i="6"/>
  <c r="AB6" i="6"/>
  <c r="AB18" i="6"/>
  <c r="AB24" i="6"/>
  <c r="AB30" i="6"/>
  <c r="AB36" i="6"/>
  <c r="AB42" i="6"/>
  <c r="AB54" i="6"/>
  <c r="AB60" i="6"/>
  <c r="AA7" i="6"/>
  <c r="AA13" i="6"/>
  <c r="AA19" i="6"/>
  <c r="AA25" i="6"/>
  <c r="AA31" i="6"/>
  <c r="AA37" i="6"/>
  <c r="AA43" i="6"/>
  <c r="AA49" i="6"/>
  <c r="AA55" i="6"/>
  <c r="AB7" i="6"/>
  <c r="AB19" i="6"/>
  <c r="AB43" i="6"/>
  <c r="AB61" i="6"/>
  <c r="AB12" i="6"/>
  <c r="AB48" i="6"/>
  <c r="AB44" i="6"/>
  <c r="AB57" i="6"/>
  <c r="AB8" i="6"/>
  <c r="AB20" i="6"/>
  <c r="AB32" i="6"/>
  <c r="AB9" i="6"/>
  <c r="AB21" i="6"/>
  <c r="AB33" i="6"/>
  <c r="AB56" i="6"/>
  <c r="AB45" i="6"/>
  <c r="AB13" i="6"/>
  <c r="AB25" i="6"/>
  <c r="AB49" i="6"/>
  <c r="AB38" i="6"/>
  <c r="AB15" i="6"/>
  <c r="AB27" i="6"/>
  <c r="AB39" i="6"/>
  <c r="AB63" i="6"/>
  <c r="AB28" i="6"/>
  <c r="AB64" i="6"/>
  <c r="AB16" i="6"/>
  <c r="AB62" i="6"/>
  <c r="AB4" i="6"/>
  <c r="AB31" i="6"/>
  <c r="AB5" i="6"/>
  <c r="AB17" i="6"/>
  <c r="AB29" i="6"/>
  <c r="AB41" i="6"/>
  <c r="AB53" i="6"/>
  <c r="AB65" i="6"/>
  <c r="AB10" i="6"/>
  <c r="AB22" i="6"/>
  <c r="AB34" i="6"/>
  <c r="AB46" i="6"/>
  <c r="AB58" i="6"/>
  <c r="P6" i="9" l="1"/>
  <c r="V6" i="9"/>
  <c r="AE6" i="9" s="1"/>
  <c r="AU6" i="9" s="1"/>
  <c r="I6" i="9"/>
  <c r="AC7" i="9"/>
  <c r="AV7" i="9" s="1"/>
  <c r="Z7" i="9"/>
  <c r="R7" i="9"/>
  <c r="W7" i="9"/>
  <c r="AA6" i="9"/>
  <c r="AW6" i="9" s="1"/>
  <c r="AD6" i="9"/>
  <c r="AB6" i="9"/>
  <c r="S8" i="9"/>
  <c r="G9" i="9"/>
  <c r="N9" i="9" s="1"/>
  <c r="H9" i="9"/>
  <c r="O9" i="9" s="1"/>
  <c r="E9" i="9"/>
  <c r="L9" i="9" s="1"/>
  <c r="D9" i="9"/>
  <c r="K9" i="9" s="1"/>
  <c r="F9" i="9"/>
  <c r="M9" i="9" s="1"/>
  <c r="T8" i="9"/>
  <c r="X8" i="9" s="1"/>
  <c r="C11" i="9"/>
  <c r="B10" i="9"/>
  <c r="L1" i="8"/>
  <c r="AE61" i="7"/>
  <c r="AF60" i="7"/>
  <c r="AE60" i="7"/>
  <c r="AF58" i="7"/>
  <c r="AE58" i="7"/>
  <c r="AF57" i="7"/>
  <c r="AE57" i="7"/>
  <c r="AF56" i="7"/>
  <c r="AE56" i="7"/>
  <c r="AF55" i="7"/>
  <c r="AE55" i="7"/>
  <c r="AF54" i="7"/>
  <c r="AE54" i="7"/>
  <c r="AE49" i="7"/>
  <c r="AF48" i="7"/>
  <c r="AE48" i="7"/>
  <c r="AF46" i="7"/>
  <c r="AE46" i="7"/>
  <c r="AF45" i="7"/>
  <c r="AE45" i="7"/>
  <c r="AF44" i="7"/>
  <c r="AE44" i="7"/>
  <c r="AF43" i="7"/>
  <c r="AE43" i="7"/>
  <c r="AF42" i="7"/>
  <c r="AE42" i="7"/>
  <c r="AE37" i="7"/>
  <c r="AF36" i="7"/>
  <c r="AE36" i="7"/>
  <c r="AF34" i="7"/>
  <c r="AE34" i="7"/>
  <c r="AF33" i="7"/>
  <c r="AE33" i="7"/>
  <c r="AF32" i="7"/>
  <c r="AE32" i="7"/>
  <c r="AF31" i="7"/>
  <c r="AE31" i="7"/>
  <c r="AF30" i="7"/>
  <c r="AE30" i="7"/>
  <c r="AE25" i="7"/>
  <c r="AF24" i="7"/>
  <c r="AE24" i="7"/>
  <c r="AF22" i="7"/>
  <c r="AE22" i="7"/>
  <c r="AF21" i="7"/>
  <c r="AE21" i="7"/>
  <c r="AF20" i="7"/>
  <c r="AE20" i="7"/>
  <c r="AF19" i="7"/>
  <c r="AE19" i="7"/>
  <c r="AF18" i="7"/>
  <c r="AE18" i="7"/>
  <c r="AE13" i="7"/>
  <c r="AF12" i="7"/>
  <c r="AE12" i="7"/>
  <c r="AF11" i="7"/>
  <c r="AF10" i="7"/>
  <c r="AE10" i="7"/>
  <c r="AF9" i="7"/>
  <c r="AE9" i="7"/>
  <c r="AF8" i="7"/>
  <c r="AE8" i="7"/>
  <c r="AF7" i="7"/>
  <c r="AE7" i="7"/>
  <c r="AF6" i="7"/>
  <c r="AE6" i="7"/>
  <c r="AF5" i="7"/>
  <c r="R65" i="7"/>
  <c r="AD65" i="7" s="1"/>
  <c r="R64" i="7"/>
  <c r="AF64" i="7" s="1"/>
  <c r="R63" i="7"/>
  <c r="AD63" i="7" s="1"/>
  <c r="R62" i="7"/>
  <c r="R61" i="7"/>
  <c r="R60" i="7"/>
  <c r="R59" i="7"/>
  <c r="R58" i="7"/>
  <c r="AC58" i="7" s="1"/>
  <c r="R57" i="7"/>
  <c r="AC57" i="7" s="1"/>
  <c r="R56" i="7"/>
  <c r="AD56" i="7" s="1"/>
  <c r="R55" i="7"/>
  <c r="AD55" i="7" s="1"/>
  <c r="R54" i="7"/>
  <c r="R53" i="7"/>
  <c r="AD53" i="7" s="1"/>
  <c r="R52" i="7"/>
  <c r="AF52" i="7" s="1"/>
  <c r="R51" i="7"/>
  <c r="R50" i="7"/>
  <c r="R49" i="7"/>
  <c r="R48" i="7"/>
  <c r="AD48" i="7" s="1"/>
  <c r="R47" i="7"/>
  <c r="R46" i="7"/>
  <c r="AC46" i="7" s="1"/>
  <c r="R45" i="7"/>
  <c r="AC45" i="7" s="1"/>
  <c r="R44" i="7"/>
  <c r="AD44" i="7" s="1"/>
  <c r="R43" i="7"/>
  <c r="AD43" i="7" s="1"/>
  <c r="R42" i="7"/>
  <c r="R41" i="7"/>
  <c r="AD41" i="7" s="1"/>
  <c r="R40" i="7"/>
  <c r="AF40" i="7" s="1"/>
  <c r="R39" i="7"/>
  <c r="R38" i="7"/>
  <c r="R37" i="7"/>
  <c r="R36" i="7"/>
  <c r="R35" i="7"/>
  <c r="R34" i="7"/>
  <c r="AC34" i="7" s="1"/>
  <c r="R33" i="7"/>
  <c r="AC33" i="7" s="1"/>
  <c r="R32" i="7"/>
  <c r="AD32" i="7" s="1"/>
  <c r="R31" i="7"/>
  <c r="AD31" i="7" s="1"/>
  <c r="R30" i="7"/>
  <c r="R29" i="7"/>
  <c r="AD29" i="7" s="1"/>
  <c r="R28" i="7"/>
  <c r="AB28" i="7" s="1"/>
  <c r="R27" i="7"/>
  <c r="R26" i="7"/>
  <c r="R25" i="7"/>
  <c r="R24" i="7"/>
  <c r="AA24" i="7" s="1"/>
  <c r="R23" i="7"/>
  <c r="R22" i="7"/>
  <c r="AC22" i="7" s="1"/>
  <c r="R21" i="7"/>
  <c r="AC21" i="7" s="1"/>
  <c r="R20" i="7"/>
  <c r="AD20" i="7" s="1"/>
  <c r="R19" i="7"/>
  <c r="AD19" i="7" s="1"/>
  <c r="R18" i="7"/>
  <c r="R17" i="7"/>
  <c r="AD17" i="7" s="1"/>
  <c r="R16" i="7"/>
  <c r="AD16" i="7" s="1"/>
  <c r="R15" i="7"/>
  <c r="R14" i="7"/>
  <c r="R13" i="7"/>
  <c r="R12" i="7"/>
  <c r="R11" i="7"/>
  <c r="R10" i="7"/>
  <c r="AC10" i="7" s="1"/>
  <c r="R9" i="7"/>
  <c r="AC9" i="7" s="1"/>
  <c r="R8" i="7"/>
  <c r="AD8" i="7" s="1"/>
  <c r="R7" i="7"/>
  <c r="AD7" i="7" s="1"/>
  <c r="R6" i="7"/>
  <c r="R5" i="7"/>
  <c r="AD5" i="7" s="1"/>
  <c r="R4" i="7"/>
  <c r="AF4" i="7" s="1"/>
  <c r="R3" i="7"/>
  <c r="AD64" i="7"/>
  <c r="AD61" i="7"/>
  <c r="AD60" i="7"/>
  <c r="AD58" i="7"/>
  <c r="AD57" i="7"/>
  <c r="AD47" i="7"/>
  <c r="AD46" i="7"/>
  <c r="AD45" i="7"/>
  <c r="AD40" i="7"/>
  <c r="AD34" i="7"/>
  <c r="AD33" i="7"/>
  <c r="AD25" i="7"/>
  <c r="AD24" i="7"/>
  <c r="AD23" i="7"/>
  <c r="AD22" i="7"/>
  <c r="AD21" i="7"/>
  <c r="AD10" i="7"/>
  <c r="AD9" i="7"/>
  <c r="AD4" i="7"/>
  <c r="AC65" i="7"/>
  <c r="AC64" i="7"/>
  <c r="AC63" i="7"/>
  <c r="AC49" i="7"/>
  <c r="AC48" i="7"/>
  <c r="AC41" i="7"/>
  <c r="AC40" i="7"/>
  <c r="AC25" i="7"/>
  <c r="AC24" i="7"/>
  <c r="AC17" i="7"/>
  <c r="AC16" i="7"/>
  <c r="AB65" i="7"/>
  <c r="AB64" i="7"/>
  <c r="AB63" i="7"/>
  <c r="AB60" i="7"/>
  <c r="AB29" i="7"/>
  <c r="AA58" i="7"/>
  <c r="AA57" i="7"/>
  <c r="AA56" i="7"/>
  <c r="AA55" i="7"/>
  <c r="AA54" i="7"/>
  <c r="AA53" i="7"/>
  <c r="AA22" i="7"/>
  <c r="AA11" i="7"/>
  <c r="AA10" i="7"/>
  <c r="AA9" i="7"/>
  <c r="Y61" i="7"/>
  <c r="X61" i="7"/>
  <c r="Y43" i="7"/>
  <c r="X43" i="7"/>
  <c r="Y37" i="7"/>
  <c r="X37" i="7"/>
  <c r="Y31" i="7"/>
  <c r="X31" i="7"/>
  <c r="Y27" i="7"/>
  <c r="X27" i="7"/>
  <c r="Y26" i="7"/>
  <c r="X26" i="7"/>
  <c r="Y23" i="7"/>
  <c r="X2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4" i="7"/>
  <c r="Y25" i="7"/>
  <c r="Y28" i="7"/>
  <c r="Y29" i="7"/>
  <c r="Y30" i="7"/>
  <c r="Y32" i="7"/>
  <c r="Y33" i="7"/>
  <c r="Y34" i="7"/>
  <c r="Y35" i="7"/>
  <c r="Y36" i="7"/>
  <c r="Y38" i="7"/>
  <c r="Y39" i="7"/>
  <c r="Y40" i="7"/>
  <c r="Y41" i="7"/>
  <c r="Y42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2" i="7"/>
  <c r="Y63" i="7"/>
  <c r="Y64" i="7"/>
  <c r="Y65" i="7"/>
  <c r="Y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4" i="7"/>
  <c r="X25" i="7"/>
  <c r="X28" i="7"/>
  <c r="X29" i="7"/>
  <c r="X30" i="7"/>
  <c r="X32" i="7"/>
  <c r="X33" i="7"/>
  <c r="X34" i="7"/>
  <c r="X35" i="7"/>
  <c r="X36" i="7"/>
  <c r="X38" i="7"/>
  <c r="X39" i="7"/>
  <c r="X40" i="7"/>
  <c r="X41" i="7"/>
  <c r="X42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2" i="7"/>
  <c r="X63" i="7"/>
  <c r="X64" i="7"/>
  <c r="X65" i="7"/>
  <c r="X3" i="7"/>
  <c r="W61" i="7"/>
  <c r="W43" i="7"/>
  <c r="W37" i="7"/>
  <c r="W31" i="7"/>
  <c r="W27" i="7"/>
  <c r="W26" i="7"/>
  <c r="W23" i="7"/>
  <c r="W65" i="7"/>
  <c r="W64" i="7"/>
  <c r="W63" i="7"/>
  <c r="W62" i="7"/>
  <c r="W60" i="7"/>
  <c r="W59" i="7"/>
  <c r="W58" i="7"/>
  <c r="W57" i="7"/>
  <c r="W56" i="7"/>
  <c r="W55" i="7"/>
  <c r="W54" i="7"/>
  <c r="W53" i="7"/>
  <c r="W52" i="7"/>
  <c r="W51" i="7"/>
  <c r="W50" i="7"/>
  <c r="W49" i="7"/>
  <c r="W48" i="7"/>
  <c r="W47" i="7"/>
  <c r="W46" i="7"/>
  <c r="W45" i="7"/>
  <c r="W44" i="7"/>
  <c r="W42" i="7"/>
  <c r="W41" i="7"/>
  <c r="W40" i="7"/>
  <c r="W39" i="7"/>
  <c r="W38" i="7"/>
  <c r="W36" i="7"/>
  <c r="W35" i="7"/>
  <c r="W34" i="7"/>
  <c r="W33" i="7"/>
  <c r="W32" i="7"/>
  <c r="W30" i="7"/>
  <c r="W29" i="7"/>
  <c r="W28" i="7"/>
  <c r="W25" i="7"/>
  <c r="W24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W3" i="7"/>
  <c r="V61" i="7"/>
  <c r="V43" i="7"/>
  <c r="V37" i="7"/>
  <c r="V31" i="7"/>
  <c r="V27" i="7"/>
  <c r="V26" i="7"/>
  <c r="V23" i="7"/>
  <c r="V65" i="7"/>
  <c r="V64" i="7"/>
  <c r="V63" i="7"/>
  <c r="V62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2" i="7"/>
  <c r="V41" i="7"/>
  <c r="V40" i="7"/>
  <c r="V39" i="7"/>
  <c r="V38" i="7"/>
  <c r="V36" i="7"/>
  <c r="V35" i="7"/>
  <c r="V34" i="7"/>
  <c r="V33" i="7"/>
  <c r="V32" i="7"/>
  <c r="V30" i="7"/>
  <c r="V29" i="7"/>
  <c r="V28" i="7"/>
  <c r="V25" i="7"/>
  <c r="V24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AB53" i="7"/>
  <c r="AB52" i="7"/>
  <c r="AB41" i="7"/>
  <c r="AB40" i="7"/>
  <c r="AB17" i="7"/>
  <c r="AB16" i="7"/>
  <c r="AA59" i="7"/>
  <c r="AA47" i="7"/>
  <c r="AA46" i="7"/>
  <c r="AA33" i="7"/>
  <c r="AA31" i="7"/>
  <c r="AA21" i="7"/>
  <c r="AA19" i="7"/>
  <c r="AA7" i="7"/>
  <c r="T9" i="9" l="1"/>
  <c r="X9" i="9" s="1"/>
  <c r="AD7" i="9"/>
  <c r="AB7" i="9"/>
  <c r="AA7" i="9"/>
  <c r="AW7" i="9" s="1"/>
  <c r="P7" i="9"/>
  <c r="I7" i="9"/>
  <c r="V7" i="9"/>
  <c r="AE7" i="9" s="1"/>
  <c r="AU7" i="9" s="1"/>
  <c r="R8" i="9"/>
  <c r="W8" i="9"/>
  <c r="Z8" i="9"/>
  <c r="AC8" i="9"/>
  <c r="AV8" i="9" s="1"/>
  <c r="Z9" i="9"/>
  <c r="AC9" i="9"/>
  <c r="AV9" i="9" s="1"/>
  <c r="S9" i="9"/>
  <c r="G10" i="9"/>
  <c r="N10" i="9" s="1"/>
  <c r="D10" i="9"/>
  <c r="K10" i="9" s="1"/>
  <c r="H10" i="9"/>
  <c r="O10" i="9" s="1"/>
  <c r="E10" i="9"/>
  <c r="L10" i="9" s="1"/>
  <c r="F10" i="9"/>
  <c r="M10" i="9" s="1"/>
  <c r="B11" i="9"/>
  <c r="C12" i="9"/>
  <c r="AC14" i="7"/>
  <c r="AD14" i="7"/>
  <c r="AF14" i="7"/>
  <c r="AE14" i="7"/>
  <c r="AF26" i="7"/>
  <c r="AE26" i="7"/>
  <c r="AD26" i="7"/>
  <c r="AC26" i="7"/>
  <c r="AC38" i="7"/>
  <c r="AF38" i="7"/>
  <c r="AE38" i="7"/>
  <c r="AD50" i="7"/>
  <c r="AF50" i="7"/>
  <c r="AE50" i="7"/>
  <c r="AC50" i="7"/>
  <c r="AC62" i="7"/>
  <c r="AF62" i="7"/>
  <c r="AE62" i="7"/>
  <c r="AF3" i="7"/>
  <c r="AB3" i="7"/>
  <c r="AE3" i="7"/>
  <c r="AC3" i="7"/>
  <c r="AD15" i="7"/>
  <c r="AF15" i="7"/>
  <c r="AE15" i="7"/>
  <c r="AD27" i="7"/>
  <c r="AF27" i="7"/>
  <c r="AE27" i="7"/>
  <c r="AC27" i="7"/>
  <c r="AD39" i="7"/>
  <c r="AF39" i="7"/>
  <c r="AE39" i="7"/>
  <c r="AD51" i="7"/>
  <c r="AF51" i="7"/>
  <c r="AE51" i="7"/>
  <c r="AC51" i="7"/>
  <c r="AC15" i="7"/>
  <c r="AD38" i="7"/>
  <c r="AD3" i="7"/>
  <c r="AC39" i="7"/>
  <c r="AC11" i="7"/>
  <c r="AE11" i="7"/>
  <c r="AD11" i="7"/>
  <c r="AC23" i="7"/>
  <c r="AF23" i="7"/>
  <c r="AE23" i="7"/>
  <c r="AA23" i="7"/>
  <c r="AC35" i="7"/>
  <c r="AF35" i="7"/>
  <c r="AE35" i="7"/>
  <c r="AD35" i="7"/>
  <c r="AC47" i="7"/>
  <c r="AF47" i="7"/>
  <c r="AE47" i="7"/>
  <c r="AC59" i="7"/>
  <c r="AF59" i="7"/>
  <c r="AE59" i="7"/>
  <c r="AD59" i="7"/>
  <c r="AB62" i="7"/>
  <c r="AC12" i="7"/>
  <c r="AD12" i="7"/>
  <c r="AA12" i="7"/>
  <c r="AD36" i="7"/>
  <c r="AC36" i="7"/>
  <c r="AC60" i="7"/>
  <c r="AA60" i="7"/>
  <c r="AD62" i="7"/>
  <c r="AB13" i="7"/>
  <c r="AC13" i="7"/>
  <c r="AD13" i="7"/>
  <c r="AA13" i="7"/>
  <c r="AF13" i="7"/>
  <c r="AB25" i="7"/>
  <c r="AA25" i="7"/>
  <c r="AF25" i="7"/>
  <c r="AB37" i="7"/>
  <c r="AD37" i="7"/>
  <c r="AC37" i="7"/>
  <c r="AF37" i="7"/>
  <c r="AB49" i="7"/>
  <c r="AD49" i="7"/>
  <c r="AF49" i="7"/>
  <c r="AB61" i="7"/>
  <c r="AC61" i="7"/>
  <c r="AF61" i="7"/>
  <c r="AA36" i="7"/>
  <c r="AA48" i="7"/>
  <c r="AA61" i="7"/>
  <c r="AD28" i="7"/>
  <c r="AA14" i="7"/>
  <c r="AA26" i="7"/>
  <c r="AA38" i="7"/>
  <c r="AA50" i="7"/>
  <c r="AA62" i="7"/>
  <c r="AA65" i="7"/>
  <c r="AC4" i="7"/>
  <c r="AC28" i="7"/>
  <c r="AC52" i="7"/>
  <c r="AE63" i="7"/>
  <c r="AA3" i="7"/>
  <c r="AA15" i="7"/>
  <c r="AA27" i="7"/>
  <c r="AA39" i="7"/>
  <c r="AA51" i="7"/>
  <c r="AA63" i="7"/>
  <c r="AB12" i="7"/>
  <c r="AB24" i="7"/>
  <c r="AB36" i="7"/>
  <c r="AB48" i="7"/>
  <c r="AC5" i="7"/>
  <c r="AC29" i="7"/>
  <c r="AC53" i="7"/>
  <c r="AD52" i="7"/>
  <c r="AF63" i="7"/>
  <c r="AA4" i="7"/>
  <c r="AA16" i="7"/>
  <c r="AA28" i="7"/>
  <c r="AA40" i="7"/>
  <c r="AA52" i="7"/>
  <c r="AA64" i="7"/>
  <c r="AB4" i="7"/>
  <c r="AE4" i="7"/>
  <c r="AE16" i="7"/>
  <c r="AE28" i="7"/>
  <c r="AE40" i="7"/>
  <c r="AE52" i="7"/>
  <c r="AE64" i="7"/>
  <c r="AA5" i="7"/>
  <c r="AA17" i="7"/>
  <c r="AA29" i="7"/>
  <c r="AA41" i="7"/>
  <c r="AB14" i="7"/>
  <c r="AB26" i="7"/>
  <c r="AB38" i="7"/>
  <c r="AB50" i="7"/>
  <c r="AB5" i="7"/>
  <c r="AF16" i="7"/>
  <c r="AF28" i="7"/>
  <c r="AA6" i="7"/>
  <c r="AA18" i="7"/>
  <c r="AA30" i="7"/>
  <c r="AA42" i="7"/>
  <c r="AB15" i="7"/>
  <c r="AB27" i="7"/>
  <c r="AB39" i="7"/>
  <c r="AB51" i="7"/>
  <c r="AA45" i="7"/>
  <c r="AE5" i="7"/>
  <c r="AE17" i="7"/>
  <c r="AE29" i="7"/>
  <c r="AE41" i="7"/>
  <c r="AE53" i="7"/>
  <c r="AE65" i="7"/>
  <c r="AF17" i="7"/>
  <c r="AF29" i="7"/>
  <c r="AF41" i="7"/>
  <c r="AF53" i="7"/>
  <c r="AF65" i="7"/>
  <c r="AB6" i="7"/>
  <c r="AB18" i="7"/>
  <c r="AB30" i="7"/>
  <c r="AB42" i="7"/>
  <c r="AB54" i="7"/>
  <c r="AB20" i="7"/>
  <c r="AB32" i="7"/>
  <c r="AB44" i="7"/>
  <c r="AB56" i="7"/>
  <c r="AB9" i="7"/>
  <c r="AB21" i="7"/>
  <c r="AB33" i="7"/>
  <c r="AB45" i="7"/>
  <c r="AB57" i="7"/>
  <c r="AC6" i="7"/>
  <c r="AC18" i="7"/>
  <c r="AC30" i="7"/>
  <c r="AC42" i="7"/>
  <c r="AC54" i="7"/>
  <c r="AB7" i="7"/>
  <c r="AB31" i="7"/>
  <c r="AB55" i="7"/>
  <c r="AB11" i="7"/>
  <c r="AB23" i="7"/>
  <c r="AB35" i="7"/>
  <c r="AB47" i="7"/>
  <c r="AB59" i="7"/>
  <c r="AC8" i="7"/>
  <c r="AC20" i="7"/>
  <c r="AC32" i="7"/>
  <c r="AC44" i="7"/>
  <c r="AC56" i="7"/>
  <c r="AD6" i="7"/>
  <c r="AD18" i="7"/>
  <c r="AD30" i="7"/>
  <c r="AD42" i="7"/>
  <c r="AD54" i="7"/>
  <c r="AA43" i="7"/>
  <c r="AA8" i="7"/>
  <c r="AA20" i="7"/>
  <c r="AA32" i="7"/>
  <c r="AA44" i="7"/>
  <c r="AA34" i="7"/>
  <c r="AB19" i="7"/>
  <c r="AB43" i="7"/>
  <c r="AA35" i="7"/>
  <c r="AB8" i="7"/>
  <c r="AA37" i="7"/>
  <c r="AA49" i="7"/>
  <c r="AB10" i="7"/>
  <c r="AB22" i="7"/>
  <c r="AB34" i="7"/>
  <c r="AB46" i="7"/>
  <c r="AB58" i="7"/>
  <c r="AC7" i="7"/>
  <c r="AC19" i="7"/>
  <c r="AC31" i="7"/>
  <c r="AC43" i="7"/>
  <c r="AC55" i="7"/>
  <c r="R9" i="9" l="1"/>
  <c r="W9" i="9"/>
  <c r="AA8" i="9"/>
  <c r="AW8" i="9" s="1"/>
  <c r="AD8" i="9"/>
  <c r="AB8" i="9"/>
  <c r="P8" i="9"/>
  <c r="V8" i="9"/>
  <c r="AE8" i="9" s="1"/>
  <c r="AU8" i="9" s="1"/>
  <c r="I8" i="9"/>
  <c r="T10" i="9"/>
  <c r="X10" i="9" s="1"/>
  <c r="H11" i="9"/>
  <c r="O11" i="9" s="1"/>
  <c r="E11" i="9"/>
  <c r="L11" i="9" s="1"/>
  <c r="F11" i="9"/>
  <c r="M11" i="9" s="1"/>
  <c r="D11" i="9"/>
  <c r="K11" i="9" s="1"/>
  <c r="G11" i="9"/>
  <c r="N11" i="9" s="1"/>
  <c r="S10" i="9"/>
  <c r="C13" i="9"/>
  <c r="B12" i="9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Z10" i="9" l="1"/>
  <c r="AC10" i="9"/>
  <c r="AV10" i="9" s="1"/>
  <c r="R10" i="9"/>
  <c r="W10" i="9"/>
  <c r="AD9" i="9"/>
  <c r="AB9" i="9"/>
  <c r="AA9" i="9"/>
  <c r="AW9" i="9" s="1"/>
  <c r="P9" i="9"/>
  <c r="I9" i="9"/>
  <c r="V9" i="9"/>
  <c r="AE9" i="9" s="1"/>
  <c r="AU9" i="9" s="1"/>
  <c r="S11" i="9"/>
  <c r="D12" i="9"/>
  <c r="K12" i="9" s="1"/>
  <c r="G12" i="9"/>
  <c r="N12" i="9" s="1"/>
  <c r="E12" i="9"/>
  <c r="L12" i="9" s="1"/>
  <c r="H12" i="9"/>
  <c r="O12" i="9" s="1"/>
  <c r="F12" i="9"/>
  <c r="M12" i="9" s="1"/>
  <c r="T11" i="9"/>
  <c r="X11" i="9" s="1"/>
  <c r="C14" i="9"/>
  <c r="B13" i="9"/>
  <c r="BO2" i="4"/>
  <c r="BN2" i="4"/>
  <c r="BM2" i="4"/>
  <c r="BL2" i="4"/>
  <c r="BK2" i="4"/>
  <c r="BJ2" i="4"/>
  <c r="BI2" i="4"/>
  <c r="BH2" i="4"/>
  <c r="BG2" i="4"/>
  <c r="BF2" i="4"/>
  <c r="BE2" i="4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BO1" i="4"/>
  <c r="BN1" i="4"/>
  <c r="BM1" i="4"/>
  <c r="BL1" i="4"/>
  <c r="BK1" i="4"/>
  <c r="BJ1" i="4"/>
  <c r="BI1" i="4"/>
  <c r="BH1" i="4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2" i="4"/>
  <c r="E1" i="4"/>
  <c r="R11" i="9" l="1"/>
  <c r="W11" i="9"/>
  <c r="Z11" i="9"/>
  <c r="AC11" i="9"/>
  <c r="AV11" i="9" s="1"/>
  <c r="AA10" i="9"/>
  <c r="AW10" i="9" s="1"/>
  <c r="AD10" i="9"/>
  <c r="AB10" i="9"/>
  <c r="P10" i="9"/>
  <c r="I10" i="9"/>
  <c r="V10" i="9"/>
  <c r="AE10" i="9" s="1"/>
  <c r="AU10" i="9" s="1"/>
  <c r="F13" i="9"/>
  <c r="M13" i="9" s="1"/>
  <c r="D13" i="9"/>
  <c r="K13" i="9" s="1"/>
  <c r="G13" i="9"/>
  <c r="N13" i="9" s="1"/>
  <c r="E13" i="9"/>
  <c r="L13" i="9" s="1"/>
  <c r="H13" i="9"/>
  <c r="O13" i="9" s="1"/>
  <c r="S12" i="9"/>
  <c r="T12" i="9"/>
  <c r="X12" i="9" s="1"/>
  <c r="C15" i="9"/>
  <c r="B14" i="9"/>
  <c r="E5" i="4" a="1"/>
  <c r="A6" i="4" a="1"/>
  <c r="Z12" i="9" l="1"/>
  <c r="AC12" i="9"/>
  <c r="AV12" i="9" s="1"/>
  <c r="R12" i="9"/>
  <c r="W12" i="9"/>
  <c r="AB11" i="9"/>
  <c r="AA11" i="9"/>
  <c r="AW11" i="9" s="1"/>
  <c r="AD11" i="9"/>
  <c r="P11" i="9"/>
  <c r="V11" i="9"/>
  <c r="AE11" i="9" s="1"/>
  <c r="AU11" i="9" s="1"/>
  <c r="I11" i="9"/>
  <c r="S13" i="9"/>
  <c r="F14" i="9"/>
  <c r="M14" i="9" s="1"/>
  <c r="G14" i="9"/>
  <c r="N14" i="9" s="1"/>
  <c r="H14" i="9"/>
  <c r="O14" i="9" s="1"/>
  <c r="E14" i="9"/>
  <c r="L14" i="9" s="1"/>
  <c r="D14" i="9"/>
  <c r="K14" i="9" s="1"/>
  <c r="T13" i="9"/>
  <c r="X13" i="9" s="1"/>
  <c r="C16" i="9"/>
  <c r="B15" i="9"/>
  <c r="E5" i="4"/>
  <c r="A6" i="4"/>
  <c r="A4" i="1" a="1"/>
  <c r="A4" i="1" s="1"/>
  <c r="R13" i="9" l="1"/>
  <c r="W13" i="9"/>
  <c r="AC13" i="9"/>
  <c r="AV13" i="9" s="1"/>
  <c r="Z13" i="9"/>
  <c r="AA12" i="9"/>
  <c r="AW12" i="9" s="1"/>
  <c r="AD12" i="9"/>
  <c r="AB12" i="9"/>
  <c r="P12" i="9"/>
  <c r="V12" i="9"/>
  <c r="AE12" i="9" s="1"/>
  <c r="AU12" i="9" s="1"/>
  <c r="I12" i="9"/>
  <c r="G15" i="9"/>
  <c r="N15" i="9" s="1"/>
  <c r="H15" i="9"/>
  <c r="O15" i="9" s="1"/>
  <c r="E15" i="9"/>
  <c r="L15" i="9" s="1"/>
  <c r="D15" i="9"/>
  <c r="K15" i="9" s="1"/>
  <c r="F15" i="9"/>
  <c r="M15" i="9" s="1"/>
  <c r="S14" i="9"/>
  <c r="T14" i="9"/>
  <c r="X14" i="9" s="1"/>
  <c r="C17" i="9"/>
  <c r="B16" i="9"/>
  <c r="C4" i="6"/>
  <c r="C5" i="6" s="1"/>
  <c r="B5" i="6" s="1"/>
  <c r="B3" i="6"/>
  <c r="T15" i="9" l="1"/>
  <c r="X15" i="9" s="1"/>
  <c r="Z14" i="9"/>
  <c r="AC14" i="9"/>
  <c r="AV14" i="9" s="1"/>
  <c r="R14" i="9"/>
  <c r="W14" i="9"/>
  <c r="AD13" i="9"/>
  <c r="AB13" i="9"/>
  <c r="AA13" i="9"/>
  <c r="AW13" i="9" s="1"/>
  <c r="P13" i="9"/>
  <c r="V13" i="9"/>
  <c r="AE13" i="9" s="1"/>
  <c r="AU13" i="9" s="1"/>
  <c r="I13" i="9"/>
  <c r="F16" i="9"/>
  <c r="M16" i="9" s="1"/>
  <c r="D16" i="9"/>
  <c r="K16" i="9" s="1"/>
  <c r="G16" i="9"/>
  <c r="N16" i="9" s="1"/>
  <c r="E16" i="9"/>
  <c r="L16" i="9" s="1"/>
  <c r="H16" i="9"/>
  <c r="O16" i="9" s="1"/>
  <c r="S15" i="9"/>
  <c r="B17" i="9"/>
  <c r="C18" i="9"/>
  <c r="Y5" i="6"/>
  <c r="AF5" i="6" s="1"/>
  <c r="X5" i="6"/>
  <c r="AE5" i="6" s="1"/>
  <c r="V5" i="6"/>
  <c r="AC5" i="6" s="1"/>
  <c r="W5" i="6"/>
  <c r="AD5" i="6" s="1"/>
  <c r="B4" i="6"/>
  <c r="Y3" i="6"/>
  <c r="AF3" i="6" s="1"/>
  <c r="X3" i="6"/>
  <c r="AE3" i="6" s="1"/>
  <c r="W3" i="6"/>
  <c r="AD3" i="6" s="1"/>
  <c r="V3" i="6"/>
  <c r="AC3" i="6" s="1"/>
  <c r="R15" i="9" l="1"/>
  <c r="W15" i="9"/>
  <c r="AA14" i="9"/>
  <c r="AW14" i="9" s="1"/>
  <c r="AD14" i="9"/>
  <c r="AB14" i="9"/>
  <c r="P14" i="9"/>
  <c r="V14" i="9"/>
  <c r="AE14" i="9" s="1"/>
  <c r="AU14" i="9" s="1"/>
  <c r="I14" i="9"/>
  <c r="AC15" i="9"/>
  <c r="AV15" i="9" s="1"/>
  <c r="Z15" i="9"/>
  <c r="S16" i="9"/>
  <c r="H17" i="9"/>
  <c r="O17" i="9" s="1"/>
  <c r="E17" i="9"/>
  <c r="L17" i="9" s="1"/>
  <c r="F17" i="9"/>
  <c r="M17" i="9" s="1"/>
  <c r="G17" i="9"/>
  <c r="N17" i="9" s="1"/>
  <c r="D17" i="9"/>
  <c r="K17" i="9" s="1"/>
  <c r="T16" i="9"/>
  <c r="X16" i="9" s="1"/>
  <c r="C19" i="9"/>
  <c r="B18" i="9"/>
  <c r="Y4" i="6"/>
  <c r="AF4" i="6" s="1"/>
  <c r="X4" i="6"/>
  <c r="AE4" i="6" s="1"/>
  <c r="W4" i="6"/>
  <c r="AD4" i="6" s="1"/>
  <c r="V4" i="6"/>
  <c r="AC4" i="6" s="1"/>
  <c r="C6" i="6"/>
  <c r="R16" i="9" l="1"/>
  <c r="W16" i="9"/>
  <c r="Z16" i="9"/>
  <c r="AC16" i="9"/>
  <c r="AV16" i="9" s="1"/>
  <c r="T17" i="9"/>
  <c r="X17" i="9" s="1"/>
  <c r="AD15" i="9"/>
  <c r="AB15" i="9"/>
  <c r="AA15" i="9"/>
  <c r="AW15" i="9" s="1"/>
  <c r="P15" i="9"/>
  <c r="V15" i="9"/>
  <c r="AE15" i="9" s="1"/>
  <c r="AU15" i="9" s="1"/>
  <c r="I15" i="9"/>
  <c r="H18" i="9"/>
  <c r="O18" i="9" s="1"/>
  <c r="E18" i="9"/>
  <c r="L18" i="9" s="1"/>
  <c r="F18" i="9"/>
  <c r="M18" i="9" s="1"/>
  <c r="G18" i="9"/>
  <c r="N18" i="9" s="1"/>
  <c r="D18" i="9"/>
  <c r="K18" i="9" s="1"/>
  <c r="S17" i="9"/>
  <c r="C20" i="9"/>
  <c r="B19" i="9"/>
  <c r="C7" i="6"/>
  <c r="B6" i="6"/>
  <c r="C4" i="7"/>
  <c r="C5" i="7" s="1"/>
  <c r="B5" i="7" s="1"/>
  <c r="B3" i="7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A4" i="4" s="1"/>
  <c r="BB4" i="4" s="1"/>
  <c r="BC4" i="4" s="1"/>
  <c r="BD4" i="4" s="1"/>
  <c r="BE4" i="4" s="1"/>
  <c r="BF4" i="4" s="1"/>
  <c r="BG4" i="4" s="1"/>
  <c r="BH4" i="4" s="1"/>
  <c r="BI4" i="4" s="1"/>
  <c r="BJ4" i="4" s="1"/>
  <c r="BK4" i="4" s="1"/>
  <c r="BL4" i="4" s="1"/>
  <c r="BM4" i="4" s="1"/>
  <c r="BN4" i="4" s="1"/>
  <c r="BO4" i="4" s="1"/>
  <c r="BP4" i="4" s="1"/>
  <c r="BQ4" i="4" s="1"/>
  <c r="BR4" i="4" s="1"/>
  <c r="BS4" i="4" s="1"/>
  <c r="BT4" i="4" s="1"/>
  <c r="BU4" i="4" s="1"/>
  <c r="BV4" i="4" s="1"/>
  <c r="BW4" i="4" s="1"/>
  <c r="BX4" i="4" s="1"/>
  <c r="BY4" i="4" s="1"/>
  <c r="BZ4" i="4" s="1"/>
  <c r="CA4" i="4" s="1"/>
  <c r="CB4" i="4" s="1"/>
  <c r="CC4" i="4" s="1"/>
  <c r="CD4" i="4" s="1"/>
  <c r="CE4" i="4" s="1"/>
  <c r="CF4" i="4" s="1"/>
  <c r="CG4" i="4" s="1"/>
  <c r="CH4" i="4" s="1"/>
  <c r="CI4" i="4" s="1"/>
  <c r="CJ4" i="4" s="1"/>
  <c r="CK4" i="4" s="1"/>
  <c r="CL4" i="4" s="1"/>
  <c r="CM4" i="4" s="1"/>
  <c r="CN4" i="4" s="1"/>
  <c r="CO4" i="4" s="1"/>
  <c r="CP4" i="4" s="1"/>
  <c r="CQ4" i="4" s="1"/>
  <c r="CR4" i="4" s="1"/>
  <c r="CS4" i="4" s="1"/>
  <c r="CT4" i="4" s="1"/>
  <c r="CU4" i="4" s="1"/>
  <c r="CV4" i="4" s="1"/>
  <c r="CW4" i="4" s="1"/>
  <c r="CX4" i="4" s="1"/>
  <c r="CY4" i="4" s="1"/>
  <c r="CZ4" i="4" s="1"/>
  <c r="DA4" i="4" s="1"/>
  <c r="DB4" i="4" s="1"/>
  <c r="DC4" i="4" s="1"/>
  <c r="DD4" i="4" s="1"/>
  <c r="DE4" i="4" s="1"/>
  <c r="DF4" i="4" s="1"/>
  <c r="DG4" i="4" s="1"/>
  <c r="DH4" i="4" s="1"/>
  <c r="DI4" i="4" s="1"/>
  <c r="DJ4" i="4" s="1"/>
  <c r="DK4" i="4" s="1"/>
  <c r="DL4" i="4" s="1"/>
  <c r="DM4" i="4" s="1"/>
  <c r="DN4" i="4" s="1"/>
  <c r="DO4" i="4" s="1"/>
  <c r="DP4" i="4" s="1"/>
  <c r="DQ4" i="4" s="1"/>
  <c r="DR4" i="4" s="1"/>
  <c r="DS4" i="4" s="1"/>
  <c r="DT4" i="4" s="1"/>
  <c r="DU4" i="4" s="1"/>
  <c r="DV4" i="4" s="1"/>
  <c r="DW4" i="4" s="1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BA3" i="5"/>
  <c r="R17" i="9" l="1"/>
  <c r="W17" i="9"/>
  <c r="AA16" i="9"/>
  <c r="AW16" i="9" s="1"/>
  <c r="AB16" i="9"/>
  <c r="AD16" i="9"/>
  <c r="AC17" i="9"/>
  <c r="AV17" i="9" s="1"/>
  <c r="Z17" i="9"/>
  <c r="P16" i="9"/>
  <c r="V16" i="9"/>
  <c r="AE16" i="9" s="1"/>
  <c r="AU16" i="9" s="1"/>
  <c r="I16" i="9"/>
  <c r="D19" i="9"/>
  <c r="K19" i="9" s="1"/>
  <c r="F19" i="9"/>
  <c r="M19" i="9" s="1"/>
  <c r="G19" i="9"/>
  <c r="N19" i="9" s="1"/>
  <c r="E19" i="9"/>
  <c r="L19" i="9" s="1"/>
  <c r="H19" i="9"/>
  <c r="O19" i="9" s="1"/>
  <c r="T18" i="9"/>
  <c r="X18" i="9" s="1"/>
  <c r="S18" i="9"/>
  <c r="C21" i="9"/>
  <c r="B20" i="9"/>
  <c r="AZ3" i="5"/>
  <c r="E3" i="8"/>
  <c r="P3" i="8" s="1"/>
  <c r="Y6" i="6"/>
  <c r="AF6" i="6" s="1"/>
  <c r="X6" i="6"/>
  <c r="AE6" i="6" s="1"/>
  <c r="W6" i="6"/>
  <c r="AD6" i="6" s="1"/>
  <c r="V6" i="6"/>
  <c r="AC6" i="6" s="1"/>
  <c r="C8" i="6"/>
  <c r="B7" i="6"/>
  <c r="B4" i="7"/>
  <c r="C6" i="7"/>
  <c r="G1" i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F1" i="1"/>
  <c r="C4" i="5"/>
  <c r="B3" i="5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E3" i="1" a="1"/>
  <c r="Z18" i="9" l="1"/>
  <c r="AC18" i="9"/>
  <c r="AV18" i="9" s="1"/>
  <c r="AD17" i="9"/>
  <c r="AB17" i="9"/>
  <c r="AA17" i="9"/>
  <c r="AW17" i="9" s="1"/>
  <c r="R18" i="9"/>
  <c r="W18" i="9"/>
  <c r="P17" i="9"/>
  <c r="I17" i="9"/>
  <c r="V17" i="9"/>
  <c r="AE17" i="9" s="1"/>
  <c r="AU17" i="9" s="1"/>
  <c r="H20" i="9"/>
  <c r="O20" i="9" s="1"/>
  <c r="E20" i="9"/>
  <c r="L20" i="9" s="1"/>
  <c r="D20" i="9"/>
  <c r="K20" i="9" s="1"/>
  <c r="G20" i="9"/>
  <c r="N20" i="9" s="1"/>
  <c r="F20" i="9"/>
  <c r="M20" i="9" s="1"/>
  <c r="S19" i="9"/>
  <c r="T19" i="9"/>
  <c r="X19" i="9" s="1"/>
  <c r="C22" i="9"/>
  <c r="B21" i="9"/>
  <c r="Y7" i="6"/>
  <c r="AF7" i="6" s="1"/>
  <c r="X7" i="6"/>
  <c r="AE7" i="6" s="1"/>
  <c r="W7" i="6"/>
  <c r="AD7" i="6" s="1"/>
  <c r="V7" i="6"/>
  <c r="AC7" i="6" s="1"/>
  <c r="AP3" i="5"/>
  <c r="AS3" i="5"/>
  <c r="AR3" i="5"/>
  <c r="AQ3" i="5"/>
  <c r="C9" i="6"/>
  <c r="B8" i="6"/>
  <c r="B6" i="7"/>
  <c r="C7" i="7"/>
  <c r="B4" i="5"/>
  <c r="AS4" i="5" s="1"/>
  <c r="BA4" i="5"/>
  <c r="C5" i="5"/>
  <c r="E3" i="1"/>
  <c r="AA18" i="9" l="1"/>
  <c r="AW18" i="9" s="1"/>
  <c r="AD18" i="9"/>
  <c r="AB18" i="9"/>
  <c r="P18" i="9"/>
  <c r="I18" i="9"/>
  <c r="V18" i="9"/>
  <c r="AE18" i="9" s="1"/>
  <c r="AU18" i="9" s="1"/>
  <c r="AC19" i="9"/>
  <c r="AV19" i="9" s="1"/>
  <c r="Z19" i="9"/>
  <c r="R19" i="9"/>
  <c r="W19" i="9"/>
  <c r="S20" i="9"/>
  <c r="G21" i="9"/>
  <c r="N21" i="9" s="1"/>
  <c r="H21" i="9"/>
  <c r="O21" i="9" s="1"/>
  <c r="E21" i="9"/>
  <c r="L21" i="9" s="1"/>
  <c r="D21" i="9"/>
  <c r="K21" i="9" s="1"/>
  <c r="F21" i="9"/>
  <c r="M21" i="9" s="1"/>
  <c r="T20" i="9"/>
  <c r="X20" i="9" s="1"/>
  <c r="C23" i="9"/>
  <c r="B22" i="9"/>
  <c r="AZ4" i="5"/>
  <c r="E4" i="8"/>
  <c r="P4" i="8" s="1"/>
  <c r="W8" i="6"/>
  <c r="AD8" i="6" s="1"/>
  <c r="V8" i="6"/>
  <c r="AC8" i="6" s="1"/>
  <c r="X8" i="6"/>
  <c r="AE8" i="6" s="1"/>
  <c r="Y8" i="6"/>
  <c r="AF8" i="6" s="1"/>
  <c r="AP4" i="5"/>
  <c r="AR4" i="5"/>
  <c r="AQ4" i="5"/>
  <c r="B9" i="6"/>
  <c r="C10" i="6"/>
  <c r="C8" i="7"/>
  <c r="B7" i="7"/>
  <c r="C6" i="5"/>
  <c r="BA6" i="5" s="1"/>
  <c r="BA5" i="5"/>
  <c r="B5" i="5"/>
  <c r="AS5" i="5" s="1"/>
  <c r="C3" i="4"/>
  <c r="C4" i="4" s="1"/>
  <c r="C1" i="1"/>
  <c r="BK5" i="4" a="1"/>
  <c r="CR5" i="4" a="1"/>
  <c r="Q5" i="4" a="1"/>
  <c r="L5" i="4" a="1"/>
  <c r="BG3" i="1" a="1"/>
  <c r="W5" i="4" a="1"/>
  <c r="W3" i="1" a="1"/>
  <c r="I3" i="1" a="1"/>
  <c r="N3" i="1" a="1"/>
  <c r="AQ3" i="1" a="1"/>
  <c r="AE3" i="1" a="1"/>
  <c r="AY5" i="4" a="1"/>
  <c r="Z5" i="4" a="1"/>
  <c r="BW5" i="4" a="1"/>
  <c r="BY5" i="4" a="1"/>
  <c r="DK5" i="4" a="1"/>
  <c r="AX3" i="1" a="1"/>
  <c r="AF5" i="4" a="1"/>
  <c r="G3" i="1" a="1"/>
  <c r="G5" i="4" a="1"/>
  <c r="AG5" i="4" a="1"/>
  <c r="AX5" i="4" a="1"/>
  <c r="AS5" i="4" a="1"/>
  <c r="AS3" i="1" a="1"/>
  <c r="DL5" i="4" a="1"/>
  <c r="AO3" i="1" a="1"/>
  <c r="BO5" i="4" a="1"/>
  <c r="AT3" i="1" a="1"/>
  <c r="AQ5" i="4" a="1"/>
  <c r="V3" i="1" a="1"/>
  <c r="BA3" i="1" a="1"/>
  <c r="CD5" i="4" a="1"/>
  <c r="DE5" i="4" a="1"/>
  <c r="BV5" i="4" a="1"/>
  <c r="AK5" i="4" a="1"/>
  <c r="BM3" i="1" a="1"/>
  <c r="N5" i="4" a="1"/>
  <c r="CI5" i="4" a="1"/>
  <c r="AN5" i="4" a="1"/>
  <c r="AA3" i="1" a="1"/>
  <c r="DM5" i="4" a="1"/>
  <c r="CZ5" i="4" a="1"/>
  <c r="DJ5" i="4" a="1"/>
  <c r="DO5" i="4" a="1"/>
  <c r="DS5" i="4" a="1"/>
  <c r="CN5" i="4" a="1"/>
  <c r="AB3" i="1" a="1"/>
  <c r="R5" i="4" a="1"/>
  <c r="L3" i="1" a="1"/>
  <c r="CW5" i="4" a="1"/>
  <c r="BF5" i="4" a="1"/>
  <c r="O5" i="4" a="1"/>
  <c r="DV5" i="4" a="1"/>
  <c r="BU5" i="4" a="1"/>
  <c r="BF3" i="1" a="1"/>
  <c r="BE5" i="4" a="1"/>
  <c r="AC5" i="4" a="1"/>
  <c r="AL5" i="4" a="1"/>
  <c r="DB5" i="4" a="1"/>
  <c r="DG5" i="4" a="1"/>
  <c r="CO5" i="4" a="1"/>
  <c r="CT5" i="4" a="1"/>
  <c r="CU5" i="4" a="1"/>
  <c r="DF5" i="4" a="1"/>
  <c r="CV5" i="4" a="1"/>
  <c r="J3" i="1" a="1"/>
  <c r="DA5" i="4" a="1"/>
  <c r="CJ5" i="4" a="1"/>
  <c r="AM3" i="1" a="1"/>
  <c r="AU5" i="4" a="1"/>
  <c r="AH5" i="4" a="1"/>
  <c r="AP3" i="1" a="1"/>
  <c r="V5" i="4" a="1"/>
  <c r="CX5" i="4" a="1"/>
  <c r="P3" i="1" a="1"/>
  <c r="DQ5" i="4" a="1"/>
  <c r="BQ5" i="4" a="1"/>
  <c r="AN3" i="1" a="1"/>
  <c r="AH3" i="1" a="1"/>
  <c r="AP5" i="4" a="1"/>
  <c r="CQ5" i="4" a="1"/>
  <c r="M5" i="4" a="1"/>
  <c r="AE5" i="4" a="1"/>
  <c r="BR5" i="4" a="1"/>
  <c r="BD5" i="4" a="1"/>
  <c r="DU5" i="4" a="1"/>
  <c r="U3" i="1" a="1"/>
  <c r="BI5" i="4" a="1"/>
  <c r="DW5" i="4" a="1"/>
  <c r="T5" i="4" a="1"/>
  <c r="BA5" i="4" a="1"/>
  <c r="AB5" i="4" a="1"/>
  <c r="AO5" i="4" a="1"/>
  <c r="BC5" i="4" a="1"/>
  <c r="X5" i="4" a="1"/>
  <c r="BC3" i="1" a="1"/>
  <c r="CE5" i="4" a="1"/>
  <c r="CK5" i="4" a="1"/>
  <c r="DH5" i="4" a="1"/>
  <c r="Y5" i="4" a="1"/>
  <c r="CA5" i="4" a="1"/>
  <c r="K3" i="1" a="1"/>
  <c r="AA5" i="4" a="1"/>
  <c r="DN5" i="4" a="1"/>
  <c r="H5" i="4" a="1"/>
  <c r="AG3" i="1" a="1"/>
  <c r="BX5" i="4" a="1"/>
  <c r="DD5" i="4" a="1"/>
  <c r="R3" i="1" a="1"/>
  <c r="DC5" i="4" a="1"/>
  <c r="AW3" i="1" a="1"/>
  <c r="S5" i="4" a="1"/>
  <c r="DI5" i="4" a="1"/>
  <c r="DT5" i="4" a="1"/>
  <c r="AT5" i="4" a="1"/>
  <c r="AR5" i="4" a="1"/>
  <c r="BS5" i="4" a="1"/>
  <c r="CH5" i="4" a="1"/>
  <c r="BL3" i="1" a="1"/>
  <c r="AJ5" i="4" a="1"/>
  <c r="DP5" i="4" a="1"/>
  <c r="AC3" i="1" a="1"/>
  <c r="AV3" i="1" a="1"/>
  <c r="U5" i="4" a="1"/>
  <c r="CM5" i="4" a="1"/>
  <c r="S3" i="1" a="1"/>
  <c r="AL3" i="1" a="1"/>
  <c r="Z3" i="1" a="1"/>
  <c r="BT5" i="4" a="1"/>
  <c r="BJ5" i="4" a="1"/>
  <c r="AY3" i="1" a="1"/>
  <c r="BE3" i="1" a="1"/>
  <c r="X3" i="1" a="1"/>
  <c r="F3" i="1" a="1"/>
  <c r="F5" i="4" a="1"/>
  <c r="CF5" i="4" a="1"/>
  <c r="CY5" i="4" a="1"/>
  <c r="O3" i="1" a="1"/>
  <c r="AU3" i="1" a="1"/>
  <c r="CC5" i="4" a="1"/>
  <c r="J5" i="4" a="1"/>
  <c r="CS5" i="4" a="1"/>
  <c r="BB3" i="1" a="1"/>
  <c r="BP5" i="4" a="1"/>
  <c r="CB5" i="4" a="1"/>
  <c r="CP5" i="4" a="1"/>
  <c r="BN5" i="4" a="1"/>
  <c r="BH3" i="1" a="1"/>
  <c r="BD3" i="1" a="1"/>
  <c r="AV5" i="4" a="1"/>
  <c r="BJ3" i="1" a="1"/>
  <c r="AW5" i="4" a="1"/>
  <c r="AD3" i="1" a="1"/>
  <c r="DR5" i="4" a="1"/>
  <c r="BZ5" i="4" a="1"/>
  <c r="BI3" i="1" a="1"/>
  <c r="I5" i="4" a="1"/>
  <c r="BM5" i="4" a="1"/>
  <c r="Q3" i="1" a="1"/>
  <c r="BN3" i="1" a="1"/>
  <c r="H3" i="1" a="1"/>
  <c r="AF3" i="1" a="1"/>
  <c r="AI5" i="4" a="1"/>
  <c r="M3" i="1" a="1"/>
  <c r="AD5" i="4" a="1"/>
  <c r="AK3" i="1" a="1"/>
  <c r="BG5" i="4" a="1"/>
  <c r="BK3" i="1" a="1"/>
  <c r="AZ3" i="1" a="1"/>
  <c r="T3" i="1" a="1"/>
  <c r="CL5" i="4" a="1"/>
  <c r="BH5" i="4" a="1"/>
  <c r="AZ5" i="4" a="1"/>
  <c r="CG5" i="4" a="1"/>
  <c r="Y3" i="1" a="1"/>
  <c r="BB5" i="4" a="1"/>
  <c r="AJ3" i="1" a="1"/>
  <c r="AM5" i="4" a="1"/>
  <c r="AI3" i="1" a="1"/>
  <c r="P5" i="4" a="1"/>
  <c r="AR3" i="1" a="1"/>
  <c r="BL5" i="4" a="1"/>
  <c r="K5" i="4" a="1"/>
  <c r="P19" i="9" l="1"/>
  <c r="V19" i="9"/>
  <c r="AE19" i="9" s="1"/>
  <c r="AU19" i="9" s="1"/>
  <c r="I19" i="9"/>
  <c r="R20" i="9"/>
  <c r="W20" i="9"/>
  <c r="Z20" i="9"/>
  <c r="AC20" i="9"/>
  <c r="AV20" i="9" s="1"/>
  <c r="AD19" i="9"/>
  <c r="AB19" i="9"/>
  <c r="AA19" i="9"/>
  <c r="AW19" i="9" s="1"/>
  <c r="S21" i="9"/>
  <c r="G22" i="9"/>
  <c r="D22" i="9"/>
  <c r="H22" i="9"/>
  <c r="E22" i="9"/>
  <c r="F22" i="9"/>
  <c r="T21" i="9"/>
  <c r="X21" i="9" s="1"/>
  <c r="B23" i="9"/>
  <c r="C24" i="9"/>
  <c r="AZ5" i="5"/>
  <c r="E5" i="8"/>
  <c r="P5" i="8" s="1"/>
  <c r="AZ6" i="5"/>
  <c r="E6" i="8"/>
  <c r="P6" i="8" s="1"/>
  <c r="C2" i="1"/>
  <c r="M5" i="7" s="1"/>
  <c r="Y9" i="6"/>
  <c r="AF9" i="6" s="1"/>
  <c r="X9" i="6"/>
  <c r="AE9" i="6" s="1"/>
  <c r="W9" i="6"/>
  <c r="AD9" i="6" s="1"/>
  <c r="V9" i="6"/>
  <c r="AC9" i="6" s="1"/>
  <c r="AP5" i="5"/>
  <c r="AR5" i="5"/>
  <c r="AQ5" i="5"/>
  <c r="C11" i="6"/>
  <c r="B10" i="6"/>
  <c r="C9" i="7"/>
  <c r="B8" i="7"/>
  <c r="C7" i="5"/>
  <c r="BA7" i="5" s="1"/>
  <c r="B6" i="5"/>
  <c r="AS6" i="5" s="1"/>
  <c r="M3" i="1"/>
  <c r="CZ5" i="4"/>
  <c r="BU5" i="4"/>
  <c r="BZ5" i="4"/>
  <c r="AA3" i="1"/>
  <c r="BJ5" i="4"/>
  <c r="Z3" i="1"/>
  <c r="R5" i="4"/>
  <c r="BM3" i="1"/>
  <c r="AQ5" i="4"/>
  <c r="Y5" i="4"/>
  <c r="AO3" i="1"/>
  <c r="DK5" i="4"/>
  <c r="CD5" i="4"/>
  <c r="V5" i="4"/>
  <c r="AT3" i="1"/>
  <c r="BH3" i="1"/>
  <c r="AP5" i="4"/>
  <c r="N3" i="1"/>
  <c r="H3" i="1"/>
  <c r="CX5" i="4"/>
  <c r="AB5" i="4"/>
  <c r="AS5" i="4"/>
  <c r="AI3" i="1"/>
  <c r="BG5" i="4"/>
  <c r="AQ3" i="1"/>
  <c r="AT5" i="4"/>
  <c r="AD5" i="4"/>
  <c r="DD5" i="4"/>
  <c r="Y3" i="1"/>
  <c r="BB5" i="4"/>
  <c r="I3" i="1"/>
  <c r="DE5" i="4"/>
  <c r="AC5" i="4"/>
  <c r="CF5" i="4"/>
  <c r="BT5" i="4"/>
  <c r="P3" i="1"/>
  <c r="G3" i="1"/>
  <c r="K5" i="4"/>
  <c r="BM5" i="4"/>
  <c r="AM5" i="4"/>
  <c r="AP3" i="1"/>
  <c r="G5" i="4"/>
  <c r="DU5" i="4"/>
  <c r="AN3" i="1"/>
  <c r="BQ5" i="4"/>
  <c r="CA5" i="4"/>
  <c r="CY5" i="4"/>
  <c r="I5" i="4"/>
  <c r="BH5" i="4"/>
  <c r="DQ5" i="4"/>
  <c r="BP5" i="4"/>
  <c r="AR3" i="1"/>
  <c r="DM5" i="4"/>
  <c r="O3" i="1"/>
  <c r="AU3" i="1"/>
  <c r="BG3" i="1"/>
  <c r="AC3" i="1"/>
  <c r="H5" i="4"/>
  <c r="BI3" i="1"/>
  <c r="AN5" i="4"/>
  <c r="CE5" i="4"/>
  <c r="DC5" i="4"/>
  <c r="N5" i="4"/>
  <c r="T5" i="4"/>
  <c r="CH5" i="4"/>
  <c r="AW3" i="1"/>
  <c r="R3" i="1"/>
  <c r="AG3" i="1"/>
  <c r="BB3" i="1"/>
  <c r="CU5" i="4"/>
  <c r="DR5" i="4"/>
  <c r="BW5" i="4"/>
  <c r="CR5" i="4"/>
  <c r="BD5" i="4"/>
  <c r="AW5" i="4"/>
  <c r="F3" i="1"/>
  <c r="CP5" i="4"/>
  <c r="BD3" i="1"/>
  <c r="S3" i="1"/>
  <c r="BN5" i="4"/>
  <c r="CJ5" i="4"/>
  <c r="AY5" i="4"/>
  <c r="CN5" i="4"/>
  <c r="V3" i="1"/>
  <c r="AL5" i="4"/>
  <c r="AX3" i="1"/>
  <c r="J3" i="1"/>
  <c r="BE5" i="4"/>
  <c r="AK5" i="4"/>
  <c r="CG5" i="4"/>
  <c r="J5" i="4"/>
  <c r="AB3" i="1"/>
  <c r="CI5" i="4"/>
  <c r="AF5" i="4"/>
  <c r="U5" i="4"/>
  <c r="AR5" i="4"/>
  <c r="AH5" i="4"/>
  <c r="DH5" i="4"/>
  <c r="BO5" i="4"/>
  <c r="BX5" i="4"/>
  <c r="AF3" i="1"/>
  <c r="CT5" i="4"/>
  <c r="DJ5" i="4"/>
  <c r="DP5" i="4"/>
  <c r="Q5" i="4"/>
  <c r="DS5" i="4"/>
  <c r="DB5" i="4"/>
  <c r="BK5" i="4"/>
  <c r="BA3" i="1"/>
  <c r="AJ3" i="1"/>
  <c r="CQ5" i="4"/>
  <c r="AV3" i="1"/>
  <c r="BK3" i="1"/>
  <c r="DG5" i="4"/>
  <c r="AL3" i="1"/>
  <c r="DV5" i="4"/>
  <c r="AU5" i="4"/>
  <c r="DO5" i="4"/>
  <c r="AS3" i="1"/>
  <c r="CO5" i="4"/>
  <c r="AA5" i="4"/>
  <c r="W3" i="1"/>
  <c r="AK3" i="1"/>
  <c r="BS5" i="4"/>
  <c r="AX5" i="4"/>
  <c r="BC3" i="1"/>
  <c r="L5" i="4"/>
  <c r="BF5" i="4"/>
  <c r="DW5" i="4"/>
  <c r="CK5" i="4"/>
  <c r="DN5" i="4"/>
  <c r="AI5" i="4"/>
  <c r="BL3" i="1"/>
  <c r="X3" i="1"/>
  <c r="AM3" i="1"/>
  <c r="BR5" i="4"/>
  <c r="CW5" i="4"/>
  <c r="BJ3" i="1"/>
  <c r="S5" i="4"/>
  <c r="DT5" i="4"/>
  <c r="BE3" i="1"/>
  <c r="BF3" i="1"/>
  <c r="CL5" i="4"/>
  <c r="BN3" i="1"/>
  <c r="O5" i="4"/>
  <c r="T3" i="1"/>
  <c r="AD3" i="1"/>
  <c r="K3" i="1"/>
  <c r="Q3" i="1"/>
  <c r="X5" i="4"/>
  <c r="DI5" i="4"/>
  <c r="CB5" i="4"/>
  <c r="BA5" i="4"/>
  <c r="BL5" i="4"/>
  <c r="AJ5" i="4"/>
  <c r="DL5" i="4"/>
  <c r="Z5" i="4"/>
  <c r="CS5" i="4"/>
  <c r="BY5" i="4"/>
  <c r="BC5" i="4"/>
  <c r="M5" i="4"/>
  <c r="AV5" i="4"/>
  <c r="AZ3" i="1"/>
  <c r="AY3" i="1"/>
  <c r="U3" i="1"/>
  <c r="AE3" i="1"/>
  <c r="L3" i="1"/>
  <c r="AH3" i="1"/>
  <c r="AE5" i="4"/>
  <c r="AZ5" i="4"/>
  <c r="CC5" i="4"/>
  <c r="CV5" i="4"/>
  <c r="F5" i="4"/>
  <c r="BV5" i="4"/>
  <c r="BI5" i="4"/>
  <c r="AG5" i="4"/>
  <c r="DF5" i="4"/>
  <c r="AO5" i="4"/>
  <c r="DA5" i="4"/>
  <c r="W5" i="4"/>
  <c r="CM5" i="4"/>
  <c r="P5" i="4"/>
  <c r="AA20" i="9" l="1"/>
  <c r="AW20" i="9" s="1"/>
  <c r="AD20" i="9"/>
  <c r="AB20" i="9"/>
  <c r="P20" i="9"/>
  <c r="V20" i="9"/>
  <c r="AE20" i="9" s="1"/>
  <c r="AU20" i="9" s="1"/>
  <c r="I20" i="9"/>
  <c r="R21" i="9"/>
  <c r="W21" i="9"/>
  <c r="Z21" i="9"/>
  <c r="AC21" i="9"/>
  <c r="AV21" i="9" s="1"/>
  <c r="M22" i="9"/>
  <c r="L22" i="9"/>
  <c r="O22" i="9"/>
  <c r="K22" i="9"/>
  <c r="N22" i="9"/>
  <c r="T22" i="9" s="1"/>
  <c r="X22" i="9" s="1"/>
  <c r="C25" i="9"/>
  <c r="B24" i="9"/>
  <c r="C8" i="5"/>
  <c r="BA8" i="5" s="1"/>
  <c r="AZ8" i="5" s="1"/>
  <c r="AZ7" i="5"/>
  <c r="E7" i="8"/>
  <c r="P7" i="8" s="1"/>
  <c r="V10" i="6"/>
  <c r="AC10" i="6" s="1"/>
  <c r="Y10" i="6"/>
  <c r="AF10" i="6" s="1"/>
  <c r="X10" i="6"/>
  <c r="AE10" i="6" s="1"/>
  <c r="W10" i="6"/>
  <c r="AD10" i="6" s="1"/>
  <c r="AD21" i="9" l="1"/>
  <c r="AB21" i="9"/>
  <c r="AA21" i="9"/>
  <c r="AW21" i="9" s="1"/>
  <c r="P21" i="9"/>
  <c r="V21" i="9"/>
  <c r="AE21" i="9" s="1"/>
  <c r="AU21" i="9" s="1"/>
  <c r="I21" i="9"/>
  <c r="AC22" i="9"/>
  <c r="AV22" i="9" s="1"/>
  <c r="Z22" i="9"/>
  <c r="H24" i="9"/>
  <c r="E24" i="9"/>
  <c r="F24" i="9"/>
  <c r="G24" i="9"/>
  <c r="D24" i="9"/>
  <c r="S22" i="9"/>
  <c r="C26" i="9"/>
  <c r="B25" i="9"/>
  <c r="E8" i="8"/>
  <c r="P8" i="8" s="1"/>
  <c r="AP6" i="5"/>
  <c r="AR6" i="5"/>
  <c r="AQ6" i="5"/>
  <c r="D3" i="6"/>
  <c r="H3" i="6" s="1"/>
  <c r="D6" i="6"/>
  <c r="H6" i="6" s="1"/>
  <c r="D5" i="6"/>
  <c r="H5" i="6" s="1"/>
  <c r="D4" i="6"/>
  <c r="H4" i="6" s="1"/>
  <c r="C12" i="6"/>
  <c r="B11" i="6"/>
  <c r="L7" i="7"/>
  <c r="M6" i="7"/>
  <c r="J5" i="7"/>
  <c r="K4" i="7"/>
  <c r="I5" i="7"/>
  <c r="I4" i="7"/>
  <c r="M4" i="7"/>
  <c r="J4" i="7"/>
  <c r="K6" i="7"/>
  <c r="N5" i="7"/>
  <c r="I6" i="7"/>
  <c r="L6" i="7"/>
  <c r="L4" i="7"/>
  <c r="J6" i="7"/>
  <c r="N6" i="7"/>
  <c r="K5" i="7"/>
  <c r="N4" i="7"/>
  <c r="N3" i="7"/>
  <c r="M3" i="7"/>
  <c r="K3" i="7"/>
  <c r="J3" i="7"/>
  <c r="H6" i="7"/>
  <c r="I3" i="7"/>
  <c r="H5" i="7"/>
  <c r="H3" i="7"/>
  <c r="H4" i="7"/>
  <c r="G4" i="7"/>
  <c r="G6" i="7"/>
  <c r="G5" i="7"/>
  <c r="F6" i="7"/>
  <c r="AO6" i="9" s="1"/>
  <c r="G3" i="7"/>
  <c r="F5" i="7"/>
  <c r="AO5" i="9" s="1"/>
  <c r="F4" i="7"/>
  <c r="AO4" i="9" s="1"/>
  <c r="F3" i="7"/>
  <c r="AO3" i="9" s="1"/>
  <c r="BK3" i="9" s="1"/>
  <c r="E3" i="7"/>
  <c r="AN3" i="9" s="1"/>
  <c r="D5" i="7"/>
  <c r="AM5" i="9" s="1"/>
  <c r="E4" i="7"/>
  <c r="AN4" i="9" s="1"/>
  <c r="D6" i="7"/>
  <c r="AM6" i="9" s="1"/>
  <c r="E6" i="7"/>
  <c r="AN6" i="9" s="1"/>
  <c r="E5" i="7"/>
  <c r="AN5" i="9" s="1"/>
  <c r="D4" i="7"/>
  <c r="AM4" i="9" s="1"/>
  <c r="D3" i="7"/>
  <c r="AM3" i="9" s="1"/>
  <c r="B9" i="7"/>
  <c r="C10" i="7"/>
  <c r="B7" i="5"/>
  <c r="G7" i="7" s="1"/>
  <c r="AA4" i="5"/>
  <c r="R4" i="8" s="1"/>
  <c r="AB4" i="5"/>
  <c r="AH4" i="9" s="1"/>
  <c r="AF5" i="5"/>
  <c r="AC6" i="5"/>
  <c r="AI6" i="9" s="1"/>
  <c r="AA5" i="5"/>
  <c r="R5" i="8" s="1"/>
  <c r="AB5" i="5"/>
  <c r="AH5" i="9" s="1"/>
  <c r="AG3" i="5"/>
  <c r="AX3" i="5" s="1"/>
  <c r="J3" i="8" s="1"/>
  <c r="AG6" i="5"/>
  <c r="AX6" i="5" s="1"/>
  <c r="J6" i="8" s="1"/>
  <c r="AH6" i="5"/>
  <c r="AY6" i="5" s="1"/>
  <c r="K6" i="8" s="1"/>
  <c r="AE5" i="5"/>
  <c r="AC5" i="5"/>
  <c r="AI5" i="9" s="1"/>
  <c r="AI3" i="5"/>
  <c r="AI6" i="5"/>
  <c r="S5" i="5"/>
  <c r="AI5" i="5"/>
  <c r="AD5" i="5"/>
  <c r="AJ5" i="9" s="1"/>
  <c r="AH5" i="5"/>
  <c r="AY5" i="5" s="1"/>
  <c r="K5" i="8" s="1"/>
  <c r="AF3" i="5"/>
  <c r="AC4" i="5"/>
  <c r="AI4" i="9" s="1"/>
  <c r="AD3" i="5"/>
  <c r="AJ3" i="9" s="1"/>
  <c r="AF6" i="5"/>
  <c r="AE6" i="5"/>
  <c r="AG4" i="5"/>
  <c r="AX4" i="5" s="1"/>
  <c r="J4" i="8" s="1"/>
  <c r="AA3" i="5"/>
  <c r="R3" i="8" s="1"/>
  <c r="AB6" i="5"/>
  <c r="AH6" i="9" s="1"/>
  <c r="AF4" i="5"/>
  <c r="AH3" i="5"/>
  <c r="AY3" i="5" s="1"/>
  <c r="K3" i="8" s="1"/>
  <c r="AI4" i="5"/>
  <c r="AG5" i="5"/>
  <c r="AX5" i="5" s="1"/>
  <c r="J5" i="8" s="1"/>
  <c r="AD6" i="5"/>
  <c r="AJ6" i="9" s="1"/>
  <c r="AE4" i="5"/>
  <c r="AC3" i="5"/>
  <c r="AI3" i="9" s="1"/>
  <c r="AB3" i="5"/>
  <c r="AH3" i="9" s="1"/>
  <c r="AA6" i="5"/>
  <c r="R6" i="8" s="1"/>
  <c r="AH4" i="5"/>
  <c r="AY4" i="5" s="1"/>
  <c r="K4" i="8" s="1"/>
  <c r="AE3" i="5"/>
  <c r="AG7" i="5"/>
  <c r="AD4" i="5"/>
  <c r="AJ4" i="9" s="1"/>
  <c r="U3" i="5"/>
  <c r="R5" i="5"/>
  <c r="T4" i="5"/>
  <c r="R6" i="5"/>
  <c r="S4" i="5"/>
  <c r="U4" i="5"/>
  <c r="U5" i="5"/>
  <c r="S6" i="5"/>
  <c r="T5" i="5"/>
  <c r="R4" i="5"/>
  <c r="U6" i="5"/>
  <c r="T6" i="5"/>
  <c r="S3" i="5"/>
  <c r="T3" i="5"/>
  <c r="R3" i="5"/>
  <c r="L4" i="5"/>
  <c r="Q5" i="5"/>
  <c r="Q6" i="5"/>
  <c r="Q4" i="5"/>
  <c r="Q3" i="5"/>
  <c r="O3" i="5"/>
  <c r="H4" i="5"/>
  <c r="P5" i="5"/>
  <c r="O5" i="5"/>
  <c r="N5" i="5"/>
  <c r="H5" i="5"/>
  <c r="J6" i="5"/>
  <c r="F3" i="5"/>
  <c r="L6" i="5"/>
  <c r="P4" i="5"/>
  <c r="G6" i="5"/>
  <c r="M4" i="5"/>
  <c r="H6" i="5"/>
  <c r="O6" i="5"/>
  <c r="I4" i="5"/>
  <c r="E4" i="5"/>
  <c r="M5" i="5"/>
  <c r="K6" i="5"/>
  <c r="F5" i="5"/>
  <c r="K4" i="5"/>
  <c r="N6" i="5"/>
  <c r="M3" i="5"/>
  <c r="N3" i="5"/>
  <c r="E5" i="5"/>
  <c r="N4" i="5"/>
  <c r="J5" i="5"/>
  <c r="F6" i="5"/>
  <c r="G5" i="5"/>
  <c r="K3" i="5"/>
  <c r="I6" i="5"/>
  <c r="K5" i="5"/>
  <c r="L5" i="5"/>
  <c r="P6" i="5"/>
  <c r="J4" i="5"/>
  <c r="H3" i="5"/>
  <c r="F4" i="5"/>
  <c r="O4" i="5"/>
  <c r="I5" i="5"/>
  <c r="J3" i="5"/>
  <c r="M6" i="5"/>
  <c r="E6" i="5"/>
  <c r="G4" i="5"/>
  <c r="L3" i="5"/>
  <c r="G3" i="5"/>
  <c r="I3" i="5"/>
  <c r="P3" i="5"/>
  <c r="D6" i="5"/>
  <c r="D4" i="5"/>
  <c r="E3" i="5"/>
  <c r="D5" i="5"/>
  <c r="D3" i="5"/>
  <c r="C9" i="5"/>
  <c r="BA9" i="5" s="1"/>
  <c r="B8" i="5"/>
  <c r="BI4" i="9" l="1"/>
  <c r="BK5" i="9"/>
  <c r="BJ6" i="9"/>
  <c r="BI6" i="9"/>
  <c r="BI5" i="9"/>
  <c r="BJ5" i="9"/>
  <c r="BJ4" i="9"/>
  <c r="BK4" i="9"/>
  <c r="BK6" i="9"/>
  <c r="BJ3" i="9"/>
  <c r="BI3" i="9"/>
  <c r="BE3" i="9"/>
  <c r="BD3" i="9"/>
  <c r="BC3" i="9"/>
  <c r="BE4" i="9"/>
  <c r="BE5" i="9"/>
  <c r="BE6" i="9"/>
  <c r="BD6" i="9"/>
  <c r="BC4" i="9"/>
  <c r="BD5" i="9"/>
  <c r="BD4" i="9"/>
  <c r="BC6" i="9"/>
  <c r="BC5" i="9"/>
  <c r="R22" i="9"/>
  <c r="W22" i="9"/>
  <c r="D25" i="9"/>
  <c r="G25" i="9"/>
  <c r="E25" i="9"/>
  <c r="H25" i="9"/>
  <c r="F25" i="9"/>
  <c r="K24" i="9"/>
  <c r="D23" i="9"/>
  <c r="K23" i="9" s="1"/>
  <c r="N24" i="9"/>
  <c r="T24" i="9" s="1"/>
  <c r="X24" i="9" s="1"/>
  <c r="G23" i="9"/>
  <c r="N23" i="9" s="1"/>
  <c r="T23" i="9" s="1"/>
  <c r="X23" i="9" s="1"/>
  <c r="M24" i="9"/>
  <c r="F23" i="9"/>
  <c r="M23" i="9" s="1"/>
  <c r="L24" i="9"/>
  <c r="E23" i="9"/>
  <c r="L23" i="9" s="1"/>
  <c r="O24" i="9"/>
  <c r="H23" i="9"/>
  <c r="O23" i="9" s="1"/>
  <c r="C27" i="9"/>
  <c r="B26" i="9"/>
  <c r="K7" i="5"/>
  <c r="E7" i="5"/>
  <c r="N7" i="7"/>
  <c r="Q7" i="5"/>
  <c r="AZ9" i="5"/>
  <c r="E9" i="8"/>
  <c r="P9" i="8" s="1"/>
  <c r="P7" i="5"/>
  <c r="L3" i="7"/>
  <c r="L5" i="7"/>
  <c r="Y11" i="6"/>
  <c r="AF11" i="6" s="1"/>
  <c r="X11" i="6"/>
  <c r="AE11" i="6" s="1"/>
  <c r="W11" i="6"/>
  <c r="AD11" i="6" s="1"/>
  <c r="V11" i="6"/>
  <c r="AC11" i="6" s="1"/>
  <c r="N8" i="7"/>
  <c r="AS8" i="5"/>
  <c r="L8" i="7"/>
  <c r="M8" i="7"/>
  <c r="J8" i="7"/>
  <c r="AC7" i="5"/>
  <c r="AI7" i="9" s="1"/>
  <c r="AS7" i="5"/>
  <c r="D7" i="5"/>
  <c r="N7" i="5"/>
  <c r="BG7" i="5" s="1"/>
  <c r="G7" i="5"/>
  <c r="D7" i="6"/>
  <c r="H7" i="6" s="1"/>
  <c r="F7" i="5"/>
  <c r="O7" i="5"/>
  <c r="F7" i="7"/>
  <c r="AO7" i="9" s="1"/>
  <c r="M7" i="7"/>
  <c r="M7" i="5"/>
  <c r="J7" i="7"/>
  <c r="T7" i="5"/>
  <c r="AD7" i="5"/>
  <c r="AJ7" i="9" s="1"/>
  <c r="D7" i="7"/>
  <c r="AM7" i="9" s="1"/>
  <c r="L7" i="5"/>
  <c r="AA7" i="5"/>
  <c r="R7" i="8" s="1"/>
  <c r="S7" i="5"/>
  <c r="I7" i="7"/>
  <c r="AR8" i="5"/>
  <c r="AQ8" i="5"/>
  <c r="K8" i="7"/>
  <c r="E8" i="7"/>
  <c r="AN8" i="9" s="1"/>
  <c r="I8" i="7"/>
  <c r="D8" i="6"/>
  <c r="H8" i="6" s="1"/>
  <c r="F8" i="7"/>
  <c r="AO8" i="9" s="1"/>
  <c r="D8" i="7"/>
  <c r="AM8" i="9" s="1"/>
  <c r="H8" i="7"/>
  <c r="G8" i="7"/>
  <c r="AE7" i="5"/>
  <c r="AP7" i="5"/>
  <c r="AR7" i="5"/>
  <c r="AX7" i="5" s="1"/>
  <c r="J7" i="8" s="1"/>
  <c r="AQ7" i="5"/>
  <c r="H7" i="7"/>
  <c r="AI7" i="5"/>
  <c r="U7" i="5"/>
  <c r="J7" i="5"/>
  <c r="H7" i="5"/>
  <c r="AB7" i="5"/>
  <c r="AH7" i="9" s="1"/>
  <c r="E7" i="7"/>
  <c r="AN7" i="9" s="1"/>
  <c r="R7" i="5"/>
  <c r="I7" i="5"/>
  <c r="AF7" i="5"/>
  <c r="K7" i="7"/>
  <c r="C13" i="6"/>
  <c r="B12" i="6"/>
  <c r="C11" i="7"/>
  <c r="B10" i="7"/>
  <c r="AH7" i="5"/>
  <c r="AA8" i="5"/>
  <c r="R8" i="8" s="1"/>
  <c r="AP8" i="5"/>
  <c r="G8" i="5"/>
  <c r="T8" i="5"/>
  <c r="O8" i="5"/>
  <c r="E8" i="5"/>
  <c r="L8" i="5"/>
  <c r="AE8" i="5"/>
  <c r="I8" i="5"/>
  <c r="AD8" i="5"/>
  <c r="AJ8" i="9" s="1"/>
  <c r="AB8" i="5"/>
  <c r="AH8" i="9" s="1"/>
  <c r="AC8" i="5"/>
  <c r="AI8" i="9" s="1"/>
  <c r="AF8" i="5"/>
  <c r="N8" i="5"/>
  <c r="M8" i="5"/>
  <c r="AH8" i="5"/>
  <c r="AY8" i="5" s="1"/>
  <c r="K8" i="8" s="1"/>
  <c r="AI8" i="5"/>
  <c r="H8" i="5"/>
  <c r="AG8" i="5"/>
  <c r="AX8" i="5" s="1"/>
  <c r="J8" i="8" s="1"/>
  <c r="BG6" i="5"/>
  <c r="BG4" i="5"/>
  <c r="BG5" i="5"/>
  <c r="BG3" i="5"/>
  <c r="BF4" i="5"/>
  <c r="BF6" i="5"/>
  <c r="BF5" i="5"/>
  <c r="BF3" i="5"/>
  <c r="BD6" i="5"/>
  <c r="BD5" i="5"/>
  <c r="BE3" i="5"/>
  <c r="BE5" i="5"/>
  <c r="BE6" i="5"/>
  <c r="BE4" i="5"/>
  <c r="BD4" i="5"/>
  <c r="BC4" i="5"/>
  <c r="BD3" i="5"/>
  <c r="BC6" i="5"/>
  <c r="BC5" i="5"/>
  <c r="BC3" i="5"/>
  <c r="BB6" i="5"/>
  <c r="BB4" i="5"/>
  <c r="BB5" i="5"/>
  <c r="BB3" i="5"/>
  <c r="S8" i="5"/>
  <c r="D8" i="5"/>
  <c r="R8" i="5"/>
  <c r="U8" i="5"/>
  <c r="K8" i="5"/>
  <c r="Q8" i="5"/>
  <c r="J8" i="5"/>
  <c r="F8" i="5"/>
  <c r="P8" i="5"/>
  <c r="C10" i="5"/>
  <c r="BA10" i="5" s="1"/>
  <c r="B9" i="5"/>
  <c r="AS9" i="5" s="1"/>
  <c r="BI8" i="9" l="1"/>
  <c r="BI7" i="9"/>
  <c r="BJ8" i="9"/>
  <c r="BK7" i="9"/>
  <c r="BJ7" i="9"/>
  <c r="BK8" i="9"/>
  <c r="BE7" i="9"/>
  <c r="BD7" i="9"/>
  <c r="BC8" i="9"/>
  <c r="BE8" i="9"/>
  <c r="BD8" i="9"/>
  <c r="BC7" i="9"/>
  <c r="AC23" i="9"/>
  <c r="AV23" i="9" s="1"/>
  <c r="Z23" i="9"/>
  <c r="AC24" i="9"/>
  <c r="AV24" i="9" s="1"/>
  <c r="Z24" i="9"/>
  <c r="S24" i="9"/>
  <c r="AA22" i="9"/>
  <c r="AW22" i="9" s="1"/>
  <c r="AD22" i="9"/>
  <c r="AB22" i="9"/>
  <c r="P22" i="9"/>
  <c r="I22" i="9"/>
  <c r="V22" i="9"/>
  <c r="AE22" i="9" s="1"/>
  <c r="AU22" i="9" s="1"/>
  <c r="O25" i="9"/>
  <c r="L25" i="9"/>
  <c r="M25" i="9"/>
  <c r="N25" i="9"/>
  <c r="S23" i="9"/>
  <c r="K25" i="9"/>
  <c r="C28" i="9"/>
  <c r="B27" i="9"/>
  <c r="BC7" i="5"/>
  <c r="AY7" i="5"/>
  <c r="K7" i="8" s="1"/>
  <c r="AZ10" i="5"/>
  <c r="E10" i="8"/>
  <c r="P10" i="8" s="1"/>
  <c r="X12" i="6"/>
  <c r="AE12" i="6" s="1"/>
  <c r="W12" i="6"/>
  <c r="AD12" i="6" s="1"/>
  <c r="Y12" i="6"/>
  <c r="AF12" i="6" s="1"/>
  <c r="V12" i="6"/>
  <c r="AC12" i="6" s="1"/>
  <c r="R24" i="9" l="1"/>
  <c r="W24" i="9"/>
  <c r="R23" i="9"/>
  <c r="W23" i="9"/>
  <c r="S25" i="9"/>
  <c r="T25" i="9"/>
  <c r="X25" i="9" s="1"/>
  <c r="C29" i="9"/>
  <c r="B28" i="9"/>
  <c r="BE7" i="5"/>
  <c r="BD7" i="5"/>
  <c r="BB7" i="5"/>
  <c r="BF7" i="5"/>
  <c r="AP9" i="5"/>
  <c r="AR9" i="5"/>
  <c r="AQ9" i="5"/>
  <c r="I9" i="7"/>
  <c r="L9" i="7"/>
  <c r="H9" i="7"/>
  <c r="M9" i="7"/>
  <c r="G9" i="7"/>
  <c r="N9" i="7"/>
  <c r="J9" i="7"/>
  <c r="K9" i="7"/>
  <c r="D9" i="6"/>
  <c r="H9" i="6" s="1"/>
  <c r="E9" i="7"/>
  <c r="AN9" i="9" s="1"/>
  <c r="D9" i="7"/>
  <c r="AM9" i="9" s="1"/>
  <c r="F9" i="7"/>
  <c r="AO9" i="9" s="1"/>
  <c r="B13" i="6"/>
  <c r="C14" i="6"/>
  <c r="C12" i="7"/>
  <c r="B11" i="7"/>
  <c r="BH3" i="5"/>
  <c r="BH5" i="5"/>
  <c r="BH6" i="5"/>
  <c r="BH4" i="5"/>
  <c r="BB8" i="5"/>
  <c r="BD8" i="5"/>
  <c r="BG8" i="5"/>
  <c r="BE8" i="5"/>
  <c r="BF8" i="5"/>
  <c r="AC9" i="5"/>
  <c r="AI9" i="9" s="1"/>
  <c r="AI9" i="5"/>
  <c r="AE9" i="5"/>
  <c r="AG9" i="5"/>
  <c r="AX9" i="5" s="1"/>
  <c r="J9" i="8" s="1"/>
  <c r="AD9" i="5"/>
  <c r="AJ9" i="9" s="1"/>
  <c r="AB9" i="5"/>
  <c r="AH9" i="9" s="1"/>
  <c r="AF9" i="5"/>
  <c r="AA9" i="5"/>
  <c r="R9" i="8" s="1"/>
  <c r="AH9" i="5"/>
  <c r="AY9" i="5" s="1"/>
  <c r="K9" i="8" s="1"/>
  <c r="BC8" i="5"/>
  <c r="S9" i="5"/>
  <c r="T9" i="5"/>
  <c r="F9" i="5"/>
  <c r="E9" i="5"/>
  <c r="H9" i="5"/>
  <c r="N9" i="5"/>
  <c r="I9" i="5"/>
  <c r="J9" i="5"/>
  <c r="R9" i="5"/>
  <c r="P9" i="5"/>
  <c r="G9" i="5"/>
  <c r="M9" i="5"/>
  <c r="K9" i="5"/>
  <c r="D9" i="5"/>
  <c r="Q9" i="5"/>
  <c r="L9" i="5"/>
  <c r="O9" i="5"/>
  <c r="U9" i="5"/>
  <c r="C11" i="5"/>
  <c r="BA11" i="5" s="1"/>
  <c r="B10" i="5"/>
  <c r="AS10" i="5" s="1"/>
  <c r="BJ9" i="9" l="1"/>
  <c r="BI9" i="9"/>
  <c r="BK9" i="9"/>
  <c r="BE9" i="9"/>
  <c r="BC9" i="9"/>
  <c r="BD9" i="9"/>
  <c r="AC25" i="9"/>
  <c r="AV25" i="9" s="1"/>
  <c r="Z25" i="9"/>
  <c r="R25" i="9"/>
  <c r="W25" i="9"/>
  <c r="AB23" i="9"/>
  <c r="AA23" i="9"/>
  <c r="AW23" i="9" s="1"/>
  <c r="AD23" i="9"/>
  <c r="P23" i="9"/>
  <c r="I23" i="9"/>
  <c r="V23" i="9"/>
  <c r="AE23" i="9" s="1"/>
  <c r="AU23" i="9" s="1"/>
  <c r="AA24" i="9"/>
  <c r="AW24" i="9" s="1"/>
  <c r="AD24" i="9"/>
  <c r="AB24" i="9"/>
  <c r="P24" i="9"/>
  <c r="I24" i="9"/>
  <c r="V24" i="9"/>
  <c r="AE24" i="9" s="1"/>
  <c r="AU24" i="9" s="1"/>
  <c r="F28" i="9"/>
  <c r="D28" i="9"/>
  <c r="G28" i="9"/>
  <c r="E28" i="9"/>
  <c r="H28" i="9"/>
  <c r="B29" i="9"/>
  <c r="C30" i="9"/>
  <c r="AZ11" i="5"/>
  <c r="E11" i="8"/>
  <c r="P11" i="8" s="1"/>
  <c r="Y13" i="6"/>
  <c r="AF13" i="6" s="1"/>
  <c r="X13" i="6"/>
  <c r="AE13" i="6" s="1"/>
  <c r="W13" i="6"/>
  <c r="AD13" i="6" s="1"/>
  <c r="V13" i="6"/>
  <c r="AC13" i="6" s="1"/>
  <c r="BH7" i="5"/>
  <c r="AP10" i="5"/>
  <c r="AR10" i="5"/>
  <c r="AQ10" i="5"/>
  <c r="D10" i="6"/>
  <c r="H10" i="6" s="1"/>
  <c r="K10" i="7"/>
  <c r="F10" i="7"/>
  <c r="AO10" i="9" s="1"/>
  <c r="J10" i="7"/>
  <c r="I10" i="7"/>
  <c r="D10" i="7"/>
  <c r="AM10" i="9" s="1"/>
  <c r="N10" i="7"/>
  <c r="L10" i="7"/>
  <c r="G10" i="7"/>
  <c r="E10" i="7"/>
  <c r="AN10" i="9" s="1"/>
  <c r="M10" i="7"/>
  <c r="H10" i="7"/>
  <c r="B14" i="6"/>
  <c r="C15" i="6"/>
  <c r="C13" i="7"/>
  <c r="B12" i="7"/>
  <c r="BH8" i="5"/>
  <c r="BC9" i="5"/>
  <c r="BB9" i="5"/>
  <c r="BD9" i="5"/>
  <c r="BG9" i="5"/>
  <c r="BF9" i="5"/>
  <c r="BE9" i="5"/>
  <c r="AE10" i="5"/>
  <c r="AC10" i="5"/>
  <c r="AI10" i="9" s="1"/>
  <c r="AG10" i="5"/>
  <c r="AX10" i="5" s="1"/>
  <c r="J10" i="8" s="1"/>
  <c r="AB10" i="5"/>
  <c r="AH10" i="9" s="1"/>
  <c r="AD10" i="5"/>
  <c r="AJ10" i="9" s="1"/>
  <c r="AF10" i="5"/>
  <c r="AI10" i="5"/>
  <c r="AH10" i="5"/>
  <c r="AY10" i="5" s="1"/>
  <c r="K10" i="8" s="1"/>
  <c r="AA10" i="5"/>
  <c r="R10" i="8" s="1"/>
  <c r="T10" i="5"/>
  <c r="Q10" i="5"/>
  <c r="I10" i="5"/>
  <c r="P10" i="5"/>
  <c r="J10" i="5"/>
  <c r="G10" i="5"/>
  <c r="D10" i="5"/>
  <c r="O10" i="5"/>
  <c r="R10" i="5"/>
  <c r="H10" i="5"/>
  <c r="M10" i="5"/>
  <c r="S10" i="5"/>
  <c r="E10" i="5"/>
  <c r="F10" i="5"/>
  <c r="K10" i="5"/>
  <c r="L10" i="5"/>
  <c r="N10" i="5"/>
  <c r="U10" i="5"/>
  <c r="C12" i="5"/>
  <c r="BA12" i="5" s="1"/>
  <c r="B11" i="5"/>
  <c r="AS11" i="5" s="1"/>
  <c r="BJ10" i="9" l="1"/>
  <c r="BI10" i="9"/>
  <c r="BK10" i="9"/>
  <c r="BD10" i="9"/>
  <c r="BC10" i="9"/>
  <c r="BE10" i="9"/>
  <c r="AD25" i="9"/>
  <c r="AB25" i="9"/>
  <c r="AA25" i="9"/>
  <c r="AW25" i="9" s="1"/>
  <c r="P25" i="9"/>
  <c r="V25" i="9"/>
  <c r="AE25" i="9" s="1"/>
  <c r="AU25" i="9" s="1"/>
  <c r="I25" i="9"/>
  <c r="F29" i="9"/>
  <c r="M29" i="9" s="1"/>
  <c r="G29" i="9"/>
  <c r="N29" i="9" s="1"/>
  <c r="H29" i="9"/>
  <c r="O29" i="9" s="1"/>
  <c r="E29" i="9"/>
  <c r="L29" i="9" s="1"/>
  <c r="D29" i="9"/>
  <c r="K29" i="9" s="1"/>
  <c r="H27" i="9"/>
  <c r="O27" i="9" s="1"/>
  <c r="O28" i="9"/>
  <c r="H26" i="9"/>
  <c r="O26" i="9" s="1"/>
  <c r="L28" i="9"/>
  <c r="E27" i="9"/>
  <c r="L27" i="9" s="1"/>
  <c r="E26" i="9"/>
  <c r="L26" i="9" s="1"/>
  <c r="G27" i="9"/>
  <c r="N27" i="9" s="1"/>
  <c r="N28" i="9"/>
  <c r="G26" i="9"/>
  <c r="N26" i="9" s="1"/>
  <c r="D27" i="9"/>
  <c r="K27" i="9" s="1"/>
  <c r="K28" i="9"/>
  <c r="D26" i="9"/>
  <c r="K26" i="9" s="1"/>
  <c r="F27" i="9"/>
  <c r="M27" i="9" s="1"/>
  <c r="M28" i="9"/>
  <c r="F26" i="9"/>
  <c r="M26" i="9" s="1"/>
  <c r="C31" i="9"/>
  <c r="B30" i="9"/>
  <c r="AZ12" i="5"/>
  <c r="E12" i="8"/>
  <c r="P12" i="8" s="1"/>
  <c r="Y14" i="6"/>
  <c r="AF14" i="6" s="1"/>
  <c r="X14" i="6"/>
  <c r="AE14" i="6" s="1"/>
  <c r="V14" i="6"/>
  <c r="AC14" i="6" s="1"/>
  <c r="W14" i="6"/>
  <c r="AD14" i="6" s="1"/>
  <c r="AP11" i="5"/>
  <c r="AR11" i="5"/>
  <c r="AQ11" i="5"/>
  <c r="K11" i="7"/>
  <c r="F11" i="7"/>
  <c r="AO11" i="9" s="1"/>
  <c r="D11" i="6"/>
  <c r="H11" i="6" s="1"/>
  <c r="H11" i="7"/>
  <c r="J11" i="7"/>
  <c r="E11" i="7"/>
  <c r="AN11" i="9" s="1"/>
  <c r="I11" i="7"/>
  <c r="M11" i="7"/>
  <c r="L11" i="7"/>
  <c r="G11" i="7"/>
  <c r="N11" i="7"/>
  <c r="D11" i="7"/>
  <c r="AM11" i="9" s="1"/>
  <c r="C16" i="6"/>
  <c r="B15" i="6"/>
  <c r="B13" i="7"/>
  <c r="C14" i="7"/>
  <c r="BH9" i="5"/>
  <c r="BG10" i="5"/>
  <c r="BE10" i="5"/>
  <c r="BC10" i="5"/>
  <c r="BD10" i="5"/>
  <c r="BF10" i="5"/>
  <c r="BB10" i="5"/>
  <c r="AF11" i="5"/>
  <c r="AI11" i="5"/>
  <c r="AC11" i="5"/>
  <c r="AI11" i="9" s="1"/>
  <c r="AD11" i="5"/>
  <c r="AJ11" i="9" s="1"/>
  <c r="AE11" i="5"/>
  <c r="AH11" i="5"/>
  <c r="AY11" i="5" s="1"/>
  <c r="K11" i="8" s="1"/>
  <c r="AB11" i="5"/>
  <c r="AH11" i="9" s="1"/>
  <c r="AG11" i="5"/>
  <c r="AA11" i="5"/>
  <c r="R11" i="8" s="1"/>
  <c r="R11" i="5"/>
  <c r="S11" i="5"/>
  <c r="Q11" i="5"/>
  <c r="L11" i="5"/>
  <c r="F11" i="5"/>
  <c r="T11" i="5"/>
  <c r="P11" i="5"/>
  <c r="G11" i="5"/>
  <c r="H11" i="5"/>
  <c r="O11" i="5"/>
  <c r="N11" i="5"/>
  <c r="I11" i="5"/>
  <c r="K11" i="5"/>
  <c r="J11" i="5"/>
  <c r="D11" i="5"/>
  <c r="U11" i="5"/>
  <c r="M11" i="5"/>
  <c r="E11" i="5"/>
  <c r="C13" i="5"/>
  <c r="BA13" i="5" s="1"/>
  <c r="B12" i="5"/>
  <c r="AS12" i="5" s="1"/>
  <c r="BJ11" i="9" l="1"/>
  <c r="BI11" i="9"/>
  <c r="BK11" i="9"/>
  <c r="S28" i="9"/>
  <c r="R28" i="9" s="1"/>
  <c r="S26" i="9"/>
  <c r="R26" i="9" s="1"/>
  <c r="BE11" i="9"/>
  <c r="BD11" i="9"/>
  <c r="BC11" i="9"/>
  <c r="T27" i="9"/>
  <c r="X27" i="9" s="1"/>
  <c r="S27" i="9"/>
  <c r="T28" i="9"/>
  <c r="X28" i="9" s="1"/>
  <c r="G30" i="9"/>
  <c r="H30" i="9"/>
  <c r="E30" i="9"/>
  <c r="D30" i="9"/>
  <c r="F30" i="9"/>
  <c r="S29" i="9"/>
  <c r="T26" i="9"/>
  <c r="X26" i="9" s="1"/>
  <c r="T29" i="9"/>
  <c r="X29" i="9" s="1"/>
  <c r="C32" i="9"/>
  <c r="B31" i="9"/>
  <c r="AZ13" i="5"/>
  <c r="E13" i="8"/>
  <c r="P13" i="8" s="1"/>
  <c r="AX11" i="5"/>
  <c r="J11" i="8" s="1"/>
  <c r="Y15" i="6"/>
  <c r="AF15" i="6" s="1"/>
  <c r="X15" i="6"/>
  <c r="AE15" i="6" s="1"/>
  <c r="W15" i="6"/>
  <c r="AD15" i="6" s="1"/>
  <c r="V15" i="6"/>
  <c r="AC15" i="6" s="1"/>
  <c r="AP12" i="5"/>
  <c r="AR12" i="5"/>
  <c r="AQ12" i="5"/>
  <c r="L12" i="7"/>
  <c r="H12" i="7"/>
  <c r="J12" i="7"/>
  <c r="G12" i="7"/>
  <c r="N12" i="7"/>
  <c r="I12" i="7"/>
  <c r="M12" i="7"/>
  <c r="D12" i="6"/>
  <c r="H12" i="6" s="1"/>
  <c r="D12" i="7"/>
  <c r="AM12" i="9" s="1"/>
  <c r="K12" i="7"/>
  <c r="F12" i="7"/>
  <c r="AO12" i="9" s="1"/>
  <c r="E12" i="7"/>
  <c r="AN12" i="9" s="1"/>
  <c r="C17" i="6"/>
  <c r="B16" i="6"/>
  <c r="B14" i="7"/>
  <c r="C15" i="7"/>
  <c r="BH10" i="5"/>
  <c r="BE11" i="5"/>
  <c r="BG11" i="5"/>
  <c r="AI12" i="5"/>
  <c r="AH12" i="5"/>
  <c r="AY12" i="5" s="1"/>
  <c r="K12" i="8" s="1"/>
  <c r="AA12" i="5"/>
  <c r="R12" i="8" s="1"/>
  <c r="AG12" i="5"/>
  <c r="AX12" i="5" s="1"/>
  <c r="J12" i="8" s="1"/>
  <c r="AD12" i="5"/>
  <c r="AJ12" i="9" s="1"/>
  <c r="AF12" i="5"/>
  <c r="AC12" i="5"/>
  <c r="AI12" i="9" s="1"/>
  <c r="AE12" i="5"/>
  <c r="AB12" i="5"/>
  <c r="AH12" i="9" s="1"/>
  <c r="BD11" i="5"/>
  <c r="BF11" i="5"/>
  <c r="BC11" i="5"/>
  <c r="BB11" i="5"/>
  <c r="AJ3" i="5"/>
  <c r="AW3" i="5" s="1"/>
  <c r="T12" i="5"/>
  <c r="O12" i="5"/>
  <c r="F12" i="5"/>
  <c r="G12" i="5"/>
  <c r="U12" i="5"/>
  <c r="R12" i="5"/>
  <c r="S12" i="5"/>
  <c r="K12" i="5"/>
  <c r="H12" i="5"/>
  <c r="P12" i="5"/>
  <c r="M12" i="5"/>
  <c r="L12" i="5"/>
  <c r="D12" i="5"/>
  <c r="Q12" i="5"/>
  <c r="I12" i="5"/>
  <c r="J12" i="5"/>
  <c r="N12" i="5"/>
  <c r="E12" i="5"/>
  <c r="C14" i="5"/>
  <c r="BA14" i="5" s="1"/>
  <c r="B13" i="5"/>
  <c r="AS13" i="5" s="1"/>
  <c r="BI12" i="9" l="1"/>
  <c r="BJ12" i="9"/>
  <c r="BK12" i="9"/>
  <c r="W28" i="9"/>
  <c r="AA28" i="9" s="1"/>
  <c r="AW28" i="9" s="1"/>
  <c r="W26" i="9"/>
  <c r="AA26" i="9" s="1"/>
  <c r="AW26" i="9" s="1"/>
  <c r="BD12" i="9"/>
  <c r="BC12" i="9"/>
  <c r="BE12" i="9"/>
  <c r="AC28" i="9"/>
  <c r="AV28" i="9" s="1"/>
  <c r="Z28" i="9"/>
  <c r="R27" i="9"/>
  <c r="W27" i="9"/>
  <c r="AB28" i="9"/>
  <c r="P28" i="9"/>
  <c r="V28" i="9"/>
  <c r="AE28" i="9" s="1"/>
  <c r="AU28" i="9" s="1"/>
  <c r="I28" i="9"/>
  <c r="AC29" i="9"/>
  <c r="AV29" i="9" s="1"/>
  <c r="Z29" i="9"/>
  <c r="AC26" i="9"/>
  <c r="AV26" i="9" s="1"/>
  <c r="Z26" i="9"/>
  <c r="P26" i="9"/>
  <c r="I26" i="9"/>
  <c r="V26" i="9"/>
  <c r="AE26" i="9" s="1"/>
  <c r="AU26" i="9" s="1"/>
  <c r="R29" i="9"/>
  <c r="W29" i="9"/>
  <c r="AC27" i="9"/>
  <c r="AV27" i="9" s="1"/>
  <c r="Z27" i="9"/>
  <c r="K30" i="9"/>
  <c r="M30" i="9"/>
  <c r="L30" i="9"/>
  <c r="O30" i="9"/>
  <c r="N30" i="9"/>
  <c r="C33" i="9"/>
  <c r="B32" i="9"/>
  <c r="AZ14" i="5"/>
  <c r="E14" i="8"/>
  <c r="P14" i="8" s="1"/>
  <c r="W16" i="6"/>
  <c r="AD16" i="6" s="1"/>
  <c r="V16" i="6"/>
  <c r="AC16" i="6" s="1"/>
  <c r="Y16" i="6"/>
  <c r="AF16" i="6" s="1"/>
  <c r="X16" i="6"/>
  <c r="AE16" i="6" s="1"/>
  <c r="AP13" i="5"/>
  <c r="AR13" i="5"/>
  <c r="AQ13" i="5"/>
  <c r="D13" i="6"/>
  <c r="H13" i="6" s="1"/>
  <c r="I13" i="7"/>
  <c r="G13" i="7"/>
  <c r="F13" i="7"/>
  <c r="AO13" i="9" s="1"/>
  <c r="N13" i="7"/>
  <c r="K13" i="7"/>
  <c r="M13" i="7"/>
  <c r="D13" i="7"/>
  <c r="AM13" i="9" s="1"/>
  <c r="L13" i="7"/>
  <c r="H13" i="7"/>
  <c r="E13" i="7"/>
  <c r="AN13" i="9" s="1"/>
  <c r="J13" i="7"/>
  <c r="AV3" i="5"/>
  <c r="H3" i="8" s="1"/>
  <c r="B17" i="6"/>
  <c r="C18" i="6"/>
  <c r="C16" i="7"/>
  <c r="B15" i="7"/>
  <c r="AT3" i="5"/>
  <c r="AU3" i="5"/>
  <c r="G3" i="8" s="1"/>
  <c r="BH11" i="5"/>
  <c r="BC12" i="5"/>
  <c r="BG12" i="5"/>
  <c r="BF12" i="5"/>
  <c r="BB12" i="5"/>
  <c r="BE12" i="5"/>
  <c r="AF13" i="5"/>
  <c r="AH13" i="5"/>
  <c r="AY13" i="5" s="1"/>
  <c r="K13" i="8" s="1"/>
  <c r="AG13" i="5"/>
  <c r="AD13" i="5"/>
  <c r="AJ13" i="9" s="1"/>
  <c r="AE13" i="5"/>
  <c r="AB13" i="5"/>
  <c r="AH13" i="9" s="1"/>
  <c r="AC13" i="5"/>
  <c r="AI13" i="9" s="1"/>
  <c r="AI13" i="5"/>
  <c r="AA13" i="5"/>
  <c r="R13" i="8" s="1"/>
  <c r="BD12" i="5"/>
  <c r="AJ4" i="5"/>
  <c r="S13" i="5"/>
  <c r="R13" i="5"/>
  <c r="U13" i="5"/>
  <c r="T13" i="5"/>
  <c r="N13" i="5"/>
  <c r="E13" i="5"/>
  <c r="M13" i="5"/>
  <c r="G13" i="5"/>
  <c r="J13" i="5"/>
  <c r="K13" i="5"/>
  <c r="D13" i="5"/>
  <c r="Q13" i="5"/>
  <c r="L13" i="5"/>
  <c r="F13" i="5"/>
  <c r="P13" i="5"/>
  <c r="O13" i="5"/>
  <c r="H13" i="5"/>
  <c r="I13" i="5"/>
  <c r="C15" i="5"/>
  <c r="BA15" i="5" s="1"/>
  <c r="B14" i="5"/>
  <c r="AS14" i="5" s="1"/>
  <c r="BJ13" i="9" l="1"/>
  <c r="BI13" i="9"/>
  <c r="BK13" i="9"/>
  <c r="AB26" i="9"/>
  <c r="AD28" i="9"/>
  <c r="AD26" i="9"/>
  <c r="T30" i="9"/>
  <c r="X30" i="9" s="1"/>
  <c r="AC30" i="9" s="1"/>
  <c r="AV30" i="9" s="1"/>
  <c r="BE13" i="9"/>
  <c r="BD13" i="9"/>
  <c r="BC13" i="9"/>
  <c r="P29" i="9"/>
  <c r="V29" i="9"/>
  <c r="AE29" i="9" s="1"/>
  <c r="AU29" i="9" s="1"/>
  <c r="I29" i="9"/>
  <c r="AD27" i="9"/>
  <c r="AB27" i="9"/>
  <c r="AA27" i="9"/>
  <c r="AW27" i="9" s="1"/>
  <c r="S30" i="9"/>
  <c r="P27" i="9"/>
  <c r="I27" i="9"/>
  <c r="V27" i="9"/>
  <c r="AE27" i="9" s="1"/>
  <c r="AU27" i="9" s="1"/>
  <c r="AB29" i="9"/>
  <c r="AA29" i="9"/>
  <c r="AW29" i="9" s="1"/>
  <c r="AD29" i="9"/>
  <c r="F32" i="9"/>
  <c r="D32" i="9"/>
  <c r="G32" i="9"/>
  <c r="E32" i="9"/>
  <c r="H32" i="9"/>
  <c r="C34" i="9"/>
  <c r="B33" i="9"/>
  <c r="AZ15" i="5"/>
  <c r="E15" i="8"/>
  <c r="P15" i="8" s="1"/>
  <c r="AX13" i="5"/>
  <c r="J13" i="8" s="1"/>
  <c r="Y17" i="6"/>
  <c r="AF17" i="6" s="1"/>
  <c r="X17" i="6"/>
  <c r="AE17" i="6" s="1"/>
  <c r="V17" i="6"/>
  <c r="AC17" i="6" s="1"/>
  <c r="W17" i="6"/>
  <c r="AD17" i="6" s="1"/>
  <c r="AP14" i="5"/>
  <c r="AR14" i="5"/>
  <c r="AQ14" i="5"/>
  <c r="M14" i="7"/>
  <c r="H14" i="7"/>
  <c r="G14" i="7"/>
  <c r="J14" i="7"/>
  <c r="E14" i="7"/>
  <c r="AN14" i="9" s="1"/>
  <c r="D14" i="6"/>
  <c r="H14" i="6" s="1"/>
  <c r="D14" i="7"/>
  <c r="AM14" i="9" s="1"/>
  <c r="K14" i="7"/>
  <c r="N14" i="7"/>
  <c r="I14" i="7"/>
  <c r="F14" i="7"/>
  <c r="AO14" i="9" s="1"/>
  <c r="L14" i="7"/>
  <c r="AV4" i="5"/>
  <c r="H4" i="8" s="1"/>
  <c r="AW4" i="5"/>
  <c r="B18" i="6"/>
  <c r="C19" i="6"/>
  <c r="C17" i="7"/>
  <c r="B16" i="7"/>
  <c r="AT4" i="5"/>
  <c r="F4" i="8" s="1"/>
  <c r="AU4" i="5"/>
  <c r="G4" i="8" s="1"/>
  <c r="BH12" i="5"/>
  <c r="BG13" i="5"/>
  <c r="BD13" i="5"/>
  <c r="BB13" i="5"/>
  <c r="BE13" i="5"/>
  <c r="BC13" i="5"/>
  <c r="BF13" i="5"/>
  <c r="AA14" i="5"/>
  <c r="R14" i="8" s="1"/>
  <c r="AD14" i="5"/>
  <c r="AJ14" i="9" s="1"/>
  <c r="AC14" i="5"/>
  <c r="AI14" i="9" s="1"/>
  <c r="AH14" i="5"/>
  <c r="AY14" i="5" s="1"/>
  <c r="K14" i="8" s="1"/>
  <c r="AB14" i="5"/>
  <c r="AH14" i="9" s="1"/>
  <c r="AF14" i="5"/>
  <c r="AG14" i="5"/>
  <c r="AI14" i="5"/>
  <c r="AE14" i="5"/>
  <c r="AJ5" i="5"/>
  <c r="T14" i="5"/>
  <c r="S14" i="5"/>
  <c r="N14" i="5"/>
  <c r="I14" i="5"/>
  <c r="J14" i="5"/>
  <c r="Q14" i="5"/>
  <c r="K14" i="5"/>
  <c r="F14" i="5"/>
  <c r="U14" i="5"/>
  <c r="H14" i="5"/>
  <c r="D14" i="5"/>
  <c r="R14" i="5"/>
  <c r="M14" i="5"/>
  <c r="L14" i="5"/>
  <c r="P14" i="5"/>
  <c r="G14" i="5"/>
  <c r="E14" i="5"/>
  <c r="O14" i="5"/>
  <c r="C16" i="5"/>
  <c r="BA16" i="5" s="1"/>
  <c r="B15" i="5"/>
  <c r="AS15" i="5" s="1"/>
  <c r="BI14" i="9" l="1"/>
  <c r="BJ14" i="9"/>
  <c r="BK14" i="9"/>
  <c r="Z30" i="9"/>
  <c r="BE14" i="9"/>
  <c r="BD14" i="9"/>
  <c r="BC14" i="9"/>
  <c r="R30" i="9"/>
  <c r="W30" i="9"/>
  <c r="H33" i="9"/>
  <c r="O33" i="9" s="1"/>
  <c r="E33" i="9"/>
  <c r="L33" i="9" s="1"/>
  <c r="F33" i="9"/>
  <c r="M33" i="9" s="1"/>
  <c r="G33" i="9"/>
  <c r="N33" i="9" s="1"/>
  <c r="D33" i="9"/>
  <c r="K33" i="9" s="1"/>
  <c r="O32" i="9"/>
  <c r="H31" i="9"/>
  <c r="O31" i="9" s="1"/>
  <c r="L32" i="9"/>
  <c r="E31" i="9"/>
  <c r="L31" i="9" s="1"/>
  <c r="N32" i="9"/>
  <c r="G31" i="9"/>
  <c r="N31" i="9" s="1"/>
  <c r="K32" i="9"/>
  <c r="D31" i="9"/>
  <c r="K31" i="9" s="1"/>
  <c r="M32" i="9"/>
  <c r="F31" i="9"/>
  <c r="M31" i="9" s="1"/>
  <c r="C35" i="9"/>
  <c r="B34" i="9"/>
  <c r="AZ16" i="5"/>
  <c r="E16" i="8"/>
  <c r="P16" i="8" s="1"/>
  <c r="Y18" i="6"/>
  <c r="AF18" i="6" s="1"/>
  <c r="X18" i="6"/>
  <c r="AE18" i="6" s="1"/>
  <c r="W18" i="6"/>
  <c r="AD18" i="6" s="1"/>
  <c r="V18" i="6"/>
  <c r="AC18" i="6" s="1"/>
  <c r="AX14" i="5"/>
  <c r="J14" i="8" s="1"/>
  <c r="AP15" i="5"/>
  <c r="AR15" i="5"/>
  <c r="AQ15" i="5"/>
  <c r="J15" i="7"/>
  <c r="G15" i="7"/>
  <c r="H15" i="7"/>
  <c r="D15" i="6"/>
  <c r="H15" i="6" s="1"/>
  <c r="I15" i="7"/>
  <c r="F15" i="7"/>
  <c r="AO15" i="9" s="1"/>
  <c r="L15" i="7"/>
  <c r="E15" i="7"/>
  <c r="AN15" i="9" s="1"/>
  <c r="N15" i="7"/>
  <c r="M15" i="7"/>
  <c r="K15" i="7"/>
  <c r="D15" i="7"/>
  <c r="AM15" i="9" s="1"/>
  <c r="BI15" i="9" s="1"/>
  <c r="AV5" i="5"/>
  <c r="H5" i="8" s="1"/>
  <c r="AW5" i="5"/>
  <c r="C20" i="6"/>
  <c r="B19" i="6"/>
  <c r="B17" i="7"/>
  <c r="C18" i="7"/>
  <c r="AT5" i="5"/>
  <c r="F5" i="8" s="1"/>
  <c r="AU5" i="5"/>
  <c r="G5" i="8" s="1"/>
  <c r="BH13" i="5"/>
  <c r="BF14" i="5"/>
  <c r="BB14" i="5"/>
  <c r="BD14" i="5"/>
  <c r="BG14" i="5"/>
  <c r="BE14" i="5"/>
  <c r="BC14" i="5"/>
  <c r="AH15" i="5"/>
  <c r="AY15" i="5" s="1"/>
  <c r="K15" i="8" s="1"/>
  <c r="AG15" i="5"/>
  <c r="AD15" i="5"/>
  <c r="AJ15" i="9" s="1"/>
  <c r="AF15" i="5"/>
  <c r="AE15" i="5"/>
  <c r="AA15" i="5"/>
  <c r="R15" i="8" s="1"/>
  <c r="AB15" i="5"/>
  <c r="AH15" i="9" s="1"/>
  <c r="AI15" i="5"/>
  <c r="AC15" i="5"/>
  <c r="AI15" i="9" s="1"/>
  <c r="AJ6" i="5"/>
  <c r="U15" i="5"/>
  <c r="E15" i="5"/>
  <c r="S15" i="5"/>
  <c r="M15" i="5"/>
  <c r="T15" i="5"/>
  <c r="N15" i="5"/>
  <c r="K15" i="5"/>
  <c r="H15" i="5"/>
  <c r="R15" i="5"/>
  <c r="J15" i="5"/>
  <c r="F15" i="5"/>
  <c r="Q15" i="5"/>
  <c r="P15" i="5"/>
  <c r="I15" i="5"/>
  <c r="G15" i="5"/>
  <c r="O15" i="5"/>
  <c r="L15" i="5"/>
  <c r="D15" i="5"/>
  <c r="C17" i="5"/>
  <c r="BA17" i="5" s="1"/>
  <c r="B16" i="5"/>
  <c r="AS16" i="5" s="1"/>
  <c r="BJ15" i="9" l="1"/>
  <c r="BK15" i="9"/>
  <c r="S31" i="9"/>
  <c r="R31" i="9" s="1"/>
  <c r="BE15" i="9"/>
  <c r="BC15" i="9"/>
  <c r="BD15" i="9"/>
  <c r="AA30" i="9"/>
  <c r="AW30" i="9" s="1"/>
  <c r="AD30" i="9"/>
  <c r="AB30" i="9"/>
  <c r="T31" i="9"/>
  <c r="X31" i="9" s="1"/>
  <c r="P30" i="9"/>
  <c r="V30" i="9"/>
  <c r="AE30" i="9" s="1"/>
  <c r="AU30" i="9" s="1"/>
  <c r="I30" i="9"/>
  <c r="T33" i="9"/>
  <c r="X33" i="9" s="1"/>
  <c r="T32" i="9"/>
  <c r="X32" i="9" s="1"/>
  <c r="S32" i="9"/>
  <c r="H34" i="9"/>
  <c r="O34" i="9" s="1"/>
  <c r="E34" i="9"/>
  <c r="L34" i="9" s="1"/>
  <c r="F34" i="9"/>
  <c r="M34" i="9" s="1"/>
  <c r="G34" i="9"/>
  <c r="N34" i="9" s="1"/>
  <c r="D34" i="9"/>
  <c r="K34" i="9" s="1"/>
  <c r="S33" i="9"/>
  <c r="B35" i="9"/>
  <c r="C36" i="9"/>
  <c r="AZ17" i="5"/>
  <c r="E17" i="8"/>
  <c r="P17" i="8" s="1"/>
  <c r="AX15" i="5"/>
  <c r="J15" i="8" s="1"/>
  <c r="Y19" i="6"/>
  <c r="AF19" i="6" s="1"/>
  <c r="X19" i="6"/>
  <c r="AE19" i="6" s="1"/>
  <c r="W19" i="6"/>
  <c r="AD19" i="6" s="1"/>
  <c r="V19" i="6"/>
  <c r="AC19" i="6" s="1"/>
  <c r="AP16" i="5"/>
  <c r="AR16" i="5"/>
  <c r="AQ16" i="5"/>
  <c r="J16" i="7"/>
  <c r="K16" i="7"/>
  <c r="L16" i="7"/>
  <c r="D16" i="7"/>
  <c r="AM16" i="9" s="1"/>
  <c r="N16" i="7"/>
  <c r="D16" i="6"/>
  <c r="H16" i="6" s="1"/>
  <c r="I16" i="7"/>
  <c r="M16" i="7"/>
  <c r="G16" i="7"/>
  <c r="F16" i="7"/>
  <c r="AO16" i="9" s="1"/>
  <c r="H16" i="7"/>
  <c r="E16" i="7"/>
  <c r="AN16" i="9" s="1"/>
  <c r="AV6" i="5"/>
  <c r="H6" i="8" s="1"/>
  <c r="AW6" i="5"/>
  <c r="C21" i="6"/>
  <c r="B20" i="6"/>
  <c r="C19" i="7"/>
  <c r="B18" i="7"/>
  <c r="AU6" i="5"/>
  <c r="G6" i="8" s="1"/>
  <c r="AT6" i="5"/>
  <c r="F6" i="8" s="1"/>
  <c r="BH14" i="5"/>
  <c r="BE15" i="5"/>
  <c r="BD15" i="5"/>
  <c r="BF15" i="5"/>
  <c r="BG15" i="5"/>
  <c r="BC15" i="5"/>
  <c r="AC16" i="5"/>
  <c r="AI16" i="9" s="1"/>
  <c r="AI16" i="5"/>
  <c r="AH16" i="5"/>
  <c r="AY16" i="5" s="1"/>
  <c r="K16" i="8" s="1"/>
  <c r="AD16" i="5"/>
  <c r="AJ16" i="9" s="1"/>
  <c r="AE16" i="5"/>
  <c r="AA16" i="5"/>
  <c r="R16" i="8" s="1"/>
  <c r="AG16" i="5"/>
  <c r="AF16" i="5"/>
  <c r="AB16" i="5"/>
  <c r="AH16" i="9" s="1"/>
  <c r="BB15" i="5"/>
  <c r="AJ7" i="5"/>
  <c r="S16" i="5"/>
  <c r="R16" i="5"/>
  <c r="M16" i="5"/>
  <c r="T16" i="5"/>
  <c r="Q16" i="5"/>
  <c r="H16" i="5"/>
  <c r="F16" i="5"/>
  <c r="L16" i="5"/>
  <c r="J16" i="5"/>
  <c r="P16" i="5"/>
  <c r="K16" i="5"/>
  <c r="N16" i="5"/>
  <c r="E16" i="5"/>
  <c r="U16" i="5"/>
  <c r="G16" i="5"/>
  <c r="I16" i="5"/>
  <c r="O16" i="5"/>
  <c r="D16" i="5"/>
  <c r="C18" i="5"/>
  <c r="BA18" i="5" s="1"/>
  <c r="B17" i="5"/>
  <c r="AS17" i="5" s="1"/>
  <c r="BJ16" i="9" l="1"/>
  <c r="BK16" i="9"/>
  <c r="BI16" i="9"/>
  <c r="W31" i="9"/>
  <c r="AA31" i="9" s="1"/>
  <c r="AW31" i="9" s="1"/>
  <c r="BC16" i="9"/>
  <c r="BD16" i="9"/>
  <c r="BE16" i="9"/>
  <c r="R32" i="9"/>
  <c r="W32" i="9"/>
  <c r="R33" i="9"/>
  <c r="W33" i="9"/>
  <c r="AC31" i="9"/>
  <c r="AV31" i="9" s="1"/>
  <c r="Z31" i="9"/>
  <c r="AC33" i="9"/>
  <c r="AV33" i="9" s="1"/>
  <c r="Z33" i="9"/>
  <c r="AD31" i="9"/>
  <c r="AB31" i="9"/>
  <c r="P31" i="9"/>
  <c r="I31" i="9"/>
  <c r="V31" i="9"/>
  <c r="AE31" i="9" s="1"/>
  <c r="AU31" i="9" s="1"/>
  <c r="AC32" i="9"/>
  <c r="AV32" i="9" s="1"/>
  <c r="Z32" i="9"/>
  <c r="T34" i="9"/>
  <c r="X34" i="9" s="1"/>
  <c r="F35" i="9"/>
  <c r="M35" i="9" s="1"/>
  <c r="D35" i="9"/>
  <c r="K35" i="9" s="1"/>
  <c r="G35" i="9"/>
  <c r="N35" i="9" s="1"/>
  <c r="E35" i="9"/>
  <c r="L35" i="9" s="1"/>
  <c r="H35" i="9"/>
  <c r="O35" i="9" s="1"/>
  <c r="S34" i="9"/>
  <c r="C37" i="9"/>
  <c r="B36" i="9"/>
  <c r="AX16" i="5"/>
  <c r="J16" i="8" s="1"/>
  <c r="AZ18" i="5"/>
  <c r="E18" i="8"/>
  <c r="P18" i="8" s="1"/>
  <c r="Y20" i="6"/>
  <c r="AF20" i="6" s="1"/>
  <c r="X20" i="6"/>
  <c r="AE20" i="6" s="1"/>
  <c r="W20" i="6"/>
  <c r="AD20" i="6" s="1"/>
  <c r="V20" i="6"/>
  <c r="AC20" i="6" s="1"/>
  <c r="AP17" i="5"/>
  <c r="AR17" i="5"/>
  <c r="AQ17" i="5"/>
  <c r="E17" i="7"/>
  <c r="AN17" i="9" s="1"/>
  <c r="H17" i="7"/>
  <c r="D17" i="6"/>
  <c r="H17" i="6" s="1"/>
  <c r="F17" i="7"/>
  <c r="AO17" i="9" s="1"/>
  <c r="I17" i="7"/>
  <c r="J17" i="7"/>
  <c r="L17" i="7"/>
  <c r="N17" i="7"/>
  <c r="G17" i="7"/>
  <c r="D17" i="7"/>
  <c r="AM17" i="9" s="1"/>
  <c r="K17" i="7"/>
  <c r="M17" i="7"/>
  <c r="AV7" i="5"/>
  <c r="H7" i="8" s="1"/>
  <c r="AW7" i="5"/>
  <c r="B21" i="6"/>
  <c r="C22" i="6"/>
  <c r="C20" i="7"/>
  <c r="B19" i="7"/>
  <c r="AU7" i="5"/>
  <c r="G7" i="8" s="1"/>
  <c r="AT7" i="5"/>
  <c r="F7" i="8" s="1"/>
  <c r="BH15" i="5"/>
  <c r="BC16" i="5"/>
  <c r="BF16" i="5"/>
  <c r="AA17" i="5"/>
  <c r="R17" i="8" s="1"/>
  <c r="AI17" i="5"/>
  <c r="AH17" i="5"/>
  <c r="AY17" i="5" s="1"/>
  <c r="K17" i="8" s="1"/>
  <c r="AE17" i="5"/>
  <c r="AC17" i="5"/>
  <c r="AI17" i="9" s="1"/>
  <c r="AB17" i="5"/>
  <c r="AH17" i="9" s="1"/>
  <c r="AF17" i="5"/>
  <c r="AD17" i="5"/>
  <c r="AJ17" i="9" s="1"/>
  <c r="AG17" i="5"/>
  <c r="BE16" i="5"/>
  <c r="BB16" i="5"/>
  <c r="BD16" i="5"/>
  <c r="BG16" i="5"/>
  <c r="AJ8" i="5"/>
  <c r="U17" i="5"/>
  <c r="R17" i="5"/>
  <c r="N17" i="5"/>
  <c r="S17" i="5"/>
  <c r="I17" i="5"/>
  <c r="Q17" i="5"/>
  <c r="E17" i="5"/>
  <c r="H17" i="5"/>
  <c r="M17" i="5"/>
  <c r="L17" i="5"/>
  <c r="T17" i="5"/>
  <c r="O17" i="5"/>
  <c r="K17" i="5"/>
  <c r="D17" i="5"/>
  <c r="F17" i="5"/>
  <c r="J17" i="5"/>
  <c r="G17" i="5"/>
  <c r="P17" i="5"/>
  <c r="C19" i="5"/>
  <c r="BA19" i="5" s="1"/>
  <c r="B18" i="5"/>
  <c r="AS18" i="5" s="1"/>
  <c r="BI17" i="9" l="1"/>
  <c r="BJ17" i="9"/>
  <c r="BK17" i="9"/>
  <c r="BC17" i="9"/>
  <c r="BD17" i="9"/>
  <c r="BE17" i="9"/>
  <c r="R34" i="9"/>
  <c r="W34" i="9"/>
  <c r="T35" i="9"/>
  <c r="X35" i="9" s="1"/>
  <c r="AC34" i="9"/>
  <c r="AV34" i="9" s="1"/>
  <c r="Z34" i="9"/>
  <c r="AD33" i="9"/>
  <c r="AB33" i="9"/>
  <c r="AA33" i="9"/>
  <c r="AW33" i="9" s="1"/>
  <c r="P33" i="9"/>
  <c r="I33" i="9"/>
  <c r="V33" i="9"/>
  <c r="AE33" i="9" s="1"/>
  <c r="AU33" i="9" s="1"/>
  <c r="AA32" i="9"/>
  <c r="AW32" i="9" s="1"/>
  <c r="AD32" i="9"/>
  <c r="AB32" i="9"/>
  <c r="P32" i="9"/>
  <c r="V32" i="9"/>
  <c r="AE32" i="9" s="1"/>
  <c r="AU32" i="9" s="1"/>
  <c r="I32" i="9"/>
  <c r="S35" i="9"/>
  <c r="H36" i="9"/>
  <c r="E36" i="9"/>
  <c r="D36" i="9"/>
  <c r="F36" i="9"/>
  <c r="G36" i="9"/>
  <c r="C38" i="9"/>
  <c r="B37" i="9"/>
  <c r="AZ19" i="5"/>
  <c r="E19" i="8"/>
  <c r="P19" i="8" s="1"/>
  <c r="AX17" i="5"/>
  <c r="J17" i="8" s="1"/>
  <c r="Y21" i="6"/>
  <c r="AF21" i="6" s="1"/>
  <c r="X21" i="6"/>
  <c r="AE21" i="6" s="1"/>
  <c r="W21" i="6"/>
  <c r="AD21" i="6" s="1"/>
  <c r="V21" i="6"/>
  <c r="AC21" i="6" s="1"/>
  <c r="AP18" i="5"/>
  <c r="AR18" i="5"/>
  <c r="AQ18" i="5"/>
  <c r="D18" i="6"/>
  <c r="H18" i="6" s="1"/>
  <c r="N18" i="7"/>
  <c r="F18" i="7"/>
  <c r="AO18" i="9" s="1"/>
  <c r="I18" i="7"/>
  <c r="K18" i="7"/>
  <c r="J18" i="7"/>
  <c r="G18" i="7"/>
  <c r="D18" i="7"/>
  <c r="AM18" i="9" s="1"/>
  <c r="M18" i="7"/>
  <c r="H18" i="7"/>
  <c r="L18" i="7"/>
  <c r="E18" i="7"/>
  <c r="AN18" i="9" s="1"/>
  <c r="AV8" i="5"/>
  <c r="H8" i="8" s="1"/>
  <c r="AW8" i="5"/>
  <c r="C23" i="6"/>
  <c r="B22" i="6"/>
  <c r="C21" i="7"/>
  <c r="B20" i="7"/>
  <c r="AU8" i="5"/>
  <c r="G8" i="8" s="1"/>
  <c r="AT8" i="5"/>
  <c r="F8" i="8" s="1"/>
  <c r="BH16" i="5"/>
  <c r="BB17" i="5"/>
  <c r="BE17" i="5"/>
  <c r="BD17" i="5"/>
  <c r="BF17" i="5"/>
  <c r="AC18" i="5"/>
  <c r="AI18" i="9" s="1"/>
  <c r="AG18" i="5"/>
  <c r="AE18" i="5"/>
  <c r="AD18" i="5"/>
  <c r="AJ18" i="9" s="1"/>
  <c r="AA18" i="5"/>
  <c r="R18" i="8" s="1"/>
  <c r="AB18" i="5"/>
  <c r="AH18" i="9" s="1"/>
  <c r="AI18" i="5"/>
  <c r="AH18" i="5"/>
  <c r="AY18" i="5" s="1"/>
  <c r="K18" i="8" s="1"/>
  <c r="AF18" i="5"/>
  <c r="BG17" i="5"/>
  <c r="BC17" i="5"/>
  <c r="AJ9" i="5"/>
  <c r="R18" i="5"/>
  <c r="S18" i="5"/>
  <c r="U18" i="5"/>
  <c r="H18" i="5"/>
  <c r="G18" i="5"/>
  <c r="O18" i="5"/>
  <c r="J18" i="5"/>
  <c r="Q18" i="5"/>
  <c r="F18" i="5"/>
  <c r="L18" i="5"/>
  <c r="N18" i="5"/>
  <c r="T18" i="5"/>
  <c r="P18" i="5"/>
  <c r="D18" i="5"/>
  <c r="I18" i="5"/>
  <c r="K18" i="5"/>
  <c r="M18" i="5"/>
  <c r="E18" i="5"/>
  <c r="C20" i="5"/>
  <c r="BA20" i="5" s="1"/>
  <c r="B19" i="5"/>
  <c r="AS19" i="5" s="1"/>
  <c r="BJ18" i="9" l="1"/>
  <c r="BI18" i="9"/>
  <c r="BK18" i="9"/>
  <c r="BC18" i="9"/>
  <c r="BD18" i="9"/>
  <c r="BE18" i="9"/>
  <c r="R35" i="9"/>
  <c r="W35" i="9"/>
  <c r="AC35" i="9"/>
  <c r="AV35" i="9" s="1"/>
  <c r="Z35" i="9"/>
  <c r="AA34" i="9"/>
  <c r="AW34" i="9" s="1"/>
  <c r="AD34" i="9"/>
  <c r="AB34" i="9"/>
  <c r="P34" i="9"/>
  <c r="I34" i="9"/>
  <c r="V34" i="9"/>
  <c r="AE34" i="9" s="1"/>
  <c r="AU34" i="9" s="1"/>
  <c r="N36" i="9"/>
  <c r="M36" i="9"/>
  <c r="K36" i="9"/>
  <c r="L36" i="9"/>
  <c r="O36" i="9"/>
  <c r="C39" i="9"/>
  <c r="B38" i="9"/>
  <c r="AX18" i="5"/>
  <c r="J18" i="8" s="1"/>
  <c r="AZ20" i="5"/>
  <c r="E20" i="8"/>
  <c r="P20" i="8" s="1"/>
  <c r="V22" i="6"/>
  <c r="Y22" i="6"/>
  <c r="X22" i="6"/>
  <c r="W22" i="6"/>
  <c r="AP19" i="5"/>
  <c r="AR19" i="5"/>
  <c r="AQ19" i="5"/>
  <c r="I19" i="7"/>
  <c r="K19" i="7"/>
  <c r="J19" i="7"/>
  <c r="E19" i="7"/>
  <c r="AN19" i="9" s="1"/>
  <c r="D19" i="7"/>
  <c r="AM19" i="9" s="1"/>
  <c r="M19" i="7"/>
  <c r="G19" i="7"/>
  <c r="L19" i="7"/>
  <c r="F19" i="7"/>
  <c r="AO19" i="9" s="1"/>
  <c r="H19" i="7"/>
  <c r="N19" i="7"/>
  <c r="D19" i="6"/>
  <c r="H19" i="6" s="1"/>
  <c r="AV9" i="5"/>
  <c r="H9" i="8" s="1"/>
  <c r="AW9" i="5"/>
  <c r="C24" i="6"/>
  <c r="B23" i="6"/>
  <c r="B21" i="7"/>
  <c r="C22" i="7"/>
  <c r="AU9" i="5"/>
  <c r="G9" i="8" s="1"/>
  <c r="AT9" i="5"/>
  <c r="F9" i="8" s="1"/>
  <c r="BH17" i="5"/>
  <c r="BF18" i="5"/>
  <c r="BD18" i="5"/>
  <c r="BG18" i="5"/>
  <c r="AA19" i="5"/>
  <c r="R19" i="8" s="1"/>
  <c r="AE19" i="5"/>
  <c r="AC19" i="5"/>
  <c r="AI19" i="9" s="1"/>
  <c r="AH19" i="5"/>
  <c r="AY19" i="5" s="1"/>
  <c r="K19" i="8" s="1"/>
  <c r="AG19" i="5"/>
  <c r="AB19" i="5"/>
  <c r="AH19" i="9" s="1"/>
  <c r="AF19" i="5"/>
  <c r="AD19" i="5"/>
  <c r="AJ19" i="9" s="1"/>
  <c r="AI19" i="5"/>
  <c r="BC18" i="5"/>
  <c r="BB18" i="5"/>
  <c r="BE18" i="5"/>
  <c r="AJ10" i="5"/>
  <c r="S19" i="5"/>
  <c r="Q19" i="5"/>
  <c r="N19" i="5"/>
  <c r="K19" i="5"/>
  <c r="I19" i="5"/>
  <c r="J19" i="5"/>
  <c r="R19" i="5"/>
  <c r="U19" i="5"/>
  <c r="H19" i="5"/>
  <c r="O19" i="5"/>
  <c r="D19" i="5"/>
  <c r="P19" i="5"/>
  <c r="T19" i="5"/>
  <c r="L19" i="5"/>
  <c r="M19" i="5"/>
  <c r="G19" i="5"/>
  <c r="F19" i="5"/>
  <c r="E19" i="5"/>
  <c r="C21" i="5"/>
  <c r="BA21" i="5" s="1"/>
  <c r="B20" i="5"/>
  <c r="AS20" i="5" s="1"/>
  <c r="BJ19" i="9" l="1"/>
  <c r="BI19" i="9"/>
  <c r="BK19" i="9"/>
  <c r="BD19" i="9"/>
  <c r="BC19" i="9"/>
  <c r="BE19" i="9"/>
  <c r="AB35" i="9"/>
  <c r="AA35" i="9"/>
  <c r="AW35" i="9" s="1"/>
  <c r="AD35" i="9"/>
  <c r="P35" i="9"/>
  <c r="I35" i="9"/>
  <c r="V35" i="9"/>
  <c r="AE35" i="9" s="1"/>
  <c r="AU35" i="9" s="1"/>
  <c r="S36" i="9"/>
  <c r="G38" i="9"/>
  <c r="H38" i="9"/>
  <c r="E38" i="9"/>
  <c r="D38" i="9"/>
  <c r="F38" i="9"/>
  <c r="T36" i="9"/>
  <c r="X36" i="9" s="1"/>
  <c r="C40" i="9"/>
  <c r="B39" i="9"/>
  <c r="AZ21" i="5"/>
  <c r="E21" i="8"/>
  <c r="P21" i="8" s="1"/>
  <c r="AX19" i="5"/>
  <c r="J19" i="8" s="1"/>
  <c r="AD22" i="6"/>
  <c r="AE22" i="6"/>
  <c r="AF22" i="6"/>
  <c r="AC22" i="6"/>
  <c r="AP20" i="5"/>
  <c r="AR20" i="5"/>
  <c r="AQ20" i="5"/>
  <c r="L20" i="7"/>
  <c r="F20" i="7"/>
  <c r="AO20" i="9" s="1"/>
  <c r="D20" i="7"/>
  <c r="AM20" i="9" s="1"/>
  <c r="K20" i="7"/>
  <c r="H20" i="7"/>
  <c r="D20" i="6"/>
  <c r="H20" i="6" s="1"/>
  <c r="J20" i="7"/>
  <c r="I20" i="7"/>
  <c r="E20" i="7"/>
  <c r="AN20" i="9" s="1"/>
  <c r="N20" i="7"/>
  <c r="G20" i="7"/>
  <c r="M20" i="7"/>
  <c r="AV10" i="5"/>
  <c r="H10" i="8" s="1"/>
  <c r="AW10" i="5"/>
  <c r="C25" i="6"/>
  <c r="B24" i="6"/>
  <c r="BD19" i="5"/>
  <c r="C23" i="7"/>
  <c r="B22" i="7"/>
  <c r="AU10" i="5"/>
  <c r="G10" i="8" s="1"/>
  <c r="AT10" i="5"/>
  <c r="F10" i="8" s="1"/>
  <c r="BH18" i="5"/>
  <c r="BF19" i="5"/>
  <c r="BC19" i="5"/>
  <c r="BB19" i="5"/>
  <c r="BG19" i="5"/>
  <c r="AA20" i="5"/>
  <c r="R20" i="8" s="1"/>
  <c r="AF20" i="5"/>
  <c r="AB20" i="5"/>
  <c r="AH20" i="9" s="1"/>
  <c r="AD20" i="5"/>
  <c r="AJ20" i="9" s="1"/>
  <c r="AE20" i="5"/>
  <c r="AG20" i="5"/>
  <c r="AC20" i="5"/>
  <c r="AI20" i="9" s="1"/>
  <c r="AI20" i="5"/>
  <c r="AH20" i="5"/>
  <c r="AY20" i="5" s="1"/>
  <c r="K20" i="8" s="1"/>
  <c r="BE19" i="5"/>
  <c r="AJ11" i="5"/>
  <c r="T20" i="5"/>
  <c r="M20" i="5"/>
  <c r="I20" i="5"/>
  <c r="D20" i="5"/>
  <c r="S20" i="5"/>
  <c r="U20" i="5"/>
  <c r="N20" i="5"/>
  <c r="J20" i="5"/>
  <c r="E20" i="5"/>
  <c r="K20" i="5"/>
  <c r="Q20" i="5"/>
  <c r="R20" i="5"/>
  <c r="H20" i="5"/>
  <c r="F20" i="5"/>
  <c r="P20" i="5"/>
  <c r="L20" i="5"/>
  <c r="O20" i="5"/>
  <c r="G20" i="5"/>
  <c r="C22" i="5"/>
  <c r="BA22" i="5" s="1"/>
  <c r="B21" i="5"/>
  <c r="AS21" i="5" s="1"/>
  <c r="BI20" i="9" l="1"/>
  <c r="BJ20" i="9"/>
  <c r="BK20" i="9"/>
  <c r="BD20" i="9"/>
  <c r="BC20" i="9"/>
  <c r="BE20" i="9"/>
  <c r="R36" i="9"/>
  <c r="W36" i="9"/>
  <c r="AC36" i="9"/>
  <c r="AV36" i="9" s="1"/>
  <c r="Z36" i="9"/>
  <c r="G39" i="9"/>
  <c r="N39" i="9" s="1"/>
  <c r="D39" i="9"/>
  <c r="K39" i="9" s="1"/>
  <c r="H39" i="9"/>
  <c r="O39" i="9" s="1"/>
  <c r="E39" i="9"/>
  <c r="L39" i="9" s="1"/>
  <c r="F39" i="9"/>
  <c r="M39" i="9" s="1"/>
  <c r="M38" i="9"/>
  <c r="F37" i="9"/>
  <c r="M37" i="9" s="1"/>
  <c r="K38" i="9"/>
  <c r="D37" i="9"/>
  <c r="K37" i="9" s="1"/>
  <c r="L38" i="9"/>
  <c r="E37" i="9"/>
  <c r="L37" i="9" s="1"/>
  <c r="O38" i="9"/>
  <c r="H37" i="9"/>
  <c r="O37" i="9" s="1"/>
  <c r="N38" i="9"/>
  <c r="G37" i="9"/>
  <c r="N37" i="9" s="1"/>
  <c r="C41" i="9"/>
  <c r="B40" i="9"/>
  <c r="AZ22" i="5"/>
  <c r="E22" i="8"/>
  <c r="P22" i="8" s="1"/>
  <c r="AX20" i="5"/>
  <c r="J20" i="8" s="1"/>
  <c r="X24" i="6"/>
  <c r="W24" i="6"/>
  <c r="V24" i="6"/>
  <c r="Y24" i="6"/>
  <c r="AP21" i="5"/>
  <c r="AR21" i="5"/>
  <c r="AQ21" i="5"/>
  <c r="D21" i="6"/>
  <c r="H21" i="6" s="1"/>
  <c r="L21" i="7"/>
  <c r="I21" i="7"/>
  <c r="H21" i="7"/>
  <c r="E21" i="7"/>
  <c r="AN21" i="9" s="1"/>
  <c r="G21" i="7"/>
  <c r="M21" i="7"/>
  <c r="K21" i="7"/>
  <c r="D21" i="7"/>
  <c r="AM21" i="9" s="1"/>
  <c r="J21" i="7"/>
  <c r="N21" i="7"/>
  <c r="F21" i="7"/>
  <c r="AO21" i="9" s="1"/>
  <c r="AV11" i="5"/>
  <c r="H11" i="8" s="1"/>
  <c r="AW11" i="5"/>
  <c r="B25" i="6"/>
  <c r="C26" i="6"/>
  <c r="C24" i="7"/>
  <c r="B23" i="7"/>
  <c r="AU11" i="5"/>
  <c r="G11" i="8" s="1"/>
  <c r="AT11" i="5"/>
  <c r="F11" i="8" s="1"/>
  <c r="BH19" i="5"/>
  <c r="BB20" i="5"/>
  <c r="BE20" i="5"/>
  <c r="BC20" i="5"/>
  <c r="BG20" i="5"/>
  <c r="BF20" i="5"/>
  <c r="AH21" i="5"/>
  <c r="AY21" i="5" s="1"/>
  <c r="K21" i="8" s="1"/>
  <c r="AI21" i="5"/>
  <c r="AG21" i="5"/>
  <c r="AC21" i="5"/>
  <c r="AI21" i="9" s="1"/>
  <c r="AE21" i="5"/>
  <c r="AB21" i="5"/>
  <c r="AH21" i="9" s="1"/>
  <c r="AD21" i="5"/>
  <c r="AJ21" i="9" s="1"/>
  <c r="AF21" i="5"/>
  <c r="AA21" i="5"/>
  <c r="R21" i="8" s="1"/>
  <c r="BD20" i="5"/>
  <c r="AJ12" i="5"/>
  <c r="S21" i="5"/>
  <c r="O21" i="5"/>
  <c r="T21" i="5"/>
  <c r="L21" i="5"/>
  <c r="I21" i="5"/>
  <c r="M21" i="5"/>
  <c r="U21" i="5"/>
  <c r="Q21" i="5"/>
  <c r="R21" i="5"/>
  <c r="P21" i="5"/>
  <c r="G21" i="5"/>
  <c r="K21" i="5"/>
  <c r="H21" i="5"/>
  <c r="J21" i="5"/>
  <c r="N21" i="5"/>
  <c r="F21" i="5"/>
  <c r="E21" i="5"/>
  <c r="D21" i="5"/>
  <c r="C23" i="5"/>
  <c r="BA23" i="5" s="1"/>
  <c r="B22" i="5"/>
  <c r="AS22" i="5" s="1"/>
  <c r="BI21" i="9" l="1"/>
  <c r="BJ21" i="9"/>
  <c r="BK21" i="9"/>
  <c r="BE21" i="9"/>
  <c r="BC21" i="9"/>
  <c r="BD21" i="9"/>
  <c r="S39" i="9"/>
  <c r="S38" i="9"/>
  <c r="AA36" i="9"/>
  <c r="AW36" i="9" s="1"/>
  <c r="AD36" i="9"/>
  <c r="AB36" i="9"/>
  <c r="P36" i="9"/>
  <c r="V36" i="9"/>
  <c r="AE36" i="9" s="1"/>
  <c r="AU36" i="9" s="1"/>
  <c r="I36" i="9"/>
  <c r="T38" i="9"/>
  <c r="X38" i="9" s="1"/>
  <c r="H40" i="9"/>
  <c r="O40" i="9" s="1"/>
  <c r="E40" i="9"/>
  <c r="L40" i="9" s="1"/>
  <c r="F40" i="9"/>
  <c r="M40" i="9" s="1"/>
  <c r="G40" i="9"/>
  <c r="N40" i="9" s="1"/>
  <c r="D40" i="9"/>
  <c r="K40" i="9" s="1"/>
  <c r="T37" i="9"/>
  <c r="X37" i="9" s="1"/>
  <c r="S37" i="9"/>
  <c r="T39" i="9"/>
  <c r="X39" i="9" s="1"/>
  <c r="B41" i="9"/>
  <c r="C42" i="9"/>
  <c r="AZ23" i="5"/>
  <c r="E23" i="8"/>
  <c r="P23" i="8" s="1"/>
  <c r="AX21" i="5"/>
  <c r="J21" i="8" s="1"/>
  <c r="AF24" i="6"/>
  <c r="Y23" i="6"/>
  <c r="AF23" i="6" s="1"/>
  <c r="AC24" i="6"/>
  <c r="V23" i="6"/>
  <c r="AC23" i="6" s="1"/>
  <c r="AD24" i="6"/>
  <c r="W23" i="6"/>
  <c r="AD23" i="6" s="1"/>
  <c r="W25" i="6"/>
  <c r="V25" i="6"/>
  <c r="X25" i="6"/>
  <c r="Y25" i="6"/>
  <c r="AE24" i="6"/>
  <c r="X23" i="6"/>
  <c r="AE23" i="6" s="1"/>
  <c r="AC38" i="9" l="1"/>
  <c r="AV38" i="9" s="1"/>
  <c r="Z38" i="9"/>
  <c r="AC39" i="9"/>
  <c r="AV39" i="9" s="1"/>
  <c r="Z39" i="9"/>
  <c r="R37" i="9"/>
  <c r="W37" i="9"/>
  <c r="AC37" i="9"/>
  <c r="AV37" i="9" s="1"/>
  <c r="Z37" i="9"/>
  <c r="R38" i="9"/>
  <c r="W38" i="9"/>
  <c r="R39" i="9"/>
  <c r="W39" i="9"/>
  <c r="S40" i="9"/>
  <c r="D41" i="9"/>
  <c r="K41" i="9" s="1"/>
  <c r="G41" i="9"/>
  <c r="N41" i="9" s="1"/>
  <c r="H41" i="9"/>
  <c r="O41" i="9" s="1"/>
  <c r="F41" i="9"/>
  <c r="M41" i="9" s="1"/>
  <c r="E41" i="9"/>
  <c r="L41" i="9" s="1"/>
  <c r="T40" i="9"/>
  <c r="X40" i="9" s="1"/>
  <c r="C43" i="9"/>
  <c r="B42" i="9"/>
  <c r="AE25" i="6"/>
  <c r="AF25" i="6"/>
  <c r="AC25" i="6"/>
  <c r="AD25" i="6"/>
  <c r="AP22" i="5"/>
  <c r="AR22" i="5"/>
  <c r="AQ22" i="5"/>
  <c r="G22" i="7"/>
  <c r="D22" i="6"/>
  <c r="H22" i="6" s="1"/>
  <c r="L22" i="7"/>
  <c r="H22" i="7"/>
  <c r="N22" i="7"/>
  <c r="K22" i="7"/>
  <c r="I22" i="7"/>
  <c r="F22" i="7"/>
  <c r="AO22" i="9" s="1"/>
  <c r="BK22" i="9" s="1"/>
  <c r="J22" i="7"/>
  <c r="D22" i="7"/>
  <c r="AM22" i="9" s="1"/>
  <c r="E22" i="7"/>
  <c r="AN22" i="9" s="1"/>
  <c r="M22" i="7"/>
  <c r="AV12" i="5"/>
  <c r="H12" i="8" s="1"/>
  <c r="AW12" i="5"/>
  <c r="C27" i="6"/>
  <c r="B26" i="6"/>
  <c r="C25" i="7"/>
  <c r="B24" i="7"/>
  <c r="AT12" i="5"/>
  <c r="F12" i="8" s="1"/>
  <c r="AU12" i="5"/>
  <c r="G12" i="8" s="1"/>
  <c r="BH20" i="5"/>
  <c r="BB21" i="5"/>
  <c r="BG21" i="5"/>
  <c r="AG22" i="5"/>
  <c r="AX22" i="5" s="1"/>
  <c r="J22" i="8" s="1"/>
  <c r="AB22" i="5"/>
  <c r="AH22" i="9" s="1"/>
  <c r="AC22" i="5"/>
  <c r="AI22" i="9" s="1"/>
  <c r="AA22" i="5"/>
  <c r="R22" i="8" s="1"/>
  <c r="AE22" i="5"/>
  <c r="AH22" i="5"/>
  <c r="AY22" i="5" s="1"/>
  <c r="K22" i="8" s="1"/>
  <c r="AD22" i="5"/>
  <c r="AJ22" i="9" s="1"/>
  <c r="AI22" i="5"/>
  <c r="AF22" i="5"/>
  <c r="BE21" i="5"/>
  <c r="BD21" i="5"/>
  <c r="BF21" i="5"/>
  <c r="BC21" i="5"/>
  <c r="AJ13" i="5"/>
  <c r="T22" i="5"/>
  <c r="K22" i="5"/>
  <c r="H22" i="5"/>
  <c r="S22" i="5"/>
  <c r="E22" i="5"/>
  <c r="F22" i="5"/>
  <c r="U22" i="5"/>
  <c r="R22" i="5"/>
  <c r="P22" i="5"/>
  <c r="G22" i="5"/>
  <c r="L22" i="5"/>
  <c r="J22" i="5"/>
  <c r="M22" i="5"/>
  <c r="D22" i="5"/>
  <c r="O22" i="5"/>
  <c r="Q22" i="5"/>
  <c r="I22" i="5"/>
  <c r="N22" i="5"/>
  <c r="C24" i="5"/>
  <c r="BA24" i="5" s="1"/>
  <c r="B23" i="5"/>
  <c r="BI22" i="9" l="1"/>
  <c r="BJ22" i="9"/>
  <c r="BE22" i="9"/>
  <c r="BC22" i="9"/>
  <c r="BD22" i="9"/>
  <c r="P38" i="9"/>
  <c r="V38" i="9"/>
  <c r="AE38" i="9" s="1"/>
  <c r="AU38" i="9" s="1"/>
  <c r="I38" i="9"/>
  <c r="AC40" i="9"/>
  <c r="AV40" i="9" s="1"/>
  <c r="Z40" i="9"/>
  <c r="AD39" i="9"/>
  <c r="AA39" i="9"/>
  <c r="AW39" i="9" s="1"/>
  <c r="AB39" i="9"/>
  <c r="P39" i="9"/>
  <c r="V39" i="9"/>
  <c r="AE39" i="9" s="1"/>
  <c r="AU39" i="9" s="1"/>
  <c r="I39" i="9"/>
  <c r="AA38" i="9"/>
  <c r="AW38" i="9" s="1"/>
  <c r="AD38" i="9"/>
  <c r="AB38" i="9"/>
  <c r="AD37" i="9"/>
  <c r="AB37" i="9"/>
  <c r="AA37" i="9"/>
  <c r="AW37" i="9" s="1"/>
  <c r="P37" i="9"/>
  <c r="I37" i="9"/>
  <c r="V37" i="9"/>
  <c r="AE37" i="9" s="1"/>
  <c r="AU37" i="9" s="1"/>
  <c r="T41" i="9"/>
  <c r="X41" i="9" s="1"/>
  <c r="R40" i="9"/>
  <c r="W40" i="9"/>
  <c r="S41" i="9"/>
  <c r="F42" i="9"/>
  <c r="D42" i="9"/>
  <c r="G42" i="9"/>
  <c r="H42" i="9"/>
  <c r="E42" i="9"/>
  <c r="C44" i="9"/>
  <c r="B43" i="9"/>
  <c r="AZ24" i="5"/>
  <c r="E24" i="8"/>
  <c r="P24" i="8" s="1"/>
  <c r="J23" i="7"/>
  <c r="M23" i="7"/>
  <c r="H23" i="7"/>
  <c r="N23" i="7"/>
  <c r="I23" i="7"/>
  <c r="L23" i="7"/>
  <c r="G23" i="7"/>
  <c r="D23" i="7"/>
  <c r="AM23" i="9" s="1"/>
  <c r="E23" i="7"/>
  <c r="AN23" i="9" s="1"/>
  <c r="BJ23" i="9" s="1"/>
  <c r="D23" i="6"/>
  <c r="H23" i="6" s="1"/>
  <c r="K23" i="7"/>
  <c r="F23" i="7"/>
  <c r="AO23" i="9" s="1"/>
  <c r="AV13" i="5"/>
  <c r="H13" i="8" s="1"/>
  <c r="AW13" i="5"/>
  <c r="C28" i="6"/>
  <c r="B27" i="6"/>
  <c r="B25" i="7"/>
  <c r="C26" i="7"/>
  <c r="AT13" i="5"/>
  <c r="F13" i="8" s="1"/>
  <c r="AU13" i="5"/>
  <c r="G13" i="8" s="1"/>
  <c r="BH21" i="5"/>
  <c r="BC22" i="5"/>
  <c r="AB23" i="5"/>
  <c r="AH23" i="9" s="1"/>
  <c r="AA23" i="5"/>
  <c r="R23" i="8" s="1"/>
  <c r="AC23" i="5"/>
  <c r="AI23" i="9" s="1"/>
  <c r="AG23" i="5"/>
  <c r="AH23" i="5"/>
  <c r="AI23" i="5"/>
  <c r="AF23" i="5"/>
  <c r="AE23" i="5"/>
  <c r="AD23" i="5"/>
  <c r="AJ23" i="9" s="1"/>
  <c r="BG22" i="5"/>
  <c r="BD22" i="5"/>
  <c r="BB22" i="5"/>
  <c r="BE22" i="5"/>
  <c r="BF22" i="5"/>
  <c r="AJ14" i="5"/>
  <c r="S23" i="5"/>
  <c r="T23" i="5"/>
  <c r="J23" i="5"/>
  <c r="G23" i="5"/>
  <c r="K23" i="5"/>
  <c r="R23" i="5"/>
  <c r="U23" i="5"/>
  <c r="M23" i="5"/>
  <c r="F23" i="5"/>
  <c r="E23" i="5"/>
  <c r="L23" i="5"/>
  <c r="Q23" i="5"/>
  <c r="N23" i="5"/>
  <c r="P23" i="5"/>
  <c r="O23" i="5"/>
  <c r="D23" i="5"/>
  <c r="I23" i="5"/>
  <c r="H23" i="5"/>
  <c r="C25" i="5"/>
  <c r="BA25" i="5" s="1"/>
  <c r="B24" i="5"/>
  <c r="AS24" i="5" s="1"/>
  <c r="AS23" i="5" s="1"/>
  <c r="BI23" i="9" l="1"/>
  <c r="BK23" i="9"/>
  <c r="BE23" i="9"/>
  <c r="BD23" i="9"/>
  <c r="BC23" i="9"/>
  <c r="P40" i="9"/>
  <c r="V40" i="9"/>
  <c r="AE40" i="9" s="1"/>
  <c r="AU40" i="9" s="1"/>
  <c r="I40" i="9"/>
  <c r="AC41" i="9"/>
  <c r="AV41" i="9" s="1"/>
  <c r="Z41" i="9"/>
  <c r="R41" i="9"/>
  <c r="W41" i="9"/>
  <c r="AA40" i="9"/>
  <c r="AW40" i="9" s="1"/>
  <c r="AD40" i="9"/>
  <c r="AB40" i="9"/>
  <c r="L42" i="9"/>
  <c r="O42" i="9"/>
  <c r="N42" i="9"/>
  <c r="K42" i="9"/>
  <c r="M42" i="9"/>
  <c r="C45" i="9"/>
  <c r="B44" i="9"/>
  <c r="AZ25" i="5"/>
  <c r="E25" i="8"/>
  <c r="P25" i="8" s="1"/>
  <c r="AY23" i="5"/>
  <c r="K23" i="8" s="1"/>
  <c r="AX23" i="5"/>
  <c r="J23" i="8" s="1"/>
  <c r="AP24" i="5"/>
  <c r="AP23" i="5" s="1"/>
  <c r="AR24" i="5"/>
  <c r="AR23" i="5" s="1"/>
  <c r="AQ24" i="5"/>
  <c r="AQ23" i="5" s="1"/>
  <c r="J24" i="7"/>
  <c r="I24" i="7"/>
  <c r="M24" i="7"/>
  <c r="L24" i="7"/>
  <c r="H24" i="7"/>
  <c r="K24" i="7"/>
  <c r="D24" i="7"/>
  <c r="AM24" i="9" s="1"/>
  <c r="E24" i="7"/>
  <c r="AN24" i="9" s="1"/>
  <c r="D24" i="6"/>
  <c r="H24" i="6" s="1"/>
  <c r="F24" i="7"/>
  <c r="AO24" i="9" s="1"/>
  <c r="N24" i="7"/>
  <c r="G24" i="7"/>
  <c r="AV14" i="5"/>
  <c r="H14" i="8" s="1"/>
  <c r="AW14" i="5"/>
  <c r="C29" i="6"/>
  <c r="B28" i="6"/>
  <c r="C27" i="7"/>
  <c r="B26" i="7"/>
  <c r="AT14" i="5"/>
  <c r="F14" i="8" s="1"/>
  <c r="AU14" i="5"/>
  <c r="G14" i="8" s="1"/>
  <c r="BH22" i="5"/>
  <c r="BD23" i="5"/>
  <c r="BG23" i="5"/>
  <c r="BC23" i="5"/>
  <c r="BB23" i="5"/>
  <c r="BE23" i="5"/>
  <c r="BF23" i="5"/>
  <c r="AD24" i="5"/>
  <c r="AJ24" i="9" s="1"/>
  <c r="AB24" i="5"/>
  <c r="AH24" i="9" s="1"/>
  <c r="AF24" i="5"/>
  <c r="AC24" i="5"/>
  <c r="AI24" i="9" s="1"/>
  <c r="AH24" i="5"/>
  <c r="AY24" i="5" s="1"/>
  <c r="K24" i="8" s="1"/>
  <c r="AA24" i="5"/>
  <c r="R24" i="8" s="1"/>
  <c r="AG24" i="5"/>
  <c r="AI24" i="5"/>
  <c r="AE24" i="5"/>
  <c r="AJ15" i="5"/>
  <c r="R24" i="5"/>
  <c r="U24" i="5"/>
  <c r="J24" i="5"/>
  <c r="K24" i="5"/>
  <c r="S24" i="5"/>
  <c r="O24" i="5"/>
  <c r="F24" i="5"/>
  <c r="D24" i="5"/>
  <c r="I24" i="5"/>
  <c r="T24" i="5"/>
  <c r="P24" i="5"/>
  <c r="M24" i="5"/>
  <c r="N24" i="5"/>
  <c r="E24" i="5"/>
  <c r="Q24" i="5"/>
  <c r="H24" i="5"/>
  <c r="G24" i="5"/>
  <c r="L24" i="5"/>
  <c r="C26" i="5"/>
  <c r="BA26" i="5" s="1"/>
  <c r="B25" i="5"/>
  <c r="AS25" i="5" s="1"/>
  <c r="BI24" i="9" l="1"/>
  <c r="BK24" i="9"/>
  <c r="BJ24" i="9"/>
  <c r="BE24" i="9"/>
  <c r="BD24" i="9"/>
  <c r="BC24" i="9"/>
  <c r="AB41" i="9"/>
  <c r="AA41" i="9"/>
  <c r="AW41" i="9" s="1"/>
  <c r="AD41" i="9"/>
  <c r="P41" i="9"/>
  <c r="V41" i="9"/>
  <c r="AE41" i="9" s="1"/>
  <c r="AU41" i="9" s="1"/>
  <c r="I41" i="9"/>
  <c r="F44" i="9"/>
  <c r="G44" i="9"/>
  <c r="H44" i="9"/>
  <c r="E44" i="9"/>
  <c r="D44" i="9"/>
  <c r="T42" i="9"/>
  <c r="X42" i="9" s="1"/>
  <c r="S42" i="9"/>
  <c r="C46" i="9"/>
  <c r="B45" i="9"/>
  <c r="AZ26" i="5"/>
  <c r="E26" i="8"/>
  <c r="P26" i="8" s="1"/>
  <c r="X28" i="6"/>
  <c r="W28" i="6"/>
  <c r="Y28" i="6"/>
  <c r="V28" i="6"/>
  <c r="AX24" i="5"/>
  <c r="J24" i="8" s="1"/>
  <c r="AP25" i="5"/>
  <c r="AR25" i="5"/>
  <c r="AQ25" i="5"/>
  <c r="M25" i="7"/>
  <c r="D25" i="6"/>
  <c r="H25" i="6" s="1"/>
  <c r="N25" i="7"/>
  <c r="L25" i="7"/>
  <c r="I25" i="7"/>
  <c r="G25" i="7"/>
  <c r="F25" i="7"/>
  <c r="AO25" i="9" s="1"/>
  <c r="E25" i="7"/>
  <c r="AN25" i="9" s="1"/>
  <c r="H25" i="7"/>
  <c r="D25" i="7"/>
  <c r="AM25" i="9" s="1"/>
  <c r="J25" i="7"/>
  <c r="K25" i="7"/>
  <c r="AV15" i="5"/>
  <c r="H15" i="8" s="1"/>
  <c r="AW15" i="5"/>
  <c r="B29" i="6"/>
  <c r="C30" i="6"/>
  <c r="C28" i="7"/>
  <c r="B27" i="7"/>
  <c r="AT15" i="5"/>
  <c r="F15" i="8" s="1"/>
  <c r="AU15" i="5"/>
  <c r="G15" i="8" s="1"/>
  <c r="BH23" i="5"/>
  <c r="BB24" i="5"/>
  <c r="BC24" i="5"/>
  <c r="BF24" i="5"/>
  <c r="BG24" i="5"/>
  <c r="BD24" i="5"/>
  <c r="AA25" i="5"/>
  <c r="R25" i="8" s="1"/>
  <c r="AI25" i="5"/>
  <c r="AC25" i="5"/>
  <c r="AI25" i="9" s="1"/>
  <c r="AD25" i="5"/>
  <c r="AJ25" i="9" s="1"/>
  <c r="AB25" i="5"/>
  <c r="AH25" i="9" s="1"/>
  <c r="AH25" i="5"/>
  <c r="AY25" i="5" s="1"/>
  <c r="K25" i="8" s="1"/>
  <c r="AE25" i="5"/>
  <c r="AG25" i="5"/>
  <c r="AF25" i="5"/>
  <c r="BE24" i="5"/>
  <c r="AJ16" i="5"/>
  <c r="T25" i="5"/>
  <c r="R25" i="5"/>
  <c r="Q25" i="5"/>
  <c r="P25" i="5"/>
  <c r="H25" i="5"/>
  <c r="G25" i="5"/>
  <c r="K25" i="5"/>
  <c r="D25" i="5"/>
  <c r="N25" i="5"/>
  <c r="S25" i="5"/>
  <c r="U25" i="5"/>
  <c r="L25" i="5"/>
  <c r="O25" i="5"/>
  <c r="J25" i="5"/>
  <c r="E25" i="5"/>
  <c r="M25" i="5"/>
  <c r="F25" i="5"/>
  <c r="I25" i="5"/>
  <c r="C27" i="5"/>
  <c r="BA27" i="5" s="1"/>
  <c r="B26" i="5"/>
  <c r="BI25" i="9" l="1"/>
  <c r="BJ25" i="9"/>
  <c r="BK25" i="9"/>
  <c r="BC25" i="9"/>
  <c r="BE25" i="9"/>
  <c r="BD25" i="9"/>
  <c r="AC42" i="9"/>
  <c r="AV42" i="9" s="1"/>
  <c r="Z42" i="9"/>
  <c r="R42" i="9"/>
  <c r="W42" i="9"/>
  <c r="G45" i="9"/>
  <c r="N45" i="9" s="1"/>
  <c r="H45" i="9"/>
  <c r="O45" i="9" s="1"/>
  <c r="E45" i="9"/>
  <c r="L45" i="9" s="1"/>
  <c r="F45" i="9"/>
  <c r="M45" i="9" s="1"/>
  <c r="D45" i="9"/>
  <c r="K45" i="9" s="1"/>
  <c r="K44" i="9"/>
  <c r="D43" i="9"/>
  <c r="K43" i="9" s="1"/>
  <c r="L44" i="9"/>
  <c r="E43" i="9"/>
  <c r="L43" i="9" s="1"/>
  <c r="O44" i="9"/>
  <c r="H43" i="9"/>
  <c r="O43" i="9" s="1"/>
  <c r="N44" i="9"/>
  <c r="G43" i="9"/>
  <c r="N43" i="9" s="1"/>
  <c r="M44" i="9"/>
  <c r="F43" i="9"/>
  <c r="M43" i="9" s="1"/>
  <c r="C47" i="9"/>
  <c r="B46" i="9"/>
  <c r="AZ27" i="5"/>
  <c r="E27" i="8"/>
  <c r="P27" i="8" s="1"/>
  <c r="AX25" i="5"/>
  <c r="J25" i="8" s="1"/>
  <c r="Y27" i="6"/>
  <c r="AF27" i="6" s="1"/>
  <c r="AF28" i="6"/>
  <c r="Y26" i="6"/>
  <c r="AF26" i="6" s="1"/>
  <c r="V29" i="6"/>
  <c r="AC29" i="6" s="1"/>
  <c r="Y29" i="6"/>
  <c r="AF29" i="6" s="1"/>
  <c r="X29" i="6"/>
  <c r="AE29" i="6" s="1"/>
  <c r="W29" i="6"/>
  <c r="AD29" i="6" s="1"/>
  <c r="W27" i="6"/>
  <c r="AD27" i="6" s="1"/>
  <c r="AD28" i="6"/>
  <c r="W26" i="6"/>
  <c r="AD26" i="6" s="1"/>
  <c r="V27" i="6"/>
  <c r="AC27" i="6" s="1"/>
  <c r="AC28" i="6"/>
  <c r="V26" i="6"/>
  <c r="AC26" i="6" s="1"/>
  <c r="X27" i="6"/>
  <c r="AE27" i="6" s="1"/>
  <c r="AE28" i="6"/>
  <c r="X26" i="6"/>
  <c r="AE26" i="6" s="1"/>
  <c r="L26" i="7"/>
  <c r="I26" i="7"/>
  <c r="K26" i="7"/>
  <c r="J26" i="7"/>
  <c r="G26" i="7"/>
  <c r="D26" i="6"/>
  <c r="H26" i="6" s="1"/>
  <c r="F26" i="7"/>
  <c r="AO26" i="9" s="1"/>
  <c r="M26" i="7"/>
  <c r="D26" i="7"/>
  <c r="AM26" i="9" s="1"/>
  <c r="E26" i="7"/>
  <c r="AN26" i="9" s="1"/>
  <c r="N26" i="7"/>
  <c r="H26" i="7"/>
  <c r="AV16" i="5"/>
  <c r="H16" i="8" s="1"/>
  <c r="AW16" i="5"/>
  <c r="B30" i="6"/>
  <c r="C31" i="6"/>
  <c r="C29" i="7"/>
  <c r="B28" i="7"/>
  <c r="AT16" i="5"/>
  <c r="F16" i="8" s="1"/>
  <c r="AU16" i="5"/>
  <c r="G16" i="8" s="1"/>
  <c r="BH24" i="5"/>
  <c r="BC25" i="5"/>
  <c r="BB25" i="5"/>
  <c r="BG25" i="5"/>
  <c r="BF25" i="5"/>
  <c r="BE25" i="5"/>
  <c r="AF26" i="5"/>
  <c r="AH26" i="5"/>
  <c r="AG26" i="5"/>
  <c r="AB26" i="5"/>
  <c r="AH26" i="9" s="1"/>
  <c r="AC26" i="5"/>
  <c r="AI26" i="9" s="1"/>
  <c r="AI26" i="5"/>
  <c r="AD26" i="5"/>
  <c r="AJ26" i="9" s="1"/>
  <c r="AE26" i="5"/>
  <c r="AA26" i="5"/>
  <c r="R26" i="8" s="1"/>
  <c r="BD25" i="5"/>
  <c r="AJ17" i="5"/>
  <c r="R26" i="5"/>
  <c r="U26" i="5"/>
  <c r="S26" i="5"/>
  <c r="P26" i="5"/>
  <c r="I26" i="5"/>
  <c r="T26" i="5"/>
  <c r="E26" i="5"/>
  <c r="G26" i="5"/>
  <c r="O26" i="5"/>
  <c r="L26" i="5"/>
  <c r="Q26" i="5"/>
  <c r="J26" i="5"/>
  <c r="M26" i="5"/>
  <c r="F26" i="5"/>
  <c r="D26" i="5"/>
  <c r="K26" i="5"/>
  <c r="H26" i="5"/>
  <c r="N26" i="5"/>
  <c r="C28" i="5"/>
  <c r="BA28" i="5" s="1"/>
  <c r="B27" i="5"/>
  <c r="BI26" i="9" l="1"/>
  <c r="BJ26" i="9"/>
  <c r="BK26" i="9"/>
  <c r="BE26" i="9"/>
  <c r="BD26" i="9"/>
  <c r="BC26" i="9"/>
  <c r="T43" i="9"/>
  <c r="X43" i="9" s="1"/>
  <c r="T44" i="9"/>
  <c r="X44" i="9" s="1"/>
  <c r="AA42" i="9"/>
  <c r="AW42" i="9" s="1"/>
  <c r="AD42" i="9"/>
  <c r="AB42" i="9"/>
  <c r="P42" i="9"/>
  <c r="V42" i="9"/>
  <c r="AE42" i="9" s="1"/>
  <c r="AU42" i="9" s="1"/>
  <c r="I42" i="9"/>
  <c r="S44" i="9"/>
  <c r="S43" i="9"/>
  <c r="F46" i="9"/>
  <c r="M46" i="9" s="1"/>
  <c r="D46" i="9"/>
  <c r="K46" i="9" s="1"/>
  <c r="H46" i="9"/>
  <c r="O46" i="9" s="1"/>
  <c r="G46" i="9"/>
  <c r="N46" i="9" s="1"/>
  <c r="E46" i="9"/>
  <c r="L46" i="9" s="1"/>
  <c r="S45" i="9"/>
  <c r="T45" i="9"/>
  <c r="X45" i="9" s="1"/>
  <c r="B47" i="9"/>
  <c r="C48" i="9"/>
  <c r="AZ28" i="5"/>
  <c r="E28" i="8"/>
  <c r="P28" i="8" s="1"/>
  <c r="Y30" i="6"/>
  <c r="X30" i="6"/>
  <c r="W30" i="6"/>
  <c r="V30" i="6"/>
  <c r="M27" i="7"/>
  <c r="I27" i="7"/>
  <c r="H27" i="7"/>
  <c r="D27" i="6"/>
  <c r="H27" i="6" s="1"/>
  <c r="E27" i="7"/>
  <c r="AN27" i="9" s="1"/>
  <c r="L27" i="7"/>
  <c r="K27" i="7"/>
  <c r="J27" i="7"/>
  <c r="G27" i="7"/>
  <c r="D27" i="7"/>
  <c r="AM27" i="9" s="1"/>
  <c r="F27" i="7"/>
  <c r="AO27" i="9" s="1"/>
  <c r="N27" i="7"/>
  <c r="AV17" i="5"/>
  <c r="H17" i="8" s="1"/>
  <c r="AW17" i="5"/>
  <c r="C32" i="6"/>
  <c r="B31" i="6"/>
  <c r="B29" i="7"/>
  <c r="C30" i="7"/>
  <c r="BE26" i="5"/>
  <c r="AT17" i="5"/>
  <c r="F17" i="8" s="1"/>
  <c r="AU17" i="5"/>
  <c r="G17" i="8" s="1"/>
  <c r="BH25" i="5"/>
  <c r="BG26" i="5"/>
  <c r="BC26" i="5"/>
  <c r="AF27" i="5"/>
  <c r="AA27" i="5"/>
  <c r="R27" i="8" s="1"/>
  <c r="AG27" i="5"/>
  <c r="AD27" i="5"/>
  <c r="AJ27" i="9" s="1"/>
  <c r="AC27" i="5"/>
  <c r="AI27" i="9" s="1"/>
  <c r="AE27" i="5"/>
  <c r="AH27" i="5"/>
  <c r="AB27" i="5"/>
  <c r="AH27" i="9" s="1"/>
  <c r="AI27" i="5"/>
  <c r="BB26" i="5"/>
  <c r="BD26" i="5"/>
  <c r="BF26" i="5"/>
  <c r="AJ18" i="5"/>
  <c r="U27" i="5"/>
  <c r="R27" i="5"/>
  <c r="K27" i="5"/>
  <c r="L27" i="5"/>
  <c r="T27" i="5"/>
  <c r="O27" i="5"/>
  <c r="N27" i="5"/>
  <c r="Q27" i="5"/>
  <c r="E27" i="5"/>
  <c r="F27" i="5"/>
  <c r="G27" i="5"/>
  <c r="S27" i="5"/>
  <c r="I27" i="5"/>
  <c r="D27" i="5"/>
  <c r="J27" i="5"/>
  <c r="P27" i="5"/>
  <c r="M27" i="5"/>
  <c r="H27" i="5"/>
  <c r="C29" i="5"/>
  <c r="BA29" i="5" s="1"/>
  <c r="B28" i="5"/>
  <c r="AS28" i="5" s="1"/>
  <c r="BI27" i="9" l="1"/>
  <c r="BJ27" i="9"/>
  <c r="BK27" i="9"/>
  <c r="BD27" i="9"/>
  <c r="BE27" i="9"/>
  <c r="BC27" i="9"/>
  <c r="AC45" i="9"/>
  <c r="AV45" i="9" s="1"/>
  <c r="Z45" i="9"/>
  <c r="R43" i="9"/>
  <c r="W43" i="9"/>
  <c r="R44" i="9"/>
  <c r="W44" i="9"/>
  <c r="R45" i="9"/>
  <c r="W45" i="9"/>
  <c r="AC44" i="9"/>
  <c r="AV44" i="9" s="1"/>
  <c r="Z44" i="9"/>
  <c r="AC43" i="9"/>
  <c r="AV43" i="9" s="1"/>
  <c r="Z43" i="9"/>
  <c r="S46" i="9"/>
  <c r="H47" i="9"/>
  <c r="O47" i="9" s="1"/>
  <c r="E47" i="9"/>
  <c r="L47" i="9" s="1"/>
  <c r="F47" i="9"/>
  <c r="M47" i="9" s="1"/>
  <c r="D47" i="9"/>
  <c r="K47" i="9" s="1"/>
  <c r="G47" i="9"/>
  <c r="N47" i="9" s="1"/>
  <c r="T46" i="9"/>
  <c r="X46" i="9" s="1"/>
  <c r="C49" i="9"/>
  <c r="B48" i="9"/>
  <c r="AZ29" i="5"/>
  <c r="E29" i="8"/>
  <c r="P29" i="8" s="1"/>
  <c r="AC30" i="6"/>
  <c r="AD30" i="6"/>
  <c r="AE30" i="6"/>
  <c r="AF30" i="6"/>
  <c r="AS27" i="5"/>
  <c r="AY27" i="5" s="1"/>
  <c r="K27" i="8" s="1"/>
  <c r="AS26" i="5"/>
  <c r="AY26" i="5" s="1"/>
  <c r="K26" i="8" s="1"/>
  <c r="AP28" i="5"/>
  <c r="AP26" i="5" s="1"/>
  <c r="AR28" i="5"/>
  <c r="AQ28" i="5"/>
  <c r="K28" i="7"/>
  <c r="M28" i="7"/>
  <c r="L28" i="7"/>
  <c r="E28" i="7"/>
  <c r="AN28" i="9" s="1"/>
  <c r="G28" i="7"/>
  <c r="I28" i="7"/>
  <c r="N28" i="7"/>
  <c r="H28" i="7"/>
  <c r="F28" i="7"/>
  <c r="AO28" i="9" s="1"/>
  <c r="BK28" i="9" s="1"/>
  <c r="J28" i="7"/>
  <c r="D28" i="6"/>
  <c r="H28" i="6" s="1"/>
  <c r="D28" i="7"/>
  <c r="AM28" i="9" s="1"/>
  <c r="AV18" i="5"/>
  <c r="H18" i="8" s="1"/>
  <c r="AW18" i="5"/>
  <c r="C33" i="6"/>
  <c r="B32" i="6"/>
  <c r="C31" i="7"/>
  <c r="B30" i="7"/>
  <c r="AU18" i="5"/>
  <c r="G18" i="8" s="1"/>
  <c r="AT18" i="5"/>
  <c r="F18" i="8" s="1"/>
  <c r="BH26" i="5"/>
  <c r="BC27" i="5"/>
  <c r="BF27" i="5"/>
  <c r="BG27" i="5"/>
  <c r="BD27" i="5"/>
  <c r="BE27" i="5"/>
  <c r="BB27" i="5"/>
  <c r="AB28" i="5"/>
  <c r="AH28" i="9" s="1"/>
  <c r="AD28" i="5"/>
  <c r="AJ28" i="9" s="1"/>
  <c r="AF28" i="5"/>
  <c r="AE28" i="5"/>
  <c r="AA28" i="5"/>
  <c r="R28" i="8" s="1"/>
  <c r="AG28" i="5"/>
  <c r="AH28" i="5"/>
  <c r="AY28" i="5" s="1"/>
  <c r="K28" i="8" s="1"/>
  <c r="AC28" i="5"/>
  <c r="AI28" i="9" s="1"/>
  <c r="AI28" i="5"/>
  <c r="AJ19" i="5"/>
  <c r="T28" i="5"/>
  <c r="J28" i="5"/>
  <c r="S28" i="5"/>
  <c r="E28" i="5"/>
  <c r="M28" i="5"/>
  <c r="U28" i="5"/>
  <c r="H28" i="5"/>
  <c r="N28" i="5"/>
  <c r="O28" i="5"/>
  <c r="I28" i="5"/>
  <c r="K28" i="5"/>
  <c r="L28" i="5"/>
  <c r="D28" i="5"/>
  <c r="G28" i="5"/>
  <c r="F28" i="5"/>
  <c r="P28" i="5"/>
  <c r="R28" i="5"/>
  <c r="Q28" i="5"/>
  <c r="C30" i="5"/>
  <c r="BA30" i="5" s="1"/>
  <c r="B29" i="5"/>
  <c r="AS29" i="5" s="1"/>
  <c r="BI28" i="9" l="1"/>
  <c r="BJ28" i="9"/>
  <c r="BC28" i="9"/>
  <c r="BE28" i="9"/>
  <c r="BD28" i="9"/>
  <c r="AD45" i="9"/>
  <c r="AB45" i="9"/>
  <c r="AA45" i="9"/>
  <c r="AW45" i="9" s="1"/>
  <c r="AC46" i="9"/>
  <c r="AV46" i="9" s="1"/>
  <c r="Z46" i="9"/>
  <c r="P45" i="9"/>
  <c r="I45" i="9"/>
  <c r="V45" i="9"/>
  <c r="AE45" i="9" s="1"/>
  <c r="AU45" i="9" s="1"/>
  <c r="T47" i="9"/>
  <c r="X47" i="9" s="1"/>
  <c r="AA44" i="9"/>
  <c r="AW44" i="9" s="1"/>
  <c r="AD44" i="9"/>
  <c r="AB44" i="9"/>
  <c r="P44" i="9"/>
  <c r="V44" i="9"/>
  <c r="AE44" i="9" s="1"/>
  <c r="AU44" i="9" s="1"/>
  <c r="I44" i="9"/>
  <c r="AD43" i="9"/>
  <c r="AB43" i="9"/>
  <c r="AA43" i="9"/>
  <c r="AW43" i="9" s="1"/>
  <c r="P43" i="9"/>
  <c r="V43" i="9"/>
  <c r="AE43" i="9" s="1"/>
  <c r="AU43" i="9" s="1"/>
  <c r="I43" i="9"/>
  <c r="R46" i="9"/>
  <c r="W46" i="9"/>
  <c r="H48" i="9"/>
  <c r="O48" i="9" s="1"/>
  <c r="E48" i="9"/>
  <c r="L48" i="9" s="1"/>
  <c r="F48" i="9"/>
  <c r="M48" i="9" s="1"/>
  <c r="G48" i="9"/>
  <c r="N48" i="9" s="1"/>
  <c r="D48" i="9"/>
  <c r="K48" i="9" s="1"/>
  <c r="S47" i="9"/>
  <c r="C50" i="9"/>
  <c r="B49" i="9"/>
  <c r="AX28" i="5"/>
  <c r="J28" i="8" s="1"/>
  <c r="AZ30" i="5"/>
  <c r="E30" i="8"/>
  <c r="P30" i="8" s="1"/>
  <c r="AP27" i="5"/>
  <c r="V32" i="6"/>
  <c r="W32" i="6"/>
  <c r="Y32" i="6"/>
  <c r="X32" i="6"/>
  <c r="AQ27" i="5"/>
  <c r="AQ26" i="5"/>
  <c r="AP29" i="5"/>
  <c r="AR29" i="5"/>
  <c r="AQ29" i="5"/>
  <c r="L29" i="7"/>
  <c r="J29" i="7"/>
  <c r="F29" i="7"/>
  <c r="AO29" i="9" s="1"/>
  <c r="D29" i="6"/>
  <c r="H29" i="6" s="1"/>
  <c r="N29" i="7"/>
  <c r="G29" i="7"/>
  <c r="D29" i="7"/>
  <c r="AM29" i="9" s="1"/>
  <c r="I29" i="7"/>
  <c r="M29" i="7"/>
  <c r="E29" i="7"/>
  <c r="AN29" i="9" s="1"/>
  <c r="K29" i="7"/>
  <c r="H29" i="7"/>
  <c r="AR27" i="5"/>
  <c r="AX27" i="5" s="1"/>
  <c r="J27" i="8" s="1"/>
  <c r="AR26" i="5"/>
  <c r="AX26" i="5" s="1"/>
  <c r="J26" i="8" s="1"/>
  <c r="AV19" i="5"/>
  <c r="H19" i="8" s="1"/>
  <c r="AW19" i="5"/>
  <c r="B33" i="6"/>
  <c r="C34" i="6"/>
  <c r="C32" i="7"/>
  <c r="B31" i="7"/>
  <c r="AU19" i="5"/>
  <c r="G19" i="8" s="1"/>
  <c r="AT19" i="5"/>
  <c r="F19" i="8" s="1"/>
  <c r="BH27" i="5"/>
  <c r="BD28" i="5"/>
  <c r="BG28" i="5"/>
  <c r="BC28" i="5"/>
  <c r="BB28" i="5"/>
  <c r="AH29" i="5"/>
  <c r="AY29" i="5" s="1"/>
  <c r="K29" i="8" s="1"/>
  <c r="AD29" i="5"/>
  <c r="AJ29" i="9" s="1"/>
  <c r="AB29" i="5"/>
  <c r="AH29" i="9" s="1"/>
  <c r="AF29" i="5"/>
  <c r="AE29" i="5"/>
  <c r="AA29" i="5"/>
  <c r="R29" i="8" s="1"/>
  <c r="AI29" i="5"/>
  <c r="AG29" i="5"/>
  <c r="AX29" i="5" s="1"/>
  <c r="J29" i="8" s="1"/>
  <c r="AC29" i="5"/>
  <c r="AI29" i="9" s="1"/>
  <c r="BF28" i="5"/>
  <c r="BE28" i="5"/>
  <c r="AJ20" i="5"/>
  <c r="T29" i="5"/>
  <c r="H29" i="5"/>
  <c r="S29" i="5"/>
  <c r="Q29" i="5"/>
  <c r="O29" i="5"/>
  <c r="F29" i="5"/>
  <c r="U29" i="5"/>
  <c r="I29" i="5"/>
  <c r="N29" i="5"/>
  <c r="M29" i="5"/>
  <c r="J29" i="5"/>
  <c r="K29" i="5"/>
  <c r="L29" i="5"/>
  <c r="P29" i="5"/>
  <c r="E29" i="5"/>
  <c r="G29" i="5"/>
  <c r="D29" i="5"/>
  <c r="R29" i="5"/>
  <c r="C31" i="5"/>
  <c r="BA31" i="5" s="1"/>
  <c r="B30" i="5"/>
  <c r="AS30" i="5" s="1"/>
  <c r="BI29" i="9" l="1"/>
  <c r="BJ29" i="9"/>
  <c r="BK29" i="9"/>
  <c r="BD29" i="9"/>
  <c r="BC29" i="9"/>
  <c r="BE29" i="9"/>
  <c r="AC47" i="9"/>
  <c r="AV47" i="9" s="1"/>
  <c r="Z47" i="9"/>
  <c r="P46" i="9"/>
  <c r="I46" i="9"/>
  <c r="V46" i="9"/>
  <c r="AE46" i="9" s="1"/>
  <c r="AU46" i="9" s="1"/>
  <c r="R47" i="9"/>
  <c r="W47" i="9"/>
  <c r="T48" i="9"/>
  <c r="X48" i="9" s="1"/>
  <c r="AA46" i="9"/>
  <c r="AW46" i="9" s="1"/>
  <c r="AD46" i="9"/>
  <c r="AB46" i="9"/>
  <c r="S48" i="9"/>
  <c r="D49" i="9"/>
  <c r="K49" i="9" s="1"/>
  <c r="F49" i="9"/>
  <c r="M49" i="9" s="1"/>
  <c r="G49" i="9"/>
  <c r="N49" i="9" s="1"/>
  <c r="H49" i="9"/>
  <c r="O49" i="9" s="1"/>
  <c r="E49" i="9"/>
  <c r="L49" i="9" s="1"/>
  <c r="C51" i="9"/>
  <c r="B50" i="9"/>
  <c r="AZ31" i="5"/>
  <c r="E31" i="8"/>
  <c r="P31" i="8" s="1"/>
  <c r="Y33" i="6"/>
  <c r="AF33" i="6" s="1"/>
  <c r="X33" i="6"/>
  <c r="AE33" i="6" s="1"/>
  <c r="W33" i="6"/>
  <c r="AD33" i="6" s="1"/>
  <c r="V33" i="6"/>
  <c r="AC33" i="6" s="1"/>
  <c r="AE32" i="6"/>
  <c r="X31" i="6"/>
  <c r="AE31" i="6" s="1"/>
  <c r="AF32" i="6"/>
  <c r="Y31" i="6"/>
  <c r="AF31" i="6" s="1"/>
  <c r="AD32" i="6"/>
  <c r="W31" i="6"/>
  <c r="AD31" i="6" s="1"/>
  <c r="AC32" i="6"/>
  <c r="V31" i="6"/>
  <c r="AC31" i="6" s="1"/>
  <c r="P47" i="9" l="1"/>
  <c r="I47" i="9"/>
  <c r="V47" i="9"/>
  <c r="AE47" i="9" s="1"/>
  <c r="AU47" i="9" s="1"/>
  <c r="R48" i="9"/>
  <c r="W48" i="9"/>
  <c r="AC48" i="9"/>
  <c r="AV48" i="9" s="1"/>
  <c r="Z48" i="9"/>
  <c r="AB47" i="9"/>
  <c r="AA47" i="9"/>
  <c r="AW47" i="9" s="1"/>
  <c r="AD47" i="9"/>
  <c r="S49" i="9"/>
  <c r="H50" i="9"/>
  <c r="O50" i="9" s="1"/>
  <c r="E50" i="9"/>
  <c r="L50" i="9" s="1"/>
  <c r="D50" i="9"/>
  <c r="K50" i="9" s="1"/>
  <c r="F50" i="9"/>
  <c r="M50" i="9" s="1"/>
  <c r="G50" i="9"/>
  <c r="N50" i="9" s="1"/>
  <c r="T49" i="9"/>
  <c r="X49" i="9" s="1"/>
  <c r="C52" i="9"/>
  <c r="B51" i="9"/>
  <c r="AP30" i="5"/>
  <c r="AR30" i="5"/>
  <c r="AQ30" i="5"/>
  <c r="J30" i="7"/>
  <c r="F30" i="7"/>
  <c r="AO30" i="9" s="1"/>
  <c r="I30" i="7"/>
  <c r="M30" i="7"/>
  <c r="E30" i="7"/>
  <c r="AN30" i="9" s="1"/>
  <c r="N30" i="7"/>
  <c r="D30" i="6"/>
  <c r="H30" i="6" s="1"/>
  <c r="K30" i="7"/>
  <c r="H30" i="7"/>
  <c r="L30" i="7"/>
  <c r="D30" i="7"/>
  <c r="AM30" i="9" s="1"/>
  <c r="G30" i="7"/>
  <c r="AV20" i="5"/>
  <c r="H20" i="8" s="1"/>
  <c r="AW20" i="5"/>
  <c r="C35" i="6"/>
  <c r="B34" i="6"/>
  <c r="C33" i="7"/>
  <c r="B32" i="7"/>
  <c r="AU20" i="5"/>
  <c r="G20" i="8" s="1"/>
  <c r="AT20" i="5"/>
  <c r="F20" i="8" s="1"/>
  <c r="BH28" i="5"/>
  <c r="BB29" i="5"/>
  <c r="BD29" i="5"/>
  <c r="BG29" i="5"/>
  <c r="BE29" i="5"/>
  <c r="BF29" i="5"/>
  <c r="AC30" i="5"/>
  <c r="AI30" i="9" s="1"/>
  <c r="AG30" i="5"/>
  <c r="AX30" i="5" s="1"/>
  <c r="J30" i="8" s="1"/>
  <c r="AA30" i="5"/>
  <c r="R30" i="8" s="1"/>
  <c r="AB30" i="5"/>
  <c r="AH30" i="9" s="1"/>
  <c r="AE30" i="5"/>
  <c r="AI30" i="5"/>
  <c r="AH30" i="5"/>
  <c r="AY30" i="5" s="1"/>
  <c r="K30" i="8" s="1"/>
  <c r="AD30" i="5"/>
  <c r="AJ30" i="9" s="1"/>
  <c r="AF30" i="5"/>
  <c r="BC29" i="5"/>
  <c r="AJ21" i="5"/>
  <c r="S30" i="5"/>
  <c r="U30" i="5"/>
  <c r="T30" i="5"/>
  <c r="R30" i="5"/>
  <c r="H30" i="5"/>
  <c r="G30" i="5"/>
  <c r="P30" i="5"/>
  <c r="Q30" i="5"/>
  <c r="L30" i="5"/>
  <c r="M30" i="5"/>
  <c r="F30" i="5"/>
  <c r="J30" i="5"/>
  <c r="I30" i="5"/>
  <c r="D30" i="5"/>
  <c r="E30" i="5"/>
  <c r="O30" i="5"/>
  <c r="K30" i="5"/>
  <c r="N30" i="5"/>
  <c r="C32" i="5"/>
  <c r="BA32" i="5" s="1"/>
  <c r="B31" i="5"/>
  <c r="BI30" i="9" l="1"/>
  <c r="BJ30" i="9"/>
  <c r="BE30" i="9"/>
  <c r="BK30" i="9"/>
  <c r="BC30" i="9"/>
  <c r="BD30" i="9"/>
  <c r="R49" i="9"/>
  <c r="W49" i="9"/>
  <c r="AC49" i="9"/>
  <c r="AV49" i="9" s="1"/>
  <c r="Z49" i="9"/>
  <c r="P48" i="9"/>
  <c r="V48" i="9"/>
  <c r="AE48" i="9" s="1"/>
  <c r="AU48" i="9" s="1"/>
  <c r="I48" i="9"/>
  <c r="AA48" i="9"/>
  <c r="AW48" i="9" s="1"/>
  <c r="AD48" i="9"/>
  <c r="AB48" i="9"/>
  <c r="G51" i="9"/>
  <c r="N51" i="9" s="1"/>
  <c r="H51" i="9"/>
  <c r="O51" i="9" s="1"/>
  <c r="E51" i="9"/>
  <c r="L51" i="9" s="1"/>
  <c r="D51" i="9"/>
  <c r="K51" i="9" s="1"/>
  <c r="F51" i="9"/>
  <c r="M51" i="9" s="1"/>
  <c r="T50" i="9"/>
  <c r="X50" i="9" s="1"/>
  <c r="S50" i="9"/>
  <c r="C53" i="9"/>
  <c r="B52" i="9"/>
  <c r="AZ32" i="5"/>
  <c r="E32" i="8"/>
  <c r="P32" i="8" s="1"/>
  <c r="Y34" i="6"/>
  <c r="AF34" i="6" s="1"/>
  <c r="X34" i="6"/>
  <c r="AE34" i="6" s="1"/>
  <c r="W34" i="6"/>
  <c r="AD34" i="6" s="1"/>
  <c r="V34" i="6"/>
  <c r="AC34" i="6" s="1"/>
  <c r="I31" i="7"/>
  <c r="H31" i="7"/>
  <c r="F31" i="7"/>
  <c r="AO31" i="9" s="1"/>
  <c r="D31" i="7"/>
  <c r="AM31" i="9" s="1"/>
  <c r="J31" i="7"/>
  <c r="G31" i="7"/>
  <c r="K31" i="7"/>
  <c r="M31" i="7"/>
  <c r="L31" i="7"/>
  <c r="N31" i="7"/>
  <c r="E31" i="7"/>
  <c r="AN31" i="9" s="1"/>
  <c r="D31" i="6"/>
  <c r="H31" i="6" s="1"/>
  <c r="AV21" i="5"/>
  <c r="H21" i="8" s="1"/>
  <c r="AW21" i="5"/>
  <c r="C36" i="6"/>
  <c r="B35" i="6"/>
  <c r="B33" i="7"/>
  <c r="C34" i="7"/>
  <c r="AU21" i="5"/>
  <c r="G21" i="8" s="1"/>
  <c r="AT21" i="5"/>
  <c r="F21" i="8" s="1"/>
  <c r="BH29" i="5"/>
  <c r="BB30" i="5"/>
  <c r="BD30" i="5"/>
  <c r="BE30" i="5"/>
  <c r="BF30" i="5"/>
  <c r="AI31" i="5"/>
  <c r="AE31" i="5"/>
  <c r="AH31" i="5"/>
  <c r="AY31" i="5" s="1"/>
  <c r="K31" i="8" s="1"/>
  <c r="AF31" i="5"/>
  <c r="AA31" i="5"/>
  <c r="R31" i="8" s="1"/>
  <c r="AB31" i="5"/>
  <c r="AH31" i="9" s="1"/>
  <c r="AC31" i="5"/>
  <c r="AI31" i="9" s="1"/>
  <c r="AG31" i="5"/>
  <c r="AD31" i="5"/>
  <c r="AJ31" i="9" s="1"/>
  <c r="BG30" i="5"/>
  <c r="BC30" i="5"/>
  <c r="AJ22" i="5"/>
  <c r="U31" i="5"/>
  <c r="S31" i="5"/>
  <c r="Q31" i="5"/>
  <c r="H31" i="5"/>
  <c r="R31" i="5"/>
  <c r="N31" i="5"/>
  <c r="T31" i="5"/>
  <c r="O31" i="5"/>
  <c r="E31" i="5"/>
  <c r="P31" i="5"/>
  <c r="I31" i="5"/>
  <c r="G31" i="5"/>
  <c r="M31" i="5"/>
  <c r="K31" i="5"/>
  <c r="D31" i="5"/>
  <c r="J31" i="5"/>
  <c r="L31" i="5"/>
  <c r="F31" i="5"/>
  <c r="C33" i="5"/>
  <c r="BA33" i="5" s="1"/>
  <c r="B32" i="5"/>
  <c r="AS32" i="5" s="1"/>
  <c r="AS31" i="5" s="1"/>
  <c r="BK31" i="9" l="1"/>
  <c r="BJ31" i="9"/>
  <c r="BI31" i="9"/>
  <c r="BC31" i="9"/>
  <c r="BD31" i="9"/>
  <c r="BE31" i="9"/>
  <c r="R50" i="9"/>
  <c r="W50" i="9"/>
  <c r="AC50" i="9"/>
  <c r="AV50" i="9" s="1"/>
  <c r="Z50" i="9"/>
  <c r="AD49" i="9"/>
  <c r="AB49" i="9"/>
  <c r="AA49" i="9"/>
  <c r="AW49" i="9" s="1"/>
  <c r="P49" i="9"/>
  <c r="I49" i="9"/>
  <c r="V49" i="9"/>
  <c r="AE49" i="9" s="1"/>
  <c r="AU49" i="9" s="1"/>
  <c r="G52" i="9"/>
  <c r="N52" i="9" s="1"/>
  <c r="D52" i="9"/>
  <c r="K52" i="9" s="1"/>
  <c r="H52" i="9"/>
  <c r="O52" i="9" s="1"/>
  <c r="E52" i="9"/>
  <c r="L52" i="9" s="1"/>
  <c r="F52" i="9"/>
  <c r="M52" i="9" s="1"/>
  <c r="S51" i="9"/>
  <c r="T51" i="9"/>
  <c r="X51" i="9" s="1"/>
  <c r="B53" i="9"/>
  <c r="C54" i="9"/>
  <c r="AZ33" i="5"/>
  <c r="E33" i="8"/>
  <c r="P33" i="8" s="1"/>
  <c r="X35" i="6"/>
  <c r="AE35" i="6" s="1"/>
  <c r="Y35" i="6"/>
  <c r="AF35" i="6" s="1"/>
  <c r="W35" i="6"/>
  <c r="AD35" i="6" s="1"/>
  <c r="V35" i="6"/>
  <c r="AC35" i="6" s="1"/>
  <c r="AP32" i="5"/>
  <c r="AP31" i="5" s="1"/>
  <c r="AR32" i="5"/>
  <c r="AR31" i="5" s="1"/>
  <c r="AX31" i="5" s="1"/>
  <c r="J31" i="8" s="1"/>
  <c r="AQ32" i="5"/>
  <c r="AQ31" i="5" s="1"/>
  <c r="J32" i="7"/>
  <c r="M32" i="7"/>
  <c r="N32" i="7"/>
  <c r="H32" i="7"/>
  <c r="D32" i="6"/>
  <c r="H32" i="6" s="1"/>
  <c r="G32" i="7"/>
  <c r="D32" i="7"/>
  <c r="AM32" i="9" s="1"/>
  <c r="K32" i="7"/>
  <c r="I32" i="7"/>
  <c r="L32" i="7"/>
  <c r="F32" i="7"/>
  <c r="AO32" i="9" s="1"/>
  <c r="E32" i="7"/>
  <c r="AN32" i="9" s="1"/>
  <c r="AV22" i="5"/>
  <c r="H22" i="8" s="1"/>
  <c r="AW22" i="5"/>
  <c r="C37" i="6"/>
  <c r="B36" i="6"/>
  <c r="B34" i="7"/>
  <c r="C35" i="7"/>
  <c r="AU22" i="5"/>
  <c r="G22" i="8" s="1"/>
  <c r="AT22" i="5"/>
  <c r="F22" i="8" s="1"/>
  <c r="BH30" i="5"/>
  <c r="BD31" i="5"/>
  <c r="BE31" i="5"/>
  <c r="BC31" i="5"/>
  <c r="BF31" i="5"/>
  <c r="BB31" i="5"/>
  <c r="BG31" i="5"/>
  <c r="AG32" i="5"/>
  <c r="AH32" i="5"/>
  <c r="AY32" i="5" s="1"/>
  <c r="K32" i="8" s="1"/>
  <c r="AE32" i="5"/>
  <c r="AI32" i="5"/>
  <c r="AD32" i="5"/>
  <c r="AJ32" i="9" s="1"/>
  <c r="AF32" i="5"/>
  <c r="AC32" i="5"/>
  <c r="AI32" i="9" s="1"/>
  <c r="AA32" i="5"/>
  <c r="R32" i="8" s="1"/>
  <c r="AB32" i="5"/>
  <c r="AH32" i="9" s="1"/>
  <c r="AJ23" i="5"/>
  <c r="U32" i="5"/>
  <c r="T32" i="5"/>
  <c r="S32" i="5"/>
  <c r="I32" i="5"/>
  <c r="K32" i="5"/>
  <c r="P32" i="5"/>
  <c r="E32" i="5"/>
  <c r="O32" i="5"/>
  <c r="N32" i="5"/>
  <c r="M32" i="5"/>
  <c r="G32" i="5"/>
  <c r="J32" i="5"/>
  <c r="R32" i="5"/>
  <c r="Q32" i="5"/>
  <c r="D32" i="5"/>
  <c r="L32" i="5"/>
  <c r="F32" i="5"/>
  <c r="H32" i="5"/>
  <c r="C34" i="5"/>
  <c r="BA34" i="5" s="1"/>
  <c r="B33" i="5"/>
  <c r="AS33" i="5" s="1"/>
  <c r="BI32" i="9" l="1"/>
  <c r="BJ32" i="9"/>
  <c r="BK32" i="9"/>
  <c r="BE32" i="9"/>
  <c r="BD32" i="9"/>
  <c r="BC32" i="9"/>
  <c r="AC51" i="9"/>
  <c r="AV51" i="9" s="1"/>
  <c r="Z51" i="9"/>
  <c r="R51" i="9"/>
  <c r="W51" i="9"/>
  <c r="AA50" i="9"/>
  <c r="AW50" i="9" s="1"/>
  <c r="AD50" i="9"/>
  <c r="AB50" i="9"/>
  <c r="P50" i="9"/>
  <c r="I50" i="9"/>
  <c r="V50" i="9"/>
  <c r="AE50" i="9" s="1"/>
  <c r="AU50" i="9" s="1"/>
  <c r="S52" i="9"/>
  <c r="E53" i="9"/>
  <c r="L53" i="9" s="1"/>
  <c r="H53" i="9"/>
  <c r="O53" i="9" s="1"/>
  <c r="F53" i="9"/>
  <c r="M53" i="9" s="1"/>
  <c r="D53" i="9"/>
  <c r="K53" i="9" s="1"/>
  <c r="G53" i="9"/>
  <c r="N53" i="9" s="1"/>
  <c r="T52" i="9"/>
  <c r="X52" i="9" s="1"/>
  <c r="C55" i="9"/>
  <c r="B54" i="9"/>
  <c r="AZ34" i="5"/>
  <c r="E34" i="8"/>
  <c r="P34" i="8" s="1"/>
  <c r="AX32" i="5"/>
  <c r="J32" i="8" s="1"/>
  <c r="Y36" i="6"/>
  <c r="X36" i="6"/>
  <c r="W36" i="6"/>
  <c r="V36" i="6"/>
  <c r="AP33" i="5"/>
  <c r="AR33" i="5"/>
  <c r="AQ33" i="5"/>
  <c r="H33" i="7"/>
  <c r="D33" i="6"/>
  <c r="H33" i="6" s="1"/>
  <c r="E33" i="7"/>
  <c r="AN33" i="9" s="1"/>
  <c r="M33" i="7"/>
  <c r="D33" i="7"/>
  <c r="AM33" i="9" s="1"/>
  <c r="G33" i="7"/>
  <c r="K33" i="7"/>
  <c r="L33" i="7"/>
  <c r="N33" i="7"/>
  <c r="I33" i="7"/>
  <c r="F33" i="7"/>
  <c r="AO33" i="9" s="1"/>
  <c r="BK33" i="9" s="1"/>
  <c r="J33" i="7"/>
  <c r="AV23" i="5"/>
  <c r="H23" i="8" s="1"/>
  <c r="AW23" i="5"/>
  <c r="B37" i="6"/>
  <c r="C38" i="6"/>
  <c r="C36" i="7"/>
  <c r="B35" i="7"/>
  <c r="AU23" i="5"/>
  <c r="G23" i="8" s="1"/>
  <c r="AT23" i="5"/>
  <c r="F23" i="8" s="1"/>
  <c r="BH31" i="5"/>
  <c r="BD32" i="5"/>
  <c r="BG32" i="5"/>
  <c r="BF32" i="5"/>
  <c r="AA33" i="5"/>
  <c r="R33" i="8" s="1"/>
  <c r="AB33" i="5"/>
  <c r="AH33" i="9" s="1"/>
  <c r="AH33" i="5"/>
  <c r="AY33" i="5" s="1"/>
  <c r="K33" i="8" s="1"/>
  <c r="AF33" i="5"/>
  <c r="AD33" i="5"/>
  <c r="AJ33" i="9" s="1"/>
  <c r="AI33" i="5"/>
  <c r="AC33" i="5"/>
  <c r="AI33" i="9" s="1"/>
  <c r="AG33" i="5"/>
  <c r="AE33" i="5"/>
  <c r="BC32" i="5"/>
  <c r="BB32" i="5"/>
  <c r="BE32" i="5"/>
  <c r="AJ24" i="5"/>
  <c r="R33" i="5"/>
  <c r="T33" i="5"/>
  <c r="S33" i="5"/>
  <c r="K33" i="5"/>
  <c r="D33" i="5"/>
  <c r="U33" i="5"/>
  <c r="P33" i="5"/>
  <c r="N33" i="5"/>
  <c r="I33" i="5"/>
  <c r="M33" i="5"/>
  <c r="Q33" i="5"/>
  <c r="H33" i="5"/>
  <c r="J33" i="5"/>
  <c r="L33" i="5"/>
  <c r="E33" i="5"/>
  <c r="F33" i="5"/>
  <c r="O33" i="5"/>
  <c r="G33" i="5"/>
  <c r="C35" i="5"/>
  <c r="BA35" i="5" s="1"/>
  <c r="B34" i="5"/>
  <c r="AS34" i="5" s="1"/>
  <c r="BI33" i="9" l="1"/>
  <c r="BJ33" i="9"/>
  <c r="T53" i="9"/>
  <c r="X53" i="9" s="1"/>
  <c r="AC53" i="9" s="1"/>
  <c r="AV53" i="9" s="1"/>
  <c r="BC33" i="9"/>
  <c r="BD33" i="9"/>
  <c r="BE33" i="9"/>
  <c r="Z53" i="9"/>
  <c r="AD51" i="9"/>
  <c r="AB51" i="9"/>
  <c r="AA51" i="9"/>
  <c r="AW51" i="9" s="1"/>
  <c r="AC52" i="9"/>
  <c r="AV52" i="9" s="1"/>
  <c r="Z52" i="9"/>
  <c r="P51" i="9"/>
  <c r="V51" i="9"/>
  <c r="AE51" i="9" s="1"/>
  <c r="AU51" i="9" s="1"/>
  <c r="I51" i="9"/>
  <c r="R52" i="9"/>
  <c r="W52" i="9"/>
  <c r="D54" i="9"/>
  <c r="K54" i="9" s="1"/>
  <c r="G54" i="9"/>
  <c r="N54" i="9" s="1"/>
  <c r="T54" i="9" s="1"/>
  <c r="X54" i="9" s="1"/>
  <c r="E54" i="9"/>
  <c r="L54" i="9" s="1"/>
  <c r="H54" i="9"/>
  <c r="O54" i="9" s="1"/>
  <c r="F54" i="9"/>
  <c r="M54" i="9" s="1"/>
  <c r="S53" i="9"/>
  <c r="C56" i="9"/>
  <c r="B55" i="9"/>
  <c r="AZ35" i="5"/>
  <c r="E35" i="8"/>
  <c r="P35" i="8" s="1"/>
  <c r="AX33" i="5"/>
  <c r="J33" i="8" s="1"/>
  <c r="AD36" i="6"/>
  <c r="AC36" i="6"/>
  <c r="AE36" i="6"/>
  <c r="AF36" i="6"/>
  <c r="AP34" i="5"/>
  <c r="AR34" i="5"/>
  <c r="AQ34" i="5"/>
  <c r="L34" i="7"/>
  <c r="J34" i="7"/>
  <c r="K34" i="7"/>
  <c r="G34" i="7"/>
  <c r="D34" i="6"/>
  <c r="H34" i="6" s="1"/>
  <c r="N34" i="7"/>
  <c r="M34" i="7"/>
  <c r="H34" i="7"/>
  <c r="D34" i="7"/>
  <c r="AM34" i="9" s="1"/>
  <c r="E34" i="7"/>
  <c r="AN34" i="9" s="1"/>
  <c r="F34" i="7"/>
  <c r="AO34" i="9" s="1"/>
  <c r="I34" i="7"/>
  <c r="AV24" i="5"/>
  <c r="H24" i="8" s="1"/>
  <c r="AW24" i="5"/>
  <c r="B38" i="6"/>
  <c r="C39" i="6"/>
  <c r="C37" i="7"/>
  <c r="B36" i="7"/>
  <c r="AT24" i="5"/>
  <c r="F24" i="8" s="1"/>
  <c r="AU24" i="5"/>
  <c r="G24" i="8" s="1"/>
  <c r="BH32" i="5"/>
  <c r="BF33" i="5"/>
  <c r="BD33" i="5"/>
  <c r="BG33" i="5"/>
  <c r="BC33" i="5"/>
  <c r="BB33" i="5"/>
  <c r="BE33" i="5"/>
  <c r="AG34" i="5"/>
  <c r="AI34" i="5"/>
  <c r="AF34" i="5"/>
  <c r="AH34" i="5"/>
  <c r="AY34" i="5" s="1"/>
  <c r="K34" i="8" s="1"/>
  <c r="AA34" i="5"/>
  <c r="R34" i="8" s="1"/>
  <c r="AB34" i="5"/>
  <c r="AH34" i="9" s="1"/>
  <c r="AD34" i="5"/>
  <c r="AJ34" i="9" s="1"/>
  <c r="AC34" i="5"/>
  <c r="AI34" i="9" s="1"/>
  <c r="AE34" i="5"/>
  <c r="AJ25" i="5"/>
  <c r="U34" i="5"/>
  <c r="T34" i="5"/>
  <c r="E34" i="5"/>
  <c r="H34" i="5"/>
  <c r="Q34" i="5"/>
  <c r="P34" i="5"/>
  <c r="L34" i="5"/>
  <c r="R34" i="5"/>
  <c r="S34" i="5"/>
  <c r="J34" i="5"/>
  <c r="D34" i="5"/>
  <c r="M34" i="5"/>
  <c r="G34" i="5"/>
  <c r="O34" i="5"/>
  <c r="F34" i="5"/>
  <c r="K34" i="5"/>
  <c r="N34" i="5"/>
  <c r="I34" i="5"/>
  <c r="C36" i="5"/>
  <c r="BA36" i="5" s="1"/>
  <c r="B35" i="5"/>
  <c r="AS35" i="5" s="1"/>
  <c r="BI34" i="9" l="1"/>
  <c r="BK34" i="9"/>
  <c r="BJ34" i="9"/>
  <c r="BE34" i="9"/>
  <c r="BD34" i="9"/>
  <c r="BC34" i="9"/>
  <c r="AA52" i="9"/>
  <c r="AW52" i="9" s="1"/>
  <c r="AD52" i="9"/>
  <c r="AB52" i="9"/>
  <c r="R53" i="9"/>
  <c r="W53" i="9"/>
  <c r="P52" i="9"/>
  <c r="V52" i="9"/>
  <c r="AE52" i="9" s="1"/>
  <c r="AU52" i="9" s="1"/>
  <c r="I52" i="9"/>
  <c r="AC54" i="9"/>
  <c r="AV54" i="9" s="1"/>
  <c r="Z54" i="9"/>
  <c r="S54" i="9"/>
  <c r="F55" i="9"/>
  <c r="M55" i="9" s="1"/>
  <c r="D55" i="9"/>
  <c r="K55" i="9" s="1"/>
  <c r="G55" i="9"/>
  <c r="N55" i="9" s="1"/>
  <c r="E55" i="9"/>
  <c r="L55" i="9" s="1"/>
  <c r="H55" i="9"/>
  <c r="O55" i="9" s="1"/>
  <c r="C57" i="9"/>
  <c r="B56" i="9"/>
  <c r="AZ36" i="5"/>
  <c r="E36" i="8"/>
  <c r="P36" i="8" s="1"/>
  <c r="AX34" i="5"/>
  <c r="J34" i="8" s="1"/>
  <c r="X38" i="6"/>
  <c r="W38" i="6"/>
  <c r="V38" i="6"/>
  <c r="Y38" i="6"/>
  <c r="R54" i="9" l="1"/>
  <c r="W54" i="9"/>
  <c r="AB53" i="9"/>
  <c r="AA53" i="9"/>
  <c r="AW53" i="9" s="1"/>
  <c r="AD53" i="9"/>
  <c r="P53" i="9"/>
  <c r="V53" i="9"/>
  <c r="AE53" i="9" s="1"/>
  <c r="AU53" i="9" s="1"/>
  <c r="I53" i="9"/>
  <c r="T55" i="9"/>
  <c r="X55" i="9" s="1"/>
  <c r="F56" i="9"/>
  <c r="M56" i="9" s="1"/>
  <c r="G56" i="9"/>
  <c r="N56" i="9" s="1"/>
  <c r="H56" i="9"/>
  <c r="O56" i="9" s="1"/>
  <c r="E56" i="9"/>
  <c r="L56" i="9" s="1"/>
  <c r="D56" i="9"/>
  <c r="K56" i="9" s="1"/>
  <c r="S55" i="9"/>
  <c r="C58" i="9"/>
  <c r="B57" i="9"/>
  <c r="AC38" i="6"/>
  <c r="V37" i="6"/>
  <c r="AC37" i="6" s="1"/>
  <c r="AD38" i="6"/>
  <c r="W37" i="6"/>
  <c r="AD37" i="6" s="1"/>
  <c r="AF38" i="6"/>
  <c r="Y37" i="6"/>
  <c r="AF37" i="6" s="1"/>
  <c r="AE38" i="6"/>
  <c r="X37" i="6"/>
  <c r="AE37" i="6" s="1"/>
  <c r="AP35" i="5"/>
  <c r="AR35" i="5"/>
  <c r="AQ35" i="5"/>
  <c r="D35" i="7"/>
  <c r="AM35" i="9" s="1"/>
  <c r="D35" i="6"/>
  <c r="H35" i="6" s="1"/>
  <c r="L35" i="7"/>
  <c r="F35" i="7"/>
  <c r="AO35" i="9" s="1"/>
  <c r="H35" i="7"/>
  <c r="I35" i="7"/>
  <c r="K35" i="7"/>
  <c r="J35" i="7"/>
  <c r="M35" i="7"/>
  <c r="N35" i="7"/>
  <c r="G35" i="7"/>
  <c r="E35" i="7"/>
  <c r="AN35" i="9" s="1"/>
  <c r="AV25" i="5"/>
  <c r="H25" i="8" s="1"/>
  <c r="AW25" i="5"/>
  <c r="C40" i="6"/>
  <c r="B39" i="6"/>
  <c r="B37" i="7"/>
  <c r="C38" i="7"/>
  <c r="AT25" i="5"/>
  <c r="F25" i="8" s="1"/>
  <c r="AU25" i="5"/>
  <c r="G25" i="8" s="1"/>
  <c r="BH33" i="5"/>
  <c r="BF34" i="5"/>
  <c r="BG34" i="5"/>
  <c r="BD34" i="5"/>
  <c r="BE34" i="5"/>
  <c r="BB34" i="5"/>
  <c r="BC34" i="5"/>
  <c r="AC35" i="5"/>
  <c r="AI35" i="9" s="1"/>
  <c r="AF35" i="5"/>
  <c r="AA35" i="5"/>
  <c r="R35" i="8" s="1"/>
  <c r="AE35" i="5"/>
  <c r="AB35" i="5"/>
  <c r="AH35" i="9" s="1"/>
  <c r="AH35" i="5"/>
  <c r="AY35" i="5" s="1"/>
  <c r="K35" i="8" s="1"/>
  <c r="AD35" i="5"/>
  <c r="AJ35" i="9" s="1"/>
  <c r="AI35" i="5"/>
  <c r="AG35" i="5"/>
  <c r="AX35" i="5" s="1"/>
  <c r="J35" i="8" s="1"/>
  <c r="AJ26" i="5"/>
  <c r="U35" i="5"/>
  <c r="S35" i="5"/>
  <c r="T35" i="5"/>
  <c r="O35" i="5"/>
  <c r="E35" i="5"/>
  <c r="Q35" i="5"/>
  <c r="D35" i="5"/>
  <c r="N35" i="5"/>
  <c r="I35" i="5"/>
  <c r="M35" i="5"/>
  <c r="G35" i="5"/>
  <c r="J35" i="5"/>
  <c r="P35" i="5"/>
  <c r="F35" i="5"/>
  <c r="R35" i="5"/>
  <c r="H35" i="5"/>
  <c r="L35" i="5"/>
  <c r="K35" i="5"/>
  <c r="C37" i="5"/>
  <c r="BA37" i="5" s="1"/>
  <c r="B36" i="5"/>
  <c r="AS36" i="5" s="1"/>
  <c r="BI35" i="9" l="1"/>
  <c r="BJ35" i="9"/>
  <c r="BK35" i="9"/>
  <c r="BE35" i="9"/>
  <c r="BD35" i="9"/>
  <c r="BC35" i="9"/>
  <c r="AC55" i="9"/>
  <c r="AV55" i="9" s="1"/>
  <c r="Z55" i="9"/>
  <c r="R55" i="9"/>
  <c r="W55" i="9"/>
  <c r="AA54" i="9"/>
  <c r="AW54" i="9" s="1"/>
  <c r="AB54" i="9"/>
  <c r="AD54" i="9"/>
  <c r="P54" i="9"/>
  <c r="V54" i="9"/>
  <c r="AE54" i="9" s="1"/>
  <c r="AU54" i="9" s="1"/>
  <c r="I54" i="9"/>
  <c r="T56" i="9"/>
  <c r="X56" i="9" s="1"/>
  <c r="G57" i="9"/>
  <c r="N57" i="9" s="1"/>
  <c r="H57" i="9"/>
  <c r="O57" i="9" s="1"/>
  <c r="D57" i="9"/>
  <c r="K57" i="9" s="1"/>
  <c r="E57" i="9"/>
  <c r="L57" i="9" s="1"/>
  <c r="F57" i="9"/>
  <c r="M57" i="9" s="1"/>
  <c r="S56" i="9"/>
  <c r="C59" i="9"/>
  <c r="B58" i="9"/>
  <c r="AZ37" i="5"/>
  <c r="E37" i="8"/>
  <c r="P37" i="8" s="1"/>
  <c r="V39" i="6"/>
  <c r="AC39" i="6" s="1"/>
  <c r="Y39" i="6"/>
  <c r="AF39" i="6" s="1"/>
  <c r="X39" i="6"/>
  <c r="AE39" i="6" s="1"/>
  <c r="W39" i="6"/>
  <c r="AD39" i="6" s="1"/>
  <c r="AP36" i="5"/>
  <c r="AR36" i="5"/>
  <c r="AQ36" i="5"/>
  <c r="L36" i="7"/>
  <c r="M36" i="7"/>
  <c r="K36" i="7"/>
  <c r="D36" i="7"/>
  <c r="AM36" i="9" s="1"/>
  <c r="D36" i="6"/>
  <c r="H36" i="6" s="1"/>
  <c r="I36" i="7"/>
  <c r="E36" i="7"/>
  <c r="AN36" i="9" s="1"/>
  <c r="F36" i="7"/>
  <c r="AO36" i="9" s="1"/>
  <c r="J36" i="7"/>
  <c r="G36" i="7"/>
  <c r="H36" i="7"/>
  <c r="N36" i="7"/>
  <c r="AV26" i="5"/>
  <c r="H26" i="8" s="1"/>
  <c r="AW26" i="5"/>
  <c r="C41" i="6"/>
  <c r="B40" i="6"/>
  <c r="C39" i="7"/>
  <c r="B38" i="7"/>
  <c r="AT26" i="5"/>
  <c r="F26" i="8" s="1"/>
  <c r="AU26" i="5"/>
  <c r="G26" i="8" s="1"/>
  <c r="BC35" i="5"/>
  <c r="BH34" i="5"/>
  <c r="BE35" i="5"/>
  <c r="BD35" i="5"/>
  <c r="BF35" i="5"/>
  <c r="BB35" i="5"/>
  <c r="BG35" i="5"/>
  <c r="AF36" i="5"/>
  <c r="AG36" i="5"/>
  <c r="AH36" i="5"/>
  <c r="AY36" i="5" s="1"/>
  <c r="K36" i="8" s="1"/>
  <c r="AA36" i="5"/>
  <c r="R36" i="8" s="1"/>
  <c r="AC36" i="5"/>
  <c r="AI36" i="9" s="1"/>
  <c r="AB36" i="5"/>
  <c r="AH36" i="9" s="1"/>
  <c r="AE36" i="5"/>
  <c r="AI36" i="5"/>
  <c r="AD36" i="5"/>
  <c r="AJ36" i="9" s="1"/>
  <c r="AJ27" i="5"/>
  <c r="S36" i="5"/>
  <c r="T36" i="5"/>
  <c r="P36" i="5"/>
  <c r="F36" i="5"/>
  <c r="G36" i="5"/>
  <c r="I36" i="5"/>
  <c r="L36" i="5"/>
  <c r="R36" i="5"/>
  <c r="E36" i="5"/>
  <c r="Q36" i="5"/>
  <c r="D36" i="5"/>
  <c r="K36" i="5"/>
  <c r="H36" i="5"/>
  <c r="O36" i="5"/>
  <c r="M36" i="5"/>
  <c r="N36" i="5"/>
  <c r="U36" i="5"/>
  <c r="J36" i="5"/>
  <c r="C38" i="5"/>
  <c r="BA38" i="5" s="1"/>
  <c r="B37" i="5"/>
  <c r="BJ36" i="9" l="1"/>
  <c r="BI36" i="9"/>
  <c r="BK36" i="9"/>
  <c r="BC36" i="9"/>
  <c r="BD36" i="9"/>
  <c r="BE36" i="9"/>
  <c r="AC56" i="9"/>
  <c r="AV56" i="9" s="1"/>
  <c r="Z56" i="9"/>
  <c r="R56" i="9"/>
  <c r="W56" i="9"/>
  <c r="AD55" i="9"/>
  <c r="AB55" i="9"/>
  <c r="AA55" i="9"/>
  <c r="AW55" i="9" s="1"/>
  <c r="P55" i="9"/>
  <c r="I55" i="9"/>
  <c r="V55" i="9"/>
  <c r="AE55" i="9" s="1"/>
  <c r="AU55" i="9" s="1"/>
  <c r="F58" i="9"/>
  <c r="M58" i="9" s="1"/>
  <c r="D58" i="9"/>
  <c r="K58" i="9" s="1"/>
  <c r="G58" i="9"/>
  <c r="N58" i="9" s="1"/>
  <c r="E58" i="9"/>
  <c r="L58" i="9" s="1"/>
  <c r="H58" i="9"/>
  <c r="O58" i="9" s="1"/>
  <c r="S57" i="9"/>
  <c r="T57" i="9"/>
  <c r="X57" i="9" s="1"/>
  <c r="B59" i="9"/>
  <c r="C60" i="9"/>
  <c r="AX36" i="5"/>
  <c r="J36" i="8" s="1"/>
  <c r="AZ38" i="5"/>
  <c r="E38" i="8"/>
  <c r="P38" i="8" s="1"/>
  <c r="X40" i="6"/>
  <c r="AE40" i="6" s="1"/>
  <c r="V40" i="6"/>
  <c r="AC40" i="6" s="1"/>
  <c r="W40" i="6"/>
  <c r="AD40" i="6" s="1"/>
  <c r="Y40" i="6"/>
  <c r="AF40" i="6" s="1"/>
  <c r="L37" i="7"/>
  <c r="J37" i="7"/>
  <c r="K37" i="7"/>
  <c r="F37" i="7"/>
  <c r="AO37" i="9" s="1"/>
  <c r="H37" i="7"/>
  <c r="E37" i="7"/>
  <c r="AN37" i="9" s="1"/>
  <c r="D37" i="6"/>
  <c r="H37" i="6" s="1"/>
  <c r="M37" i="7"/>
  <c r="G37" i="7"/>
  <c r="I37" i="7"/>
  <c r="N37" i="7"/>
  <c r="D37" i="7"/>
  <c r="AM37" i="9" s="1"/>
  <c r="BI37" i="9" s="1"/>
  <c r="AV27" i="5"/>
  <c r="H27" i="8" s="1"/>
  <c r="AW27" i="5"/>
  <c r="B41" i="6"/>
  <c r="C42" i="6"/>
  <c r="C40" i="7"/>
  <c r="B39" i="7"/>
  <c r="AT27" i="5"/>
  <c r="F27" i="8" s="1"/>
  <c r="AU27" i="5"/>
  <c r="G27" i="8" s="1"/>
  <c r="BH35" i="5"/>
  <c r="BF36" i="5"/>
  <c r="BE36" i="5"/>
  <c r="BB36" i="5"/>
  <c r="BG36" i="5"/>
  <c r="BC36" i="5"/>
  <c r="BD36" i="5"/>
  <c r="AE37" i="5"/>
  <c r="AI37" i="5"/>
  <c r="AA37" i="5"/>
  <c r="R37" i="8" s="1"/>
  <c r="AH37" i="5"/>
  <c r="AC37" i="5"/>
  <c r="AI37" i="9" s="1"/>
  <c r="AD37" i="5"/>
  <c r="AJ37" i="9" s="1"/>
  <c r="AF37" i="5"/>
  <c r="AB37" i="5"/>
  <c r="AH37" i="9" s="1"/>
  <c r="AG37" i="5"/>
  <c r="AJ28" i="5"/>
  <c r="U37" i="5"/>
  <c r="K37" i="5"/>
  <c r="P37" i="5"/>
  <c r="I37" i="5"/>
  <c r="Q37" i="5"/>
  <c r="E37" i="5"/>
  <c r="S37" i="5"/>
  <c r="H37" i="5"/>
  <c r="L37" i="5"/>
  <c r="R37" i="5"/>
  <c r="N37" i="5"/>
  <c r="T37" i="5"/>
  <c r="F37" i="5"/>
  <c r="M37" i="5"/>
  <c r="O37" i="5"/>
  <c r="J37" i="5"/>
  <c r="G37" i="5"/>
  <c r="D37" i="5"/>
  <c r="C39" i="5"/>
  <c r="BA39" i="5" s="1"/>
  <c r="B38" i="5"/>
  <c r="AS38" i="5" s="1"/>
  <c r="AS37" i="5" s="1"/>
  <c r="BK37" i="9" l="1"/>
  <c r="BJ37" i="9"/>
  <c r="BD37" i="9"/>
  <c r="BE37" i="9"/>
  <c r="BC37" i="9"/>
  <c r="AC57" i="9"/>
  <c r="AV57" i="9" s="1"/>
  <c r="Z57" i="9"/>
  <c r="R57" i="9"/>
  <c r="W57" i="9"/>
  <c r="AA56" i="9"/>
  <c r="AW56" i="9" s="1"/>
  <c r="AD56" i="9"/>
  <c r="AB56" i="9"/>
  <c r="P56" i="9"/>
  <c r="V56" i="9"/>
  <c r="AE56" i="9" s="1"/>
  <c r="AU56" i="9" s="1"/>
  <c r="I56" i="9"/>
  <c r="S58" i="9"/>
  <c r="H59" i="9"/>
  <c r="O59" i="9" s="1"/>
  <c r="E59" i="9"/>
  <c r="L59" i="9" s="1"/>
  <c r="F59" i="9"/>
  <c r="M59" i="9" s="1"/>
  <c r="G59" i="9"/>
  <c r="N59" i="9" s="1"/>
  <c r="D59" i="9"/>
  <c r="K59" i="9" s="1"/>
  <c r="T58" i="9"/>
  <c r="X58" i="9" s="1"/>
  <c r="C61" i="9"/>
  <c r="B60" i="9"/>
  <c r="AY37" i="5"/>
  <c r="K37" i="8" s="1"/>
  <c r="AZ39" i="5"/>
  <c r="E39" i="8"/>
  <c r="P39" i="8" s="1"/>
  <c r="Y41" i="6"/>
  <c r="AF41" i="6" s="1"/>
  <c r="X41" i="6"/>
  <c r="AE41" i="6" s="1"/>
  <c r="V41" i="6"/>
  <c r="AC41" i="6" s="1"/>
  <c r="W41" i="6"/>
  <c r="AD41" i="6" s="1"/>
  <c r="AP38" i="5"/>
  <c r="AP37" i="5" s="1"/>
  <c r="AR38" i="5"/>
  <c r="AR37" i="5" s="1"/>
  <c r="AX37" i="5" s="1"/>
  <c r="J37" i="8" s="1"/>
  <c r="AQ38" i="5"/>
  <c r="AQ37" i="5" s="1"/>
  <c r="N38" i="7"/>
  <c r="H38" i="7"/>
  <c r="I38" i="7"/>
  <c r="J38" i="7"/>
  <c r="K38" i="7"/>
  <c r="E38" i="7"/>
  <c r="AN38" i="9" s="1"/>
  <c r="L38" i="7"/>
  <c r="D38" i="6"/>
  <c r="G38" i="7"/>
  <c r="M38" i="7"/>
  <c r="F38" i="7"/>
  <c r="AO38" i="9" s="1"/>
  <c r="D38" i="7"/>
  <c r="AM38" i="9" s="1"/>
  <c r="BI38" i="9" s="1"/>
  <c r="AV28" i="5"/>
  <c r="H28" i="8" s="1"/>
  <c r="AW28" i="5"/>
  <c r="C43" i="6"/>
  <c r="B42" i="6"/>
  <c r="C41" i="7"/>
  <c r="B40" i="7"/>
  <c r="AT28" i="5"/>
  <c r="F28" i="8" s="1"/>
  <c r="AU28" i="5"/>
  <c r="G28" i="8" s="1"/>
  <c r="BH36" i="5"/>
  <c r="BD37" i="5"/>
  <c r="BG37" i="5"/>
  <c r="BC37" i="5"/>
  <c r="AD38" i="5"/>
  <c r="AJ38" i="9" s="1"/>
  <c r="AH38" i="5"/>
  <c r="AY38" i="5" s="1"/>
  <c r="K38" i="8" s="1"/>
  <c r="AB38" i="5"/>
  <c r="AH38" i="9" s="1"/>
  <c r="AE38" i="5"/>
  <c r="AA38" i="5"/>
  <c r="R38" i="8" s="1"/>
  <c r="AI38" i="5"/>
  <c r="AG38" i="5"/>
  <c r="AC38" i="5"/>
  <c r="AI38" i="9" s="1"/>
  <c r="AF38" i="5"/>
  <c r="BE37" i="5"/>
  <c r="BF37" i="5"/>
  <c r="BB37" i="5"/>
  <c r="AJ29" i="5"/>
  <c r="U38" i="5"/>
  <c r="S38" i="5"/>
  <c r="R38" i="5"/>
  <c r="G38" i="5"/>
  <c r="F38" i="5"/>
  <c r="J38" i="5"/>
  <c r="O38" i="5"/>
  <c r="Q38" i="5"/>
  <c r="T38" i="5"/>
  <c r="K38" i="5"/>
  <c r="M38" i="5"/>
  <c r="H38" i="5"/>
  <c r="E38" i="5"/>
  <c r="L38" i="5"/>
  <c r="P38" i="5"/>
  <c r="N38" i="5"/>
  <c r="I38" i="5"/>
  <c r="D38" i="5"/>
  <c r="C40" i="5"/>
  <c r="BA40" i="5" s="1"/>
  <c r="B39" i="5"/>
  <c r="AS39" i="5" s="1"/>
  <c r="BJ38" i="9" l="1"/>
  <c r="BK38" i="9"/>
  <c r="BC38" i="9"/>
  <c r="BE38" i="9"/>
  <c r="BD38" i="9"/>
  <c r="AC58" i="9"/>
  <c r="AV58" i="9" s="1"/>
  <c r="Z58" i="9"/>
  <c r="R58" i="9"/>
  <c r="W58" i="9"/>
  <c r="AD57" i="9"/>
  <c r="AA57" i="9"/>
  <c r="AW57" i="9" s="1"/>
  <c r="AB57" i="9"/>
  <c r="P57" i="9"/>
  <c r="V57" i="9"/>
  <c r="AE57" i="9" s="1"/>
  <c r="AU57" i="9" s="1"/>
  <c r="I57" i="9"/>
  <c r="S59" i="9"/>
  <c r="H60" i="9"/>
  <c r="E60" i="9"/>
  <c r="F60" i="9"/>
  <c r="G60" i="9"/>
  <c r="D60" i="9"/>
  <c r="T59" i="9"/>
  <c r="X59" i="9" s="1"/>
  <c r="C62" i="9"/>
  <c r="B61" i="9"/>
  <c r="AZ40" i="5"/>
  <c r="E40" i="8"/>
  <c r="P40" i="8" s="1"/>
  <c r="AX38" i="5"/>
  <c r="J38" i="8" s="1"/>
  <c r="X42" i="6"/>
  <c r="W42" i="6"/>
  <c r="V42" i="6"/>
  <c r="Y42" i="6"/>
  <c r="AP39" i="5"/>
  <c r="AR39" i="5"/>
  <c r="AQ39" i="5"/>
  <c r="N39" i="7"/>
  <c r="F39" i="7"/>
  <c r="AO39" i="9" s="1"/>
  <c r="G39" i="7"/>
  <c r="E39" i="7"/>
  <c r="AN39" i="9" s="1"/>
  <c r="J39" i="7"/>
  <c r="D39" i="6"/>
  <c r="I39" i="7"/>
  <c r="H39" i="7"/>
  <c r="L39" i="7"/>
  <c r="M39" i="7"/>
  <c r="K39" i="7"/>
  <c r="D39" i="7"/>
  <c r="AM39" i="9" s="1"/>
  <c r="BI39" i="9" s="1"/>
  <c r="H38" i="6"/>
  <c r="AV29" i="5"/>
  <c r="H29" i="8" s="1"/>
  <c r="AW29" i="5"/>
  <c r="C44" i="6"/>
  <c r="B43" i="6"/>
  <c r="B41" i="7"/>
  <c r="C42" i="7"/>
  <c r="AT29" i="5"/>
  <c r="F29" i="8" s="1"/>
  <c r="AU29" i="5"/>
  <c r="G29" i="8" s="1"/>
  <c r="BB38" i="5"/>
  <c r="BH37" i="5"/>
  <c r="BF38" i="5"/>
  <c r="BC38" i="5"/>
  <c r="BD38" i="5"/>
  <c r="AG39" i="5"/>
  <c r="AE39" i="5"/>
  <c r="AC39" i="5"/>
  <c r="AI39" i="9" s="1"/>
  <c r="AA39" i="5"/>
  <c r="R39" i="8" s="1"/>
  <c r="AH39" i="5"/>
  <c r="AY39" i="5" s="1"/>
  <c r="K39" i="8" s="1"/>
  <c r="AD39" i="5"/>
  <c r="AJ39" i="9" s="1"/>
  <c r="AF39" i="5"/>
  <c r="AB39" i="5"/>
  <c r="AH39" i="9" s="1"/>
  <c r="AI39" i="5"/>
  <c r="BE38" i="5"/>
  <c r="BG38" i="5"/>
  <c r="AJ30" i="5"/>
  <c r="S39" i="5"/>
  <c r="T39" i="5"/>
  <c r="I39" i="5"/>
  <c r="Q39" i="5"/>
  <c r="N39" i="5"/>
  <c r="H39" i="5"/>
  <c r="D39" i="5"/>
  <c r="R39" i="5"/>
  <c r="U39" i="5"/>
  <c r="L39" i="5"/>
  <c r="K39" i="5"/>
  <c r="F39" i="5"/>
  <c r="P39" i="5"/>
  <c r="O39" i="5"/>
  <c r="M39" i="5"/>
  <c r="G39" i="5"/>
  <c r="E39" i="5"/>
  <c r="J39" i="5"/>
  <c r="C41" i="5"/>
  <c r="BA41" i="5" s="1"/>
  <c r="B40" i="5"/>
  <c r="AS40" i="5" s="1"/>
  <c r="BJ39" i="9" l="1"/>
  <c r="BK39" i="9"/>
  <c r="BD39" i="9"/>
  <c r="BE39" i="9"/>
  <c r="BC39" i="9"/>
  <c r="R59" i="9"/>
  <c r="W59" i="9"/>
  <c r="AC59" i="9"/>
  <c r="AV59" i="9" s="1"/>
  <c r="Z59" i="9"/>
  <c r="AA58" i="9"/>
  <c r="AW58" i="9" s="1"/>
  <c r="AD58" i="9"/>
  <c r="AB58" i="9"/>
  <c r="P58" i="9"/>
  <c r="I58" i="9"/>
  <c r="V58" i="9"/>
  <c r="AE58" i="9" s="1"/>
  <c r="AU58" i="9" s="1"/>
  <c r="K60" i="9"/>
  <c r="N60" i="9"/>
  <c r="T60" i="9" s="1"/>
  <c r="X60" i="9" s="1"/>
  <c r="M60" i="9"/>
  <c r="L60" i="9"/>
  <c r="O60" i="9"/>
  <c r="C63" i="9"/>
  <c r="B62" i="9"/>
  <c r="AZ41" i="5"/>
  <c r="E41" i="8"/>
  <c r="P41" i="8" s="1"/>
  <c r="AX39" i="5"/>
  <c r="J39" i="8" s="1"/>
  <c r="AC42" i="6"/>
  <c r="AF42" i="6"/>
  <c r="AD42" i="6"/>
  <c r="AE42" i="6"/>
  <c r="AP40" i="5"/>
  <c r="AR40" i="5"/>
  <c r="AQ40" i="5"/>
  <c r="M40" i="7"/>
  <c r="D40" i="6"/>
  <c r="I40" i="7"/>
  <c r="D40" i="7"/>
  <c r="AM40" i="9" s="1"/>
  <c r="BI40" i="9" s="1"/>
  <c r="J40" i="7"/>
  <c r="K40" i="7"/>
  <c r="H40" i="7"/>
  <c r="L40" i="7"/>
  <c r="G40" i="7"/>
  <c r="N40" i="7"/>
  <c r="F40" i="7"/>
  <c r="AO40" i="9" s="1"/>
  <c r="E40" i="7"/>
  <c r="AN40" i="9" s="1"/>
  <c r="H39" i="6"/>
  <c r="AV30" i="5"/>
  <c r="H30" i="8" s="1"/>
  <c r="AW30" i="5"/>
  <c r="C45" i="6"/>
  <c r="B44" i="6"/>
  <c r="B42" i="7"/>
  <c r="C43" i="7"/>
  <c r="AU30" i="5"/>
  <c r="G30" i="8" s="1"/>
  <c r="AT30" i="5"/>
  <c r="F30" i="8" s="1"/>
  <c r="BH38" i="5"/>
  <c r="BF39" i="5"/>
  <c r="BD39" i="5"/>
  <c r="BE39" i="5"/>
  <c r="BC39" i="5"/>
  <c r="BG39" i="5"/>
  <c r="BB39" i="5"/>
  <c r="AF40" i="5"/>
  <c r="AE40" i="5"/>
  <c r="AH40" i="5"/>
  <c r="AY40" i="5" s="1"/>
  <c r="K40" i="8" s="1"/>
  <c r="AG40" i="5"/>
  <c r="AI40" i="5"/>
  <c r="AD40" i="5"/>
  <c r="AJ40" i="9" s="1"/>
  <c r="AB40" i="5"/>
  <c r="AH40" i="9" s="1"/>
  <c r="AA40" i="5"/>
  <c r="R40" i="8" s="1"/>
  <c r="AC40" i="5"/>
  <c r="AI40" i="9" s="1"/>
  <c r="AJ31" i="5"/>
  <c r="R40" i="5"/>
  <c r="S40" i="5"/>
  <c r="G40" i="5"/>
  <c r="L40" i="5"/>
  <c r="U40" i="5"/>
  <c r="O40" i="5"/>
  <c r="F40" i="5"/>
  <c r="D40" i="5"/>
  <c r="J40" i="5"/>
  <c r="K40" i="5"/>
  <c r="T40" i="5"/>
  <c r="M40" i="5"/>
  <c r="P40" i="5"/>
  <c r="Q40" i="5"/>
  <c r="I40" i="5"/>
  <c r="E40" i="5"/>
  <c r="N40" i="5"/>
  <c r="H40" i="5"/>
  <c r="C42" i="5"/>
  <c r="BA42" i="5" s="1"/>
  <c r="B41" i="5"/>
  <c r="AS41" i="5" s="1"/>
  <c r="BJ40" i="9" l="1"/>
  <c r="BK40" i="9"/>
  <c r="BC40" i="9"/>
  <c r="BD40" i="9"/>
  <c r="BE40" i="9"/>
  <c r="AC60" i="9"/>
  <c r="AV60" i="9" s="1"/>
  <c r="Z60" i="9"/>
  <c r="AB59" i="9"/>
  <c r="AA59" i="9"/>
  <c r="AW59" i="9" s="1"/>
  <c r="AD59" i="9"/>
  <c r="P59" i="9"/>
  <c r="I59" i="9"/>
  <c r="V59" i="9"/>
  <c r="AE59" i="9" s="1"/>
  <c r="AU59" i="9" s="1"/>
  <c r="F62" i="9"/>
  <c r="D62" i="9"/>
  <c r="G62" i="9"/>
  <c r="E62" i="9"/>
  <c r="H62" i="9"/>
  <c r="S60" i="9"/>
  <c r="C64" i="9"/>
  <c r="B63" i="9"/>
  <c r="AX40" i="5"/>
  <c r="J40" i="8" s="1"/>
  <c r="AZ42" i="5"/>
  <c r="E42" i="8"/>
  <c r="P42" i="8" s="1"/>
  <c r="Y44" i="6"/>
  <c r="X44" i="6"/>
  <c r="W44" i="6"/>
  <c r="V44" i="6"/>
  <c r="H40" i="6"/>
  <c r="AP41" i="5"/>
  <c r="AR41" i="5"/>
  <c r="AQ41" i="5"/>
  <c r="J41" i="7"/>
  <c r="H41" i="7"/>
  <c r="D41" i="7"/>
  <c r="AM41" i="9" s="1"/>
  <c r="BI41" i="9" s="1"/>
  <c r="G41" i="7"/>
  <c r="I41" i="7"/>
  <c r="L41" i="7"/>
  <c r="N41" i="7"/>
  <c r="M41" i="7"/>
  <c r="D41" i="6"/>
  <c r="F41" i="7"/>
  <c r="AO41" i="9" s="1"/>
  <c r="K41" i="7"/>
  <c r="E41" i="7"/>
  <c r="AN41" i="9" s="1"/>
  <c r="AV31" i="5"/>
  <c r="H31" i="8" s="1"/>
  <c r="AW31" i="5"/>
  <c r="B45" i="6"/>
  <c r="C46" i="6"/>
  <c r="C44" i="7"/>
  <c r="B43" i="7"/>
  <c r="AU31" i="5"/>
  <c r="G31" i="8" s="1"/>
  <c r="AT31" i="5"/>
  <c r="F31" i="8" s="1"/>
  <c r="BH39" i="5"/>
  <c r="BE40" i="5"/>
  <c r="BF40" i="5"/>
  <c r="BG40" i="5"/>
  <c r="BD40" i="5"/>
  <c r="BC40" i="5"/>
  <c r="AE41" i="5"/>
  <c r="AH41" i="5"/>
  <c r="AY41" i="5" s="1"/>
  <c r="K41" i="8" s="1"/>
  <c r="AC41" i="5"/>
  <c r="AI41" i="9" s="1"/>
  <c r="AF41" i="5"/>
  <c r="AG41" i="5"/>
  <c r="AA41" i="5"/>
  <c r="R41" i="8" s="1"/>
  <c r="AI41" i="5"/>
  <c r="AD41" i="5"/>
  <c r="AJ41" i="9" s="1"/>
  <c r="AB41" i="5"/>
  <c r="AH41" i="9" s="1"/>
  <c r="BB40" i="5"/>
  <c r="AJ32" i="5"/>
  <c r="S41" i="5"/>
  <c r="R41" i="5"/>
  <c r="E41" i="5"/>
  <c r="M41" i="5"/>
  <c r="J41" i="5"/>
  <c r="N41" i="5"/>
  <c r="O41" i="5"/>
  <c r="I41" i="5"/>
  <c r="U41" i="5"/>
  <c r="Q41" i="5"/>
  <c r="K41" i="5"/>
  <c r="H41" i="5"/>
  <c r="P41" i="5"/>
  <c r="D41" i="5"/>
  <c r="F41" i="5"/>
  <c r="L41" i="5"/>
  <c r="G41" i="5"/>
  <c r="T41" i="5"/>
  <c r="C43" i="5"/>
  <c r="BA43" i="5" s="1"/>
  <c r="B42" i="5"/>
  <c r="AS42" i="5" s="1"/>
  <c r="BJ41" i="9" l="1"/>
  <c r="BK41" i="9"/>
  <c r="BC41" i="9"/>
  <c r="BD41" i="9"/>
  <c r="BE41" i="9"/>
  <c r="R60" i="9"/>
  <c r="W60" i="9"/>
  <c r="H63" i="9"/>
  <c r="O63" i="9" s="1"/>
  <c r="E63" i="9"/>
  <c r="L63" i="9" s="1"/>
  <c r="D63" i="9"/>
  <c r="K63" i="9" s="1"/>
  <c r="G63" i="9"/>
  <c r="N63" i="9" s="1"/>
  <c r="F63" i="9"/>
  <c r="M63" i="9" s="1"/>
  <c r="O62" i="9"/>
  <c r="H61" i="9"/>
  <c r="O61" i="9" s="1"/>
  <c r="L62" i="9"/>
  <c r="E61" i="9"/>
  <c r="L61" i="9" s="1"/>
  <c r="N62" i="9"/>
  <c r="G61" i="9"/>
  <c r="N61" i="9" s="1"/>
  <c r="K62" i="9"/>
  <c r="D61" i="9"/>
  <c r="K61" i="9" s="1"/>
  <c r="M62" i="9"/>
  <c r="F61" i="9"/>
  <c r="M61" i="9" s="1"/>
  <c r="C65" i="9"/>
  <c r="B65" i="9" s="1"/>
  <c r="B64" i="9"/>
  <c r="AZ43" i="5"/>
  <c r="E43" i="8"/>
  <c r="P43" i="8" s="1"/>
  <c r="V45" i="6"/>
  <c r="AC45" i="6" s="1"/>
  <c r="W45" i="6"/>
  <c r="AD45" i="6" s="1"/>
  <c r="Y45" i="6"/>
  <c r="AF45" i="6" s="1"/>
  <c r="X45" i="6"/>
  <c r="AE45" i="6" s="1"/>
  <c r="AC44" i="6"/>
  <c r="V43" i="6"/>
  <c r="AC43" i="6" s="1"/>
  <c r="AD44" i="6"/>
  <c r="W43" i="6"/>
  <c r="AD43" i="6" s="1"/>
  <c r="AE44" i="6"/>
  <c r="X43" i="6"/>
  <c r="AE43" i="6" s="1"/>
  <c r="AF44" i="6"/>
  <c r="Y43" i="6"/>
  <c r="AF43" i="6" s="1"/>
  <c r="AX41" i="5"/>
  <c r="J41" i="8" s="1"/>
  <c r="AP42" i="5"/>
  <c r="AR42" i="5"/>
  <c r="AQ42" i="5"/>
  <c r="E42" i="7"/>
  <c r="AN42" i="9" s="1"/>
  <c r="F42" i="7"/>
  <c r="AO42" i="9" s="1"/>
  <c r="K42" i="7"/>
  <c r="M42" i="7"/>
  <c r="N42" i="7"/>
  <c r="G42" i="7"/>
  <c r="L42" i="7"/>
  <c r="D42" i="7"/>
  <c r="AM42" i="9" s="1"/>
  <c r="D42" i="6"/>
  <c r="J42" i="7"/>
  <c r="H42" i="7"/>
  <c r="I42" i="7"/>
  <c r="H41" i="6"/>
  <c r="AV32" i="5"/>
  <c r="H32" i="8" s="1"/>
  <c r="AW32" i="5"/>
  <c r="B46" i="6"/>
  <c r="C47" i="6"/>
  <c r="C45" i="7"/>
  <c r="B44" i="7"/>
  <c r="AU32" i="5"/>
  <c r="G32" i="8" s="1"/>
  <c r="AT32" i="5"/>
  <c r="F32" i="8" s="1"/>
  <c r="BH40" i="5"/>
  <c r="BG41" i="5"/>
  <c r="BD41" i="5"/>
  <c r="BE41" i="5"/>
  <c r="BC41" i="5"/>
  <c r="BF41" i="5"/>
  <c r="AE42" i="5"/>
  <c r="AI42" i="5"/>
  <c r="AB42" i="5"/>
  <c r="AH42" i="9" s="1"/>
  <c r="AF42" i="5"/>
  <c r="AD42" i="5"/>
  <c r="AJ42" i="9" s="1"/>
  <c r="AC42" i="5"/>
  <c r="AI42" i="9" s="1"/>
  <c r="AH42" i="5"/>
  <c r="AY42" i="5" s="1"/>
  <c r="K42" i="8" s="1"/>
  <c r="AG42" i="5"/>
  <c r="AA42" i="5"/>
  <c r="R42" i="8" s="1"/>
  <c r="BB41" i="5"/>
  <c r="AJ33" i="5"/>
  <c r="R42" i="5"/>
  <c r="S42" i="5"/>
  <c r="T42" i="5"/>
  <c r="I42" i="5"/>
  <c r="K42" i="5"/>
  <c r="F42" i="5"/>
  <c r="N42" i="5"/>
  <c r="J42" i="5"/>
  <c r="D42" i="5"/>
  <c r="U42" i="5"/>
  <c r="Q42" i="5"/>
  <c r="P42" i="5"/>
  <c r="E42" i="5"/>
  <c r="O42" i="5"/>
  <c r="H42" i="5"/>
  <c r="M42" i="5"/>
  <c r="L42" i="5"/>
  <c r="G42" i="5"/>
  <c r="C44" i="5"/>
  <c r="BA44" i="5" s="1"/>
  <c r="B43" i="5"/>
  <c r="BI42" i="9" l="1"/>
  <c r="BK42" i="9"/>
  <c r="BJ42" i="9"/>
  <c r="BC42" i="9"/>
  <c r="T61" i="9"/>
  <c r="X61" i="9" s="1"/>
  <c r="Z61" i="9" s="1"/>
  <c r="BE42" i="9"/>
  <c r="BD42" i="9"/>
  <c r="AA60" i="9"/>
  <c r="AW60" i="9" s="1"/>
  <c r="AD60" i="9"/>
  <c r="AB60" i="9"/>
  <c r="P60" i="9"/>
  <c r="V60" i="9"/>
  <c r="AE60" i="9" s="1"/>
  <c r="AU60" i="9" s="1"/>
  <c r="I60" i="9"/>
  <c r="S62" i="9"/>
  <c r="T63" i="9"/>
  <c r="X63" i="9" s="1"/>
  <c r="S63" i="9"/>
  <c r="T62" i="9"/>
  <c r="X62" i="9" s="1"/>
  <c r="G64" i="9"/>
  <c r="N64" i="9" s="1"/>
  <c r="H64" i="9"/>
  <c r="O64" i="9" s="1"/>
  <c r="E64" i="9"/>
  <c r="L64" i="9" s="1"/>
  <c r="D64" i="9"/>
  <c r="K64" i="9" s="1"/>
  <c r="F64" i="9"/>
  <c r="M64" i="9" s="1"/>
  <c r="G65" i="9"/>
  <c r="N65" i="9" s="1"/>
  <c r="D65" i="9"/>
  <c r="K65" i="9" s="1"/>
  <c r="H65" i="9"/>
  <c r="O65" i="9" s="1"/>
  <c r="E65" i="9"/>
  <c r="L65" i="9" s="1"/>
  <c r="F65" i="9"/>
  <c r="M65" i="9" s="1"/>
  <c r="S61" i="9"/>
  <c r="AZ44" i="5"/>
  <c r="E44" i="8"/>
  <c r="P44" i="8" s="1"/>
  <c r="Y46" i="6"/>
  <c r="AF46" i="6" s="1"/>
  <c r="X46" i="6"/>
  <c r="AE46" i="6" s="1"/>
  <c r="W46" i="6"/>
  <c r="AD46" i="6" s="1"/>
  <c r="V46" i="6"/>
  <c r="AC46" i="6" s="1"/>
  <c r="AX42" i="5"/>
  <c r="J42" i="8" s="1"/>
  <c r="H42" i="6"/>
  <c r="I43" i="7"/>
  <c r="K43" i="7"/>
  <c r="H43" i="7"/>
  <c r="N43" i="7"/>
  <c r="M43" i="7"/>
  <c r="D43" i="7"/>
  <c r="AM43" i="9" s="1"/>
  <c r="D43" i="6"/>
  <c r="L43" i="7"/>
  <c r="E43" i="7"/>
  <c r="AN43" i="9" s="1"/>
  <c r="G43" i="7"/>
  <c r="J43" i="7"/>
  <c r="F43" i="7"/>
  <c r="AO43" i="9" s="1"/>
  <c r="AV33" i="5"/>
  <c r="H33" i="8" s="1"/>
  <c r="AW33" i="5"/>
  <c r="C48" i="6"/>
  <c r="B47" i="6"/>
  <c r="B45" i="7"/>
  <c r="C46" i="7"/>
  <c r="AU33" i="5"/>
  <c r="G33" i="8" s="1"/>
  <c r="AT33" i="5"/>
  <c r="F33" i="8" s="1"/>
  <c r="BH41" i="5"/>
  <c r="BD42" i="5"/>
  <c r="BE42" i="5"/>
  <c r="BF42" i="5"/>
  <c r="BB42" i="5"/>
  <c r="BG42" i="5"/>
  <c r="BC42" i="5"/>
  <c r="AG43" i="5"/>
  <c r="AA43" i="5"/>
  <c r="R43" i="8" s="1"/>
  <c r="AE43" i="5"/>
  <c r="AC43" i="5"/>
  <c r="AI43" i="9" s="1"/>
  <c r="AH43" i="5"/>
  <c r="AI43" i="5"/>
  <c r="AF43" i="5"/>
  <c r="AB43" i="5"/>
  <c r="AH43" i="9" s="1"/>
  <c r="AD43" i="5"/>
  <c r="AJ43" i="9" s="1"/>
  <c r="AJ34" i="5"/>
  <c r="U43" i="5"/>
  <c r="F43" i="5"/>
  <c r="H43" i="5"/>
  <c r="R43" i="5"/>
  <c r="E43" i="5"/>
  <c r="K43" i="5"/>
  <c r="Q43" i="5"/>
  <c r="J43" i="5"/>
  <c r="P43" i="5"/>
  <c r="N43" i="5"/>
  <c r="S43" i="5"/>
  <c r="I43" i="5"/>
  <c r="O43" i="5"/>
  <c r="L43" i="5"/>
  <c r="T43" i="5"/>
  <c r="G43" i="5"/>
  <c r="D43" i="5"/>
  <c r="M43" i="5"/>
  <c r="C45" i="5"/>
  <c r="BA45" i="5" s="1"/>
  <c r="B44" i="5"/>
  <c r="AS44" i="5" s="1"/>
  <c r="AS43" i="5" s="1"/>
  <c r="BJ43" i="9" l="1"/>
  <c r="BI43" i="9"/>
  <c r="BK43" i="9"/>
  <c r="AC61" i="9"/>
  <c r="AV61" i="9" s="1"/>
  <c r="BE43" i="9"/>
  <c r="BD43" i="9"/>
  <c r="BC43" i="9"/>
  <c r="R62" i="9"/>
  <c r="W62" i="9"/>
  <c r="AC62" i="9"/>
  <c r="AV62" i="9" s="1"/>
  <c r="Z62" i="9"/>
  <c r="AC63" i="9"/>
  <c r="AV63" i="9" s="1"/>
  <c r="Z63" i="9"/>
  <c r="R61" i="9"/>
  <c r="W61" i="9"/>
  <c r="R63" i="9"/>
  <c r="W63" i="9"/>
  <c r="T64" i="9"/>
  <c r="X64" i="9" s="1"/>
  <c r="S65" i="9"/>
  <c r="T65" i="9"/>
  <c r="X65" i="9" s="1"/>
  <c r="S64" i="9"/>
  <c r="AZ45" i="5"/>
  <c r="E45" i="8"/>
  <c r="P45" i="8" s="1"/>
  <c r="AY43" i="5"/>
  <c r="K43" i="8" s="1"/>
  <c r="V47" i="6"/>
  <c r="AC47" i="6" s="1"/>
  <c r="Y47" i="6"/>
  <c r="AF47" i="6" s="1"/>
  <c r="X47" i="6"/>
  <c r="AE47" i="6" s="1"/>
  <c r="W47" i="6"/>
  <c r="AD47" i="6" s="1"/>
  <c r="H43" i="6"/>
  <c r="AP44" i="5"/>
  <c r="AP43" i="5" s="1"/>
  <c r="AR44" i="5"/>
  <c r="AR43" i="5" s="1"/>
  <c r="AX43" i="5" s="1"/>
  <c r="J43" i="8" s="1"/>
  <c r="AQ44" i="5"/>
  <c r="AQ43" i="5" s="1"/>
  <c r="E44" i="7"/>
  <c r="AN44" i="9" s="1"/>
  <c r="D44" i="6"/>
  <c r="I44" i="7"/>
  <c r="N44" i="7"/>
  <c r="M44" i="7"/>
  <c r="L44" i="7"/>
  <c r="J44" i="7"/>
  <c r="F44" i="7"/>
  <c r="AO44" i="9" s="1"/>
  <c r="H44" i="7"/>
  <c r="D44" i="7"/>
  <c r="AM44" i="9" s="1"/>
  <c r="G44" i="7"/>
  <c r="K44" i="7"/>
  <c r="AV34" i="5"/>
  <c r="H34" i="8" s="1"/>
  <c r="AW34" i="5"/>
  <c r="C49" i="6"/>
  <c r="B48" i="6"/>
  <c r="C47" i="7"/>
  <c r="B46" i="7"/>
  <c r="AU34" i="5"/>
  <c r="G34" i="8" s="1"/>
  <c r="AT34" i="5"/>
  <c r="F34" i="8" s="1"/>
  <c r="BH42" i="5"/>
  <c r="BF43" i="5"/>
  <c r="BC43" i="5"/>
  <c r="BD43" i="5"/>
  <c r="BG43" i="5"/>
  <c r="BE43" i="5"/>
  <c r="AE44" i="5"/>
  <c r="AD44" i="5"/>
  <c r="AJ44" i="9" s="1"/>
  <c r="AG44" i="5"/>
  <c r="AB44" i="5"/>
  <c r="AH44" i="9" s="1"/>
  <c r="AH44" i="5"/>
  <c r="AY44" i="5" s="1"/>
  <c r="K44" i="8" s="1"/>
  <c r="AF44" i="5"/>
  <c r="AA44" i="5"/>
  <c r="R44" i="8" s="1"/>
  <c r="AI44" i="5"/>
  <c r="AC44" i="5"/>
  <c r="AI44" i="9" s="1"/>
  <c r="BB43" i="5"/>
  <c r="AJ35" i="5"/>
  <c r="T44" i="5"/>
  <c r="R44" i="5"/>
  <c r="F44" i="5"/>
  <c r="K44" i="5"/>
  <c r="U44" i="5"/>
  <c r="H44" i="5"/>
  <c r="E44" i="5"/>
  <c r="S44" i="5"/>
  <c r="Q44" i="5"/>
  <c r="I44" i="5"/>
  <c r="J44" i="5"/>
  <c r="P44" i="5"/>
  <c r="D44" i="5"/>
  <c r="N44" i="5"/>
  <c r="O44" i="5"/>
  <c r="G44" i="5"/>
  <c r="L44" i="5"/>
  <c r="M44" i="5"/>
  <c r="C46" i="5"/>
  <c r="BA46" i="5" s="1"/>
  <c r="B45" i="5"/>
  <c r="AS45" i="5" s="1"/>
  <c r="BI44" i="9" l="1"/>
  <c r="BJ44" i="9"/>
  <c r="BK44" i="9"/>
  <c r="BE44" i="9"/>
  <c r="BD44" i="9"/>
  <c r="BC44" i="9"/>
  <c r="P63" i="9"/>
  <c r="I63" i="9"/>
  <c r="V63" i="9"/>
  <c r="AE63" i="9" s="1"/>
  <c r="AU63" i="9" s="1"/>
  <c r="R65" i="9"/>
  <c r="W65" i="9"/>
  <c r="AD61" i="9"/>
  <c r="AB61" i="9"/>
  <c r="AA61" i="9"/>
  <c r="AW61" i="9" s="1"/>
  <c r="P61" i="9"/>
  <c r="I61" i="9"/>
  <c r="V61" i="9"/>
  <c r="AE61" i="9" s="1"/>
  <c r="AU61" i="9" s="1"/>
  <c r="AC64" i="9"/>
  <c r="AV64" i="9" s="1"/>
  <c r="Z64" i="9"/>
  <c r="AD63" i="9"/>
  <c r="AB63" i="9"/>
  <c r="AA63" i="9"/>
  <c r="AW63" i="9" s="1"/>
  <c r="R64" i="9"/>
  <c r="W64" i="9"/>
  <c r="AA62" i="9"/>
  <c r="AW62" i="9" s="1"/>
  <c r="AD62" i="9"/>
  <c r="AB62" i="9"/>
  <c r="AC65" i="9"/>
  <c r="AV65" i="9" s="1"/>
  <c r="Z65" i="9"/>
  <c r="P62" i="9"/>
  <c r="I62" i="9"/>
  <c r="V62" i="9"/>
  <c r="AE62" i="9" s="1"/>
  <c r="AU62" i="9" s="1"/>
  <c r="AX44" i="5"/>
  <c r="J44" i="8" s="1"/>
  <c r="AZ46" i="5"/>
  <c r="E46" i="8"/>
  <c r="P46" i="8" s="1"/>
  <c r="Y48" i="6"/>
  <c r="AF48" i="6" s="1"/>
  <c r="X48" i="6"/>
  <c r="AE48" i="6" s="1"/>
  <c r="W48" i="6"/>
  <c r="AD48" i="6" s="1"/>
  <c r="V48" i="6"/>
  <c r="AC48" i="6" s="1"/>
  <c r="AP45" i="5"/>
  <c r="AR45" i="5"/>
  <c r="AQ45" i="5"/>
  <c r="I45" i="7"/>
  <c r="L45" i="7"/>
  <c r="H45" i="7"/>
  <c r="F45" i="7"/>
  <c r="AO45" i="9" s="1"/>
  <c r="K45" i="7"/>
  <c r="E45" i="7"/>
  <c r="AN45" i="9" s="1"/>
  <c r="BJ45" i="9" s="1"/>
  <c r="D45" i="6"/>
  <c r="N45" i="7"/>
  <c r="J45" i="7"/>
  <c r="D45" i="7"/>
  <c r="AM45" i="9" s="1"/>
  <c r="M45" i="7"/>
  <c r="G45" i="7"/>
  <c r="H44" i="6"/>
  <c r="AV35" i="5"/>
  <c r="H35" i="8" s="1"/>
  <c r="AW35" i="5"/>
  <c r="B49" i="6"/>
  <c r="C50" i="6"/>
  <c r="C48" i="7"/>
  <c r="B47" i="7"/>
  <c r="AU35" i="5"/>
  <c r="G35" i="8" s="1"/>
  <c r="AT35" i="5"/>
  <c r="F35" i="8" s="1"/>
  <c r="BH43" i="5"/>
  <c r="BB44" i="5"/>
  <c r="BG44" i="5"/>
  <c r="BF44" i="5"/>
  <c r="BD44" i="5"/>
  <c r="AF45" i="5"/>
  <c r="AG45" i="5"/>
  <c r="AH45" i="5"/>
  <c r="AY45" i="5" s="1"/>
  <c r="K45" i="8" s="1"/>
  <c r="AD45" i="5"/>
  <c r="AJ45" i="9" s="1"/>
  <c r="AA45" i="5"/>
  <c r="R45" i="8" s="1"/>
  <c r="AC45" i="5"/>
  <c r="AI45" i="9" s="1"/>
  <c r="AE45" i="5"/>
  <c r="AI45" i="5"/>
  <c r="AB45" i="5"/>
  <c r="AH45" i="9" s="1"/>
  <c r="BC44" i="5"/>
  <c r="BE44" i="5"/>
  <c r="AJ36" i="5"/>
  <c r="R45" i="5"/>
  <c r="Q45" i="5"/>
  <c r="H45" i="5"/>
  <c r="O45" i="5"/>
  <c r="M45" i="5"/>
  <c r="L45" i="5"/>
  <c r="S45" i="5"/>
  <c r="N45" i="5"/>
  <c r="D45" i="5"/>
  <c r="U45" i="5"/>
  <c r="G45" i="5"/>
  <c r="I45" i="5"/>
  <c r="P45" i="5"/>
  <c r="T45" i="5"/>
  <c r="F45" i="5"/>
  <c r="K45" i="5"/>
  <c r="E45" i="5"/>
  <c r="J45" i="5"/>
  <c r="C47" i="5"/>
  <c r="BA47" i="5" s="1"/>
  <c r="B46" i="5"/>
  <c r="AS46" i="5" s="1"/>
  <c r="BI45" i="9" l="1"/>
  <c r="BK45" i="9"/>
  <c r="BC45" i="9"/>
  <c r="BD45" i="9"/>
  <c r="BE45" i="9"/>
  <c r="AA64" i="9"/>
  <c r="AW64" i="9" s="1"/>
  <c r="AD64" i="9"/>
  <c r="AB64" i="9"/>
  <c r="P64" i="9"/>
  <c r="V64" i="9"/>
  <c r="AE64" i="9" s="1"/>
  <c r="AU64" i="9" s="1"/>
  <c r="I64" i="9"/>
  <c r="AB65" i="9"/>
  <c r="AA65" i="9"/>
  <c r="AW65" i="9" s="1"/>
  <c r="AD65" i="9"/>
  <c r="P65" i="9"/>
  <c r="I65" i="9"/>
  <c r="V65" i="9"/>
  <c r="AE65" i="9" s="1"/>
  <c r="AU65" i="9" s="1"/>
  <c r="AZ47" i="5"/>
  <c r="E47" i="8"/>
  <c r="P47" i="8" s="1"/>
  <c r="AX45" i="5"/>
  <c r="J45" i="8" s="1"/>
  <c r="V49" i="6"/>
  <c r="AC49" i="6" s="1"/>
  <c r="W49" i="6"/>
  <c r="AD49" i="6" s="1"/>
  <c r="Y49" i="6"/>
  <c r="AF49" i="6" s="1"/>
  <c r="X49" i="6"/>
  <c r="AE49" i="6" s="1"/>
  <c r="H45" i="6"/>
  <c r="AP46" i="5"/>
  <c r="AR46" i="5"/>
  <c r="AQ46" i="5"/>
  <c r="M46" i="7"/>
  <c r="I46" i="7"/>
  <c r="L46" i="7"/>
  <c r="G46" i="7"/>
  <c r="E46" i="7"/>
  <c r="AN46" i="9" s="1"/>
  <c r="J46" i="7"/>
  <c r="F46" i="7"/>
  <c r="AO46" i="9" s="1"/>
  <c r="D46" i="7"/>
  <c r="AM46" i="9" s="1"/>
  <c r="BI46" i="9" s="1"/>
  <c r="N46" i="7"/>
  <c r="H46" i="7"/>
  <c r="D46" i="6"/>
  <c r="K46" i="7"/>
  <c r="AV36" i="5"/>
  <c r="H36" i="8" s="1"/>
  <c r="AW36" i="5"/>
  <c r="C51" i="6"/>
  <c r="B50" i="6"/>
  <c r="C49" i="7"/>
  <c r="B48" i="7"/>
  <c r="AT36" i="5"/>
  <c r="F36" i="8" s="1"/>
  <c r="AU36" i="5"/>
  <c r="G36" i="8" s="1"/>
  <c r="BF45" i="5"/>
  <c r="BH44" i="5"/>
  <c r="BG45" i="5"/>
  <c r="BE45" i="5"/>
  <c r="BD45" i="5"/>
  <c r="BC45" i="5"/>
  <c r="AI46" i="5"/>
  <c r="AB46" i="5"/>
  <c r="AH46" i="9" s="1"/>
  <c r="AC46" i="5"/>
  <c r="AI46" i="9" s="1"/>
  <c r="AD46" i="5"/>
  <c r="AJ46" i="9" s="1"/>
  <c r="AA46" i="5"/>
  <c r="R46" i="8" s="1"/>
  <c r="AH46" i="5"/>
  <c r="AY46" i="5" s="1"/>
  <c r="K46" i="8" s="1"/>
  <c r="AE46" i="5"/>
  <c r="AF46" i="5"/>
  <c r="AG46" i="5"/>
  <c r="AX46" i="5" s="1"/>
  <c r="J46" i="8" s="1"/>
  <c r="BB45" i="5"/>
  <c r="AJ37" i="5"/>
  <c r="I46" i="5"/>
  <c r="T46" i="5"/>
  <c r="E46" i="5"/>
  <c r="R46" i="5"/>
  <c r="P46" i="5"/>
  <c r="H46" i="5"/>
  <c r="U46" i="5"/>
  <c r="M46" i="5"/>
  <c r="N46" i="5"/>
  <c r="L46" i="5"/>
  <c r="J46" i="5"/>
  <c r="G46" i="5"/>
  <c r="K46" i="5"/>
  <c r="S46" i="5"/>
  <c r="O46" i="5"/>
  <c r="F46" i="5"/>
  <c r="D46" i="5"/>
  <c r="Q46" i="5"/>
  <c r="C48" i="5"/>
  <c r="BA48" i="5" s="1"/>
  <c r="B47" i="5"/>
  <c r="AS47" i="5" s="1"/>
  <c r="BK46" i="9" l="1"/>
  <c r="BJ46" i="9"/>
  <c r="BC46" i="9"/>
  <c r="BD46" i="9"/>
  <c r="BE46" i="9"/>
  <c r="AZ48" i="5"/>
  <c r="E48" i="8"/>
  <c r="P48" i="8" s="1"/>
  <c r="Y50" i="6"/>
  <c r="AF50" i="6" s="1"/>
  <c r="X50" i="6"/>
  <c r="AE50" i="6" s="1"/>
  <c r="W50" i="6"/>
  <c r="AD50" i="6" s="1"/>
  <c r="V50" i="6"/>
  <c r="AC50" i="6" s="1"/>
  <c r="H46" i="6"/>
  <c r="AP47" i="5"/>
  <c r="AR47" i="5"/>
  <c r="AQ47" i="5"/>
  <c r="G47" i="7"/>
  <c r="D47" i="7"/>
  <c r="AM47" i="9" s="1"/>
  <c r="M47" i="7"/>
  <c r="N47" i="7"/>
  <c r="E47" i="7"/>
  <c r="AN47" i="9" s="1"/>
  <c r="L47" i="7"/>
  <c r="F47" i="7"/>
  <c r="AO47" i="9" s="1"/>
  <c r="I47" i="7"/>
  <c r="D47" i="6"/>
  <c r="J47" i="7"/>
  <c r="K47" i="7"/>
  <c r="H47" i="7"/>
  <c r="AV37" i="5"/>
  <c r="H37" i="8" s="1"/>
  <c r="AW37" i="5"/>
  <c r="C52" i="6"/>
  <c r="B51" i="6"/>
  <c r="B49" i="7"/>
  <c r="C50" i="7"/>
  <c r="AT37" i="5"/>
  <c r="F37" i="8" s="1"/>
  <c r="AU37" i="5"/>
  <c r="G37" i="8" s="1"/>
  <c r="BH45" i="5"/>
  <c r="BG46" i="5"/>
  <c r="BD46" i="5"/>
  <c r="BC46" i="5"/>
  <c r="BB46" i="5"/>
  <c r="BF46" i="5"/>
  <c r="AF47" i="5"/>
  <c r="AE47" i="5"/>
  <c r="AH47" i="5"/>
  <c r="AY47" i="5" s="1"/>
  <c r="K47" i="8" s="1"/>
  <c r="AD47" i="5"/>
  <c r="AJ47" i="9" s="1"/>
  <c r="AI47" i="5"/>
  <c r="AA47" i="5"/>
  <c r="R47" i="8" s="1"/>
  <c r="AG47" i="5"/>
  <c r="AB47" i="5"/>
  <c r="AH47" i="9" s="1"/>
  <c r="AC47" i="5"/>
  <c r="AI47" i="9" s="1"/>
  <c r="BE46" i="5"/>
  <c r="AJ38" i="5"/>
  <c r="R47" i="5"/>
  <c r="S47" i="5"/>
  <c r="Q47" i="5"/>
  <c r="K47" i="5"/>
  <c r="J47" i="5"/>
  <c r="H47" i="5"/>
  <c r="N47" i="5"/>
  <c r="D47" i="5"/>
  <c r="M47" i="5"/>
  <c r="O47" i="5"/>
  <c r="G47" i="5"/>
  <c r="E47" i="5"/>
  <c r="L47" i="5"/>
  <c r="P47" i="5"/>
  <c r="T47" i="5"/>
  <c r="U47" i="5"/>
  <c r="F47" i="5"/>
  <c r="I47" i="5"/>
  <c r="C49" i="5"/>
  <c r="BA49" i="5" s="1"/>
  <c r="B48" i="5"/>
  <c r="AS48" i="5" s="1"/>
  <c r="BI47" i="9" l="1"/>
  <c r="BJ47" i="9"/>
  <c r="BK47" i="9"/>
  <c r="BE47" i="9"/>
  <c r="BD47" i="9"/>
  <c r="BC47" i="9"/>
  <c r="AZ49" i="5"/>
  <c r="E49" i="8"/>
  <c r="P49" i="8" s="1"/>
  <c r="AX47" i="5"/>
  <c r="J47" i="8" s="1"/>
  <c r="V51" i="6"/>
  <c r="AC51" i="6" s="1"/>
  <c r="X51" i="6"/>
  <c r="AE51" i="6" s="1"/>
  <c r="W51" i="6"/>
  <c r="AD51" i="6" s="1"/>
  <c r="Y51" i="6"/>
  <c r="AF51" i="6" s="1"/>
  <c r="AP48" i="5"/>
  <c r="AR48" i="5"/>
  <c r="AQ48" i="5"/>
  <c r="H48" i="7"/>
  <c r="N48" i="7"/>
  <c r="K48" i="7"/>
  <c r="D48" i="7"/>
  <c r="AM48" i="9" s="1"/>
  <c r="E48" i="7"/>
  <c r="AN48" i="9" s="1"/>
  <c r="G48" i="7"/>
  <c r="J48" i="7"/>
  <c r="I48" i="7"/>
  <c r="F48" i="7"/>
  <c r="AO48" i="9" s="1"/>
  <c r="L48" i="7"/>
  <c r="D48" i="6"/>
  <c r="M48" i="7"/>
  <c r="H47" i="6"/>
  <c r="AV38" i="5"/>
  <c r="H38" i="8" s="1"/>
  <c r="AW38" i="5"/>
  <c r="C53" i="6"/>
  <c r="B52" i="6"/>
  <c r="B50" i="7"/>
  <c r="C51" i="7"/>
  <c r="AT38" i="5"/>
  <c r="F38" i="8" s="1"/>
  <c r="AU38" i="5"/>
  <c r="G38" i="8" s="1"/>
  <c r="BH46" i="5"/>
  <c r="BE47" i="5"/>
  <c r="BG47" i="5"/>
  <c r="BD47" i="5"/>
  <c r="BF47" i="5"/>
  <c r="AI48" i="5"/>
  <c r="AA48" i="5"/>
  <c r="R48" i="8" s="1"/>
  <c r="AG48" i="5"/>
  <c r="AH48" i="5"/>
  <c r="AY48" i="5" s="1"/>
  <c r="K48" i="8" s="1"/>
  <c r="AE48" i="5"/>
  <c r="AD48" i="5"/>
  <c r="AJ48" i="9" s="1"/>
  <c r="AC48" i="5"/>
  <c r="AI48" i="9" s="1"/>
  <c r="AB48" i="5"/>
  <c r="AH48" i="9" s="1"/>
  <c r="AF48" i="5"/>
  <c r="BB47" i="5"/>
  <c r="BC47" i="5"/>
  <c r="AJ39" i="5"/>
  <c r="T48" i="5"/>
  <c r="S48" i="5"/>
  <c r="E48" i="5"/>
  <c r="U48" i="5"/>
  <c r="R48" i="5"/>
  <c r="O48" i="5"/>
  <c r="Q48" i="5"/>
  <c r="G48" i="5"/>
  <c r="I48" i="5"/>
  <c r="J48" i="5"/>
  <c r="F48" i="5"/>
  <c r="L48" i="5"/>
  <c r="H48" i="5"/>
  <c r="N48" i="5"/>
  <c r="M48" i="5"/>
  <c r="P48" i="5"/>
  <c r="D48" i="5"/>
  <c r="K48" i="5"/>
  <c r="C50" i="5"/>
  <c r="BA50" i="5" s="1"/>
  <c r="B49" i="5"/>
  <c r="AS49" i="5" s="1"/>
  <c r="BI48" i="9" l="1"/>
  <c r="BJ48" i="9"/>
  <c r="BK48" i="9"/>
  <c r="BE48" i="9"/>
  <c r="BD48" i="9"/>
  <c r="BC48" i="9"/>
  <c r="AZ50" i="5"/>
  <c r="E50" i="8"/>
  <c r="P50" i="8" s="1"/>
  <c r="AX48" i="5"/>
  <c r="J48" i="8" s="1"/>
  <c r="W52" i="6"/>
  <c r="AD52" i="6" s="1"/>
  <c r="V52" i="6"/>
  <c r="AC52" i="6" s="1"/>
  <c r="X52" i="6"/>
  <c r="AE52" i="6" s="1"/>
  <c r="Y52" i="6"/>
  <c r="AF52" i="6" s="1"/>
  <c r="AP49" i="5"/>
  <c r="AR49" i="5"/>
  <c r="AQ49" i="5"/>
  <c r="I49" i="7"/>
  <c r="D49" i="6"/>
  <c r="N49" i="7"/>
  <c r="D49" i="7"/>
  <c r="AM49" i="9" s="1"/>
  <c r="J49" i="7"/>
  <c r="F49" i="7"/>
  <c r="AO49" i="9" s="1"/>
  <c r="K49" i="7"/>
  <c r="L49" i="7"/>
  <c r="M49" i="7"/>
  <c r="G49" i="7"/>
  <c r="E49" i="7"/>
  <c r="AN49" i="9" s="1"/>
  <c r="H49" i="7"/>
  <c r="H48" i="6"/>
  <c r="AV39" i="5"/>
  <c r="H39" i="8" s="1"/>
  <c r="AW39" i="5"/>
  <c r="B53" i="6"/>
  <c r="C54" i="6"/>
  <c r="C52" i="7"/>
  <c r="B51" i="7"/>
  <c r="AT39" i="5"/>
  <c r="F39" i="8" s="1"/>
  <c r="AU39" i="5"/>
  <c r="G39" i="8" s="1"/>
  <c r="BH47" i="5"/>
  <c r="BG48" i="5"/>
  <c r="BF48" i="5"/>
  <c r="BD48" i="5"/>
  <c r="BC48" i="5"/>
  <c r="BE48" i="5"/>
  <c r="BB48" i="5"/>
  <c r="AD49" i="5"/>
  <c r="AJ49" i="9" s="1"/>
  <c r="AF49" i="5"/>
  <c r="AC49" i="5"/>
  <c r="AI49" i="9" s="1"/>
  <c r="AB49" i="5"/>
  <c r="AH49" i="9" s="1"/>
  <c r="AE49" i="5"/>
  <c r="AI49" i="5"/>
  <c r="AH49" i="5"/>
  <c r="AY49" i="5" s="1"/>
  <c r="K49" i="8" s="1"/>
  <c r="AG49" i="5"/>
  <c r="AX49" i="5" s="1"/>
  <c r="J49" i="8" s="1"/>
  <c r="AA49" i="5"/>
  <c r="R49" i="8" s="1"/>
  <c r="AJ40" i="5"/>
  <c r="S49" i="5"/>
  <c r="U49" i="5"/>
  <c r="T49" i="5"/>
  <c r="L49" i="5"/>
  <c r="R49" i="5"/>
  <c r="N49" i="5"/>
  <c r="M49" i="5"/>
  <c r="D49" i="5"/>
  <c r="Q49" i="5"/>
  <c r="E49" i="5"/>
  <c r="J49" i="5"/>
  <c r="P49" i="5"/>
  <c r="G49" i="5"/>
  <c r="I49" i="5"/>
  <c r="K49" i="5"/>
  <c r="F49" i="5"/>
  <c r="H49" i="5"/>
  <c r="O49" i="5"/>
  <c r="C51" i="5"/>
  <c r="BA51" i="5" s="1"/>
  <c r="B50" i="5"/>
  <c r="AS50" i="5" s="1"/>
  <c r="BI49" i="9" l="1"/>
  <c r="BJ49" i="9"/>
  <c r="BK49" i="9"/>
  <c r="BD49" i="9"/>
  <c r="BE49" i="9"/>
  <c r="BC49" i="9"/>
  <c r="AZ51" i="5"/>
  <c r="E51" i="8"/>
  <c r="P51" i="8" s="1"/>
  <c r="V53" i="6"/>
  <c r="AC53" i="6" s="1"/>
  <c r="Y53" i="6"/>
  <c r="AF53" i="6" s="1"/>
  <c r="X53" i="6"/>
  <c r="AE53" i="6" s="1"/>
  <c r="W53" i="6"/>
  <c r="AD53" i="6" s="1"/>
  <c r="H49" i="6"/>
  <c r="AP50" i="5"/>
  <c r="AR50" i="5"/>
  <c r="AQ50" i="5"/>
  <c r="I50" i="7"/>
  <c r="D50" i="6"/>
  <c r="E50" i="7"/>
  <c r="AN50" i="9" s="1"/>
  <c r="J50" i="7"/>
  <c r="L50" i="7"/>
  <c r="F50" i="7"/>
  <c r="AO50" i="9" s="1"/>
  <c r="N50" i="7"/>
  <c r="G50" i="7"/>
  <c r="K50" i="7"/>
  <c r="D50" i="7"/>
  <c r="AM50" i="9" s="1"/>
  <c r="M50" i="7"/>
  <c r="H50" i="7"/>
  <c r="AV40" i="5"/>
  <c r="H40" i="8" s="1"/>
  <c r="AW40" i="5"/>
  <c r="C55" i="6"/>
  <c r="B54" i="6"/>
  <c r="C53" i="7"/>
  <c r="B52" i="7"/>
  <c r="AT40" i="5"/>
  <c r="F40" i="8" s="1"/>
  <c r="AU40" i="5"/>
  <c r="G40" i="8" s="1"/>
  <c r="BH48" i="5"/>
  <c r="BE49" i="5"/>
  <c r="BF49" i="5"/>
  <c r="AF50" i="5"/>
  <c r="AA50" i="5"/>
  <c r="R50" i="8" s="1"/>
  <c r="AG50" i="5"/>
  <c r="AX50" i="5" s="1"/>
  <c r="J50" i="8" s="1"/>
  <c r="AC50" i="5"/>
  <c r="AI50" i="9" s="1"/>
  <c r="AH50" i="5"/>
  <c r="AY50" i="5" s="1"/>
  <c r="K50" i="8" s="1"/>
  <c r="AI50" i="5"/>
  <c r="AB50" i="5"/>
  <c r="AH50" i="9" s="1"/>
  <c r="AE50" i="5"/>
  <c r="AD50" i="5"/>
  <c r="AJ50" i="9" s="1"/>
  <c r="BG49" i="5"/>
  <c r="BC49" i="5"/>
  <c r="BD49" i="5"/>
  <c r="BB49" i="5"/>
  <c r="AJ41" i="5"/>
  <c r="O50" i="5"/>
  <c r="Q50" i="5"/>
  <c r="R50" i="5"/>
  <c r="H50" i="5"/>
  <c r="M50" i="5"/>
  <c r="E50" i="5"/>
  <c r="K50" i="5"/>
  <c r="S50" i="5"/>
  <c r="T50" i="5"/>
  <c r="U50" i="5"/>
  <c r="I50" i="5"/>
  <c r="J50" i="5"/>
  <c r="N50" i="5"/>
  <c r="P50" i="5"/>
  <c r="F50" i="5"/>
  <c r="D50" i="5"/>
  <c r="L50" i="5"/>
  <c r="G50" i="5"/>
  <c r="C52" i="5"/>
  <c r="BA52" i="5" s="1"/>
  <c r="B51" i="5"/>
  <c r="AS51" i="5" s="1"/>
  <c r="BI50" i="9" l="1"/>
  <c r="BJ50" i="9"/>
  <c r="BK50" i="9"/>
  <c r="BC50" i="9"/>
  <c r="BE50" i="9"/>
  <c r="BD50" i="9"/>
  <c r="AZ52" i="5"/>
  <c r="E52" i="8"/>
  <c r="P52" i="8" s="1"/>
  <c r="W54" i="6"/>
  <c r="AD54" i="6" s="1"/>
  <c r="V54" i="6"/>
  <c r="AC54" i="6" s="1"/>
  <c r="Y54" i="6"/>
  <c r="AF54" i="6" s="1"/>
  <c r="X54" i="6"/>
  <c r="AE54" i="6" s="1"/>
  <c r="H50" i="6"/>
  <c r="AP51" i="5"/>
  <c r="AR51" i="5"/>
  <c r="AQ51" i="5"/>
  <c r="D51" i="6"/>
  <c r="J51" i="7"/>
  <c r="N51" i="7"/>
  <c r="H51" i="7"/>
  <c r="F51" i="7"/>
  <c r="AO51" i="9" s="1"/>
  <c r="D51" i="7"/>
  <c r="AM51" i="9" s="1"/>
  <c r="L51" i="7"/>
  <c r="M51" i="7"/>
  <c r="K51" i="7"/>
  <c r="E51" i="7"/>
  <c r="AN51" i="9" s="1"/>
  <c r="G51" i="7"/>
  <c r="I51" i="7"/>
  <c r="AV41" i="5"/>
  <c r="H41" i="8" s="1"/>
  <c r="AW41" i="5"/>
  <c r="C56" i="6"/>
  <c r="B55" i="6"/>
  <c r="B53" i="7"/>
  <c r="C54" i="7"/>
  <c r="AT41" i="5"/>
  <c r="F41" i="8" s="1"/>
  <c r="AU41" i="5"/>
  <c r="G41" i="8" s="1"/>
  <c r="BH49" i="5"/>
  <c r="BG50" i="5"/>
  <c r="BC50" i="5"/>
  <c r="BE50" i="5"/>
  <c r="BD50" i="5"/>
  <c r="AE51" i="5"/>
  <c r="AA51" i="5"/>
  <c r="R51" i="8" s="1"/>
  <c r="AH51" i="5"/>
  <c r="AY51" i="5" s="1"/>
  <c r="K51" i="8" s="1"/>
  <c r="AF51" i="5"/>
  <c r="AG51" i="5"/>
  <c r="AD51" i="5"/>
  <c r="AJ51" i="9" s="1"/>
  <c r="AB51" i="5"/>
  <c r="AH51" i="9" s="1"/>
  <c r="AI51" i="5"/>
  <c r="AC51" i="5"/>
  <c r="AI51" i="9" s="1"/>
  <c r="BF50" i="5"/>
  <c r="BB50" i="5"/>
  <c r="AJ42" i="5"/>
  <c r="U51" i="5"/>
  <c r="J51" i="5"/>
  <c r="F51" i="5"/>
  <c r="D51" i="5"/>
  <c r="R51" i="5"/>
  <c r="Q51" i="5"/>
  <c r="T51" i="5"/>
  <c r="M51" i="5"/>
  <c r="O51" i="5"/>
  <c r="H51" i="5"/>
  <c r="S51" i="5"/>
  <c r="P51" i="5"/>
  <c r="E51" i="5"/>
  <c r="I51" i="5"/>
  <c r="G51" i="5"/>
  <c r="K51" i="5"/>
  <c r="L51" i="5"/>
  <c r="N51" i="5"/>
  <c r="C53" i="5"/>
  <c r="BA53" i="5" s="1"/>
  <c r="B52" i="5"/>
  <c r="AS52" i="5" s="1"/>
  <c r="BI51" i="9" l="1"/>
  <c r="BJ51" i="9"/>
  <c r="BK51" i="9"/>
  <c r="BD51" i="9"/>
  <c r="BC51" i="9"/>
  <c r="BE51" i="9"/>
  <c r="AZ53" i="5"/>
  <c r="E53" i="8"/>
  <c r="P53" i="8" s="1"/>
  <c r="AX51" i="5"/>
  <c r="J51" i="8" s="1"/>
  <c r="V55" i="6"/>
  <c r="AC55" i="6" s="1"/>
  <c r="Y55" i="6"/>
  <c r="AF55" i="6" s="1"/>
  <c r="X55" i="6"/>
  <c r="AE55" i="6" s="1"/>
  <c r="W55" i="6"/>
  <c r="AD55" i="6" s="1"/>
  <c r="H51" i="6"/>
  <c r="AP52" i="5"/>
  <c r="AR52" i="5"/>
  <c r="AQ52" i="5"/>
  <c r="L52" i="7"/>
  <c r="N52" i="7"/>
  <c r="D52" i="6"/>
  <c r="I52" i="7"/>
  <c r="F52" i="7"/>
  <c r="AO52" i="9" s="1"/>
  <c r="M52" i="7"/>
  <c r="H52" i="7"/>
  <c r="E52" i="7"/>
  <c r="AN52" i="9" s="1"/>
  <c r="J52" i="7"/>
  <c r="G52" i="7"/>
  <c r="K52" i="7"/>
  <c r="D52" i="7"/>
  <c r="AM52" i="9" s="1"/>
  <c r="AV42" i="5"/>
  <c r="H42" i="8" s="1"/>
  <c r="AW42" i="5"/>
  <c r="C57" i="6"/>
  <c r="B56" i="6"/>
  <c r="C55" i="7"/>
  <c r="B54" i="7"/>
  <c r="AU42" i="5"/>
  <c r="G42" i="8" s="1"/>
  <c r="AT42" i="5"/>
  <c r="F42" i="8" s="1"/>
  <c r="BH50" i="5"/>
  <c r="BF51" i="5"/>
  <c r="BD51" i="5"/>
  <c r="BE51" i="5"/>
  <c r="BG51" i="5"/>
  <c r="BC51" i="5"/>
  <c r="BB51" i="5"/>
  <c r="AB52" i="5"/>
  <c r="AH52" i="9" s="1"/>
  <c r="AH52" i="5"/>
  <c r="AY52" i="5" s="1"/>
  <c r="K52" i="8" s="1"/>
  <c r="AI52" i="5"/>
  <c r="AG52" i="5"/>
  <c r="AD52" i="5"/>
  <c r="AJ52" i="9" s="1"/>
  <c r="AE52" i="5"/>
  <c r="AA52" i="5"/>
  <c r="R52" i="8" s="1"/>
  <c r="AF52" i="5"/>
  <c r="AC52" i="5"/>
  <c r="AI52" i="9" s="1"/>
  <c r="AJ43" i="5"/>
  <c r="S52" i="5"/>
  <c r="Q52" i="5"/>
  <c r="I52" i="5"/>
  <c r="P52" i="5"/>
  <c r="J52" i="5"/>
  <c r="M52" i="5"/>
  <c r="R52" i="5"/>
  <c r="F52" i="5"/>
  <c r="H52" i="5"/>
  <c r="U52" i="5"/>
  <c r="T52" i="5"/>
  <c r="O52" i="5"/>
  <c r="D52" i="5"/>
  <c r="E52" i="5"/>
  <c r="K52" i="5"/>
  <c r="L52" i="5"/>
  <c r="N52" i="5"/>
  <c r="G52" i="5"/>
  <c r="C54" i="5"/>
  <c r="BA54" i="5" s="1"/>
  <c r="B53" i="5"/>
  <c r="AS53" i="5" s="1"/>
  <c r="BJ52" i="9" l="1"/>
  <c r="BI52" i="9"/>
  <c r="BK52" i="9"/>
  <c r="BD52" i="9"/>
  <c r="BE52" i="9"/>
  <c r="BC52" i="9"/>
  <c r="AX52" i="5"/>
  <c r="J52" i="8" s="1"/>
  <c r="AZ54" i="5"/>
  <c r="E54" i="8"/>
  <c r="P54" i="8" s="1"/>
  <c r="Y56" i="6"/>
  <c r="AF56" i="6" s="1"/>
  <c r="X56" i="6"/>
  <c r="AE56" i="6" s="1"/>
  <c r="W56" i="6"/>
  <c r="AD56" i="6" s="1"/>
  <c r="V56" i="6"/>
  <c r="AC56" i="6" s="1"/>
  <c r="H52" i="6"/>
  <c r="AP53" i="5"/>
  <c r="AR53" i="5"/>
  <c r="AQ53" i="5"/>
  <c r="D53" i="6"/>
  <c r="K53" i="7"/>
  <c r="G53" i="7"/>
  <c r="L53" i="7"/>
  <c r="M53" i="7"/>
  <c r="N53" i="7"/>
  <c r="I53" i="7"/>
  <c r="J53" i="7"/>
  <c r="E53" i="7"/>
  <c r="AN53" i="9" s="1"/>
  <c r="D53" i="7"/>
  <c r="AM53" i="9" s="1"/>
  <c r="H53" i="7"/>
  <c r="F53" i="7"/>
  <c r="AO53" i="9" s="1"/>
  <c r="AV43" i="5"/>
  <c r="H43" i="8" s="1"/>
  <c r="AW43" i="5"/>
  <c r="B57" i="6"/>
  <c r="C58" i="6"/>
  <c r="C56" i="7"/>
  <c r="B55" i="7"/>
  <c r="AU43" i="5"/>
  <c r="G43" i="8" s="1"/>
  <c r="AT43" i="5"/>
  <c r="F43" i="8" s="1"/>
  <c r="BH51" i="5"/>
  <c r="BB52" i="5"/>
  <c r="BF52" i="5"/>
  <c r="BD52" i="5"/>
  <c r="BG52" i="5"/>
  <c r="AE53" i="5"/>
  <c r="AH53" i="5"/>
  <c r="AY53" i="5" s="1"/>
  <c r="K53" i="8" s="1"/>
  <c r="AD53" i="5"/>
  <c r="AJ53" i="9" s="1"/>
  <c r="AG53" i="5"/>
  <c r="AF53" i="5"/>
  <c r="AA53" i="5"/>
  <c r="R53" i="8" s="1"/>
  <c r="AB53" i="5"/>
  <c r="AH53" i="9" s="1"/>
  <c r="AI53" i="5"/>
  <c r="AC53" i="5"/>
  <c r="AI53" i="9" s="1"/>
  <c r="BC52" i="5"/>
  <c r="BE52" i="5"/>
  <c r="AJ44" i="5"/>
  <c r="R53" i="5"/>
  <c r="T53" i="5"/>
  <c r="I53" i="5"/>
  <c r="S53" i="5"/>
  <c r="H53" i="5"/>
  <c r="L53" i="5"/>
  <c r="N53" i="5"/>
  <c r="O53" i="5"/>
  <c r="G53" i="5"/>
  <c r="P53" i="5"/>
  <c r="Q53" i="5"/>
  <c r="K53" i="5"/>
  <c r="F53" i="5"/>
  <c r="U53" i="5"/>
  <c r="J53" i="5"/>
  <c r="D53" i="5"/>
  <c r="E53" i="5"/>
  <c r="M53" i="5"/>
  <c r="C55" i="5"/>
  <c r="BA55" i="5" s="1"/>
  <c r="B54" i="5"/>
  <c r="AS54" i="5" s="1"/>
  <c r="BI53" i="9" l="1"/>
  <c r="BJ53" i="9"/>
  <c r="BK53" i="9"/>
  <c r="BC53" i="9"/>
  <c r="BD53" i="9"/>
  <c r="BE53" i="9"/>
  <c r="AZ55" i="5"/>
  <c r="E55" i="8"/>
  <c r="P55" i="8" s="1"/>
  <c r="AX53" i="5"/>
  <c r="J53" i="8" s="1"/>
  <c r="V57" i="6"/>
  <c r="AC57" i="6" s="1"/>
  <c r="Y57" i="6"/>
  <c r="AF57" i="6" s="1"/>
  <c r="X57" i="6"/>
  <c r="AE57" i="6" s="1"/>
  <c r="W57" i="6"/>
  <c r="AD57" i="6" s="1"/>
  <c r="H53" i="6"/>
  <c r="AP54" i="5"/>
  <c r="AR54" i="5"/>
  <c r="AQ54" i="5"/>
  <c r="J54" i="7"/>
  <c r="D54" i="7"/>
  <c r="AM54" i="9" s="1"/>
  <c r="K54" i="7"/>
  <c r="M54" i="7"/>
  <c r="F54" i="7"/>
  <c r="AO54" i="9" s="1"/>
  <c r="D54" i="6"/>
  <c r="I54" i="7"/>
  <c r="L54" i="7"/>
  <c r="H54" i="7"/>
  <c r="N54" i="7"/>
  <c r="E54" i="7"/>
  <c r="AN54" i="9" s="1"/>
  <c r="G54" i="7"/>
  <c r="AV44" i="5"/>
  <c r="H44" i="8" s="1"/>
  <c r="AW44" i="5"/>
  <c r="C59" i="6"/>
  <c r="B58" i="6"/>
  <c r="C57" i="7"/>
  <c r="B56" i="7"/>
  <c r="AU44" i="5"/>
  <c r="G44" i="8" s="1"/>
  <c r="AT44" i="5"/>
  <c r="F44" i="8" s="1"/>
  <c r="BD53" i="5"/>
  <c r="BH52" i="5"/>
  <c r="BG53" i="5"/>
  <c r="BF53" i="5"/>
  <c r="BB53" i="5"/>
  <c r="BE53" i="5"/>
  <c r="AC54" i="5"/>
  <c r="AI54" i="9" s="1"/>
  <c r="AG54" i="5"/>
  <c r="AI54" i="5"/>
  <c r="AA54" i="5"/>
  <c r="R54" i="8" s="1"/>
  <c r="AD54" i="5"/>
  <c r="AJ54" i="9" s="1"/>
  <c r="AE54" i="5"/>
  <c r="AB54" i="5"/>
  <c r="AH54" i="9" s="1"/>
  <c r="AH54" i="5"/>
  <c r="AY54" i="5" s="1"/>
  <c r="K54" i="8" s="1"/>
  <c r="AF54" i="5"/>
  <c r="BC53" i="5"/>
  <c r="AJ45" i="5"/>
  <c r="R54" i="5"/>
  <c r="S54" i="5"/>
  <c r="F54" i="5"/>
  <c r="N54" i="5"/>
  <c r="P54" i="5"/>
  <c r="J54" i="5"/>
  <c r="Q54" i="5"/>
  <c r="E54" i="5"/>
  <c r="U54" i="5"/>
  <c r="T54" i="5"/>
  <c r="H54" i="5"/>
  <c r="L54" i="5"/>
  <c r="I54" i="5"/>
  <c r="O54" i="5"/>
  <c r="G54" i="5"/>
  <c r="K54" i="5"/>
  <c r="M54" i="5"/>
  <c r="D54" i="5"/>
  <c r="C56" i="5"/>
  <c r="BA56" i="5" s="1"/>
  <c r="B55" i="5"/>
  <c r="AS55" i="5" s="1"/>
  <c r="BI54" i="9" l="1"/>
  <c r="BJ54" i="9"/>
  <c r="BK54" i="9"/>
  <c r="BD54" i="9"/>
  <c r="BE54" i="9"/>
  <c r="BC54" i="9"/>
  <c r="AZ56" i="5"/>
  <c r="E56" i="8"/>
  <c r="P56" i="8" s="1"/>
  <c r="AX54" i="5"/>
  <c r="J54" i="8" s="1"/>
  <c r="Y58" i="6"/>
  <c r="AF58" i="6" s="1"/>
  <c r="X58" i="6"/>
  <c r="AE58" i="6" s="1"/>
  <c r="W58" i="6"/>
  <c r="AD58" i="6" s="1"/>
  <c r="V58" i="6"/>
  <c r="AC58" i="6" s="1"/>
  <c r="H54" i="6"/>
  <c r="AP55" i="5"/>
  <c r="AR55" i="5"/>
  <c r="AQ55" i="5"/>
  <c r="N55" i="7"/>
  <c r="M55" i="7"/>
  <c r="K55" i="7"/>
  <c r="D55" i="7"/>
  <c r="AM55" i="9" s="1"/>
  <c r="L55" i="7"/>
  <c r="J55" i="7"/>
  <c r="G55" i="7"/>
  <c r="E55" i="7"/>
  <c r="AN55" i="9" s="1"/>
  <c r="H55" i="7"/>
  <c r="D55" i="6"/>
  <c r="F55" i="7"/>
  <c r="AO55" i="9" s="1"/>
  <c r="I55" i="7"/>
  <c r="AV45" i="5"/>
  <c r="H45" i="8" s="1"/>
  <c r="AW45" i="5"/>
  <c r="C60" i="6"/>
  <c r="B59" i="6"/>
  <c r="B57" i="7"/>
  <c r="C58" i="7"/>
  <c r="AU45" i="5"/>
  <c r="G45" i="8" s="1"/>
  <c r="AT45" i="5"/>
  <c r="F45" i="8" s="1"/>
  <c r="BH53" i="5"/>
  <c r="BG54" i="5"/>
  <c r="BB54" i="5"/>
  <c r="AH55" i="5"/>
  <c r="AY55" i="5" s="1"/>
  <c r="K55" i="8" s="1"/>
  <c r="AG55" i="5"/>
  <c r="AX55" i="5" s="1"/>
  <c r="J55" i="8" s="1"/>
  <c r="AE55" i="5"/>
  <c r="AB55" i="5"/>
  <c r="AH55" i="9" s="1"/>
  <c r="AA55" i="5"/>
  <c r="R55" i="8" s="1"/>
  <c r="AF55" i="5"/>
  <c r="AC55" i="5"/>
  <c r="AI55" i="9" s="1"/>
  <c r="AD55" i="5"/>
  <c r="AJ55" i="9" s="1"/>
  <c r="AI55" i="5"/>
  <c r="BE54" i="5"/>
  <c r="BC54" i="5"/>
  <c r="BF54" i="5"/>
  <c r="BD54" i="5"/>
  <c r="AJ46" i="5"/>
  <c r="R55" i="5"/>
  <c r="S55" i="5"/>
  <c r="Q55" i="5"/>
  <c r="L55" i="5"/>
  <c r="P55" i="5"/>
  <c r="U55" i="5"/>
  <c r="E55" i="5"/>
  <c r="T55" i="5"/>
  <c r="N55" i="5"/>
  <c r="D55" i="5"/>
  <c r="H55" i="5"/>
  <c r="F55" i="5"/>
  <c r="G55" i="5"/>
  <c r="O55" i="5"/>
  <c r="M55" i="5"/>
  <c r="I55" i="5"/>
  <c r="J55" i="5"/>
  <c r="K55" i="5"/>
  <c r="C57" i="5"/>
  <c r="BA57" i="5" s="1"/>
  <c r="B56" i="5"/>
  <c r="AS56" i="5" s="1"/>
  <c r="BI55" i="9" l="1"/>
  <c r="BJ55" i="9"/>
  <c r="BK55" i="9"/>
  <c r="BE55" i="9"/>
  <c r="BD55" i="9"/>
  <c r="BC55" i="9"/>
  <c r="AZ57" i="5"/>
  <c r="E57" i="8"/>
  <c r="P57" i="8" s="1"/>
  <c r="V59" i="6"/>
  <c r="AC59" i="6" s="1"/>
  <c r="Y59" i="6"/>
  <c r="AF59" i="6" s="1"/>
  <c r="X59" i="6"/>
  <c r="AE59" i="6" s="1"/>
  <c r="W59" i="6"/>
  <c r="AD59" i="6" s="1"/>
  <c r="H55" i="6"/>
  <c r="AP56" i="5"/>
  <c r="AR56" i="5"/>
  <c r="AQ56" i="5"/>
  <c r="N56" i="7"/>
  <c r="I56" i="7"/>
  <c r="M56" i="7"/>
  <c r="L56" i="7"/>
  <c r="D56" i="6"/>
  <c r="F56" i="7"/>
  <c r="AO56" i="9" s="1"/>
  <c r="D56" i="7"/>
  <c r="AM56" i="9" s="1"/>
  <c r="H56" i="7"/>
  <c r="J56" i="7"/>
  <c r="E56" i="7"/>
  <c r="AN56" i="9" s="1"/>
  <c r="G56" i="7"/>
  <c r="K56" i="7"/>
  <c r="AV46" i="5"/>
  <c r="H46" i="8" s="1"/>
  <c r="AW46" i="5"/>
  <c r="C61" i="6"/>
  <c r="B60" i="6"/>
  <c r="B58" i="7"/>
  <c r="C59" i="7"/>
  <c r="BD55" i="5"/>
  <c r="AU46" i="5"/>
  <c r="G46" i="8" s="1"/>
  <c r="AT46" i="5"/>
  <c r="F46" i="8" s="1"/>
  <c r="BB55" i="5"/>
  <c r="BH54" i="5"/>
  <c r="BF55" i="5"/>
  <c r="BG55" i="5"/>
  <c r="AB56" i="5"/>
  <c r="AH56" i="9" s="1"/>
  <c r="AE56" i="5"/>
  <c r="AA56" i="5"/>
  <c r="R56" i="8" s="1"/>
  <c r="AD56" i="5"/>
  <c r="AJ56" i="9" s="1"/>
  <c r="AC56" i="5"/>
  <c r="AI56" i="9" s="1"/>
  <c r="AI56" i="5"/>
  <c r="AF56" i="5"/>
  <c r="AH56" i="5"/>
  <c r="AY56" i="5" s="1"/>
  <c r="K56" i="8" s="1"/>
  <c r="AG56" i="5"/>
  <c r="BC55" i="5"/>
  <c r="BE55" i="5"/>
  <c r="AJ47" i="5"/>
  <c r="U56" i="5"/>
  <c r="E56" i="5"/>
  <c r="P56" i="5"/>
  <c r="L56" i="5"/>
  <c r="Q56" i="5"/>
  <c r="T56" i="5"/>
  <c r="H56" i="5"/>
  <c r="J56" i="5"/>
  <c r="K56" i="5"/>
  <c r="N56" i="5"/>
  <c r="I56" i="5"/>
  <c r="D56" i="5"/>
  <c r="S56" i="5"/>
  <c r="O56" i="5"/>
  <c r="F56" i="5"/>
  <c r="M56" i="5"/>
  <c r="R56" i="5"/>
  <c r="G56" i="5"/>
  <c r="C58" i="5"/>
  <c r="BA58" i="5" s="1"/>
  <c r="B57" i="5"/>
  <c r="AS57" i="5" s="1"/>
  <c r="BI56" i="9" l="1"/>
  <c r="BJ56" i="9"/>
  <c r="BK56" i="9"/>
  <c r="BD56" i="9"/>
  <c r="BE56" i="9"/>
  <c r="BC56" i="9"/>
  <c r="AX56" i="5"/>
  <c r="J56" i="8" s="1"/>
  <c r="AZ58" i="5"/>
  <c r="E58" i="8"/>
  <c r="P58" i="8" s="1"/>
  <c r="V60" i="6"/>
  <c r="Y60" i="6"/>
  <c r="X60" i="6"/>
  <c r="W60" i="6"/>
  <c r="AP57" i="5"/>
  <c r="AR57" i="5"/>
  <c r="AQ57" i="5"/>
  <c r="L57" i="7"/>
  <c r="I57" i="7"/>
  <c r="G57" i="7"/>
  <c r="D57" i="6"/>
  <c r="N57" i="7"/>
  <c r="K57" i="7"/>
  <c r="D57" i="7"/>
  <c r="AM57" i="9" s="1"/>
  <c r="E57" i="7"/>
  <c r="AN57" i="9" s="1"/>
  <c r="F57" i="7"/>
  <c r="AO57" i="9" s="1"/>
  <c r="M57" i="7"/>
  <c r="H57" i="7"/>
  <c r="J57" i="7"/>
  <c r="H56" i="6"/>
  <c r="AV47" i="5"/>
  <c r="H47" i="8" s="1"/>
  <c r="AW47" i="5"/>
  <c r="B61" i="6"/>
  <c r="C62" i="6"/>
  <c r="C60" i="7"/>
  <c r="B59" i="7"/>
  <c r="AU47" i="5"/>
  <c r="G47" i="8" s="1"/>
  <c r="AT47" i="5"/>
  <c r="F47" i="8" s="1"/>
  <c r="BH55" i="5"/>
  <c r="BD56" i="5"/>
  <c r="BF56" i="5"/>
  <c r="BG56" i="5"/>
  <c r="BE56" i="5"/>
  <c r="BC56" i="5"/>
  <c r="AI57" i="5"/>
  <c r="AH57" i="5"/>
  <c r="AY57" i="5" s="1"/>
  <c r="K57" i="8" s="1"/>
  <c r="AD57" i="5"/>
  <c r="AJ57" i="9" s="1"/>
  <c r="AA57" i="5"/>
  <c r="R57" i="8" s="1"/>
  <c r="AE57" i="5"/>
  <c r="AB57" i="5"/>
  <c r="AH57" i="9" s="1"/>
  <c r="AF57" i="5"/>
  <c r="AG57" i="5"/>
  <c r="AX57" i="5" s="1"/>
  <c r="J57" i="8" s="1"/>
  <c r="AC57" i="5"/>
  <c r="AI57" i="9" s="1"/>
  <c r="BB56" i="5"/>
  <c r="AJ48" i="5"/>
  <c r="R57" i="5"/>
  <c r="F57" i="5"/>
  <c r="G57" i="5"/>
  <c r="S57" i="5"/>
  <c r="T57" i="5"/>
  <c r="M57" i="5"/>
  <c r="L57" i="5"/>
  <c r="N57" i="5"/>
  <c r="K57" i="5"/>
  <c r="H57" i="5"/>
  <c r="Q57" i="5"/>
  <c r="J57" i="5"/>
  <c r="I57" i="5"/>
  <c r="D57" i="5"/>
  <c r="U57" i="5"/>
  <c r="E57" i="5"/>
  <c r="O57" i="5"/>
  <c r="P57" i="5"/>
  <c r="C59" i="5"/>
  <c r="BA59" i="5" s="1"/>
  <c r="B58" i="5"/>
  <c r="AS58" i="5" s="1"/>
  <c r="BJ57" i="9" l="1"/>
  <c r="BI57" i="9"/>
  <c r="BK57" i="9"/>
  <c r="BC57" i="9"/>
  <c r="BE57" i="9"/>
  <c r="BD57" i="9"/>
  <c r="AZ59" i="5"/>
  <c r="E59" i="8"/>
  <c r="P59" i="8" s="1"/>
  <c r="AD60" i="6"/>
  <c r="AE60" i="6"/>
  <c r="AF60" i="6"/>
  <c r="AC60" i="6"/>
  <c r="H57" i="6"/>
  <c r="AP58" i="5"/>
  <c r="AR58" i="5"/>
  <c r="AQ58" i="5"/>
  <c r="H58" i="7"/>
  <c r="E58" i="7"/>
  <c r="AN58" i="9" s="1"/>
  <c r="D58" i="7"/>
  <c r="AM58" i="9" s="1"/>
  <c r="K58" i="7"/>
  <c r="L58" i="7"/>
  <c r="M58" i="7"/>
  <c r="I58" i="7"/>
  <c r="N58" i="7"/>
  <c r="J58" i="7"/>
  <c r="G58" i="7"/>
  <c r="F58" i="7"/>
  <c r="AO58" i="9" s="1"/>
  <c r="D58" i="6"/>
  <c r="AV48" i="5"/>
  <c r="H48" i="8" s="1"/>
  <c r="AW48" i="5"/>
  <c r="C63" i="6"/>
  <c r="B62" i="6"/>
  <c r="C61" i="7"/>
  <c r="B60" i="7"/>
  <c r="AT48" i="5"/>
  <c r="F48" i="8" s="1"/>
  <c r="AU48" i="5"/>
  <c r="G48" i="8" s="1"/>
  <c r="BH56" i="5"/>
  <c r="BD57" i="5"/>
  <c r="BG57" i="5"/>
  <c r="BB57" i="5"/>
  <c r="AH58" i="5"/>
  <c r="AY58" i="5" s="1"/>
  <c r="K58" i="8" s="1"/>
  <c r="AF58" i="5"/>
  <c r="AC58" i="5"/>
  <c r="AI58" i="9" s="1"/>
  <c r="AE58" i="5"/>
  <c r="AD58" i="5"/>
  <c r="AJ58" i="9" s="1"/>
  <c r="AI58" i="5"/>
  <c r="AG58" i="5"/>
  <c r="AB58" i="5"/>
  <c r="AH58" i="9" s="1"/>
  <c r="AA58" i="5"/>
  <c r="R58" i="8" s="1"/>
  <c r="BE57" i="5"/>
  <c r="BC57" i="5"/>
  <c r="BF57" i="5"/>
  <c r="AJ49" i="5"/>
  <c r="T58" i="5"/>
  <c r="R58" i="5"/>
  <c r="G58" i="5"/>
  <c r="P58" i="5"/>
  <c r="U58" i="5"/>
  <c r="Q58" i="5"/>
  <c r="S58" i="5"/>
  <c r="I58" i="5"/>
  <c r="M58" i="5"/>
  <c r="J58" i="5"/>
  <c r="E58" i="5"/>
  <c r="K58" i="5"/>
  <c r="N58" i="5"/>
  <c r="D58" i="5"/>
  <c r="O58" i="5"/>
  <c r="H58" i="5"/>
  <c r="L58" i="5"/>
  <c r="F58" i="5"/>
  <c r="C60" i="5"/>
  <c r="BA60" i="5" s="1"/>
  <c r="B59" i="5"/>
  <c r="AS59" i="5" s="1"/>
  <c r="BI58" i="9" l="1"/>
  <c r="BJ58" i="9"/>
  <c r="BK58" i="9"/>
  <c r="BE58" i="9"/>
  <c r="BD58" i="9"/>
  <c r="BC58" i="9"/>
  <c r="AX58" i="5"/>
  <c r="J58" i="8" s="1"/>
  <c r="AZ60" i="5"/>
  <c r="E60" i="8"/>
  <c r="P60" i="8" s="1"/>
  <c r="Y62" i="6"/>
  <c r="X62" i="6"/>
  <c r="W62" i="6"/>
  <c r="V62" i="6"/>
  <c r="H58" i="6"/>
  <c r="AP59" i="5"/>
  <c r="AR59" i="5"/>
  <c r="AQ59" i="5"/>
  <c r="J59" i="7"/>
  <c r="D59" i="6"/>
  <c r="L59" i="7"/>
  <c r="I59" i="7"/>
  <c r="G59" i="7"/>
  <c r="F59" i="7"/>
  <c r="AO59" i="9" s="1"/>
  <c r="BK59" i="9" s="1"/>
  <c r="D59" i="7"/>
  <c r="AM59" i="9" s="1"/>
  <c r="K59" i="7"/>
  <c r="M59" i="7"/>
  <c r="H59" i="7"/>
  <c r="N59" i="7"/>
  <c r="E59" i="7"/>
  <c r="AN59" i="9" s="1"/>
  <c r="AV49" i="5"/>
  <c r="H49" i="8" s="1"/>
  <c r="AW49" i="5"/>
  <c r="C64" i="6"/>
  <c r="B63" i="6"/>
  <c r="B61" i="7"/>
  <c r="C62" i="7"/>
  <c r="AT49" i="5"/>
  <c r="F49" i="8" s="1"/>
  <c r="AU49" i="5"/>
  <c r="G49" i="8" s="1"/>
  <c r="BH57" i="5"/>
  <c r="BB58" i="5"/>
  <c r="BE58" i="5"/>
  <c r="BD58" i="5"/>
  <c r="BG58" i="5"/>
  <c r="BC58" i="5"/>
  <c r="BF58" i="5"/>
  <c r="AC59" i="5"/>
  <c r="AI59" i="9" s="1"/>
  <c r="AD59" i="5"/>
  <c r="AJ59" i="9" s="1"/>
  <c r="AG59" i="5"/>
  <c r="AF59" i="5"/>
  <c r="AE59" i="5"/>
  <c r="AA59" i="5"/>
  <c r="R59" i="8" s="1"/>
  <c r="AH59" i="5"/>
  <c r="AY59" i="5" s="1"/>
  <c r="K59" i="8" s="1"/>
  <c r="AB59" i="5"/>
  <c r="AH59" i="9" s="1"/>
  <c r="AI59" i="5"/>
  <c r="AJ50" i="5"/>
  <c r="U59" i="5"/>
  <c r="R59" i="5"/>
  <c r="E59" i="5"/>
  <c r="L59" i="5"/>
  <c r="J59" i="5"/>
  <c r="N59" i="5"/>
  <c r="Q59" i="5"/>
  <c r="P59" i="5"/>
  <c r="H59" i="5"/>
  <c r="K59" i="5"/>
  <c r="G59" i="5"/>
  <c r="O59" i="5"/>
  <c r="M59" i="5"/>
  <c r="F59" i="5"/>
  <c r="D59" i="5"/>
  <c r="I59" i="5"/>
  <c r="S59" i="5"/>
  <c r="T59" i="5"/>
  <c r="C61" i="5"/>
  <c r="BA61" i="5" s="1"/>
  <c r="B60" i="5"/>
  <c r="AS60" i="5" s="1"/>
  <c r="BI59" i="9" l="1"/>
  <c r="BJ59" i="9"/>
  <c r="BD59" i="9"/>
  <c r="BC59" i="9"/>
  <c r="BE59" i="9"/>
  <c r="AZ61" i="5"/>
  <c r="E61" i="8"/>
  <c r="P61" i="8" s="1"/>
  <c r="AX59" i="5"/>
  <c r="J59" i="8" s="1"/>
  <c r="Y63" i="6"/>
  <c r="AF63" i="6" s="1"/>
  <c r="X63" i="6"/>
  <c r="AE63" i="6" s="1"/>
  <c r="W63" i="6"/>
  <c r="AD63" i="6" s="1"/>
  <c r="V63" i="6"/>
  <c r="AC63" i="6" s="1"/>
  <c r="AC62" i="6"/>
  <c r="V61" i="6"/>
  <c r="AC61" i="6" s="1"/>
  <c r="AD62" i="6"/>
  <c r="W61" i="6"/>
  <c r="AD61" i="6" s="1"/>
  <c r="AE62" i="6"/>
  <c r="X61" i="6"/>
  <c r="AE61" i="6" s="1"/>
  <c r="AF62" i="6"/>
  <c r="Y61" i="6"/>
  <c r="AF61" i="6" s="1"/>
  <c r="AP60" i="5"/>
  <c r="AR60" i="5"/>
  <c r="AQ60" i="5"/>
  <c r="D60" i="6"/>
  <c r="K60" i="7"/>
  <c r="I60" i="7"/>
  <c r="F60" i="7"/>
  <c r="AO60" i="9" s="1"/>
  <c r="G60" i="7"/>
  <c r="N60" i="7"/>
  <c r="H60" i="7"/>
  <c r="J60" i="7"/>
  <c r="M60" i="7"/>
  <c r="E60" i="7"/>
  <c r="AN60" i="9" s="1"/>
  <c r="L60" i="7"/>
  <c r="D60" i="7"/>
  <c r="AM60" i="9" s="1"/>
  <c r="BI60" i="9" s="1"/>
  <c r="H59" i="6"/>
  <c r="AV50" i="5"/>
  <c r="H50" i="8" s="1"/>
  <c r="AW50" i="5"/>
  <c r="C65" i="6"/>
  <c r="B65" i="6" s="1"/>
  <c r="B64" i="6"/>
  <c r="C63" i="7"/>
  <c r="B62" i="7"/>
  <c r="AT50" i="5"/>
  <c r="F50" i="8" s="1"/>
  <c r="AU50" i="5"/>
  <c r="G50" i="8" s="1"/>
  <c r="BH58" i="5"/>
  <c r="BG59" i="5"/>
  <c r="BC59" i="5"/>
  <c r="BF59" i="5"/>
  <c r="BD59" i="5"/>
  <c r="AA60" i="5"/>
  <c r="R60" i="8" s="1"/>
  <c r="AD60" i="5"/>
  <c r="AJ60" i="9" s="1"/>
  <c r="AC60" i="5"/>
  <c r="AI60" i="9" s="1"/>
  <c r="AF60" i="5"/>
  <c r="AH60" i="5"/>
  <c r="AY60" i="5" s="1"/>
  <c r="K60" i="8" s="1"/>
  <c r="AB60" i="5"/>
  <c r="AH60" i="9" s="1"/>
  <c r="AG60" i="5"/>
  <c r="AI60" i="5"/>
  <c r="AE60" i="5"/>
  <c r="BB59" i="5"/>
  <c r="BE59" i="5"/>
  <c r="AJ51" i="5"/>
  <c r="U60" i="5"/>
  <c r="O60" i="5"/>
  <c r="R60" i="5"/>
  <c r="T60" i="5"/>
  <c r="S60" i="5"/>
  <c r="M60" i="5"/>
  <c r="N60" i="5"/>
  <c r="E60" i="5"/>
  <c r="K60" i="5"/>
  <c r="I60" i="5"/>
  <c r="G60" i="5"/>
  <c r="H60" i="5"/>
  <c r="Q60" i="5"/>
  <c r="F60" i="5"/>
  <c r="L60" i="5"/>
  <c r="D60" i="5"/>
  <c r="J60" i="5"/>
  <c r="P60" i="5"/>
  <c r="C62" i="5"/>
  <c r="BA62" i="5" s="1"/>
  <c r="B61" i="5"/>
  <c r="BJ60" i="9" l="1"/>
  <c r="BK60" i="9"/>
  <c r="BC60" i="9"/>
  <c r="BE60" i="9"/>
  <c r="BD60" i="9"/>
  <c r="AZ62" i="5"/>
  <c r="E62" i="8"/>
  <c r="P62" i="8" s="1"/>
  <c r="X65" i="6"/>
  <c r="AE65" i="6" s="1"/>
  <c r="Y65" i="6"/>
  <c r="AF65" i="6" s="1"/>
  <c r="V65" i="6"/>
  <c r="AC65" i="6" s="1"/>
  <c r="W65" i="6"/>
  <c r="AD65" i="6" s="1"/>
  <c r="W64" i="6"/>
  <c r="AD64" i="6" s="1"/>
  <c r="V64" i="6"/>
  <c r="AC64" i="6" s="1"/>
  <c r="X64" i="6"/>
  <c r="AE64" i="6" s="1"/>
  <c r="Y64" i="6"/>
  <c r="AF64" i="6" s="1"/>
  <c r="AX60" i="5"/>
  <c r="J60" i="8" s="1"/>
  <c r="H60" i="6"/>
  <c r="I61" i="7"/>
  <c r="D61" i="6"/>
  <c r="N61" i="7"/>
  <c r="G61" i="7"/>
  <c r="F61" i="7"/>
  <c r="AO61" i="9" s="1"/>
  <c r="BK61" i="9" s="1"/>
  <c r="M61" i="7"/>
  <c r="K61" i="7"/>
  <c r="L61" i="7"/>
  <c r="J61" i="7"/>
  <c r="H61" i="7"/>
  <c r="E61" i="7"/>
  <c r="AN61" i="9" s="1"/>
  <c r="D61" i="7"/>
  <c r="AM61" i="9" s="1"/>
  <c r="AV51" i="5"/>
  <c r="H51" i="8" s="1"/>
  <c r="AW51" i="5"/>
  <c r="C64" i="7"/>
  <c r="B63" i="7"/>
  <c r="AT51" i="5"/>
  <c r="F51" i="8" s="1"/>
  <c r="AU51" i="5"/>
  <c r="G51" i="8" s="1"/>
  <c r="BH59" i="5"/>
  <c r="BC60" i="5"/>
  <c r="BF60" i="5"/>
  <c r="BD60" i="5"/>
  <c r="BE60" i="5"/>
  <c r="BB60" i="5"/>
  <c r="AH61" i="5"/>
  <c r="AG61" i="5"/>
  <c r="AD61" i="5"/>
  <c r="AJ61" i="9" s="1"/>
  <c r="AA61" i="5"/>
  <c r="R61" i="8" s="1"/>
  <c r="AE61" i="5"/>
  <c r="AI61" i="5"/>
  <c r="AC61" i="5"/>
  <c r="AI61" i="9" s="1"/>
  <c r="AF61" i="5"/>
  <c r="AB61" i="5"/>
  <c r="AH61" i="9" s="1"/>
  <c r="BG60" i="5"/>
  <c r="AJ52" i="5"/>
  <c r="T61" i="5"/>
  <c r="R61" i="5"/>
  <c r="Q61" i="5"/>
  <c r="E61" i="5"/>
  <c r="H61" i="5"/>
  <c r="S61" i="5"/>
  <c r="L61" i="5"/>
  <c r="J61" i="5"/>
  <c r="N61" i="5"/>
  <c r="I61" i="5"/>
  <c r="K61" i="5"/>
  <c r="O61" i="5"/>
  <c r="U61" i="5"/>
  <c r="F61" i="5"/>
  <c r="G61" i="5"/>
  <c r="P61" i="5"/>
  <c r="D61" i="5"/>
  <c r="M61" i="5"/>
  <c r="C63" i="5"/>
  <c r="BA63" i="5" s="1"/>
  <c r="B62" i="5"/>
  <c r="AS62" i="5" s="1"/>
  <c r="AS61" i="5" s="1"/>
  <c r="BI61" i="9" l="1"/>
  <c r="BJ61" i="9"/>
  <c r="BE61" i="9"/>
  <c r="BC61" i="9"/>
  <c r="BD61" i="9"/>
  <c r="AZ63" i="5"/>
  <c r="E63" i="8"/>
  <c r="P63" i="8" s="1"/>
  <c r="AY61" i="5"/>
  <c r="K61" i="8" s="1"/>
  <c r="AP62" i="5"/>
  <c r="AP61" i="5" s="1"/>
  <c r="AR62" i="5"/>
  <c r="AR61" i="5" s="1"/>
  <c r="AX61" i="5" s="1"/>
  <c r="J61" i="8" s="1"/>
  <c r="AQ62" i="5"/>
  <c r="AQ61" i="5" s="1"/>
  <c r="F62" i="7"/>
  <c r="AO62" i="9" s="1"/>
  <c r="BK62" i="9" s="1"/>
  <c r="D62" i="6"/>
  <c r="J62" i="7"/>
  <c r="M62" i="7"/>
  <c r="G62" i="7"/>
  <c r="H62" i="7"/>
  <c r="K62" i="7"/>
  <c r="I62" i="7"/>
  <c r="D62" i="7"/>
  <c r="AM62" i="9" s="1"/>
  <c r="E62" i="7"/>
  <c r="AN62" i="9" s="1"/>
  <c r="L62" i="7"/>
  <c r="N62" i="7"/>
  <c r="H61" i="6"/>
  <c r="AV52" i="5"/>
  <c r="H52" i="8" s="1"/>
  <c r="AW52" i="5"/>
  <c r="C65" i="7"/>
  <c r="B65" i="7" s="1"/>
  <c r="B64" i="7"/>
  <c r="AT52" i="5"/>
  <c r="F52" i="8" s="1"/>
  <c r="AU52" i="5"/>
  <c r="G52" i="8" s="1"/>
  <c r="BH60" i="5"/>
  <c r="BG61" i="5"/>
  <c r="BD61" i="5"/>
  <c r="BC61" i="5"/>
  <c r="BB61" i="5"/>
  <c r="BF61" i="5"/>
  <c r="AH62" i="5"/>
  <c r="AY62" i="5" s="1"/>
  <c r="K62" i="8" s="1"/>
  <c r="AE62" i="5"/>
  <c r="AI62" i="5"/>
  <c r="AG62" i="5"/>
  <c r="AX62" i="5" s="1"/>
  <c r="J62" i="8" s="1"/>
  <c r="AD62" i="5"/>
  <c r="AJ62" i="9" s="1"/>
  <c r="AF62" i="5"/>
  <c r="AB62" i="5"/>
  <c r="AH62" i="9" s="1"/>
  <c r="AC62" i="5"/>
  <c r="AI62" i="9" s="1"/>
  <c r="AA62" i="5"/>
  <c r="R62" i="8" s="1"/>
  <c r="BE61" i="5"/>
  <c r="AJ53" i="5"/>
  <c r="T62" i="5"/>
  <c r="D62" i="5"/>
  <c r="U62" i="5"/>
  <c r="O62" i="5"/>
  <c r="M62" i="5"/>
  <c r="P62" i="5"/>
  <c r="Q62" i="5"/>
  <c r="K62" i="5"/>
  <c r="G62" i="5"/>
  <c r="R62" i="5"/>
  <c r="E62" i="5"/>
  <c r="F62" i="5"/>
  <c r="H62" i="5"/>
  <c r="I62" i="5"/>
  <c r="J62" i="5"/>
  <c r="N62" i="5"/>
  <c r="S62" i="5"/>
  <c r="L62" i="5"/>
  <c r="C64" i="5"/>
  <c r="BA64" i="5" s="1"/>
  <c r="B63" i="5"/>
  <c r="AS63" i="5" s="1"/>
  <c r="BI62" i="9" l="1"/>
  <c r="BJ62" i="9"/>
  <c r="BE62" i="9"/>
  <c r="BD62" i="9"/>
  <c r="BC62" i="9"/>
  <c r="AZ64" i="5"/>
  <c r="E64" i="8"/>
  <c r="P64" i="8" s="1"/>
  <c r="AP63" i="5"/>
  <c r="AR63" i="5"/>
  <c r="AQ63" i="5"/>
  <c r="N63" i="7"/>
  <c r="I63" i="7"/>
  <c r="K63" i="7"/>
  <c r="J63" i="7"/>
  <c r="H63" i="7"/>
  <c r="E63" i="7"/>
  <c r="AN63" i="9" s="1"/>
  <c r="G63" i="7"/>
  <c r="L63" i="7"/>
  <c r="F63" i="7"/>
  <c r="AO63" i="9" s="1"/>
  <c r="D63" i="7"/>
  <c r="AM63" i="9" s="1"/>
  <c r="D63" i="6"/>
  <c r="M63" i="7"/>
  <c r="H62" i="6"/>
  <c r="AV53" i="5"/>
  <c r="H53" i="8" s="1"/>
  <c r="AW53" i="5"/>
  <c r="AT53" i="5"/>
  <c r="F53" i="8" s="1"/>
  <c r="AU53" i="5"/>
  <c r="G53" i="8" s="1"/>
  <c r="BH61" i="5"/>
  <c r="BD62" i="5"/>
  <c r="BF62" i="5"/>
  <c r="BC62" i="5"/>
  <c r="BG62" i="5"/>
  <c r="AI63" i="5"/>
  <c r="AA63" i="5"/>
  <c r="R63" i="8" s="1"/>
  <c r="AB63" i="5"/>
  <c r="AH63" i="9" s="1"/>
  <c r="AD63" i="5"/>
  <c r="AJ63" i="9" s="1"/>
  <c r="AH63" i="5"/>
  <c r="AY63" i="5" s="1"/>
  <c r="K63" i="8" s="1"/>
  <c r="AC63" i="5"/>
  <c r="AI63" i="9" s="1"/>
  <c r="AG63" i="5"/>
  <c r="AX63" i="5" s="1"/>
  <c r="J63" i="8" s="1"/>
  <c r="AE63" i="5"/>
  <c r="AF63" i="5"/>
  <c r="BE62" i="5"/>
  <c r="BB62" i="5"/>
  <c r="AJ54" i="5"/>
  <c r="T63" i="5"/>
  <c r="N63" i="5"/>
  <c r="R63" i="5"/>
  <c r="S63" i="5"/>
  <c r="F63" i="5"/>
  <c r="Q63" i="5"/>
  <c r="L63" i="5"/>
  <c r="E63" i="5"/>
  <c r="H63" i="5"/>
  <c r="M63" i="5"/>
  <c r="J63" i="5"/>
  <c r="O63" i="5"/>
  <c r="D63" i="5"/>
  <c r="G63" i="5"/>
  <c r="I63" i="5"/>
  <c r="U63" i="5"/>
  <c r="P63" i="5"/>
  <c r="K63" i="5"/>
  <c r="C65" i="5"/>
  <c r="B64" i="5"/>
  <c r="AS64" i="5" s="1"/>
  <c r="BI63" i="9" l="1"/>
  <c r="BJ63" i="9"/>
  <c r="BK63" i="9"/>
  <c r="BC63" i="9"/>
  <c r="BE63" i="9"/>
  <c r="BD63" i="9"/>
  <c r="AP64" i="5"/>
  <c r="AR64" i="5"/>
  <c r="AQ64" i="5"/>
  <c r="K64" i="7"/>
  <c r="J64" i="7"/>
  <c r="F64" i="7"/>
  <c r="AO64" i="9" s="1"/>
  <c r="BK64" i="9" s="1"/>
  <c r="D64" i="7"/>
  <c r="AM64" i="9" s="1"/>
  <c r="N64" i="7"/>
  <c r="I64" i="7"/>
  <c r="H64" i="7"/>
  <c r="D64" i="6"/>
  <c r="L64" i="7"/>
  <c r="G64" i="7"/>
  <c r="E64" i="7"/>
  <c r="AN64" i="9" s="1"/>
  <c r="M64" i="7"/>
  <c r="H63" i="6"/>
  <c r="AV54" i="5"/>
  <c r="H54" i="8" s="1"/>
  <c r="AW54" i="5"/>
  <c r="B65" i="5"/>
  <c r="BA65" i="5"/>
  <c r="AU54" i="5"/>
  <c r="G54" i="8" s="1"/>
  <c r="AT54" i="5"/>
  <c r="F54" i="8" s="1"/>
  <c r="BH62" i="5"/>
  <c r="BC63" i="5"/>
  <c r="BD63" i="5"/>
  <c r="BB63" i="5"/>
  <c r="BF63" i="5"/>
  <c r="AA64" i="5"/>
  <c r="R64" i="8" s="1"/>
  <c r="AB64" i="5"/>
  <c r="AH64" i="9" s="1"/>
  <c r="AH64" i="5"/>
  <c r="AY64" i="5" s="1"/>
  <c r="K64" i="8" s="1"/>
  <c r="AF64" i="5"/>
  <c r="AD64" i="5"/>
  <c r="AJ64" i="9" s="1"/>
  <c r="AC64" i="5"/>
  <c r="AI64" i="9" s="1"/>
  <c r="AE64" i="5"/>
  <c r="AI64" i="5"/>
  <c r="AG64" i="5"/>
  <c r="AX64" i="5" s="1"/>
  <c r="J64" i="8" s="1"/>
  <c r="BG63" i="5"/>
  <c r="BE63" i="5"/>
  <c r="AJ55" i="5"/>
  <c r="T64" i="5"/>
  <c r="U64" i="5"/>
  <c r="R64" i="5"/>
  <c r="O64" i="5"/>
  <c r="S64" i="5"/>
  <c r="N64" i="5"/>
  <c r="I64" i="5"/>
  <c r="E64" i="5"/>
  <c r="M64" i="5"/>
  <c r="K64" i="5"/>
  <c r="J64" i="5"/>
  <c r="G64" i="5"/>
  <c r="D64" i="5"/>
  <c r="Q64" i="5"/>
  <c r="H64" i="5"/>
  <c r="P64" i="5"/>
  <c r="F64" i="5"/>
  <c r="L64" i="5"/>
  <c r="H65" i="5"/>
  <c r="BI64" i="9" l="1"/>
  <c r="BJ64" i="9"/>
  <c r="BC64" i="9"/>
  <c r="BE64" i="9"/>
  <c r="BD64" i="9"/>
  <c r="AZ65" i="5"/>
  <c r="E65" i="8"/>
  <c r="P65" i="8" s="1"/>
  <c r="AC65" i="5"/>
  <c r="AI65" i="9" s="1"/>
  <c r="AS65" i="5"/>
  <c r="K65" i="5"/>
  <c r="D65" i="5"/>
  <c r="R65" i="5"/>
  <c r="T65" i="5"/>
  <c r="O65" i="5"/>
  <c r="AB65" i="5"/>
  <c r="AH65" i="9" s="1"/>
  <c r="S65" i="5"/>
  <c r="H64" i="6"/>
  <c r="E65" i="5"/>
  <c r="N65" i="5"/>
  <c r="P65" i="5"/>
  <c r="AR65" i="5"/>
  <c r="AQ65" i="5"/>
  <c r="D65" i="7"/>
  <c r="AM65" i="9" s="1"/>
  <c r="BI65" i="9" s="1"/>
  <c r="I65" i="7"/>
  <c r="H65" i="7"/>
  <c r="N65" i="7"/>
  <c r="J65" i="7"/>
  <c r="M65" i="7"/>
  <c r="D65" i="6"/>
  <c r="F65" i="7"/>
  <c r="AO65" i="9" s="1"/>
  <c r="L65" i="7"/>
  <c r="E65" i="7"/>
  <c r="AN65" i="9" s="1"/>
  <c r="K65" i="7"/>
  <c r="G65" i="7"/>
  <c r="AF65" i="5"/>
  <c r="AA65" i="5"/>
  <c r="R65" i="8" s="1"/>
  <c r="R1" i="8" s="1"/>
  <c r="I65" i="5"/>
  <c r="AH65" i="5"/>
  <c r="AY65" i="5" s="1"/>
  <c r="G65" i="5"/>
  <c r="AI65" i="5"/>
  <c r="L65" i="5"/>
  <c r="AG65" i="5"/>
  <c r="J65" i="5"/>
  <c r="Q65" i="5"/>
  <c r="M65" i="5"/>
  <c r="AV55" i="5"/>
  <c r="H55" i="8" s="1"/>
  <c r="AW55" i="5"/>
  <c r="AE65" i="5"/>
  <c r="AP65" i="5"/>
  <c r="F65" i="5"/>
  <c r="AD65" i="5"/>
  <c r="AJ65" i="9" s="1"/>
  <c r="U65" i="5"/>
  <c r="BB64" i="5"/>
  <c r="AU55" i="5"/>
  <c r="G55" i="8" s="1"/>
  <c r="AT55" i="5"/>
  <c r="F55" i="8" s="1"/>
  <c r="BH63" i="5"/>
  <c r="BC64" i="5"/>
  <c r="BF64" i="5"/>
  <c r="BD64" i="5"/>
  <c r="BE64" i="5"/>
  <c r="BG64" i="5"/>
  <c r="AJ56" i="5"/>
  <c r="BJ65" i="9" l="1"/>
  <c r="BK65" i="9"/>
  <c r="BD65" i="9"/>
  <c r="BC65" i="9"/>
  <c r="BE65" i="9"/>
  <c r="K65" i="8"/>
  <c r="K1" i="8" s="1"/>
  <c r="AX65" i="5"/>
  <c r="J65" i="8" s="1"/>
  <c r="BE65" i="5"/>
  <c r="BC65" i="5"/>
  <c r="BB65" i="5"/>
  <c r="BG65" i="5"/>
  <c r="BF65" i="5"/>
  <c r="BD65" i="5"/>
  <c r="H65" i="6"/>
  <c r="AV56" i="5"/>
  <c r="H56" i="8" s="1"/>
  <c r="AW56" i="5"/>
  <c r="AU56" i="5"/>
  <c r="G56" i="8" s="1"/>
  <c r="AT56" i="5"/>
  <c r="F56" i="8" s="1"/>
  <c r="BH64" i="5"/>
  <c r="AJ57" i="5"/>
  <c r="J1" i="8" l="1"/>
  <c r="BH65" i="5"/>
  <c r="AV57" i="5"/>
  <c r="H57" i="8" s="1"/>
  <c r="AW57" i="5"/>
  <c r="AU57" i="5"/>
  <c r="G57" i="8" s="1"/>
  <c r="AT57" i="5"/>
  <c r="F57" i="8" s="1"/>
  <c r="BJ3" i="5"/>
  <c r="BJ4" i="5"/>
  <c r="BJ5" i="5"/>
  <c r="BJ6" i="5"/>
  <c r="BJ7" i="5"/>
  <c r="BJ8" i="5"/>
  <c r="BJ9" i="5"/>
  <c r="BJ10" i="5"/>
  <c r="BJ11" i="5"/>
  <c r="BJ12" i="5"/>
  <c r="BJ13" i="5"/>
  <c r="BJ14" i="5"/>
  <c r="AJ58" i="5"/>
  <c r="AV58" i="5" l="1"/>
  <c r="H58" i="8" s="1"/>
  <c r="AW58" i="5"/>
  <c r="BJ22" i="5"/>
  <c r="AK10" i="5"/>
  <c r="Q10" i="8" s="1"/>
  <c r="BJ24" i="5"/>
  <c r="AK12" i="5"/>
  <c r="Q12" i="8" s="1"/>
  <c r="BJ18" i="5"/>
  <c r="AK6" i="5"/>
  <c r="Q6" i="8" s="1"/>
  <c r="BJ16" i="5"/>
  <c r="AK4" i="5"/>
  <c r="Q4" i="8" s="1"/>
  <c r="BJ21" i="5"/>
  <c r="AK9" i="5"/>
  <c r="Q9" i="8" s="1"/>
  <c r="BJ23" i="5"/>
  <c r="AK11" i="5"/>
  <c r="Q11" i="8" s="1"/>
  <c r="BJ26" i="5"/>
  <c r="AK14" i="5"/>
  <c r="Q14" i="8" s="1"/>
  <c r="BJ20" i="5"/>
  <c r="AK8" i="5"/>
  <c r="Q8" i="8" s="1"/>
  <c r="BJ19" i="5"/>
  <c r="AK7" i="5"/>
  <c r="Q7" i="8" s="1"/>
  <c r="BJ17" i="5"/>
  <c r="AK5" i="5"/>
  <c r="Q5" i="8" s="1"/>
  <c r="BJ25" i="5"/>
  <c r="AK13" i="5"/>
  <c r="Q13" i="8" s="1"/>
  <c r="BJ15" i="5"/>
  <c r="AK3" i="5"/>
  <c r="Q3" i="8" s="1"/>
  <c r="AU58" i="5"/>
  <c r="G58" i="8" s="1"/>
  <c r="AT58" i="5"/>
  <c r="F58" i="8" s="1"/>
  <c r="AJ59" i="5"/>
  <c r="AV59" i="5" l="1"/>
  <c r="H59" i="8" s="1"/>
  <c r="AW59" i="5"/>
  <c r="BJ27" i="5"/>
  <c r="AK15" i="5"/>
  <c r="Q15" i="8" s="1"/>
  <c r="BJ35" i="5"/>
  <c r="AK23" i="5"/>
  <c r="Q23" i="8" s="1"/>
  <c r="BJ37" i="5"/>
  <c r="AK25" i="5"/>
  <c r="Q25" i="8" s="1"/>
  <c r="BJ33" i="5"/>
  <c r="AK21" i="5"/>
  <c r="Q21" i="8" s="1"/>
  <c r="BJ29" i="5"/>
  <c r="AK17" i="5"/>
  <c r="Q17" i="8" s="1"/>
  <c r="BJ28" i="5"/>
  <c r="AK16" i="5"/>
  <c r="Q16" i="8" s="1"/>
  <c r="BJ31" i="5"/>
  <c r="AK19" i="5"/>
  <c r="Q19" i="8" s="1"/>
  <c r="BJ30" i="5"/>
  <c r="AK18" i="5"/>
  <c r="Q18" i="8" s="1"/>
  <c r="BJ32" i="5"/>
  <c r="AK20" i="5"/>
  <c r="Q20" i="8" s="1"/>
  <c r="BJ36" i="5"/>
  <c r="AK24" i="5"/>
  <c r="Q24" i="8" s="1"/>
  <c r="BJ38" i="5"/>
  <c r="AK26" i="5"/>
  <c r="Q26" i="8" s="1"/>
  <c r="BJ34" i="5"/>
  <c r="AK22" i="5"/>
  <c r="Q22" i="8" s="1"/>
  <c r="AU59" i="5"/>
  <c r="G59" i="8" s="1"/>
  <c r="AT59" i="5"/>
  <c r="F59" i="8" s="1"/>
  <c r="AJ60" i="5"/>
  <c r="AV60" i="5" l="1"/>
  <c r="H60" i="8" s="1"/>
  <c r="AW60" i="5"/>
  <c r="BJ46" i="5"/>
  <c r="AK34" i="5"/>
  <c r="Q34" i="8" s="1"/>
  <c r="BJ40" i="5"/>
  <c r="AK28" i="5"/>
  <c r="Q28" i="8" s="1"/>
  <c r="BJ50" i="5"/>
  <c r="AK38" i="5"/>
  <c r="Q38" i="8" s="1"/>
  <c r="BJ41" i="5"/>
  <c r="AK29" i="5"/>
  <c r="Q29" i="8" s="1"/>
  <c r="BJ48" i="5"/>
  <c r="AK36" i="5"/>
  <c r="Q36" i="8" s="1"/>
  <c r="BJ45" i="5"/>
  <c r="AK33" i="5"/>
  <c r="Q33" i="8" s="1"/>
  <c r="BJ44" i="5"/>
  <c r="AK32" i="5"/>
  <c r="Q32" i="8" s="1"/>
  <c r="BJ49" i="5"/>
  <c r="AK37" i="5"/>
  <c r="Q37" i="8" s="1"/>
  <c r="BJ42" i="5"/>
  <c r="AK30" i="5"/>
  <c r="Q30" i="8" s="1"/>
  <c r="BJ47" i="5"/>
  <c r="AK35" i="5"/>
  <c r="Q35" i="8" s="1"/>
  <c r="BJ43" i="5"/>
  <c r="AK31" i="5"/>
  <c r="Q31" i="8" s="1"/>
  <c r="BJ39" i="5"/>
  <c r="AK27" i="5"/>
  <c r="Q27" i="8" s="1"/>
  <c r="AT60" i="5"/>
  <c r="F60" i="8" s="1"/>
  <c r="AU60" i="5"/>
  <c r="G60" i="8" s="1"/>
  <c r="AJ61" i="5"/>
  <c r="AV61" i="5" l="1"/>
  <c r="H61" i="8" s="1"/>
  <c r="AW61" i="5"/>
  <c r="BJ51" i="5"/>
  <c r="AK39" i="5"/>
  <c r="Q39" i="8" s="1"/>
  <c r="BJ57" i="5"/>
  <c r="AK57" i="5" s="1"/>
  <c r="Q57" i="8" s="1"/>
  <c r="AK45" i="5"/>
  <c r="Q45" i="8" s="1"/>
  <c r="BJ55" i="5"/>
  <c r="AK55" i="5" s="1"/>
  <c r="Q55" i="8" s="1"/>
  <c r="AK43" i="5"/>
  <c r="Q43" i="8" s="1"/>
  <c r="BJ60" i="5"/>
  <c r="AK60" i="5" s="1"/>
  <c r="Q60" i="8" s="1"/>
  <c r="AK48" i="5"/>
  <c r="Q48" i="8" s="1"/>
  <c r="BJ59" i="5"/>
  <c r="AK59" i="5" s="1"/>
  <c r="Q59" i="8" s="1"/>
  <c r="AK47" i="5"/>
  <c r="Q47" i="8" s="1"/>
  <c r="BJ53" i="5"/>
  <c r="AK41" i="5"/>
  <c r="Q41" i="8" s="1"/>
  <c r="BJ54" i="5"/>
  <c r="AK54" i="5" s="1"/>
  <c r="Q54" i="8" s="1"/>
  <c r="AK42" i="5"/>
  <c r="Q42" i="8" s="1"/>
  <c r="BJ62" i="5"/>
  <c r="AK62" i="5" s="1"/>
  <c r="Q62" i="8" s="1"/>
  <c r="AK50" i="5"/>
  <c r="Q50" i="8" s="1"/>
  <c r="BJ61" i="5"/>
  <c r="AK61" i="5" s="1"/>
  <c r="Q61" i="8" s="1"/>
  <c r="AK49" i="5"/>
  <c r="Q49" i="8" s="1"/>
  <c r="BJ52" i="5"/>
  <c r="AK40" i="5"/>
  <c r="Q40" i="8" s="1"/>
  <c r="BJ56" i="5"/>
  <c r="AK56" i="5" s="1"/>
  <c r="Q56" i="8" s="1"/>
  <c r="AK44" i="5"/>
  <c r="Q44" i="8" s="1"/>
  <c r="BJ58" i="5"/>
  <c r="AK58" i="5" s="1"/>
  <c r="Q58" i="8" s="1"/>
  <c r="AK46" i="5"/>
  <c r="Q46" i="8" s="1"/>
  <c r="AT61" i="5"/>
  <c r="F61" i="8" s="1"/>
  <c r="AU61" i="5"/>
  <c r="G61" i="8" s="1"/>
  <c r="AJ62" i="5"/>
  <c r="AV62" i="5" l="1"/>
  <c r="H62" i="8" s="1"/>
  <c r="AW62" i="5"/>
  <c r="BJ65" i="5"/>
  <c r="AK65" i="5" s="1"/>
  <c r="Q65" i="8" s="1"/>
  <c r="AK53" i="5"/>
  <c r="Q53" i="8" s="1"/>
  <c r="BJ64" i="5"/>
  <c r="AK64" i="5" s="1"/>
  <c r="Q64" i="8" s="1"/>
  <c r="AK52" i="5"/>
  <c r="Q52" i="8" s="1"/>
  <c r="BJ63" i="5"/>
  <c r="AK63" i="5" s="1"/>
  <c r="Q63" i="8" s="1"/>
  <c r="AK51" i="5"/>
  <c r="Q51" i="8" s="1"/>
  <c r="AT62" i="5"/>
  <c r="F62" i="8" s="1"/>
  <c r="AU62" i="5"/>
  <c r="G62" i="8" s="1"/>
  <c r="AJ63" i="5"/>
  <c r="AV63" i="5" l="1"/>
  <c r="H63" i="8" s="1"/>
  <c r="AW63" i="5"/>
  <c r="AT63" i="5"/>
  <c r="F63" i="8" s="1"/>
  <c r="AU63" i="5"/>
  <c r="G63" i="8" s="1"/>
  <c r="AJ64" i="5"/>
  <c r="AJ65" i="5"/>
  <c r="AV65" i="5" l="1"/>
  <c r="H65" i="8" s="1"/>
  <c r="AW65" i="5"/>
  <c r="AV64" i="5"/>
  <c r="H64" i="8" s="1"/>
  <c r="AW64" i="5"/>
  <c r="AT65" i="5"/>
  <c r="F65" i="8" s="1"/>
  <c r="AU65" i="5"/>
  <c r="G65" i="8" s="1"/>
  <c r="AT64" i="5"/>
  <c r="F64" i="8" s="1"/>
  <c r="AU64" i="5"/>
  <c r="G64" i="8" s="1"/>
  <c r="I1" i="8" l="1"/>
  <c r="F1" i="8"/>
  <c r="H1" i="8"/>
  <c r="G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<sst xmlns="http://schemas.openxmlformats.org/spreadsheetml/2006/main" count="778" uniqueCount="389">
  <si>
    <t>0#ESQ-SOY</t>
  </si>
  <si>
    <t>SM-OEPR-BR</t>
  </si>
  <si>
    <t>SM-NOPR-BR</t>
  </si>
  <si>
    <t>SM-TRIM-BR</t>
  </si>
  <si>
    <t>SM-CHAP-BR</t>
  </si>
  <si>
    <t>SM-CAMP-BR</t>
  </si>
  <si>
    <t>SM-PASSO-BR</t>
  </si>
  <si>
    <t>SM-CAMGR-BR</t>
  </si>
  <si>
    <t>SM-RONDON-BR</t>
  </si>
  <si>
    <t>SM-RIOVERDE-BR</t>
  </si>
  <si>
    <t>SM-MOGIANA-BR</t>
  </si>
  <si>
    <t>SM-IJUI-BR</t>
  </si>
  <si>
    <t>BO-SAOP-BR</t>
  </si>
  <si>
    <t>SB-GTRIM-BR</t>
  </si>
  <si>
    <t>SB-GSORR-BR</t>
  </si>
  <si>
    <t>SB-GSORO-BR</t>
  </si>
  <si>
    <t>SB-GROND-BR</t>
  </si>
  <si>
    <t>SB-GRIVE-BR</t>
  </si>
  <si>
    <t>SB-GPOGR-BR</t>
  </si>
  <si>
    <t>SB-GPAFU-BR</t>
  </si>
  <si>
    <t>SB-GOEPR-BR</t>
  </si>
  <si>
    <t>SB-GNOPR-BR</t>
  </si>
  <si>
    <t>SB-GMOGI-BR</t>
  </si>
  <si>
    <t>SB-GIJUI-BR</t>
  </si>
  <si>
    <t>SB-GBARR-BR</t>
  </si>
  <si>
    <t>SB-GBASL-BR</t>
  </si>
  <si>
    <t>SB-WPAFU-BR</t>
  </si>
  <si>
    <t>SB-WSORO-BR</t>
  </si>
  <si>
    <t>SB-WSORR-BR</t>
  </si>
  <si>
    <t>LEN-CACR-BR</t>
  </si>
  <si>
    <t>LEN-CASS-BR</t>
  </si>
  <si>
    <t>LEN-ITRM-BR</t>
  </si>
  <si>
    <t>LEN-NOGS-BR</t>
  </si>
  <si>
    <t>LEN-ROND-BR</t>
  </si>
  <si>
    <t>LEN-WBHAI-BR</t>
  </si>
  <si>
    <t>LEAN-CASS-BR</t>
  </si>
  <si>
    <t>LEN-WBATD-BR</t>
  </si>
  <si>
    <t>LEAN-CCDI-BR</t>
  </si>
  <si>
    <t>LEAN-CCRS-BR</t>
  </si>
  <si>
    <t>LEAN-ITRM-BR</t>
  </si>
  <si>
    <t>LEAN-NOGS-BR</t>
  </si>
  <si>
    <t>LEAN-PANTL-BR</t>
  </si>
  <si>
    <t>LEAN-PARA-BR</t>
  </si>
  <si>
    <t>LEAN-RGND-BR</t>
  </si>
  <si>
    <t>LEAN-RGNDS-BR</t>
  </si>
  <si>
    <t>SB-WRIVE-BR</t>
  </si>
  <si>
    <t>LEAN-WOBHS-BR</t>
  </si>
  <si>
    <t>LEAN-RNDPLS-BR</t>
  </si>
  <si>
    <t>SB-WROND-BR</t>
  </si>
  <si>
    <t>SB-WPOGR-BR</t>
  </si>
  <si>
    <t>SB-WOEPR-BR</t>
  </si>
  <si>
    <t>SB-WNOPR-BR</t>
  </si>
  <si>
    <t>SB-WMOGI-BR</t>
  </si>
  <si>
    <t>SB-WTRIM-BR</t>
  </si>
  <si>
    <t>SB-WIJUI-BR</t>
  </si>
  <si>
    <t>SB-WBARR-BR</t>
  </si>
  <si>
    <t>SB-GRCNR-BR</t>
  </si>
  <si>
    <t>SB-WBRCN-BR</t>
  </si>
  <si>
    <t>SB-GDCGR-BR</t>
  </si>
  <si>
    <t>SB-GDUMS-BR</t>
  </si>
  <si>
    <t>SB-GCHAMS-BR</t>
  </si>
  <si>
    <t>SB-GMRMS-BR</t>
  </si>
  <si>
    <t>SB-GCPMT-BR</t>
  </si>
  <si>
    <t>SB-GPRMMT-BR</t>
  </si>
  <si>
    <t>SB-GSRRS-BR</t>
  </si>
  <si>
    <t>SB-GSDPR-BR</t>
  </si>
  <si>
    <t>SB-WBALMA-BR</t>
  </si>
  <si>
    <t>SB-WCHSGO-BR</t>
  </si>
  <si>
    <t>SB-WCGMS-BR</t>
  </si>
  <si>
    <t>SB-WCPMT-BR</t>
  </si>
  <si>
    <t>SB-WDUMT-BR</t>
  </si>
  <si>
    <t>SB-WMRMST-BR</t>
  </si>
  <si>
    <t>SB-WDIAMT-BR</t>
  </si>
  <si>
    <t>SB-WPRMMT-BR</t>
  </si>
  <si>
    <t>SB-WRSPRT-BR</t>
  </si>
  <si>
    <t>SB-WSRRS-BR</t>
  </si>
  <si>
    <t>SB-WSDPR-BR</t>
  </si>
  <si>
    <t>SB-WSGOGD-BR</t>
  </si>
  <si>
    <t>SB-WUNMG-BR</t>
  </si>
  <si>
    <t>Timestamp</t>
  </si>
  <si>
    <t>CLOSE</t>
  </si>
  <si>
    <t>SM-POGR-BR</t>
  </si>
  <si>
    <t>INST_DESC</t>
  </si>
  <si>
    <t>0#FRGHT-SOYBEAN</t>
  </si>
  <si>
    <t>SOY-SNP-ITI</t>
  </si>
  <si>
    <t>SOY-PDL-RDO</t>
  </si>
  <si>
    <t>SOY-SRS-ITI</t>
  </si>
  <si>
    <t>SOY-PDL-AAA</t>
  </si>
  <si>
    <t>SOY-NMT-RDO</t>
  </si>
  <si>
    <t>SOY-SRS-AAA</t>
  </si>
  <si>
    <t>SOY-LRV-RDO</t>
  </si>
  <si>
    <t>SOY-CVD-AAA</t>
  </si>
  <si>
    <t>SOY-DMT-RDO</t>
  </si>
  <si>
    <t>SOY-AGS-AAA</t>
  </si>
  <si>
    <t>SOY-IDN-RDO</t>
  </si>
  <si>
    <t>SOY-PDL-PAG</t>
  </si>
  <si>
    <t>SOY-SCA-ITI</t>
  </si>
  <si>
    <t>SOY-CVD-RDO</t>
  </si>
  <si>
    <t>SOY-CCE-PAG</t>
  </si>
  <si>
    <t>SOY-IDN-ITI</t>
  </si>
  <si>
    <t>SOY-CUA-ITI</t>
  </si>
  <si>
    <t>SOY-SNP-RDO</t>
  </si>
  <si>
    <t>SOY-CAN-SSA</t>
  </si>
  <si>
    <t>SOY-NUI-ITI</t>
  </si>
  <si>
    <t>SOY-QRC-SLS</t>
  </si>
  <si>
    <t>SOY-QRC-AGR</t>
  </si>
  <si>
    <t>SOY-INN-RDO</t>
  </si>
  <si>
    <t>SOY-NUI-RDO</t>
  </si>
  <si>
    <t>SOY-LEM-ATR</t>
  </si>
  <si>
    <t>SOY-PDL-STN</t>
  </si>
  <si>
    <t>SOY-QRC-SSA</t>
  </si>
  <si>
    <t>SOY-PDL-GRA</t>
  </si>
  <si>
    <t>SOY-PFU-RGN</t>
  </si>
  <si>
    <t>SOY-QRC-CDT</t>
  </si>
  <si>
    <t>SOY-BEE-ITI</t>
  </si>
  <si>
    <t>SOY-NMR-RDO</t>
  </si>
  <si>
    <t>SOY-TEL-PAG</t>
  </si>
  <si>
    <t>SOY-LEM-SVO</t>
  </si>
  <si>
    <t>SOY-SFA-BCE</t>
  </si>
  <si>
    <t>SOY-SRS-IIB</t>
  </si>
  <si>
    <t>SOY-CAN-STN</t>
  </si>
  <si>
    <t>SOY-QRC-URA</t>
  </si>
  <si>
    <t>SOY-SRS-STN</t>
  </si>
  <si>
    <t>SOY-CAN-URA</t>
  </si>
  <si>
    <t>SOY-ABA-SSA</t>
  </si>
  <si>
    <t>SOY-IDN-AAA</t>
  </si>
  <si>
    <t>SOY-DMT-AAA</t>
  </si>
  <si>
    <t>SOY-LDN-PAG</t>
  </si>
  <si>
    <t>SOY-CAN-AGR</t>
  </si>
  <si>
    <t>SOY-QRC-BCE</t>
  </si>
  <si>
    <t>SOY-NSH-ITI</t>
  </si>
  <si>
    <t>SOY-CAT-RGN</t>
  </si>
  <si>
    <t>SOY-LRV-AAA</t>
  </si>
  <si>
    <t>SOY-CAG-AAA</t>
  </si>
  <si>
    <t>SOY-CFS-SLS</t>
  </si>
  <si>
    <t>SOY-CAN-PAG</t>
  </si>
  <si>
    <t>SOY-NMT-AAA</t>
  </si>
  <si>
    <t>SOY-TEP-RGN</t>
  </si>
  <si>
    <t>SOY-IJI-RGN</t>
  </si>
  <si>
    <t>SOY-MIA-PAG</t>
  </si>
  <si>
    <t>SOY-CMO-PAG</t>
  </si>
  <si>
    <t>SOY-FNL-ITI</t>
  </si>
  <si>
    <t>SOY-CAN-GRA</t>
  </si>
  <si>
    <t>SOY-MUT-ITI</t>
  </si>
  <si>
    <t>SOY-CFS-BCE</t>
  </si>
  <si>
    <t>SOY-SRS-RDO</t>
  </si>
  <si>
    <t>Data Final</t>
  </si>
  <si>
    <t>Data final</t>
  </si>
  <si>
    <t>Soy Meal Ponta Grossa, PR</t>
  </si>
  <si>
    <t>Soy Meal West Parana</t>
  </si>
  <si>
    <t>Soy Meal North Parana</t>
  </si>
  <si>
    <t>Soy Meal Triangulo Mineiro MG</t>
  </si>
  <si>
    <t>Soy Meal Chapeco, SC</t>
  </si>
  <si>
    <t>Soy Meal Campinas, Sao Pau</t>
  </si>
  <si>
    <t>Soy Meal Passo Fundo, RS</t>
  </si>
  <si>
    <t>Soy Meal Campo Grande, MS</t>
  </si>
  <si>
    <t>Soy Meal Rondonopolis, MT</t>
  </si>
  <si>
    <t>Soy Meal Rio Verde, GO</t>
  </si>
  <si>
    <t>Soy Meal Mogiana, Sao Pau</t>
  </si>
  <si>
    <t>Soy Meal Ijui, RS</t>
  </si>
  <si>
    <t>Soyoil Sao Paulo</t>
  </si>
  <si>
    <t>Soybn Grower Trian Min, MG</t>
  </si>
  <si>
    <t>Soybn Grower Sorriso, MT</t>
  </si>
  <si>
    <t>Soybn Grower Sorocabana SP</t>
  </si>
  <si>
    <t>Soybn Grower Rondonopolis MT</t>
  </si>
  <si>
    <t>Soybn Grower Rio Verde, GO</t>
  </si>
  <si>
    <t>Soybn Grower Ponta Grossa PR</t>
  </si>
  <si>
    <t>Soybn Grower Passo Fundo RS</t>
  </si>
  <si>
    <t>Soybn Grower West, Parana</t>
  </si>
  <si>
    <t>Soybn Grower North, Parana</t>
  </si>
  <si>
    <t>Soybn Grower Mogiana, SP</t>
  </si>
  <si>
    <t>Soybn Grower Ijui, RS</t>
  </si>
  <si>
    <t>Soybn Grower Barreiras, BA</t>
  </si>
  <si>
    <t>Soybn Grower Balsas, MA</t>
  </si>
  <si>
    <t>Soybn Wholesale Passo Fundo</t>
  </si>
  <si>
    <t>Soybn Wholesale Sorocabana</t>
  </si>
  <si>
    <t>Soybn Wholesale Sorriso MT</t>
  </si>
  <si>
    <t>Trm day Len Catle - Caceres</t>
  </si>
  <si>
    <t>Trm day Len Catle - Casilandia</t>
  </si>
  <si>
    <t>Trm day Len Catle - Itamaraju</t>
  </si>
  <si>
    <t>Trm day Len Cattle - Nth Goias</t>
  </si>
  <si>
    <t>Trm day Len Catle - Rondonopo</t>
  </si>
  <si>
    <t>Trm day Len Catle - West Bahia</t>
  </si>
  <si>
    <t>BR Lean Catle Trm - Casilandia</t>
  </si>
  <si>
    <t>Trm day Lean Cattle - Pantanal</t>
  </si>
  <si>
    <t>BR Len Catle Cash CDI -Colider</t>
  </si>
  <si>
    <t>BR Lean Cattle Term - Caceres</t>
  </si>
  <si>
    <t>BR Len Cattle Term - Itamaraju</t>
  </si>
  <si>
    <t>BR Lean Catle Trm -North Goias</t>
  </si>
  <si>
    <t>BR Lean Cattle Term - Pantanal</t>
  </si>
  <si>
    <t>Term days Lean Cattle - Para</t>
  </si>
  <si>
    <t>Trm day Len Catle - Rio Grande</t>
  </si>
  <si>
    <t>BR Lean Catle Trm - Rio Grande</t>
  </si>
  <si>
    <t>Soybn Wholesale Rio Verde</t>
  </si>
  <si>
    <t>BR Lean Catle Trm - West Bahia</t>
  </si>
  <si>
    <t>BR Lean Catle Trm - Rondonopo</t>
  </si>
  <si>
    <t>Soybn Wholesale Rondonopolis</t>
  </si>
  <si>
    <t>Soybn Wholesale Ponta Grossa</t>
  </si>
  <si>
    <t>Soybn Wholesale West Parana</t>
  </si>
  <si>
    <t>Soybn Wholesale North Parana</t>
  </si>
  <si>
    <t>Soybn-Wholesale Mogiana SP</t>
  </si>
  <si>
    <t>Soybn Wholesale Triang Min</t>
  </si>
  <si>
    <t>Soybn Wholesale Ijui, RS</t>
  </si>
  <si>
    <t>Soybn Wholesale Barreiras BA</t>
  </si>
  <si>
    <t>Soybn Grower Campos Novo</t>
  </si>
  <si>
    <t>Soybn Wholesale Campos Novo</t>
  </si>
  <si>
    <t>BR Soybean - Grower Cg MS</t>
  </si>
  <si>
    <t>BR Soybean - Grower Dou MS</t>
  </si>
  <si>
    <t>BR Soybean - Grower Cha-MS</t>
  </si>
  <si>
    <t>BR Soybean - Grower Mar MS</t>
  </si>
  <si>
    <t>COD</t>
  </si>
  <si>
    <t>MÊS</t>
  </si>
  <si>
    <t>Ponta Grossa</t>
  </si>
  <si>
    <t>West PR</t>
  </si>
  <si>
    <t>Mogiana</t>
  </si>
  <si>
    <t>Triangulo Min</t>
  </si>
  <si>
    <t>Passo Fundo</t>
  </si>
  <si>
    <t>Ijui</t>
  </si>
  <si>
    <t>balcão =&gt; grower</t>
  </si>
  <si>
    <t>disponivel (limpo, seco,padroniazado, - quebra tecnica) =&gt; wholesale</t>
  </si>
  <si>
    <t>Paranagua</t>
  </si>
  <si>
    <t>SOR-PRG</t>
  </si>
  <si>
    <t>RND-PRG</t>
  </si>
  <si>
    <t>Paridade Exportação</t>
  </si>
  <si>
    <t>Sorriso</t>
  </si>
  <si>
    <t>Rondonopolis</t>
  </si>
  <si>
    <t>Media</t>
  </si>
  <si>
    <t>Disponível - Balcão</t>
  </si>
  <si>
    <t>Frete</t>
  </si>
  <si>
    <t>Londrina PRGA</t>
  </si>
  <si>
    <t>Toledo PRGA</t>
  </si>
  <si>
    <t>Maringa-PRGA</t>
  </si>
  <si>
    <t>Campo Mourão - PRGA</t>
  </si>
  <si>
    <t>TOL-PRG</t>
  </si>
  <si>
    <t>West Parana</t>
  </si>
  <si>
    <t>LDN-PRG</t>
  </si>
  <si>
    <t>Londrina</t>
  </si>
  <si>
    <t>North Parana</t>
  </si>
  <si>
    <t>Chapeco, SC</t>
  </si>
  <si>
    <t>Trian Mineiro MG</t>
  </si>
  <si>
    <t>Campinas, Sao Pau</t>
  </si>
  <si>
    <t>Passo Fundo, RS</t>
  </si>
  <si>
    <t>Campo Grande, MS</t>
  </si>
  <si>
    <t>Rondonopolis, MT</t>
  </si>
  <si>
    <t>Rio Verde, GO</t>
  </si>
  <si>
    <t xml:space="preserve"> Ijui, RS</t>
  </si>
  <si>
    <t>São Paulo</t>
  </si>
  <si>
    <t>SRS</t>
  </si>
  <si>
    <t>SNP</t>
  </si>
  <si>
    <t>São Paulo s/ICMS</t>
  </si>
  <si>
    <t>MT - IMEA</t>
  </si>
  <si>
    <t>MT IMEA</t>
  </si>
  <si>
    <t>ITI</t>
  </si>
  <si>
    <t>Itaituba</t>
  </si>
  <si>
    <t>STN</t>
  </si>
  <si>
    <t>Santos</t>
  </si>
  <si>
    <t>CCE</t>
  </si>
  <si>
    <t>Cascavel</t>
  </si>
  <si>
    <t>CAN</t>
  </si>
  <si>
    <t>Canarana</t>
  </si>
  <si>
    <t>RDO</t>
  </si>
  <si>
    <t>Rondonoplis</t>
  </si>
  <si>
    <t>PFU</t>
  </si>
  <si>
    <t>RGN</t>
  </si>
  <si>
    <t>Rio Grande</t>
  </si>
  <si>
    <t>CAT</t>
  </si>
  <si>
    <t>Cruz Alta</t>
  </si>
  <si>
    <t>QRC</t>
  </si>
  <si>
    <t>Querencia</t>
  </si>
  <si>
    <t>SLS</t>
  </si>
  <si>
    <t>São Luis</t>
  </si>
  <si>
    <t>IIB</t>
  </si>
  <si>
    <t>Imbituba</t>
  </si>
  <si>
    <t>BCE</t>
  </si>
  <si>
    <t>Barcarena</t>
  </si>
  <si>
    <t>IJI</t>
  </si>
  <si>
    <t>TEL</t>
  </si>
  <si>
    <t>Toledo</t>
  </si>
  <si>
    <t>CFS</t>
  </si>
  <si>
    <t>Confresa</t>
  </si>
  <si>
    <t>PDL</t>
  </si>
  <si>
    <t>Primavera do Leste</t>
  </si>
  <si>
    <t>CMO</t>
  </si>
  <si>
    <t>Campo Mourão</t>
  </si>
  <si>
    <t>URA</t>
  </si>
  <si>
    <t>Uberaba</t>
  </si>
  <si>
    <t>Luis Eduardo Magalhães</t>
  </si>
  <si>
    <t>SVO</t>
  </si>
  <si>
    <t>Salvador</t>
  </si>
  <si>
    <t>MUT</t>
  </si>
  <si>
    <t>Matupa</t>
  </si>
  <si>
    <t>LRV</t>
  </si>
  <si>
    <t>Lucas do Rio Verde</t>
  </si>
  <si>
    <t>ABA</t>
  </si>
  <si>
    <t>Agua Boa</t>
  </si>
  <si>
    <t>SSA</t>
  </si>
  <si>
    <t>São Simão</t>
  </si>
  <si>
    <t>SFA</t>
  </si>
  <si>
    <t>São Felix do Araguaia</t>
  </si>
  <si>
    <t>AGR</t>
  </si>
  <si>
    <t>Araguari</t>
  </si>
  <si>
    <t>Sinop</t>
  </si>
  <si>
    <t>AGS</t>
  </si>
  <si>
    <t>Alto Garças</t>
  </si>
  <si>
    <t>AAA</t>
  </si>
  <si>
    <t>Alto Araguaia</t>
  </si>
  <si>
    <t>CVD</t>
  </si>
  <si>
    <t>Campo Verde</t>
  </si>
  <si>
    <t>DMT</t>
  </si>
  <si>
    <t>Diamantino</t>
  </si>
  <si>
    <t>NMT</t>
  </si>
  <si>
    <t>Nova Mutum</t>
  </si>
  <si>
    <t>CAG</t>
  </si>
  <si>
    <t>Caravagio</t>
  </si>
  <si>
    <t>TEP</t>
  </si>
  <si>
    <t>Tapera</t>
  </si>
  <si>
    <t>FNL</t>
  </si>
  <si>
    <t>Feliz Natal</t>
  </si>
  <si>
    <t>IDN</t>
  </si>
  <si>
    <t>Ipiranga do Norte</t>
  </si>
  <si>
    <t>INN</t>
  </si>
  <si>
    <t>Itanhanga</t>
  </si>
  <si>
    <t>ATR</t>
  </si>
  <si>
    <t>Aratu</t>
  </si>
  <si>
    <t>MIA</t>
  </si>
  <si>
    <t>Maringa</t>
  </si>
  <si>
    <t>GRA</t>
  </si>
  <si>
    <t>Guaruja</t>
  </si>
  <si>
    <t>CUA</t>
  </si>
  <si>
    <t>Claudia</t>
  </si>
  <si>
    <t>SCA</t>
  </si>
  <si>
    <t>NUI</t>
  </si>
  <si>
    <t>Nova Ubirata</t>
  </si>
  <si>
    <t>CDT</t>
  </si>
  <si>
    <t>Colinas do Tocantins</t>
  </si>
  <si>
    <t>NMR</t>
  </si>
  <si>
    <t>Nova Maringa</t>
  </si>
  <si>
    <t>BEE</t>
  </si>
  <si>
    <t>Boa Esperança</t>
  </si>
  <si>
    <t>Sigla</t>
  </si>
  <si>
    <t>Nome</t>
  </si>
  <si>
    <t>NSH</t>
  </si>
  <si>
    <t>Nova Santa Helena</t>
  </si>
  <si>
    <t>PAG</t>
  </si>
  <si>
    <t>LEM</t>
  </si>
  <si>
    <t>Diponivel</t>
  </si>
  <si>
    <t>LDN</t>
  </si>
  <si>
    <t>IJI-RGN</t>
  </si>
  <si>
    <t>PFD-RGN</t>
  </si>
  <si>
    <t>Santa Carmem</t>
  </si>
  <si>
    <t>Porto</t>
  </si>
  <si>
    <t>R$/ton</t>
  </si>
  <si>
    <t>Paridade Export</t>
  </si>
  <si>
    <t>Teor Oleo</t>
  </si>
  <si>
    <t>Teor Farelo</t>
  </si>
  <si>
    <t>Casca</t>
  </si>
  <si>
    <t>Custo Industrial</t>
  </si>
  <si>
    <t>Pis/Cofins</t>
  </si>
  <si>
    <t>Data</t>
  </si>
  <si>
    <t>Versus Paridade de Exportação</t>
  </si>
  <si>
    <t>Versus Disponivel</t>
  </si>
  <si>
    <t>Stonex</t>
  </si>
  <si>
    <t xml:space="preserve">FRETE </t>
  </si>
  <si>
    <t>LRV-PRG</t>
  </si>
  <si>
    <t>SOJA PAR EXP</t>
  </si>
  <si>
    <t>MAR-PRG</t>
  </si>
  <si>
    <t>CAS-PRG</t>
  </si>
  <si>
    <t>CMO-PRG</t>
  </si>
  <si>
    <t>R$/ton.km</t>
  </si>
  <si>
    <t>PG - PRG</t>
  </si>
  <si>
    <t>PG-PRG</t>
  </si>
  <si>
    <t>Frete Oleo</t>
  </si>
  <si>
    <t>Soja Disponivel</t>
  </si>
  <si>
    <t>PRG</t>
  </si>
  <si>
    <t>PG</t>
  </si>
  <si>
    <t>Oleo</t>
  </si>
  <si>
    <t>Crush Margin</t>
  </si>
  <si>
    <t>Oil</t>
  </si>
  <si>
    <t>Meal</t>
  </si>
  <si>
    <t>Par Export</t>
  </si>
  <si>
    <t>Interno</t>
  </si>
  <si>
    <t>Farelo MI</t>
  </si>
  <si>
    <t>Frete Soja/Farelo</t>
  </si>
  <si>
    <t>Crush Margin Par Export</t>
  </si>
  <si>
    <t>20% MI</t>
  </si>
  <si>
    <t>0% MI</t>
  </si>
  <si>
    <t>CAS</t>
  </si>
  <si>
    <t>60% MI</t>
  </si>
  <si>
    <t xml:space="preserve">LDN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</si>
</sst>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8" formatCode="_-* #,##0.000_-;\-* #,##0.000_-;_-* &quot;-&quot;??_-;_-@_-"/>
    <numFmt numFmtId="170" formatCode="0.0%"/>
    <numFmt numFmtId="171" formatCode="_-* #,##0.0_-;\-* #,##0.0_-;_-* &quot;-&quot;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quotePrefix="1" applyFont="1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quotePrefix="1" applyFont="1" applyAlignment="1">
      <alignment horizontal="center"/>
    </xf>
    <xf numFmtId="17" fontId="0" fillId="0" borderId="0" xfId="0" applyNumberFormat="1"/>
    <xf numFmtId="0" fontId="3" fillId="0" borderId="0" xfId="0" applyFont="1" applyAlignment="1">
      <alignment horizontal="center"/>
    </xf>
    <xf numFmtId="43" fontId="0" fillId="0" borderId="0" xfId="1" applyFont="1"/>
    <xf numFmtId="164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43" fontId="0" fillId="0" borderId="0" xfId="0" applyNumberFormat="1"/>
    <xf numFmtId="0" fontId="0" fillId="0" borderId="0" xfId="0" applyAlignment="1">
      <alignment horizontal="left"/>
    </xf>
    <xf numFmtId="43" fontId="0" fillId="3" borderId="0" xfId="1" applyFont="1" applyFill="1"/>
    <xf numFmtId="43" fontId="0" fillId="3" borderId="0" xfId="0" applyNumberFormat="1" applyFill="1"/>
    <xf numFmtId="0" fontId="0" fillId="4" borderId="0" xfId="0" applyFill="1"/>
    <xf numFmtId="43" fontId="0" fillId="4" borderId="0" xfId="1" applyFont="1" applyFill="1"/>
    <xf numFmtId="0" fontId="3" fillId="0" borderId="0" xfId="0" applyFont="1" applyAlignment="1">
      <alignment horizontal="center" vertical="center"/>
    </xf>
    <xf numFmtId="43" fontId="0" fillId="5" borderId="0" xfId="1" applyFont="1" applyFill="1"/>
    <xf numFmtId="0" fontId="0" fillId="3" borderId="0" xfId="0" applyFill="1"/>
    <xf numFmtId="17" fontId="0" fillId="3" borderId="0" xfId="0" applyNumberFormat="1" applyFill="1"/>
    <xf numFmtId="165" fontId="0" fillId="0" borderId="0" xfId="1" applyNumberFormat="1" applyFont="1"/>
    <xf numFmtId="165" fontId="0" fillId="0" borderId="0" xfId="0" applyNumberFormat="1"/>
    <xf numFmtId="0" fontId="1" fillId="3" borderId="0" xfId="0" applyFont="1" applyFill="1" applyAlignment="1">
      <alignment horizontal="center" vertical="center"/>
    </xf>
    <xf numFmtId="43" fontId="1" fillId="3" borderId="0" xfId="1" applyFont="1" applyFill="1" applyAlignment="1">
      <alignment horizontal="center"/>
    </xf>
    <xf numFmtId="165" fontId="0" fillId="3" borderId="0" xfId="1" applyNumberFormat="1" applyFont="1" applyFill="1"/>
    <xf numFmtId="165" fontId="0" fillId="5" borderId="0" xfId="1" applyNumberFormat="1" applyFont="1" applyFill="1"/>
    <xf numFmtId="9" fontId="0" fillId="0" borderId="0" xfId="0" applyNumberFormat="1"/>
    <xf numFmtId="10" fontId="0" fillId="0" borderId="0" xfId="0" applyNumberFormat="1"/>
    <xf numFmtId="0" fontId="0" fillId="6" borderId="0" xfId="0" applyFill="1"/>
    <xf numFmtId="43" fontId="0" fillId="6" borderId="0" xfId="0" applyNumberFormat="1" applyFill="1"/>
    <xf numFmtId="165" fontId="0" fillId="6" borderId="0" xfId="0" applyNumberFormat="1" applyFill="1"/>
    <xf numFmtId="1" fontId="0" fillId="0" borderId="0" xfId="0" applyNumberFormat="1"/>
    <xf numFmtId="168" fontId="0" fillId="0" borderId="0" xfId="1" applyNumberFormat="1" applyFont="1"/>
    <xf numFmtId="0" fontId="1" fillId="6" borderId="0" xfId="0" applyFont="1" applyFill="1"/>
    <xf numFmtId="168" fontId="0" fillId="0" borderId="0" xfId="0" applyNumberFormat="1"/>
    <xf numFmtId="0" fontId="1" fillId="7" borderId="0" xfId="0" applyFont="1" applyFill="1" applyAlignment="1">
      <alignment horizontal="center"/>
    </xf>
    <xf numFmtId="43" fontId="0" fillId="7" borderId="0" xfId="1" applyFont="1" applyFill="1"/>
    <xf numFmtId="43" fontId="3" fillId="0" borderId="0" xfId="1" applyFont="1"/>
    <xf numFmtId="0" fontId="1" fillId="8" borderId="0" xfId="0" applyFont="1" applyFill="1" applyAlignment="1">
      <alignment horizontal="center"/>
    </xf>
    <xf numFmtId="0" fontId="0" fillId="8" borderId="0" xfId="0" applyFill="1"/>
    <xf numFmtId="0" fontId="0" fillId="9" borderId="0" xfId="0" applyFill="1"/>
    <xf numFmtId="170" fontId="0" fillId="0" borderId="0" xfId="0" applyNumberFormat="1"/>
    <xf numFmtId="0" fontId="0" fillId="10" borderId="0" xfId="0" applyFill="1"/>
    <xf numFmtId="171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33114610673666"/>
          <c:y val="5.0925925925925923E-2"/>
          <c:w val="0.85894510061242335"/>
          <c:h val="0.77179024496937887"/>
        </c:manualLayout>
      </c:layout>
      <c:lineChart>
        <c:grouping val="standard"/>
        <c:varyColors val="0"/>
        <c:ser>
          <c:idx val="0"/>
          <c:order val="0"/>
          <c:tx>
            <c:strRef>
              <c:f>'Modelo Soja'!$Q$2</c:f>
              <c:strCache>
                <c:ptCount val="1"/>
                <c:pt idx="0">
                  <c:v>Soybn Grower Campos Novo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Soja'!$Q$3:$Q$65</c:f>
              <c:numCache>
                <c:formatCode>_(* #,##0.00_);_(* \(#,##0.00\);_(* "-"??_);_(@_)</c:formatCode>
                <c:ptCount val="63"/>
                <c:pt idx="0">
                  <c:v>151.22199999999998</c:v>
                </c:pt>
                <c:pt idx="1">
                  <c:v>155.80166666666665</c:v>
                </c:pt>
                <c:pt idx="2">
                  <c:v>161.07217391304351</c:v>
                </c:pt>
                <c:pt idx="3">
                  <c:v>165.32750000000004</c:v>
                </c:pt>
                <c:pt idx="4">
                  <c:v>165.6638095238095</c:v>
                </c:pt>
                <c:pt idx="5">
                  <c:v>151.00809523809525</c:v>
                </c:pt>
                <c:pt idx="6">
                  <c:v>154.21</c:v>
                </c:pt>
                <c:pt idx="7">
                  <c:v>159.12</c:v>
                </c:pt>
                <c:pt idx="8">
                  <c:v>160.67238095238099</c:v>
                </c:pt>
                <c:pt idx="9">
                  <c:v>160.69300000000001</c:v>
                </c:pt>
                <c:pt idx="10">
                  <c:v>157.92700000000002</c:v>
                </c:pt>
                <c:pt idx="11">
                  <c:v>160.89571428571423</c:v>
                </c:pt>
                <c:pt idx="12">
                  <c:v>168.57999999999998</c:v>
                </c:pt>
                <c:pt idx="13">
                  <c:v>184.69894736842107</c:v>
                </c:pt>
                <c:pt idx="14">
                  <c:v>194.41590909090911</c:v>
                </c:pt>
                <c:pt idx="15">
                  <c:v>176.04210526315785</c:v>
                </c:pt>
                <c:pt idx="16">
                  <c:v>182.2477272727273</c:v>
                </c:pt>
                <c:pt idx="17">
                  <c:v>180.67142857142855</c:v>
                </c:pt>
                <c:pt idx="18">
                  <c:v>178.63666666666666</c:v>
                </c:pt>
                <c:pt idx="19">
                  <c:v>176.56043478260872</c:v>
                </c:pt>
                <c:pt idx="20">
                  <c:v>174.67761904761906</c:v>
                </c:pt>
                <c:pt idx="21">
                  <c:v>172.48400000000001</c:v>
                </c:pt>
                <c:pt idx="22">
                  <c:v>174.56000000000003</c:v>
                </c:pt>
                <c:pt idx="23">
                  <c:v>172.7428571428571</c:v>
                </c:pt>
                <c:pt idx="24">
                  <c:v>171.24863636363634</c:v>
                </c:pt>
                <c:pt idx="25">
                  <c:v>165.19611111111112</c:v>
                </c:pt>
                <c:pt idx="26">
                  <c:v>154.96260869565222</c:v>
                </c:pt>
                <c:pt idx="27">
                  <c:v>137.05222222222221</c:v>
                </c:pt>
                <c:pt idx="28">
                  <c:v>125.42909090909089</c:v>
                </c:pt>
                <c:pt idx="29">
                  <c:v>124.57095238095238</c:v>
                </c:pt>
                <c:pt idx="30">
                  <c:v>133.0247619047619</c:v>
                </c:pt>
                <c:pt idx="31">
                  <c:v>136.0713043478261</c:v>
                </c:pt>
                <c:pt idx="32">
                  <c:v>135.85100000000003</c:v>
                </c:pt>
                <c:pt idx="33">
                  <c:v>133.34285714285716</c:v>
                </c:pt>
                <c:pt idx="34">
                  <c:v>134.68100000000004</c:v>
                </c:pt>
                <c:pt idx="35">
                  <c:v>133.79526315789471</c:v>
                </c:pt>
                <c:pt idx="36">
                  <c:v>120.18818181818179</c:v>
                </c:pt>
                <c:pt idx="37">
                  <c:v>111.90263157894738</c:v>
                </c:pt>
                <c:pt idx="38">
                  <c:v>112.20650000000003</c:v>
                </c:pt>
                <c:pt idx="39">
                  <c:v>118.73454545454541</c:v>
                </c:pt>
                <c:pt idx="40">
                  <c:v>123.19619047619045</c:v>
                </c:pt>
                <c:pt idx="41">
                  <c:v>126.03900000000002</c:v>
                </c:pt>
                <c:pt idx="42">
                  <c:v>126.18173913043479</c:v>
                </c:pt>
                <c:pt idx="43">
                  <c:v>120.7259090909091</c:v>
                </c:pt>
                <c:pt idx="44">
                  <c:v>125.69380952380955</c:v>
                </c:pt>
                <c:pt idx="45">
                  <c:v>128.1</c:v>
                </c:pt>
                <c:pt idx="46">
                  <c:v>130.32210526315791</c:v>
                </c:pt>
                <c:pt idx="47">
                  <c:v>130.41263157894736</c:v>
                </c:pt>
                <c:pt idx="48">
                  <c:v>126.36136363636363</c:v>
                </c:pt>
                <c:pt idx="49">
                  <c:v>124.46399999999997</c:v>
                </c:pt>
                <c:pt idx="50">
                  <c:v>124.8957894736842</c:v>
                </c:pt>
                <c:pt idx="51">
                  <c:v>125.25100000000002</c:v>
                </c:pt>
                <c:pt idx="52">
                  <c:v>122.67047619047621</c:v>
                </c:pt>
                <c:pt idx="53">
                  <c:v>123.24100000000001</c:v>
                </c:pt>
                <c:pt idx="54">
                  <c:v>123.29391304347821</c:v>
                </c:pt>
                <c:pt idx="55">
                  <c:v>126.76761904761904</c:v>
                </c:pt>
                <c:pt idx="56">
                  <c:v>126.05181818181818</c:v>
                </c:pt>
                <c:pt idx="57">
                  <c:v>124.46043478260869</c:v>
                </c:pt>
                <c:pt idx="58">
                  <c:v>125.96263157894734</c:v>
                </c:pt>
                <c:pt idx="59">
                  <c:v>126.23550000000003</c:v>
                </c:pt>
                <c:pt idx="60">
                  <c:v>122.04095238095236</c:v>
                </c:pt>
                <c:pt idx="61">
                  <c:v>117.33722222222224</c:v>
                </c:pt>
                <c:pt idx="62">
                  <c:v>119.0488888888889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94-4F99-B7B9-CBF45CF6B2F5}"/>
            </c:ext>
          </c:extLst>
        </c:ser>
        <c:ser>
          <c:idx val="1"/>
          <c:order val="1"/>
          <c:tx>
            <c:strRef>
              <c:f>'Modelo Soja'!$E$2</c:f>
              <c:strCache>
                <c:ptCount val="1"/>
                <c:pt idx="0">
                  <c:v>Soybn Grower Sorriso, MT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Soja'!$E$3:$E$65</c:f>
              <c:numCache>
                <c:formatCode>_(* #,##0.00_);_(* \(#,##0.00\);_(* "-"??_);_(@_)</c:formatCode>
                <c:ptCount val="63"/>
                <c:pt idx="0">
                  <c:v>146.24916666666664</c:v>
                </c:pt>
                <c:pt idx="1">
                  <c:v>147.96666666666667</c:v>
                </c:pt>
                <c:pt idx="2">
                  <c:v>152.20304347826089</c:v>
                </c:pt>
                <c:pt idx="3">
                  <c:v>154.36150000000001</c:v>
                </c:pt>
                <c:pt idx="4">
                  <c:v>156.33523809523808</c:v>
                </c:pt>
                <c:pt idx="5">
                  <c:v>140.56714285714287</c:v>
                </c:pt>
                <c:pt idx="6">
                  <c:v>148.3281818181818</c:v>
                </c:pt>
                <c:pt idx="7">
                  <c:v>158.16318181818181</c:v>
                </c:pt>
                <c:pt idx="8">
                  <c:v>158.6657142857143</c:v>
                </c:pt>
                <c:pt idx="9">
                  <c:v>153.91800000000001</c:v>
                </c:pt>
                <c:pt idx="10">
                  <c:v>145.11600000000004</c:v>
                </c:pt>
                <c:pt idx="11">
                  <c:v>143.005</c:v>
                </c:pt>
                <c:pt idx="12">
                  <c:v>155.6123809523809</c:v>
                </c:pt>
                <c:pt idx="13">
                  <c:v>169.05631578947367</c:v>
                </c:pt>
                <c:pt idx="14">
                  <c:v>171.88772727272729</c:v>
                </c:pt>
                <c:pt idx="15">
                  <c:v>158.18157894736842</c:v>
                </c:pt>
                <c:pt idx="16">
                  <c:v>161.64045454545453</c:v>
                </c:pt>
                <c:pt idx="17">
                  <c:v>157.58904761904759</c:v>
                </c:pt>
                <c:pt idx="18">
                  <c:v>154.04095238095238</c:v>
                </c:pt>
                <c:pt idx="19">
                  <c:v>154.3686956521739</c:v>
                </c:pt>
                <c:pt idx="20">
                  <c:v>153.99904761904759</c:v>
                </c:pt>
                <c:pt idx="21">
                  <c:v>151.64949999999999</c:v>
                </c:pt>
                <c:pt idx="22">
                  <c:v>149.82500000000002</c:v>
                </c:pt>
                <c:pt idx="23">
                  <c:v>147.44842105263157</c:v>
                </c:pt>
                <c:pt idx="24">
                  <c:v>142.95523809523806</c:v>
                </c:pt>
                <c:pt idx="25">
                  <c:v>142.02444444444444</c:v>
                </c:pt>
                <c:pt idx="26">
                  <c:v>132.63866666666669</c:v>
                </c:pt>
                <c:pt idx="27">
                  <c:v>114.83444444444444</c:v>
                </c:pt>
                <c:pt idx="28">
                  <c:v>105.53636363636365</c:v>
                </c:pt>
                <c:pt idx="29">
                  <c:v>101.6247619047619</c:v>
                </c:pt>
                <c:pt idx="30">
                  <c:v>108.25714285714287</c:v>
                </c:pt>
                <c:pt idx="31">
                  <c:v>110.83086956521738</c:v>
                </c:pt>
                <c:pt idx="32">
                  <c:v>112.51699999999998</c:v>
                </c:pt>
                <c:pt idx="33">
                  <c:v>111.60095238095238</c:v>
                </c:pt>
                <c:pt idx="34">
                  <c:v>112.26799999999999</c:v>
                </c:pt>
                <c:pt idx="35">
                  <c:v>110.97105263157896</c:v>
                </c:pt>
                <c:pt idx="36">
                  <c:v>102.29545454545455</c:v>
                </c:pt>
                <c:pt idx="37">
                  <c:v>90.709473684210522</c:v>
                </c:pt>
                <c:pt idx="38">
                  <c:v>98.167999999999978</c:v>
                </c:pt>
                <c:pt idx="39">
                  <c:v>103.40590909090906</c:v>
                </c:pt>
                <c:pt idx="40">
                  <c:v>107.47952380952384</c:v>
                </c:pt>
                <c:pt idx="41">
                  <c:v>111.42949999999999</c:v>
                </c:pt>
                <c:pt idx="42">
                  <c:v>110.25521739130438</c:v>
                </c:pt>
                <c:pt idx="43">
                  <c:v>108.83636363636364</c:v>
                </c:pt>
                <c:pt idx="44">
                  <c:v>116.49333333333334</c:v>
                </c:pt>
                <c:pt idx="45">
                  <c:v>126.22347826086954</c:v>
                </c:pt>
                <c:pt idx="46">
                  <c:v>129.18842105263155</c:v>
                </c:pt>
                <c:pt idx="47">
                  <c:v>122.15631578947365</c:v>
                </c:pt>
                <c:pt idx="48">
                  <c:v>106.93136363636363</c:v>
                </c:pt>
                <c:pt idx="49">
                  <c:v>102.18449999999999</c:v>
                </c:pt>
                <c:pt idx="50">
                  <c:v>104.91842105263159</c:v>
                </c:pt>
                <c:pt idx="51">
                  <c:v>105.52649999999998</c:v>
                </c:pt>
                <c:pt idx="52">
                  <c:v>104.82666666666667</c:v>
                </c:pt>
                <c:pt idx="53">
                  <c:v>106.44500000000001</c:v>
                </c:pt>
                <c:pt idx="54">
                  <c:v>109.00782608695656</c:v>
                </c:pt>
                <c:pt idx="55">
                  <c:v>113.20095238095239</c:v>
                </c:pt>
                <c:pt idx="56">
                  <c:v>114.88818181818179</c:v>
                </c:pt>
                <c:pt idx="57">
                  <c:v>112.86304347826091</c:v>
                </c:pt>
                <c:pt idx="58">
                  <c:v>112.02368421052631</c:v>
                </c:pt>
                <c:pt idx="59">
                  <c:v>109.32000000000001</c:v>
                </c:pt>
                <c:pt idx="60">
                  <c:v>99.014285714285705</c:v>
                </c:pt>
                <c:pt idx="61">
                  <c:v>97.016666666666666</c:v>
                </c:pt>
                <c:pt idx="62">
                  <c:v>96.846111111111099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94-4F99-B7B9-CBF45CF6B2F5}"/>
            </c:ext>
          </c:extLst>
        </c:ser>
        <c:ser>
          <c:idx val="2"/>
          <c:order val="2"/>
          <c:tx>
            <c:strRef>
              <c:f>'Modelo Soja'!$U$2</c:f>
              <c:strCache>
                <c:ptCount val="1"/>
                <c:pt idx="0">
                  <c:v>BR Soybean - Grower Mar 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'Modelo Soja'!$U$3:$U$65</c:f>
              <c:numCache>
                <c:formatCode>_(* #,##0.00_);_(* \(#,##0.00\);_(* "-"??_);_(@_)</c:formatCode>
                <c:ptCount val="63"/>
                <c:pt idx="0">
                  <c:v>148.63050000000004</c:v>
                </c:pt>
                <c:pt idx="1">
                  <c:v>149.9672222222222</c:v>
                </c:pt>
                <c:pt idx="2">
                  <c:v>153.05956521739131</c:v>
                </c:pt>
                <c:pt idx="3">
                  <c:v>155.29000000000002</c:v>
                </c:pt>
                <c:pt idx="4">
                  <c:v>158.41750000000002</c:v>
                </c:pt>
                <c:pt idx="5">
                  <c:v>142.80809523809526</c:v>
                </c:pt>
                <c:pt idx="6">
                  <c:v>146.39954545454543</c:v>
                </c:pt>
                <c:pt idx="7">
                  <c:v>152.2086363636364</c:v>
                </c:pt>
                <c:pt idx="8">
                  <c:v>153.19476190476195</c:v>
                </c:pt>
                <c:pt idx="9">
                  <c:v>154.37400000000002</c:v>
                </c:pt>
                <c:pt idx="10">
                  <c:v>149.69099999999997</c:v>
                </c:pt>
                <c:pt idx="11">
                  <c:v>154.23523809523812</c:v>
                </c:pt>
                <c:pt idx="12">
                  <c:v>161.32761904761901</c:v>
                </c:pt>
                <c:pt idx="13">
                  <c:v>179.36368421052632</c:v>
                </c:pt>
                <c:pt idx="14">
                  <c:v>185.10590909090911</c:v>
                </c:pt>
                <c:pt idx="15">
                  <c:v>167.92105263157896</c:v>
                </c:pt>
                <c:pt idx="16">
                  <c:v>172.19272727272727</c:v>
                </c:pt>
                <c:pt idx="17">
                  <c:v>170.16</c:v>
                </c:pt>
                <c:pt idx="18">
                  <c:v>164.51000000000002</c:v>
                </c:pt>
                <c:pt idx="19">
                  <c:v>160.79695652173911</c:v>
                </c:pt>
                <c:pt idx="20">
                  <c:v>161.38285714285715</c:v>
                </c:pt>
                <c:pt idx="21">
                  <c:v>160.81300000000005</c:v>
                </c:pt>
                <c:pt idx="22">
                  <c:v>163.49421052631581</c:v>
                </c:pt>
                <c:pt idx="23">
                  <c:v>158.52571428571432</c:v>
                </c:pt>
                <c:pt idx="24">
                  <c:v>154.20909090909092</c:v>
                </c:pt>
                <c:pt idx="25">
                  <c:v>150.79666666666668</c:v>
                </c:pt>
                <c:pt idx="26">
                  <c:v>140.2308695652174</c:v>
                </c:pt>
                <c:pt idx="27">
                  <c:v>124.09444444444446</c:v>
                </c:pt>
                <c:pt idx="28">
                  <c:v>116.31272727272727</c:v>
                </c:pt>
                <c:pt idx="29">
                  <c:v>112.51999999999998</c:v>
                </c:pt>
                <c:pt idx="30">
                  <c:v>119.75952380952383</c:v>
                </c:pt>
                <c:pt idx="31">
                  <c:v>121.90826086956521</c:v>
                </c:pt>
                <c:pt idx="32">
                  <c:v>118.54300000000001</c:v>
                </c:pt>
                <c:pt idx="33">
                  <c:v>115.66714285714286</c:v>
                </c:pt>
                <c:pt idx="34">
                  <c:v>117.54</c:v>
                </c:pt>
                <c:pt idx="35">
                  <c:v>116.10999999999999</c:v>
                </c:pt>
                <c:pt idx="36">
                  <c:v>104.22181818181816</c:v>
                </c:pt>
                <c:pt idx="37">
                  <c:v>95.056842105263144</c:v>
                </c:pt>
                <c:pt idx="38">
                  <c:v>99.437999999999974</c:v>
                </c:pt>
                <c:pt idx="39">
                  <c:v>106.08545454545455</c:v>
                </c:pt>
                <c:pt idx="40">
                  <c:v>111.83714285714284</c:v>
                </c:pt>
                <c:pt idx="41">
                  <c:v>115.92449999999999</c:v>
                </c:pt>
                <c:pt idx="42">
                  <c:v>116.40652173913043</c:v>
                </c:pt>
                <c:pt idx="43">
                  <c:v>113.07727272727271</c:v>
                </c:pt>
                <c:pt idx="44">
                  <c:v>118.00857142857144</c:v>
                </c:pt>
                <c:pt idx="45">
                  <c:v>124.75478260869563</c:v>
                </c:pt>
                <c:pt idx="46">
                  <c:v>125.12157894736845</c:v>
                </c:pt>
                <c:pt idx="47">
                  <c:v>122.05</c:v>
                </c:pt>
                <c:pt idx="48">
                  <c:v>113.54318181818185</c:v>
                </c:pt>
                <c:pt idx="49">
                  <c:v>114.508</c:v>
                </c:pt>
                <c:pt idx="50">
                  <c:v>115.83315789473684</c:v>
                </c:pt>
                <c:pt idx="51">
                  <c:v>115.6575</c:v>
                </c:pt>
                <c:pt idx="52">
                  <c:v>111.46714285714287</c:v>
                </c:pt>
                <c:pt idx="53">
                  <c:v>110.89449999999999</c:v>
                </c:pt>
                <c:pt idx="54">
                  <c:v>110.32173913043479</c:v>
                </c:pt>
                <c:pt idx="55">
                  <c:v>112.07380952380952</c:v>
                </c:pt>
                <c:pt idx="56">
                  <c:v>113.0031818181818</c:v>
                </c:pt>
                <c:pt idx="57">
                  <c:v>115.26304347826088</c:v>
                </c:pt>
                <c:pt idx="58">
                  <c:v>117.21210526315791</c:v>
                </c:pt>
                <c:pt idx="59">
                  <c:v>114.03600000000002</c:v>
                </c:pt>
                <c:pt idx="60">
                  <c:v>108.55333333333333</c:v>
                </c:pt>
                <c:pt idx="61">
                  <c:v>106.34722222222221</c:v>
                </c:pt>
                <c:pt idx="62">
                  <c:v>107.80666666666666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94-4F99-B7B9-CBF45CF6B2F5}"/>
            </c:ext>
          </c:extLst>
        </c:ser>
        <c:ser>
          <c:idx val="3"/>
          <c:order val="3"/>
          <c:tx>
            <c:strRef>
              <c:f>'Modelo Soja'!$S$2</c:f>
              <c:strCache>
                <c:ptCount val="1"/>
                <c:pt idx="0">
                  <c:v>BR Soybean - Grower Dou MS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Soja'!$S$3:$S$65</c:f>
              <c:numCache>
                <c:formatCode>_(* #,##0.00_);_(* \(#,##0.00\);_(* "-"??_);_(@_)</c:formatCode>
                <c:ptCount val="63"/>
                <c:pt idx="0">
                  <c:v>149.04500000000002</c:v>
                </c:pt>
                <c:pt idx="1">
                  <c:v>150.20944444444444</c:v>
                </c:pt>
                <c:pt idx="2">
                  <c:v>153.60608695652172</c:v>
                </c:pt>
                <c:pt idx="3">
                  <c:v>155.82449999999997</c:v>
                </c:pt>
                <c:pt idx="4">
                  <c:v>157.235625</c:v>
                </c:pt>
                <c:pt idx="5">
                  <c:v>142.99238095238093</c:v>
                </c:pt>
                <c:pt idx="6">
                  <c:v>146.80136363636359</c:v>
                </c:pt>
                <c:pt idx="7">
                  <c:v>152.74045454545458</c:v>
                </c:pt>
                <c:pt idx="8">
                  <c:v>153.60619047619048</c:v>
                </c:pt>
                <c:pt idx="9">
                  <c:v>154.79399999999995</c:v>
                </c:pt>
                <c:pt idx="10">
                  <c:v>149.82300000000001</c:v>
                </c:pt>
                <c:pt idx="11">
                  <c:v>154.32809523809522</c:v>
                </c:pt>
                <c:pt idx="12">
                  <c:v>161.62699999999998</c:v>
                </c:pt>
                <c:pt idx="13">
                  <c:v>180.26368421052635</c:v>
                </c:pt>
                <c:pt idx="14">
                  <c:v>185.88590909090905</c:v>
                </c:pt>
                <c:pt idx="15">
                  <c:v>168.35526315789474</c:v>
                </c:pt>
                <c:pt idx="16">
                  <c:v>172.35636363636365</c:v>
                </c:pt>
                <c:pt idx="17">
                  <c:v>170.66047619047617</c:v>
                </c:pt>
                <c:pt idx="18">
                  <c:v>166.16619047619048</c:v>
                </c:pt>
                <c:pt idx="19">
                  <c:v>161.98652173913047</c:v>
                </c:pt>
                <c:pt idx="20">
                  <c:v>162.0085714285714</c:v>
                </c:pt>
                <c:pt idx="21">
                  <c:v>161.98849999999999</c:v>
                </c:pt>
                <c:pt idx="22">
                  <c:v>164.0047368421053</c:v>
                </c:pt>
                <c:pt idx="23">
                  <c:v>159.03952380952381</c:v>
                </c:pt>
                <c:pt idx="24">
                  <c:v>154.74136363636362</c:v>
                </c:pt>
                <c:pt idx="25">
                  <c:v>151.05176470588233</c:v>
                </c:pt>
                <c:pt idx="26">
                  <c:v>141.00304347826085</c:v>
                </c:pt>
                <c:pt idx="27">
                  <c:v>124.26555555555554</c:v>
                </c:pt>
                <c:pt idx="28">
                  <c:v>116.57090909090907</c:v>
                </c:pt>
                <c:pt idx="29">
                  <c:v>112.2557142857143</c:v>
                </c:pt>
                <c:pt idx="30">
                  <c:v>119.75904761904762</c:v>
                </c:pt>
                <c:pt idx="31">
                  <c:v>122.53869565217394</c:v>
                </c:pt>
                <c:pt idx="32">
                  <c:v>119.18299999999999</c:v>
                </c:pt>
                <c:pt idx="33">
                  <c:v>116.79523809523809</c:v>
                </c:pt>
                <c:pt idx="34">
                  <c:v>120.15750000000006</c:v>
                </c:pt>
                <c:pt idx="35">
                  <c:v>118.48315789473683</c:v>
                </c:pt>
                <c:pt idx="36">
                  <c:v>101.48363636363636</c:v>
                </c:pt>
                <c:pt idx="37">
                  <c:v>95.903684210526293</c:v>
                </c:pt>
                <c:pt idx="38">
                  <c:v>100.297</c:v>
                </c:pt>
                <c:pt idx="39">
                  <c:v>106.62772727272727</c:v>
                </c:pt>
                <c:pt idx="40">
                  <c:v>113.45380952380951</c:v>
                </c:pt>
                <c:pt idx="41">
                  <c:v>116.66699999999999</c:v>
                </c:pt>
                <c:pt idx="42">
                  <c:v>116.68565217391306</c:v>
                </c:pt>
                <c:pt idx="43">
                  <c:v>113.6568181818182</c:v>
                </c:pt>
                <c:pt idx="44">
                  <c:v>118.63142857142859</c:v>
                </c:pt>
                <c:pt idx="45">
                  <c:v>125.78782608695651</c:v>
                </c:pt>
                <c:pt idx="46">
                  <c:v>126.80263157894737</c:v>
                </c:pt>
                <c:pt idx="47">
                  <c:v>122.22473684210529</c:v>
                </c:pt>
                <c:pt idx="48">
                  <c:v>113.46363636363635</c:v>
                </c:pt>
                <c:pt idx="49">
                  <c:v>114.824</c:v>
                </c:pt>
                <c:pt idx="50">
                  <c:v>116.15421052631578</c:v>
                </c:pt>
                <c:pt idx="51">
                  <c:v>117.3075</c:v>
                </c:pt>
                <c:pt idx="52">
                  <c:v>112.75190476190478</c:v>
                </c:pt>
                <c:pt idx="53">
                  <c:v>111.19950000000001</c:v>
                </c:pt>
                <c:pt idx="54">
                  <c:v>110.43000000000002</c:v>
                </c:pt>
                <c:pt idx="55">
                  <c:v>112.21904761904761</c:v>
                </c:pt>
                <c:pt idx="56">
                  <c:v>113.04363636363637</c:v>
                </c:pt>
                <c:pt idx="57">
                  <c:v>115.2286956521739</c:v>
                </c:pt>
                <c:pt idx="58">
                  <c:v>117.34684210526316</c:v>
                </c:pt>
                <c:pt idx="59">
                  <c:v>114.15049999999999</c:v>
                </c:pt>
                <c:pt idx="60">
                  <c:v>108.6657142857143</c:v>
                </c:pt>
                <c:pt idx="61">
                  <c:v>106.54352941176472</c:v>
                </c:pt>
                <c:pt idx="62">
                  <c:v>107.65944444444446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94-4F99-B7B9-CBF45CF6B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947040"/>
        <c:axId val="1321947520"/>
      </c:lineChart>
      <c:dateAx>
        <c:axId val="13219470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1947520"/>
        <c:crosses val="autoZero"/>
        <c:auto val="1"/>
        <c:lblOffset val="100"/>
        <c:baseTimeUnit val="months"/>
      </c:dateAx>
      <c:valAx>
        <c:axId val="1321947520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194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3760958005249337"/>
          <c:y val="2.3126275882181359E-3"/>
          <c:w val="0.45683486439195098"/>
          <c:h val="0.429272334335691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Soja'!$I$2</c:f>
              <c:strCache>
                <c:ptCount val="1"/>
                <c:pt idx="0">
                  <c:v>Soybn Grower Ponta Grossa PR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Soja'!$I$3:$I$65</c:f>
              <c:numCache>
                <c:formatCode>_(* #,##0.00_);_(* \(#,##0.00\);_(* "-"??_);_(@_)</c:formatCode>
                <c:ptCount val="63"/>
                <c:pt idx="0">
                  <c:v>153.14949999999999</c:v>
                </c:pt>
                <c:pt idx="1">
                  <c:v>155.22166666666666</c:v>
                </c:pt>
                <c:pt idx="2">
                  <c:v>159.28608695652179</c:v>
                </c:pt>
                <c:pt idx="3">
                  <c:v>162.83699999999999</c:v>
                </c:pt>
                <c:pt idx="4">
                  <c:v>163.15857142857143</c:v>
                </c:pt>
                <c:pt idx="5">
                  <c:v>149.67142857142858</c:v>
                </c:pt>
                <c:pt idx="6">
                  <c:v>153.06136363636364</c:v>
                </c:pt>
                <c:pt idx="7">
                  <c:v>159.61772727272728</c:v>
                </c:pt>
                <c:pt idx="8">
                  <c:v>159.18666666666667</c:v>
                </c:pt>
                <c:pt idx="9">
                  <c:v>160.95999999999998</c:v>
                </c:pt>
                <c:pt idx="10">
                  <c:v>155.65249999999997</c:v>
                </c:pt>
                <c:pt idx="11">
                  <c:v>158.88095238095244</c:v>
                </c:pt>
                <c:pt idx="12">
                  <c:v>167.65428571428569</c:v>
                </c:pt>
                <c:pt idx="13">
                  <c:v>185.69315789473683</c:v>
                </c:pt>
                <c:pt idx="14">
                  <c:v>193.20681818181814</c:v>
                </c:pt>
                <c:pt idx="15">
                  <c:v>175.62210526315789</c:v>
                </c:pt>
                <c:pt idx="16">
                  <c:v>181.14818181818183</c:v>
                </c:pt>
                <c:pt idx="17">
                  <c:v>180.32761904761904</c:v>
                </c:pt>
                <c:pt idx="18">
                  <c:v>176.65285714285719</c:v>
                </c:pt>
                <c:pt idx="19">
                  <c:v>173.9508695652174</c:v>
                </c:pt>
                <c:pt idx="20">
                  <c:v>172.73523809523812</c:v>
                </c:pt>
                <c:pt idx="21">
                  <c:v>171.5615</c:v>
                </c:pt>
                <c:pt idx="22">
                  <c:v>173.76894736842104</c:v>
                </c:pt>
                <c:pt idx="23">
                  <c:v>169.44095238095238</c:v>
                </c:pt>
                <c:pt idx="24">
                  <c:v>164.61863636363634</c:v>
                </c:pt>
                <c:pt idx="25">
                  <c:v>160.27666666666664</c:v>
                </c:pt>
                <c:pt idx="26">
                  <c:v>151.36478260869563</c:v>
                </c:pt>
                <c:pt idx="27">
                  <c:v>134.66888888888886</c:v>
                </c:pt>
                <c:pt idx="28">
                  <c:v>126.25772727272728</c:v>
                </c:pt>
                <c:pt idx="29">
                  <c:v>122.29095238095235</c:v>
                </c:pt>
                <c:pt idx="30">
                  <c:v>130.59999999999997</c:v>
                </c:pt>
                <c:pt idx="31">
                  <c:v>133.1634782608696</c:v>
                </c:pt>
                <c:pt idx="32">
                  <c:v>130.47</c:v>
                </c:pt>
                <c:pt idx="33">
                  <c:v>127.08047619047619</c:v>
                </c:pt>
                <c:pt idx="34">
                  <c:v>129.99649999999997</c:v>
                </c:pt>
                <c:pt idx="35">
                  <c:v>129.7584210526316</c:v>
                </c:pt>
                <c:pt idx="36">
                  <c:v>112.51409090909088</c:v>
                </c:pt>
                <c:pt idx="37">
                  <c:v>105.38000000000001</c:v>
                </c:pt>
                <c:pt idx="38">
                  <c:v>108.85049999999998</c:v>
                </c:pt>
                <c:pt idx="39">
                  <c:v>114.96545454545453</c:v>
                </c:pt>
                <c:pt idx="40">
                  <c:v>121.13</c:v>
                </c:pt>
                <c:pt idx="41">
                  <c:v>123.1455</c:v>
                </c:pt>
                <c:pt idx="42">
                  <c:v>122.39739130434782</c:v>
                </c:pt>
                <c:pt idx="43">
                  <c:v>120.41500000000001</c:v>
                </c:pt>
                <c:pt idx="44">
                  <c:v>125.81142857142858</c:v>
                </c:pt>
                <c:pt idx="45">
                  <c:v>130.41636363636366</c:v>
                </c:pt>
                <c:pt idx="46">
                  <c:v>131.24263157894737</c:v>
                </c:pt>
                <c:pt idx="47">
                  <c:v>129.18894736842108</c:v>
                </c:pt>
                <c:pt idx="48">
                  <c:v>122.20045454545458</c:v>
                </c:pt>
                <c:pt idx="49">
                  <c:v>122.508</c:v>
                </c:pt>
                <c:pt idx="50">
                  <c:v>122.90631578947365</c:v>
                </c:pt>
                <c:pt idx="51">
                  <c:v>121.91249999999999</c:v>
                </c:pt>
                <c:pt idx="52">
                  <c:v>120.90000000000002</c:v>
                </c:pt>
                <c:pt idx="53">
                  <c:v>120.78000000000002</c:v>
                </c:pt>
                <c:pt idx="54">
                  <c:v>120.63652173913044</c:v>
                </c:pt>
                <c:pt idx="55">
                  <c:v>123.01428571428571</c:v>
                </c:pt>
                <c:pt idx="56">
                  <c:v>122.46727272727271</c:v>
                </c:pt>
                <c:pt idx="57">
                  <c:v>121.94304347826085</c:v>
                </c:pt>
                <c:pt idx="58">
                  <c:v>123.2821052631579</c:v>
                </c:pt>
                <c:pt idx="59">
                  <c:v>123.84200000000003</c:v>
                </c:pt>
                <c:pt idx="60">
                  <c:v>119.27095238095242</c:v>
                </c:pt>
                <c:pt idx="61">
                  <c:v>115.52166666666666</c:v>
                </c:pt>
                <c:pt idx="62">
                  <c:v>116.07500000000002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3-49A7-86B7-2C694DAFEE88}"/>
            </c:ext>
          </c:extLst>
        </c:ser>
        <c:ser>
          <c:idx val="1"/>
          <c:order val="1"/>
          <c:tx>
            <c:strRef>
              <c:f>'Modelo Soja'!$K$2</c:f>
              <c:strCache>
                <c:ptCount val="1"/>
                <c:pt idx="0">
                  <c:v>Soybn Grower West, Parana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Soja'!$K$3:$K$65</c:f>
              <c:numCache>
                <c:formatCode>_(* #,##0.00_);_(* \(#,##0.00\);_(* "-"??_);_(@_)</c:formatCode>
                <c:ptCount val="63"/>
                <c:pt idx="0">
                  <c:v>152.35150000000004</c:v>
                </c:pt>
                <c:pt idx="1">
                  <c:v>153.97166666666666</c:v>
                </c:pt>
                <c:pt idx="2">
                  <c:v>157.47695652173914</c:v>
                </c:pt>
                <c:pt idx="3">
                  <c:v>159.71549999999999</c:v>
                </c:pt>
                <c:pt idx="4">
                  <c:v>159.56047619047618</c:v>
                </c:pt>
                <c:pt idx="5">
                  <c:v>145.52857142857141</c:v>
                </c:pt>
                <c:pt idx="6">
                  <c:v>150.8840909090909</c:v>
                </c:pt>
                <c:pt idx="7">
                  <c:v>156.48272727272726</c:v>
                </c:pt>
                <c:pt idx="8">
                  <c:v>157.94428571428571</c:v>
                </c:pt>
                <c:pt idx="9">
                  <c:v>159.53549999999998</c:v>
                </c:pt>
                <c:pt idx="10">
                  <c:v>154.15049999999997</c:v>
                </c:pt>
                <c:pt idx="11">
                  <c:v>158.45619047619044</c:v>
                </c:pt>
                <c:pt idx="12">
                  <c:v>166.45476190476191</c:v>
                </c:pt>
                <c:pt idx="13">
                  <c:v>186.1042105263158</c:v>
                </c:pt>
                <c:pt idx="14">
                  <c:v>191.34545454545452</c:v>
                </c:pt>
                <c:pt idx="15">
                  <c:v>172.79526315789474</c:v>
                </c:pt>
                <c:pt idx="16">
                  <c:v>177.66818181818186</c:v>
                </c:pt>
                <c:pt idx="17">
                  <c:v>175.31380952380951</c:v>
                </c:pt>
                <c:pt idx="18">
                  <c:v>171.20285714285711</c:v>
                </c:pt>
                <c:pt idx="19">
                  <c:v>166.01304347826087</c:v>
                </c:pt>
                <c:pt idx="20">
                  <c:v>165.4314285714286</c:v>
                </c:pt>
                <c:pt idx="21">
                  <c:v>165.8015</c:v>
                </c:pt>
                <c:pt idx="22">
                  <c:v>168.53849999999994</c:v>
                </c:pt>
                <c:pt idx="23">
                  <c:v>164.87000000000003</c:v>
                </c:pt>
                <c:pt idx="24">
                  <c:v>161.61636363636364</c:v>
                </c:pt>
                <c:pt idx="25">
                  <c:v>158.00222222222226</c:v>
                </c:pt>
                <c:pt idx="26">
                  <c:v>147.50608695652176</c:v>
                </c:pt>
                <c:pt idx="27">
                  <c:v>130.99166666666667</c:v>
                </c:pt>
                <c:pt idx="28">
                  <c:v>123.69181818181822</c:v>
                </c:pt>
                <c:pt idx="29">
                  <c:v>119.21428571428574</c:v>
                </c:pt>
                <c:pt idx="30">
                  <c:v>127.50047619047616</c:v>
                </c:pt>
                <c:pt idx="31">
                  <c:v>129.90130434782606</c:v>
                </c:pt>
                <c:pt idx="32">
                  <c:v>126.58999999999996</c:v>
                </c:pt>
                <c:pt idx="33">
                  <c:v>123.98571428571428</c:v>
                </c:pt>
                <c:pt idx="34">
                  <c:v>127.53200000000004</c:v>
                </c:pt>
                <c:pt idx="35">
                  <c:v>126.21473684210525</c:v>
                </c:pt>
                <c:pt idx="36">
                  <c:v>109.21272727272725</c:v>
                </c:pt>
                <c:pt idx="37">
                  <c:v>103.48526315789475</c:v>
                </c:pt>
                <c:pt idx="38">
                  <c:v>104.76699999999998</c:v>
                </c:pt>
                <c:pt idx="39">
                  <c:v>110.47590909090906</c:v>
                </c:pt>
                <c:pt idx="40">
                  <c:v>117.65619047619046</c:v>
                </c:pt>
                <c:pt idx="41">
                  <c:v>120.44050000000001</c:v>
                </c:pt>
                <c:pt idx="42">
                  <c:v>119.96347826086956</c:v>
                </c:pt>
                <c:pt idx="43">
                  <c:v>117.69045454545454</c:v>
                </c:pt>
                <c:pt idx="44">
                  <c:v>123.36190476190475</c:v>
                </c:pt>
                <c:pt idx="45">
                  <c:v>129.20869565217393</c:v>
                </c:pt>
                <c:pt idx="46">
                  <c:v>131.61421052631576</c:v>
                </c:pt>
                <c:pt idx="47">
                  <c:v>127.90368421052629</c:v>
                </c:pt>
                <c:pt idx="48">
                  <c:v>118.3781818181818</c:v>
                </c:pt>
                <c:pt idx="49">
                  <c:v>118.60550000000001</c:v>
                </c:pt>
                <c:pt idx="50">
                  <c:v>118.03578947368423</c:v>
                </c:pt>
                <c:pt idx="51">
                  <c:v>117.753</c:v>
                </c:pt>
                <c:pt idx="52">
                  <c:v>115.18333333333335</c:v>
                </c:pt>
                <c:pt idx="53">
                  <c:v>115.84599999999998</c:v>
                </c:pt>
                <c:pt idx="54">
                  <c:v>115.75565217391303</c:v>
                </c:pt>
                <c:pt idx="55">
                  <c:v>117.55380952380951</c:v>
                </c:pt>
                <c:pt idx="56">
                  <c:v>117.65499999999999</c:v>
                </c:pt>
                <c:pt idx="57">
                  <c:v>118.89130434782609</c:v>
                </c:pt>
                <c:pt idx="58">
                  <c:v>120.78684210526318</c:v>
                </c:pt>
                <c:pt idx="59">
                  <c:v>118.31949999999999</c:v>
                </c:pt>
                <c:pt idx="60">
                  <c:v>114.01523809523806</c:v>
                </c:pt>
                <c:pt idx="61">
                  <c:v>112.15944444444443</c:v>
                </c:pt>
                <c:pt idx="62">
                  <c:v>114.435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A3-49A7-86B7-2C694DAFEE88}"/>
            </c:ext>
          </c:extLst>
        </c:ser>
        <c:ser>
          <c:idx val="2"/>
          <c:order val="2"/>
          <c:tx>
            <c:strRef>
              <c:f>'Modelo Soja'!$L$2</c:f>
              <c:strCache>
                <c:ptCount val="1"/>
                <c:pt idx="0">
                  <c:v>Soybn Grower North, Parana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Soja'!$L$3:$L$65</c:f>
              <c:numCache>
                <c:formatCode>_(* #,##0.00_);_(* \(#,##0.00\);_(* "-"??_);_(@_)</c:formatCode>
                <c:ptCount val="63"/>
                <c:pt idx="0">
                  <c:v>152.62800000000001</c:v>
                </c:pt>
                <c:pt idx="1">
                  <c:v>154.01222222222225</c:v>
                </c:pt>
                <c:pt idx="2">
                  <c:v>157.63304347826084</c:v>
                </c:pt>
                <c:pt idx="3">
                  <c:v>159.65249999999997</c:v>
                </c:pt>
                <c:pt idx="4">
                  <c:v>159.46285714285713</c:v>
                </c:pt>
                <c:pt idx="5">
                  <c:v>145.72000000000003</c:v>
                </c:pt>
                <c:pt idx="6">
                  <c:v>150.87545454545455</c:v>
                </c:pt>
                <c:pt idx="7">
                  <c:v>156.60363636363641</c:v>
                </c:pt>
                <c:pt idx="8">
                  <c:v>157.98190476190476</c:v>
                </c:pt>
                <c:pt idx="9">
                  <c:v>159.60849999999999</c:v>
                </c:pt>
                <c:pt idx="10">
                  <c:v>154.20050000000001</c:v>
                </c:pt>
                <c:pt idx="11">
                  <c:v>158.54714285714286</c:v>
                </c:pt>
                <c:pt idx="12">
                  <c:v>166.59333333333331</c:v>
                </c:pt>
                <c:pt idx="13">
                  <c:v>186.49789473684211</c:v>
                </c:pt>
                <c:pt idx="14">
                  <c:v>192.12136363636364</c:v>
                </c:pt>
                <c:pt idx="15">
                  <c:v>172.94210526315788</c:v>
                </c:pt>
                <c:pt idx="16">
                  <c:v>177.72499999999999</c:v>
                </c:pt>
                <c:pt idx="17">
                  <c:v>171.87095238095236</c:v>
                </c:pt>
                <c:pt idx="18">
                  <c:v>171.94761904761907</c:v>
                </c:pt>
                <c:pt idx="19">
                  <c:v>167.36565217391308</c:v>
                </c:pt>
                <c:pt idx="20">
                  <c:v>166.27523809523811</c:v>
                </c:pt>
                <c:pt idx="21">
                  <c:v>166.44350000000003</c:v>
                </c:pt>
                <c:pt idx="22">
                  <c:v>168.63850000000002</c:v>
                </c:pt>
                <c:pt idx="23">
                  <c:v>164.57857142857142</c:v>
                </c:pt>
                <c:pt idx="24">
                  <c:v>161.56681818181818</c:v>
                </c:pt>
                <c:pt idx="25">
                  <c:v>158.65444444444447</c:v>
                </c:pt>
                <c:pt idx="26">
                  <c:v>148.06608695652173</c:v>
                </c:pt>
                <c:pt idx="27">
                  <c:v>131.48111111111109</c:v>
                </c:pt>
                <c:pt idx="28">
                  <c:v>124.00818181818181</c:v>
                </c:pt>
                <c:pt idx="29">
                  <c:v>119.33714285714288</c:v>
                </c:pt>
                <c:pt idx="30">
                  <c:v>127.7747619047619</c:v>
                </c:pt>
                <c:pt idx="31">
                  <c:v>130.00826086956522</c:v>
                </c:pt>
                <c:pt idx="32">
                  <c:v>127.01199999999999</c:v>
                </c:pt>
                <c:pt idx="33">
                  <c:v>124.51285714285716</c:v>
                </c:pt>
                <c:pt idx="34">
                  <c:v>128.11599999999999</c:v>
                </c:pt>
                <c:pt idx="35">
                  <c:v>126.60894736842106</c:v>
                </c:pt>
                <c:pt idx="36">
                  <c:v>110.35681818181816</c:v>
                </c:pt>
                <c:pt idx="37">
                  <c:v>103.85631578947373</c:v>
                </c:pt>
                <c:pt idx="38">
                  <c:v>104.97250000000001</c:v>
                </c:pt>
                <c:pt idx="39">
                  <c:v>110.75045454545456</c:v>
                </c:pt>
                <c:pt idx="40">
                  <c:v>118.10619047619045</c:v>
                </c:pt>
                <c:pt idx="41">
                  <c:v>121.059</c:v>
                </c:pt>
                <c:pt idx="42">
                  <c:v>120.14652173913043</c:v>
                </c:pt>
                <c:pt idx="43">
                  <c:v>118.07909090909092</c:v>
                </c:pt>
                <c:pt idx="44">
                  <c:v>124.04904761904761</c:v>
                </c:pt>
                <c:pt idx="45">
                  <c:v>129.70130434782604</c:v>
                </c:pt>
                <c:pt idx="46">
                  <c:v>132.18315789473687</c:v>
                </c:pt>
                <c:pt idx="47">
                  <c:v>128.84315789473683</c:v>
                </c:pt>
                <c:pt idx="48">
                  <c:v>119.91090909090907</c:v>
                </c:pt>
                <c:pt idx="49">
                  <c:v>121.37450000000001</c:v>
                </c:pt>
                <c:pt idx="50">
                  <c:v>119.41157894736841</c:v>
                </c:pt>
                <c:pt idx="51">
                  <c:v>118.58900000000001</c:v>
                </c:pt>
                <c:pt idx="52">
                  <c:v>115.93904761904763</c:v>
                </c:pt>
                <c:pt idx="53">
                  <c:v>116.14750000000001</c:v>
                </c:pt>
                <c:pt idx="54">
                  <c:v>116.25043478260868</c:v>
                </c:pt>
                <c:pt idx="55">
                  <c:v>117.93523809523809</c:v>
                </c:pt>
                <c:pt idx="56">
                  <c:v>117.91318181818183</c:v>
                </c:pt>
                <c:pt idx="57">
                  <c:v>119.10434782608698</c:v>
                </c:pt>
                <c:pt idx="58">
                  <c:v>121.03894736842099</c:v>
                </c:pt>
                <c:pt idx="59">
                  <c:v>120.07200000000003</c:v>
                </c:pt>
                <c:pt idx="60">
                  <c:v>114.99857142857144</c:v>
                </c:pt>
                <c:pt idx="61">
                  <c:v>112.68111111111109</c:v>
                </c:pt>
                <c:pt idx="62">
                  <c:v>115.23277777777778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A3-49A7-86B7-2C694DAFE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221840"/>
        <c:axId val="1333225680"/>
      </c:lineChart>
      <c:dateAx>
        <c:axId val="13332218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3225680"/>
        <c:crosses val="autoZero"/>
        <c:auto val="1"/>
        <c:lblOffset val="100"/>
        <c:baseTimeUnit val="months"/>
        <c:majorUnit val="6"/>
        <c:majorTimeUnit val="months"/>
      </c:dateAx>
      <c:valAx>
        <c:axId val="1333225680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3221840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3120479731700199"/>
          <c:w val="0.85682917760279964"/>
          <c:h val="0.66917359288422285"/>
        </c:manualLayout>
      </c:layout>
      <c:lineChart>
        <c:grouping val="standard"/>
        <c:varyColors val="0"/>
        <c:ser>
          <c:idx val="0"/>
          <c:order val="0"/>
          <c:tx>
            <c:strRef>
              <c:f>'Modelo Soja'!$BB$2</c:f>
              <c:strCache>
                <c:ptCount val="1"/>
                <c:pt idx="0">
                  <c:v>Ponta Grossa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Soja'!$BB$3:$BB$65</c:f>
              <c:numCache>
                <c:formatCode>_(* #,##0.00_);_(* \(#,##0.00\);_(* "-"??_);_(@_)</c:formatCode>
                <c:ptCount val="63"/>
                <c:pt idx="0">
                  <c:v>11.826999999999998</c:v>
                </c:pt>
                <c:pt idx="1">
                  <c:v>7.2383333333333439</c:v>
                </c:pt>
                <c:pt idx="2">
                  <c:v>6.3995652173912561</c:v>
                </c:pt>
                <c:pt idx="3">
                  <c:v>8.6830000000000211</c:v>
                </c:pt>
                <c:pt idx="4">
                  <c:v>8.467142857142818</c:v>
                </c:pt>
                <c:pt idx="5">
                  <c:v>8.5823809523809587</c:v>
                </c:pt>
                <c:pt idx="6">
                  <c:v>10.086363636363643</c:v>
                </c:pt>
                <c:pt idx="7">
                  <c:v>8.9081818181818164</c:v>
                </c:pt>
                <c:pt idx="8">
                  <c:v>10.67285714285714</c:v>
                </c:pt>
                <c:pt idx="9">
                  <c:v>8.2285000000000252</c:v>
                </c:pt>
                <c:pt idx="10">
                  <c:v>6.9385000000000048</c:v>
                </c:pt>
                <c:pt idx="11">
                  <c:v>8.0433333333332939</c:v>
                </c:pt>
                <c:pt idx="12">
                  <c:v>9.6547619047619264</c:v>
                </c:pt>
                <c:pt idx="13">
                  <c:v>6.5636842105263611</c:v>
                </c:pt>
                <c:pt idx="14">
                  <c:v>3.7331818181818903</c:v>
                </c:pt>
                <c:pt idx="15">
                  <c:v>7.7389473684210373</c:v>
                </c:pt>
                <c:pt idx="16">
                  <c:v>8.1836363636363672</c:v>
                </c:pt>
                <c:pt idx="17">
                  <c:v>10.114761904761906</c:v>
                </c:pt>
                <c:pt idx="18">
                  <c:v>8.7395238095238028</c:v>
                </c:pt>
                <c:pt idx="19">
                  <c:v>8.8460869565217592</c:v>
                </c:pt>
                <c:pt idx="20">
                  <c:v>9.5461904761904464</c:v>
                </c:pt>
                <c:pt idx="21">
                  <c:v>9.890500000000003</c:v>
                </c:pt>
                <c:pt idx="22">
                  <c:v>11.63105263157891</c:v>
                </c:pt>
                <c:pt idx="23">
                  <c:v>10.527142857142877</c:v>
                </c:pt>
                <c:pt idx="24">
                  <c:v>8.2159090909090651</c:v>
                </c:pt>
                <c:pt idx="25">
                  <c:v>7.1255555555555929</c:v>
                </c:pt>
                <c:pt idx="26">
                  <c:v>6.4095652173913038</c:v>
                </c:pt>
                <c:pt idx="27">
                  <c:v>6.1122222222222149</c:v>
                </c:pt>
                <c:pt idx="28">
                  <c:v>5.8704545454545354</c:v>
                </c:pt>
                <c:pt idx="29">
                  <c:v>7.3785714285714619</c:v>
                </c:pt>
                <c:pt idx="30">
                  <c:v>8.273333333333369</c:v>
                </c:pt>
                <c:pt idx="31">
                  <c:v>7.5682608695651936</c:v>
                </c:pt>
                <c:pt idx="32">
                  <c:v>9.7980000000000018</c:v>
                </c:pt>
                <c:pt idx="33">
                  <c:v>11.917142857142835</c:v>
                </c:pt>
                <c:pt idx="34">
                  <c:v>10.004500000000036</c:v>
                </c:pt>
                <c:pt idx="35">
                  <c:v>9.4057894736841945</c:v>
                </c:pt>
                <c:pt idx="36">
                  <c:v>10.916818181818229</c:v>
                </c:pt>
                <c:pt idx="37">
                  <c:v>8.0052631578947313</c:v>
                </c:pt>
                <c:pt idx="38">
                  <c:v>9.5529999999999973</c:v>
                </c:pt>
                <c:pt idx="39">
                  <c:v>8.4709090909091032</c:v>
                </c:pt>
                <c:pt idx="40">
                  <c:v>10.42285714285714</c:v>
                </c:pt>
                <c:pt idx="41">
                  <c:v>11.372500000000031</c:v>
                </c:pt>
                <c:pt idx="42">
                  <c:v>11.305217391304382</c:v>
                </c:pt>
                <c:pt idx="43">
                  <c:v>9.1986363636363677</c:v>
                </c:pt>
                <c:pt idx="44">
                  <c:v>10.852380952380955</c:v>
                </c:pt>
                <c:pt idx="45">
                  <c:v>9.5479841897232802</c:v>
                </c:pt>
                <c:pt idx="46">
                  <c:v>8.2405263157894524</c:v>
                </c:pt>
                <c:pt idx="47">
                  <c:v>9.454736842105234</c:v>
                </c:pt>
                <c:pt idx="48">
                  <c:v>8.4977272727272606</c:v>
                </c:pt>
                <c:pt idx="49">
                  <c:v>5.0854999999999961</c:v>
                </c:pt>
                <c:pt idx="50">
                  <c:v>6.5036842105264014</c:v>
                </c:pt>
                <c:pt idx="51">
                  <c:v>8.3324999999999818</c:v>
                </c:pt>
                <c:pt idx="52">
                  <c:v>7.6785714285714306</c:v>
                </c:pt>
                <c:pt idx="53">
                  <c:v>8.4560000000000031</c:v>
                </c:pt>
                <c:pt idx="54">
                  <c:v>10.072173913043486</c:v>
                </c:pt>
                <c:pt idx="55">
                  <c:v>11.160000000000025</c:v>
                </c:pt>
                <c:pt idx="56">
                  <c:v>11.11181818181818</c:v>
                </c:pt>
                <c:pt idx="57">
                  <c:v>11.774782608695631</c:v>
                </c:pt>
                <c:pt idx="58">
                  <c:v>12.533684210526317</c:v>
                </c:pt>
                <c:pt idx="59">
                  <c:v>12.814999999999984</c:v>
                </c:pt>
                <c:pt idx="60">
                  <c:v>9.0009523809523273</c:v>
                </c:pt>
                <c:pt idx="61">
                  <c:v>6.2666666666666515</c:v>
                </c:pt>
                <c:pt idx="62">
                  <c:v>7.1938888888888499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DA-4AC8-AB52-B4F709BB4014}"/>
            </c:ext>
          </c:extLst>
        </c:ser>
        <c:ser>
          <c:idx val="1"/>
          <c:order val="1"/>
          <c:tx>
            <c:strRef>
              <c:f>'Modelo Soja'!$BC$2</c:f>
              <c:strCache>
                <c:ptCount val="1"/>
                <c:pt idx="0">
                  <c:v>West PR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Soja'!$BC$3:$BC$65</c:f>
              <c:numCache>
                <c:formatCode>_(* #,##0.00_);_(* \(#,##0.00\);_(* "-"??_);_(@_)</c:formatCode>
                <c:ptCount val="63"/>
                <c:pt idx="0">
                  <c:v>11.530499999999961</c:v>
                </c:pt>
                <c:pt idx="1">
                  <c:v>7.3549999999999898</c:v>
                </c:pt>
                <c:pt idx="2">
                  <c:v>4.603478260869565</c:v>
                </c:pt>
                <c:pt idx="3">
                  <c:v>10.461499999999972</c:v>
                </c:pt>
                <c:pt idx="4">
                  <c:v>11.51666666666668</c:v>
                </c:pt>
                <c:pt idx="5">
                  <c:v>11.163333333333355</c:v>
                </c:pt>
                <c:pt idx="6">
                  <c:v>11.618181818181824</c:v>
                </c:pt>
                <c:pt idx="7">
                  <c:v>10.044999999999987</c:v>
                </c:pt>
                <c:pt idx="8">
                  <c:v>10.779047619047589</c:v>
                </c:pt>
                <c:pt idx="9">
                  <c:v>8.0549999999999784</c:v>
                </c:pt>
                <c:pt idx="10">
                  <c:v>7.7190000000000225</c:v>
                </c:pt>
                <c:pt idx="11">
                  <c:v>7.434761904761956</c:v>
                </c:pt>
                <c:pt idx="12">
                  <c:v>8.9014285714285961</c:v>
                </c:pt>
                <c:pt idx="13">
                  <c:v>6.0099999999999625</c:v>
                </c:pt>
                <c:pt idx="14">
                  <c:v>3.8422727272727286</c:v>
                </c:pt>
                <c:pt idx="15">
                  <c:v>7.2305263157895183</c:v>
                </c:pt>
                <c:pt idx="16">
                  <c:v>9.6531818181817641</c:v>
                </c:pt>
                <c:pt idx="17">
                  <c:v>12.680476190476185</c:v>
                </c:pt>
                <c:pt idx="18">
                  <c:v>11.266666666666708</c:v>
                </c:pt>
                <c:pt idx="19">
                  <c:v>14.698260869565274</c:v>
                </c:pt>
                <c:pt idx="20">
                  <c:v>15.233333333333292</c:v>
                </c:pt>
                <c:pt idx="21">
                  <c:v>12.912999999999982</c:v>
                </c:pt>
                <c:pt idx="22">
                  <c:v>11.85600000000008</c:v>
                </c:pt>
                <c:pt idx="23">
                  <c:v>11.747619047618997</c:v>
                </c:pt>
                <c:pt idx="24">
                  <c:v>7.3713636363636397</c:v>
                </c:pt>
                <c:pt idx="25">
                  <c:v>3.6883333333332757</c:v>
                </c:pt>
                <c:pt idx="26">
                  <c:v>3.9534782608695309</c:v>
                </c:pt>
                <c:pt idx="27">
                  <c:v>4.5994444444444014</c:v>
                </c:pt>
                <c:pt idx="28">
                  <c:v>5.5954545454545013</c:v>
                </c:pt>
                <c:pt idx="29">
                  <c:v>6.6233333333332922</c:v>
                </c:pt>
                <c:pt idx="30">
                  <c:v>7.9366666666666816</c:v>
                </c:pt>
                <c:pt idx="31">
                  <c:v>8.5578260869565668</c:v>
                </c:pt>
                <c:pt idx="32">
                  <c:v>9.9130000000000535</c:v>
                </c:pt>
                <c:pt idx="33">
                  <c:v>9.8285714285714079</c:v>
                </c:pt>
                <c:pt idx="34">
                  <c:v>8.5694999999999766</c:v>
                </c:pt>
                <c:pt idx="35">
                  <c:v>10.240000000000038</c:v>
                </c:pt>
                <c:pt idx="36">
                  <c:v>7.4100000000000392</c:v>
                </c:pt>
                <c:pt idx="37">
                  <c:v>5.4036842105262934</c:v>
                </c:pt>
                <c:pt idx="38">
                  <c:v>9.1615000000000038</c:v>
                </c:pt>
                <c:pt idx="39">
                  <c:v>9.3700000000000472</c:v>
                </c:pt>
                <c:pt idx="40">
                  <c:v>10.114285714285728</c:v>
                </c:pt>
                <c:pt idx="41">
                  <c:v>9.8525000000000205</c:v>
                </c:pt>
                <c:pt idx="42">
                  <c:v>10.253478260869556</c:v>
                </c:pt>
                <c:pt idx="43">
                  <c:v>8.2250000000000227</c:v>
                </c:pt>
                <c:pt idx="44">
                  <c:v>10.356666666666683</c:v>
                </c:pt>
                <c:pt idx="45">
                  <c:v>8.6217391304347757</c:v>
                </c:pt>
                <c:pt idx="46">
                  <c:v>7.0921052631579187</c:v>
                </c:pt>
                <c:pt idx="47">
                  <c:v>7.415789473684228</c:v>
                </c:pt>
                <c:pt idx="48">
                  <c:v>8.0822727272727235</c:v>
                </c:pt>
                <c:pt idx="49">
                  <c:v>4.2034999999999627</c:v>
                </c:pt>
                <c:pt idx="50">
                  <c:v>6.4478947368420592</c:v>
                </c:pt>
                <c:pt idx="51">
                  <c:v>9.0015000000000072</c:v>
                </c:pt>
                <c:pt idx="52">
                  <c:v>9.9357142857142833</c:v>
                </c:pt>
                <c:pt idx="53">
                  <c:v>10.47750000000002</c:v>
                </c:pt>
                <c:pt idx="54">
                  <c:v>11.05478260869566</c:v>
                </c:pt>
                <c:pt idx="55">
                  <c:v>12.666190476190522</c:v>
                </c:pt>
                <c:pt idx="56">
                  <c:v>11.79318181818185</c:v>
                </c:pt>
                <c:pt idx="57">
                  <c:v>10.24173913043478</c:v>
                </c:pt>
                <c:pt idx="58">
                  <c:v>10.43894736842104</c:v>
                </c:pt>
                <c:pt idx="59">
                  <c:v>13.98250000000003</c:v>
                </c:pt>
                <c:pt idx="60">
                  <c:v>6.851428571428599</c:v>
                </c:pt>
                <c:pt idx="61">
                  <c:v>3.4605555555555583</c:v>
                </c:pt>
                <c:pt idx="62">
                  <c:v>3.6633333333333269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DA-4AC8-AB52-B4F709BB4014}"/>
            </c:ext>
          </c:extLst>
        </c:ser>
        <c:ser>
          <c:idx val="2"/>
          <c:order val="2"/>
          <c:tx>
            <c:strRef>
              <c:f>'Modelo Soja'!$BD$2</c:f>
              <c:strCache>
                <c:ptCount val="1"/>
                <c:pt idx="0">
                  <c:v>Mogiana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Soja'!$BD$3:$BD$65</c:f>
              <c:numCache>
                <c:formatCode>_(* #,##0.00_);_(* \(#,##0.00\);_(* "-"??_);_(@_)</c:formatCode>
                <c:ptCount val="63"/>
                <c:pt idx="0">
                  <c:v>17.475000000000023</c:v>
                </c:pt>
                <c:pt idx="1">
                  <c:v>9.627777777777851</c:v>
                </c:pt>
                <c:pt idx="2">
                  <c:v>4.6188198757764098</c:v>
                </c:pt>
                <c:pt idx="3">
                  <c:v>4.1215000000000259</c:v>
                </c:pt>
                <c:pt idx="4">
                  <c:v>3.2552380952380986</c:v>
                </c:pt>
                <c:pt idx="5">
                  <c:v>6.5523809523809859</c:v>
                </c:pt>
                <c:pt idx="6">
                  <c:v>12.160909090909058</c:v>
                </c:pt>
                <c:pt idx="7">
                  <c:v>12.550454545454585</c:v>
                </c:pt>
                <c:pt idx="8">
                  <c:v>14.136666666666741</c:v>
                </c:pt>
                <c:pt idx="9">
                  <c:v>9.9535000000000196</c:v>
                </c:pt>
                <c:pt idx="10">
                  <c:v>6.0324999999999989</c:v>
                </c:pt>
                <c:pt idx="11">
                  <c:v>5.5923809523809496</c:v>
                </c:pt>
                <c:pt idx="12">
                  <c:v>4.7695238095238039</c:v>
                </c:pt>
                <c:pt idx="13">
                  <c:v>5.6915789473684129</c:v>
                </c:pt>
                <c:pt idx="14">
                  <c:v>4.4172727272727457</c:v>
                </c:pt>
                <c:pt idx="15">
                  <c:v>5.0363157894736901</c:v>
                </c:pt>
                <c:pt idx="16">
                  <c:v>4.8550000000000182</c:v>
                </c:pt>
                <c:pt idx="17">
                  <c:v>4.8966666666666185</c:v>
                </c:pt>
                <c:pt idx="18">
                  <c:v>5.94476190476189</c:v>
                </c:pt>
                <c:pt idx="19">
                  <c:v>4.8986956521739273</c:v>
                </c:pt>
                <c:pt idx="20">
                  <c:v>6.0038095238095082</c:v>
                </c:pt>
                <c:pt idx="21">
                  <c:v>6.4840000000000373</c:v>
                </c:pt>
                <c:pt idx="22">
                  <c:v>9.0942631578946873</c:v>
                </c:pt>
                <c:pt idx="23">
                  <c:v>13.07828571428567</c:v>
                </c:pt>
                <c:pt idx="24">
                  <c:v>5.3554545454545064</c:v>
                </c:pt>
                <c:pt idx="25">
                  <c:v>2.9011111111111632</c:v>
                </c:pt>
                <c:pt idx="26">
                  <c:v>3.4139130434782032</c:v>
                </c:pt>
                <c:pt idx="27">
                  <c:v>3.1133333333333439</c:v>
                </c:pt>
                <c:pt idx="28">
                  <c:v>3.9731818181818568</c:v>
                </c:pt>
                <c:pt idx="29">
                  <c:v>5.0361904761904839</c:v>
                </c:pt>
                <c:pt idx="30">
                  <c:v>7.77285714285712</c:v>
                </c:pt>
                <c:pt idx="31">
                  <c:v>9.792173913043456</c:v>
                </c:pt>
                <c:pt idx="32">
                  <c:v>8.9714999999999776</c:v>
                </c:pt>
                <c:pt idx="33">
                  <c:v>7.5795238095238062</c:v>
                </c:pt>
                <c:pt idx="34">
                  <c:v>8.6674999999999613</c:v>
                </c:pt>
                <c:pt idx="35">
                  <c:v>8.7136842105263099</c:v>
                </c:pt>
                <c:pt idx="36">
                  <c:v>8.9558133971292335</c:v>
                </c:pt>
                <c:pt idx="37">
                  <c:v>3.1410526315789298</c:v>
                </c:pt>
                <c:pt idx="38">
                  <c:v>3.1784999999999854</c:v>
                </c:pt>
                <c:pt idx="39">
                  <c:v>2.5831818181818136</c:v>
                </c:pt>
                <c:pt idx="40">
                  <c:v>3.5361904761904839</c:v>
                </c:pt>
                <c:pt idx="41">
                  <c:v>5.6345000000000312</c:v>
                </c:pt>
                <c:pt idx="42">
                  <c:v>4.9669565217391636</c:v>
                </c:pt>
                <c:pt idx="43">
                  <c:v>3.2290909090909423</c:v>
                </c:pt>
                <c:pt idx="44">
                  <c:v>9.3957142857142912</c:v>
                </c:pt>
                <c:pt idx="45">
                  <c:v>13.058260869565174</c:v>
                </c:pt>
                <c:pt idx="46">
                  <c:v>15.19947368421056</c:v>
                </c:pt>
                <c:pt idx="47">
                  <c:v>12.623157894736821</c:v>
                </c:pt>
                <c:pt idx="48">
                  <c:v>4.7786363636363234</c:v>
                </c:pt>
                <c:pt idx="49">
                  <c:v>3.4190000000000111</c:v>
                </c:pt>
                <c:pt idx="50">
                  <c:v>3.1278947368421228</c:v>
                </c:pt>
                <c:pt idx="51">
                  <c:v>2.5270000000000294</c:v>
                </c:pt>
                <c:pt idx="52">
                  <c:v>2.7685714285713772</c:v>
                </c:pt>
                <c:pt idx="53">
                  <c:v>3.403499999999994</c:v>
                </c:pt>
                <c:pt idx="54">
                  <c:v>3.5495652173913044</c:v>
                </c:pt>
                <c:pt idx="55">
                  <c:v>4.629523809523775</c:v>
                </c:pt>
                <c:pt idx="56">
                  <c:v>4.5931818181818471</c:v>
                </c:pt>
                <c:pt idx="57">
                  <c:v>3.9560869565217871</c:v>
                </c:pt>
                <c:pt idx="58">
                  <c:v>5.1426315789473165</c:v>
                </c:pt>
                <c:pt idx="59">
                  <c:v>7.3130000000000308</c:v>
                </c:pt>
                <c:pt idx="60">
                  <c:v>1.4061904761904884</c:v>
                </c:pt>
                <c:pt idx="61">
                  <c:v>1.3083333333333513</c:v>
                </c:pt>
                <c:pt idx="62">
                  <c:v>1.3494444444444156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DA-4AC8-AB52-B4F709BB4014}"/>
            </c:ext>
          </c:extLst>
        </c:ser>
        <c:ser>
          <c:idx val="3"/>
          <c:order val="3"/>
          <c:tx>
            <c:strRef>
              <c:f>'Modelo Soja'!$BE$2</c:f>
              <c:strCache>
                <c:ptCount val="1"/>
                <c:pt idx="0">
                  <c:v>Triangulo Min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Soja'!$BE$3:$BE$65</c:f>
              <c:numCache>
                <c:formatCode>_(* #,##0.00_);_(* \(#,##0.00\);_(* "-"??_);_(@_)</c:formatCode>
                <c:ptCount val="63"/>
                <c:pt idx="0">
                  <c:v>22.730694444444424</c:v>
                </c:pt>
                <c:pt idx="1">
                  <c:v>8.3316666666666492</c:v>
                </c:pt>
                <c:pt idx="2">
                  <c:v>2.5604347826087235</c:v>
                </c:pt>
                <c:pt idx="3">
                  <c:v>4.7305000000000064</c:v>
                </c:pt>
                <c:pt idx="4">
                  <c:v>7.8033333333333701</c:v>
                </c:pt>
                <c:pt idx="5">
                  <c:v>7.6928571428571502</c:v>
                </c:pt>
                <c:pt idx="6">
                  <c:v>17.113636363636402</c:v>
                </c:pt>
                <c:pt idx="7">
                  <c:v>21.168181818181779</c:v>
                </c:pt>
                <c:pt idx="8">
                  <c:v>15.629047619047611</c:v>
                </c:pt>
                <c:pt idx="9">
                  <c:v>11.50200000000001</c:v>
                </c:pt>
                <c:pt idx="10">
                  <c:v>8.5635000000000048</c:v>
                </c:pt>
                <c:pt idx="11">
                  <c:v>7.6165914786967619</c:v>
                </c:pt>
                <c:pt idx="12">
                  <c:v>6.4885714285714471</c:v>
                </c:pt>
                <c:pt idx="13">
                  <c:v>3.5689473684210782</c:v>
                </c:pt>
                <c:pt idx="14">
                  <c:v>2.600909090909056</c:v>
                </c:pt>
                <c:pt idx="15">
                  <c:v>3.6621052631578834</c:v>
                </c:pt>
                <c:pt idx="16">
                  <c:v>3.761363636363626</c:v>
                </c:pt>
                <c:pt idx="17">
                  <c:v>4.9309523809524762</c:v>
                </c:pt>
                <c:pt idx="18">
                  <c:v>5.219999999999942</c:v>
                </c:pt>
                <c:pt idx="19">
                  <c:v>6.1421739130434219</c:v>
                </c:pt>
                <c:pt idx="20">
                  <c:v>10.027619047619083</c:v>
                </c:pt>
                <c:pt idx="21">
                  <c:v>8.9759999999999991</c:v>
                </c:pt>
                <c:pt idx="22">
                  <c:v>9.0091052631578918</c:v>
                </c:pt>
                <c:pt idx="23">
                  <c:v>7.339999999999975</c:v>
                </c:pt>
                <c:pt idx="24">
                  <c:v>5.6109090909091037</c:v>
                </c:pt>
                <c:pt idx="25">
                  <c:v>3.3327777777777783</c:v>
                </c:pt>
                <c:pt idx="26">
                  <c:v>4.0508695652173969</c:v>
                </c:pt>
                <c:pt idx="27">
                  <c:v>1.3988888888888766</c:v>
                </c:pt>
                <c:pt idx="28">
                  <c:v>4.3150000000000119</c:v>
                </c:pt>
                <c:pt idx="29">
                  <c:v>4.1866666666666816</c:v>
                </c:pt>
                <c:pt idx="30">
                  <c:v>9.8038095238096048</c:v>
                </c:pt>
                <c:pt idx="31">
                  <c:v>11.166956521739166</c:v>
                </c:pt>
                <c:pt idx="32">
                  <c:v>9.6053235294117485</c:v>
                </c:pt>
                <c:pt idx="33">
                  <c:v>8.3076190476190703</c:v>
                </c:pt>
                <c:pt idx="34">
                  <c:v>10.082000000000065</c:v>
                </c:pt>
                <c:pt idx="35">
                  <c:v>13.071052631579022</c:v>
                </c:pt>
                <c:pt idx="36">
                  <c:v>10.005454545454555</c:v>
                </c:pt>
                <c:pt idx="37">
                  <c:v>3.5810526315789701</c:v>
                </c:pt>
                <c:pt idx="38">
                  <c:v>3.3889999999999816</c:v>
                </c:pt>
                <c:pt idx="39">
                  <c:v>5.2231818181818284</c:v>
                </c:pt>
                <c:pt idx="40">
                  <c:v>6.0352380952381424</c:v>
                </c:pt>
                <c:pt idx="41">
                  <c:v>7.4415000000000049</c:v>
                </c:pt>
                <c:pt idx="42">
                  <c:v>7.9465217391304463</c:v>
                </c:pt>
                <c:pt idx="43">
                  <c:v>6.5413636363635987</c:v>
                </c:pt>
                <c:pt idx="44">
                  <c:v>11.70571428571435</c:v>
                </c:pt>
                <c:pt idx="45">
                  <c:v>16.6108695652173</c:v>
                </c:pt>
                <c:pt idx="46">
                  <c:v>19.014210526315779</c:v>
                </c:pt>
                <c:pt idx="47">
                  <c:v>24.873684210526278</c:v>
                </c:pt>
                <c:pt idx="48">
                  <c:v>8.0913636363635959</c:v>
                </c:pt>
                <c:pt idx="49">
                  <c:v>1.7824999999999562</c:v>
                </c:pt>
                <c:pt idx="50">
                  <c:v>3.7526315789473301</c:v>
                </c:pt>
                <c:pt idx="51">
                  <c:v>3.6905000000000001</c:v>
                </c:pt>
                <c:pt idx="52">
                  <c:v>4.3566666666666549</c:v>
                </c:pt>
                <c:pt idx="53">
                  <c:v>4.188999999999993</c:v>
                </c:pt>
                <c:pt idx="54">
                  <c:v>6.675217391304372</c:v>
                </c:pt>
                <c:pt idx="55">
                  <c:v>7.4423809523809581</c:v>
                </c:pt>
                <c:pt idx="56">
                  <c:v>7.8627272727272981</c:v>
                </c:pt>
                <c:pt idx="57">
                  <c:v>9.2291304347826184</c:v>
                </c:pt>
                <c:pt idx="58">
                  <c:v>8.7851461988304038</c:v>
                </c:pt>
                <c:pt idx="59">
                  <c:v>9.8587142857142993</c:v>
                </c:pt>
                <c:pt idx="60">
                  <c:v>3.7486716791980257</c:v>
                </c:pt>
                <c:pt idx="61">
                  <c:v>2.5488888888888965</c:v>
                </c:pt>
                <c:pt idx="62">
                  <c:v>2.385555555555527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DA-4AC8-AB52-B4F709BB4014}"/>
            </c:ext>
          </c:extLst>
        </c:ser>
        <c:ser>
          <c:idx val="4"/>
          <c:order val="4"/>
          <c:tx>
            <c:strRef>
              <c:f>'Modelo Soja'!$BF$2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Soja'!$BF$3:$BF$65</c:f>
              <c:numCache>
                <c:formatCode>_(* #,##0.00_);_(* \(#,##0.00\);_(* "-"??_);_(@_)</c:formatCode>
                <c:ptCount val="63"/>
                <c:pt idx="0">
                  <c:v>7.946500000000043</c:v>
                </c:pt>
                <c:pt idx="1">
                  <c:v>6.839999999999975</c:v>
                </c:pt>
                <c:pt idx="2">
                  <c:v>5.4056521739130119</c:v>
                </c:pt>
                <c:pt idx="3">
                  <c:v>5.0430000000000064</c:v>
                </c:pt>
                <c:pt idx="4">
                  <c:v>8.0176190476190357</c:v>
                </c:pt>
                <c:pt idx="5">
                  <c:v>7.7519047619047683</c:v>
                </c:pt>
                <c:pt idx="6">
                  <c:v>9.6786363636363717</c:v>
                </c:pt>
                <c:pt idx="7">
                  <c:v>9.5118181818182279</c:v>
                </c:pt>
                <c:pt idx="8">
                  <c:v>9.7795238095238233</c:v>
                </c:pt>
                <c:pt idx="9">
                  <c:v>9.18100000000004</c:v>
                </c:pt>
                <c:pt idx="10">
                  <c:v>6.8690000000000282</c:v>
                </c:pt>
                <c:pt idx="11">
                  <c:v>6.157619047619022</c:v>
                </c:pt>
                <c:pt idx="12">
                  <c:v>7.9057142857142821</c:v>
                </c:pt>
                <c:pt idx="13">
                  <c:v>8.206842105263064</c:v>
                </c:pt>
                <c:pt idx="14">
                  <c:v>4.8727272727273032</c:v>
                </c:pt>
                <c:pt idx="15">
                  <c:v>5.3689473684210327</c:v>
                </c:pt>
                <c:pt idx="16">
                  <c:v>7.6804545454546087</c:v>
                </c:pt>
                <c:pt idx="17">
                  <c:v>8.2514285714285336</c:v>
                </c:pt>
                <c:pt idx="18">
                  <c:v>9.6357142857142435</c:v>
                </c:pt>
                <c:pt idx="19">
                  <c:v>7.817391304347808</c:v>
                </c:pt>
                <c:pt idx="20">
                  <c:v>8.2423809523809268</c:v>
                </c:pt>
                <c:pt idx="21">
                  <c:v>8.4220000000000255</c:v>
                </c:pt>
                <c:pt idx="22">
                  <c:v>7.7239999999999611</c:v>
                </c:pt>
                <c:pt idx="23">
                  <c:v>8.1371428571428339</c:v>
                </c:pt>
                <c:pt idx="24">
                  <c:v>7.2781818181817926</c:v>
                </c:pt>
                <c:pt idx="25">
                  <c:v>4.9766666666666879</c:v>
                </c:pt>
                <c:pt idx="26">
                  <c:v>3.0382608695652209</c:v>
                </c:pt>
                <c:pt idx="27">
                  <c:v>3.18944444444449</c:v>
                </c:pt>
                <c:pt idx="28">
                  <c:v>6.973636363636345</c:v>
                </c:pt>
                <c:pt idx="29">
                  <c:v>7.2157142857143128</c:v>
                </c:pt>
                <c:pt idx="30">
                  <c:v>7.7566666666666606</c:v>
                </c:pt>
                <c:pt idx="31">
                  <c:v>8.8939130434782783</c:v>
                </c:pt>
                <c:pt idx="32">
                  <c:v>7.5269999999999868</c:v>
                </c:pt>
                <c:pt idx="33">
                  <c:v>8.4490476190476045</c:v>
                </c:pt>
                <c:pt idx="34">
                  <c:v>7.5945000000000391</c:v>
                </c:pt>
                <c:pt idx="35">
                  <c:v>8.5773684210525687</c:v>
                </c:pt>
                <c:pt idx="36">
                  <c:v>6.0786363636363632</c:v>
                </c:pt>
                <c:pt idx="37">
                  <c:v>5.488421052631594</c:v>
                </c:pt>
                <c:pt idx="38">
                  <c:v>4.0940000000000083</c:v>
                </c:pt>
                <c:pt idx="39">
                  <c:v>3.2154545454545769</c:v>
                </c:pt>
                <c:pt idx="40">
                  <c:v>7.3499999999999801</c:v>
                </c:pt>
                <c:pt idx="41">
                  <c:v>9.3339999999999748</c:v>
                </c:pt>
                <c:pt idx="42">
                  <c:v>10.048695652173905</c:v>
                </c:pt>
                <c:pt idx="43">
                  <c:v>9.2668181818181523</c:v>
                </c:pt>
                <c:pt idx="44">
                  <c:v>9.2266666666666453</c:v>
                </c:pt>
                <c:pt idx="45">
                  <c:v>8.103043478260858</c:v>
                </c:pt>
                <c:pt idx="46">
                  <c:v>6.3357894736841587</c:v>
                </c:pt>
                <c:pt idx="47">
                  <c:v>6.4473684210526017</c:v>
                </c:pt>
                <c:pt idx="48">
                  <c:v>7.0849999999999653</c:v>
                </c:pt>
                <c:pt idx="49">
                  <c:v>6.6725000000000136</c:v>
                </c:pt>
                <c:pt idx="50">
                  <c:v>3.9357894736841956</c:v>
                </c:pt>
                <c:pt idx="51">
                  <c:v>5.3410000000000082</c:v>
                </c:pt>
                <c:pt idx="52">
                  <c:v>7.8361904761904668</c:v>
                </c:pt>
                <c:pt idx="53">
                  <c:v>7.6305000000000547</c:v>
                </c:pt>
                <c:pt idx="54">
                  <c:v>8.8560869565217075</c:v>
                </c:pt>
                <c:pt idx="55">
                  <c:v>8.5614285714285359</c:v>
                </c:pt>
                <c:pt idx="56">
                  <c:v>9.0131818181818488</c:v>
                </c:pt>
                <c:pt idx="57">
                  <c:v>9.3691304347825337</c:v>
                </c:pt>
                <c:pt idx="58">
                  <c:v>7.8957894736842036</c:v>
                </c:pt>
                <c:pt idx="59">
                  <c:v>8.1230000000000189</c:v>
                </c:pt>
                <c:pt idx="60">
                  <c:v>7.1866666666666106</c:v>
                </c:pt>
                <c:pt idx="61">
                  <c:v>5.1127777777777936</c:v>
                </c:pt>
                <c:pt idx="62">
                  <c:v>4.7172222222222047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DA-4AC8-AB52-B4F709BB4014}"/>
            </c:ext>
          </c:extLst>
        </c:ser>
        <c:ser>
          <c:idx val="5"/>
          <c:order val="5"/>
          <c:tx>
            <c:strRef>
              <c:f>'Modelo Soja'!$BG$2</c:f>
              <c:strCache>
                <c:ptCount val="1"/>
                <c:pt idx="0">
                  <c:v>Ijui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Soja'!$BG$3:$BG$65</c:f>
              <c:numCache>
                <c:formatCode>_(* #,##0.00_);_(* \(#,##0.00\);_(* "-"??_);_(@_)</c:formatCode>
                <c:ptCount val="63"/>
                <c:pt idx="0">
                  <c:v>9.8055000000000518</c:v>
                </c:pt>
                <c:pt idx="1">
                  <c:v>7.8777777777777374</c:v>
                </c:pt>
                <c:pt idx="2">
                  <c:v>6.0747826086956707</c:v>
                </c:pt>
                <c:pt idx="3">
                  <c:v>4.4769999999999754</c:v>
                </c:pt>
                <c:pt idx="4">
                  <c:v>8.3385714285714982</c:v>
                </c:pt>
                <c:pt idx="5">
                  <c:v>8.1514285714285393</c:v>
                </c:pt>
                <c:pt idx="6">
                  <c:v>10.214545454545458</c:v>
                </c:pt>
                <c:pt idx="7">
                  <c:v>9.756818181818204</c:v>
                </c:pt>
                <c:pt idx="8">
                  <c:v>9.999047619047559</c:v>
                </c:pt>
                <c:pt idx="9">
                  <c:v>9.208500000000015</c:v>
                </c:pt>
                <c:pt idx="10">
                  <c:v>7.8404999999999916</c:v>
                </c:pt>
                <c:pt idx="11">
                  <c:v>7.4842857142856758</c:v>
                </c:pt>
                <c:pt idx="12">
                  <c:v>8.9919047619047774</c:v>
                </c:pt>
                <c:pt idx="13">
                  <c:v>9.4657894736841968</c:v>
                </c:pt>
                <c:pt idx="14">
                  <c:v>5.703636363636349</c:v>
                </c:pt>
                <c:pt idx="15">
                  <c:v>6.1494736842105056</c:v>
                </c:pt>
                <c:pt idx="16">
                  <c:v>8.8250000000000455</c:v>
                </c:pt>
                <c:pt idx="17">
                  <c:v>10.478571428571456</c:v>
                </c:pt>
                <c:pt idx="18">
                  <c:v>10.998571428571381</c:v>
                </c:pt>
                <c:pt idx="19">
                  <c:v>9.8673913043478763</c:v>
                </c:pt>
                <c:pt idx="20">
                  <c:v>9.8380952380952067</c:v>
                </c:pt>
                <c:pt idx="21">
                  <c:v>9.453000000000003</c:v>
                </c:pt>
                <c:pt idx="22">
                  <c:v>8.9404999999999859</c:v>
                </c:pt>
                <c:pt idx="23">
                  <c:v>9.3933333333332882</c:v>
                </c:pt>
                <c:pt idx="24">
                  <c:v>9.1418181818181665</c:v>
                </c:pt>
                <c:pt idx="25">
                  <c:v>6.3461111111111279</c:v>
                </c:pt>
                <c:pt idx="26">
                  <c:v>4.5617391304347734</c:v>
                </c:pt>
                <c:pt idx="27">
                  <c:v>3.8211111111110938</c:v>
                </c:pt>
                <c:pt idx="28">
                  <c:v>9.542272727272703</c:v>
                </c:pt>
                <c:pt idx="29">
                  <c:v>9.0371428571428964</c:v>
                </c:pt>
                <c:pt idx="30">
                  <c:v>9.9947619047619014</c:v>
                </c:pt>
                <c:pt idx="31">
                  <c:v>10.506086956521784</c:v>
                </c:pt>
                <c:pt idx="32">
                  <c:v>9.9239999999999782</c:v>
                </c:pt>
                <c:pt idx="33">
                  <c:v>9.5290476190475886</c:v>
                </c:pt>
                <c:pt idx="34">
                  <c:v>9.1445000000000221</c:v>
                </c:pt>
                <c:pt idx="35">
                  <c:v>8.561578947368389</c:v>
                </c:pt>
                <c:pt idx="36">
                  <c:v>6.2663636363636357</c:v>
                </c:pt>
                <c:pt idx="37">
                  <c:v>5.9752631578947728</c:v>
                </c:pt>
                <c:pt idx="38">
                  <c:v>5.2745000000000317</c:v>
                </c:pt>
                <c:pt idx="39">
                  <c:v>2.7495454545454407</c:v>
                </c:pt>
                <c:pt idx="40">
                  <c:v>7.4576190476190476</c:v>
                </c:pt>
                <c:pt idx="41">
                  <c:v>9.5090000000000288</c:v>
                </c:pt>
                <c:pt idx="42">
                  <c:v>10.119565217391283</c:v>
                </c:pt>
                <c:pt idx="43">
                  <c:v>9.3381818181818517</c:v>
                </c:pt>
                <c:pt idx="44">
                  <c:v>10.097619047619062</c:v>
                </c:pt>
                <c:pt idx="45">
                  <c:v>9.4921739130434588</c:v>
                </c:pt>
                <c:pt idx="46">
                  <c:v>7.6947368421052857</c:v>
                </c:pt>
                <c:pt idx="47">
                  <c:v>8.2868421052631192</c:v>
                </c:pt>
                <c:pt idx="48">
                  <c:v>8.9272727272727224</c:v>
                </c:pt>
                <c:pt idx="49">
                  <c:v>7.6165000000000731</c:v>
                </c:pt>
                <c:pt idx="50">
                  <c:v>3.3210526315789366</c:v>
                </c:pt>
                <c:pt idx="51">
                  <c:v>6.8249999999999602</c:v>
                </c:pt>
                <c:pt idx="52">
                  <c:v>9.4814285714285518</c:v>
                </c:pt>
                <c:pt idx="53">
                  <c:v>9.1925000000000239</c:v>
                </c:pt>
                <c:pt idx="54">
                  <c:v>9.7682608695651965</c:v>
                </c:pt>
                <c:pt idx="55">
                  <c:v>10.068095238095225</c:v>
                </c:pt>
                <c:pt idx="56">
                  <c:v>10.70772727272724</c:v>
                </c:pt>
                <c:pt idx="57">
                  <c:v>9.9691304347825849</c:v>
                </c:pt>
                <c:pt idx="58">
                  <c:v>10.060526315789502</c:v>
                </c:pt>
                <c:pt idx="59">
                  <c:v>9.8500000000000227</c:v>
                </c:pt>
                <c:pt idx="60">
                  <c:v>11.449999999999989</c:v>
                </c:pt>
                <c:pt idx="61">
                  <c:v>7.7405555555555168</c:v>
                </c:pt>
                <c:pt idx="62">
                  <c:v>7.3227777777777732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DA-4AC8-AB52-B4F709BB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8000"/>
        <c:axId val="1951268480"/>
      </c:lineChart>
      <c:dateAx>
        <c:axId val="1951268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480"/>
        <c:crosses val="autoZero"/>
        <c:auto val="1"/>
        <c:lblOffset val="100"/>
        <c:baseTimeUnit val="months"/>
      </c:dateAx>
      <c:valAx>
        <c:axId val="1951268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079359142607174"/>
          <c:y val="0.13467592592592595"/>
          <c:w val="0.84523906386701675"/>
          <c:h val="0.140047389909594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Soja</a:t>
            </a:r>
            <a:r>
              <a:rPr lang="pt-BR" baseline="0"/>
              <a:t> Rondonopolis</a:t>
            </a:r>
          </a:p>
        </c:rich>
      </c:tx>
      <c:layout>
        <c:manualLayout>
          <c:xMode val="edge"/>
          <c:yMode val="edge"/>
          <c:x val="0.3690415573053368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33114610673666"/>
          <c:y val="0.17171296296296296"/>
          <c:w val="0.83745713035870517"/>
          <c:h val="0.66570246427529889"/>
        </c:manualLayout>
      </c:layout>
      <c:lineChart>
        <c:grouping val="standard"/>
        <c:varyColors val="0"/>
        <c:ser>
          <c:idx val="0"/>
          <c:order val="0"/>
          <c:tx>
            <c:v>Disponivel RDN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Soja'!$AA$3:$AA$65</c:f>
              <c:numCache>
                <c:formatCode>_(* #,##0.00_);_(* \(#,##0.00\);_(* "-"??_);_(@_)</c:formatCode>
                <c:ptCount val="63"/>
                <c:pt idx="0">
                  <c:v>155.39099999999999</c:v>
                </c:pt>
                <c:pt idx="1">
                  <c:v>156.51235294117646</c:v>
                </c:pt>
                <c:pt idx="2">
                  <c:v>161.85434782608698</c:v>
                </c:pt>
                <c:pt idx="3">
                  <c:v>166.01350000000002</c:v>
                </c:pt>
                <c:pt idx="4">
                  <c:v>167.54809523809521</c:v>
                </c:pt>
                <c:pt idx="5">
                  <c:v>151.94421052631577</c:v>
                </c:pt>
                <c:pt idx="6">
                  <c:v>160.09818181818184</c:v>
                </c:pt>
                <c:pt idx="7">
                  <c:v>169.66272727272724</c:v>
                </c:pt>
                <c:pt idx="8">
                  <c:v>168.1819047619048</c:v>
                </c:pt>
                <c:pt idx="9">
                  <c:v>162.72549999999998</c:v>
                </c:pt>
                <c:pt idx="10">
                  <c:v>153.76249999999999</c:v>
                </c:pt>
                <c:pt idx="11">
                  <c:v>153.44523809523812</c:v>
                </c:pt>
                <c:pt idx="12">
                  <c:v>166.47722222222222</c:v>
                </c:pt>
                <c:pt idx="13">
                  <c:v>181.20105263157899</c:v>
                </c:pt>
                <c:pt idx="14">
                  <c:v>183.58409090909092</c:v>
                </c:pt>
                <c:pt idx="15">
                  <c:v>166.62052631578948</c:v>
                </c:pt>
                <c:pt idx="16">
                  <c:v>173.76409090909092</c:v>
                </c:pt>
                <c:pt idx="17">
                  <c:v>171.58238095238093</c:v>
                </c:pt>
                <c:pt idx="18">
                  <c:v>168.46809523809523</c:v>
                </c:pt>
                <c:pt idx="19">
                  <c:v>165.79086956521743</c:v>
                </c:pt>
                <c:pt idx="20">
                  <c:v>165.68047619047618</c:v>
                </c:pt>
                <c:pt idx="21">
                  <c:v>164.5395</c:v>
                </c:pt>
                <c:pt idx="22">
                  <c:v>162.54263157894735</c:v>
                </c:pt>
                <c:pt idx="23">
                  <c:v>162.69750000000002</c:v>
                </c:pt>
                <c:pt idx="24">
                  <c:v>156.05095238095242</c:v>
                </c:pt>
                <c:pt idx="25">
                  <c:v>155.39705882352939</c:v>
                </c:pt>
                <c:pt idx="26">
                  <c:v>146.98347826086956</c:v>
                </c:pt>
                <c:pt idx="27">
                  <c:v>130.31166666666664</c:v>
                </c:pt>
                <c:pt idx="28">
                  <c:v>118.63473684210526</c:v>
                </c:pt>
                <c:pt idx="29">
                  <c:v>114.74476190476192</c:v>
                </c:pt>
                <c:pt idx="30">
                  <c:v>121.80111111111111</c:v>
                </c:pt>
                <c:pt idx="31">
                  <c:v>126.82695652173913</c:v>
                </c:pt>
                <c:pt idx="32">
                  <c:v>127.90800000000002</c:v>
                </c:pt>
                <c:pt idx="33">
                  <c:v>126.78380952380951</c:v>
                </c:pt>
                <c:pt idx="34">
                  <c:v>125.00250000000001</c:v>
                </c:pt>
                <c:pt idx="35">
                  <c:v>127.82526315789472</c:v>
                </c:pt>
                <c:pt idx="36">
                  <c:v>110.73380952380951</c:v>
                </c:pt>
                <c:pt idx="37">
                  <c:v>101.04578947368422</c:v>
                </c:pt>
                <c:pt idx="38">
                  <c:v>107.2375</c:v>
                </c:pt>
                <c:pt idx="39">
                  <c:v>112.84045454545453</c:v>
                </c:pt>
                <c:pt idx="40">
                  <c:v>120.61904761904759</c:v>
                </c:pt>
                <c:pt idx="41">
                  <c:v>126.167</c:v>
                </c:pt>
                <c:pt idx="42">
                  <c:v>126.57043478260871</c:v>
                </c:pt>
                <c:pt idx="43">
                  <c:v>124.40499999999999</c:v>
                </c:pt>
                <c:pt idx="44">
                  <c:v>128.73142857142858</c:v>
                </c:pt>
                <c:pt idx="45">
                  <c:v>140.16695652173914</c:v>
                </c:pt>
                <c:pt idx="46">
                  <c:v>140.5826315789474</c:v>
                </c:pt>
                <c:pt idx="47">
                  <c:v>130.78789473684211</c:v>
                </c:pt>
                <c:pt idx="48">
                  <c:v>118.82499999999996</c:v>
                </c:pt>
                <c:pt idx="49">
                  <c:v>112.8065</c:v>
                </c:pt>
                <c:pt idx="50">
                  <c:v>114.33388888888888</c:v>
                </c:pt>
                <c:pt idx="51">
                  <c:v>116.0865</c:v>
                </c:pt>
                <c:pt idx="52">
                  <c:v>114.34285714285711</c:v>
                </c:pt>
                <c:pt idx="53">
                  <c:v>115.87850000000003</c:v>
                </c:pt>
                <c:pt idx="54">
                  <c:v>119.22</c:v>
                </c:pt>
                <c:pt idx="55">
                  <c:v>123.42333333333333</c:v>
                </c:pt>
                <c:pt idx="56">
                  <c:v>125.08954545454549</c:v>
                </c:pt>
                <c:pt idx="57">
                  <c:v>124.05391304347825</c:v>
                </c:pt>
                <c:pt idx="58">
                  <c:v>124.50789473684213</c:v>
                </c:pt>
                <c:pt idx="59">
                  <c:v>121.32950000000001</c:v>
                </c:pt>
                <c:pt idx="60">
                  <c:v>109.54952380952383</c:v>
                </c:pt>
                <c:pt idx="61">
                  <c:v>104.03944444444444</c:v>
                </c:pt>
                <c:pt idx="62">
                  <c:v>102.11166666666666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2-41A2-90DD-9F49F0AC9ADA}"/>
            </c:ext>
          </c:extLst>
        </c:ser>
        <c:ser>
          <c:idx val="1"/>
          <c:order val="1"/>
          <c:tx>
            <c:v>Paridade Exp RDN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Soja'!$AU$3:$AU$65</c:f>
              <c:numCache>
                <c:formatCode>_(* #,##0.00_);_(* \(#,##0.00\);_(* "-"??_);_(@_)</c:formatCode>
                <c:ptCount val="63"/>
                <c:pt idx="0">
                  <c:v>157.29000000000005</c:v>
                </c:pt>
                <c:pt idx="1">
                  <c:v>151.53333333333333</c:v>
                </c:pt>
                <c:pt idx="2">
                  <c:v>155.44152173913048</c:v>
                </c:pt>
                <c:pt idx="3">
                  <c:v>161.31800000000001</c:v>
                </c:pt>
                <c:pt idx="4">
                  <c:v>160.49380952380952</c:v>
                </c:pt>
                <c:pt idx="5">
                  <c:v>147.52571428571429</c:v>
                </c:pt>
                <c:pt idx="6">
                  <c:v>151.39681818181819</c:v>
                </c:pt>
                <c:pt idx="7">
                  <c:v>154.63272727272729</c:v>
                </c:pt>
                <c:pt idx="8">
                  <c:v>157.43428571428569</c:v>
                </c:pt>
                <c:pt idx="9">
                  <c:v>157.24700000000001</c:v>
                </c:pt>
                <c:pt idx="10">
                  <c:v>151.16850000000005</c:v>
                </c:pt>
                <c:pt idx="11">
                  <c:v>154.29190476190476</c:v>
                </c:pt>
                <c:pt idx="12">
                  <c:v>162.5652380952381</c:v>
                </c:pt>
                <c:pt idx="13">
                  <c:v>177.39500000000001</c:v>
                </c:pt>
                <c:pt idx="14">
                  <c:v>180.40227272727273</c:v>
                </c:pt>
                <c:pt idx="15">
                  <c:v>167.34210526315795</c:v>
                </c:pt>
                <c:pt idx="16">
                  <c:v>173.58090909090913</c:v>
                </c:pt>
                <c:pt idx="17">
                  <c:v>172.54452380952378</c:v>
                </c:pt>
                <c:pt idx="18">
                  <c:v>166.86428571428576</c:v>
                </c:pt>
                <c:pt idx="19">
                  <c:v>165.87956521739133</c:v>
                </c:pt>
                <c:pt idx="20">
                  <c:v>169.38380952380948</c:v>
                </c:pt>
                <c:pt idx="21">
                  <c:v>166.928</c:v>
                </c:pt>
                <c:pt idx="22">
                  <c:v>168.72749999999999</c:v>
                </c:pt>
                <c:pt idx="23">
                  <c:v>164.72833333333332</c:v>
                </c:pt>
                <c:pt idx="24">
                  <c:v>156.63181818181818</c:v>
                </c:pt>
                <c:pt idx="25">
                  <c:v>149.05611111111111</c:v>
                </c:pt>
                <c:pt idx="26">
                  <c:v>142.56478260869568</c:v>
                </c:pt>
                <c:pt idx="27">
                  <c:v>124.23666666666665</c:v>
                </c:pt>
                <c:pt idx="28">
                  <c:v>117.24409090909093</c:v>
                </c:pt>
                <c:pt idx="29">
                  <c:v>115.03238095238093</c:v>
                </c:pt>
                <c:pt idx="30">
                  <c:v>122.84662619047619</c:v>
                </c:pt>
                <c:pt idx="31">
                  <c:v>124.7361956521739</c:v>
                </c:pt>
                <c:pt idx="32">
                  <c:v>123.71349999999998</c:v>
                </c:pt>
                <c:pt idx="33">
                  <c:v>120.69428571428571</c:v>
                </c:pt>
                <c:pt idx="34">
                  <c:v>122.04445000000003</c:v>
                </c:pt>
                <c:pt idx="35">
                  <c:v>124.01052631578943</c:v>
                </c:pt>
                <c:pt idx="36">
                  <c:v>107.50772727272728</c:v>
                </c:pt>
                <c:pt idx="37">
                  <c:v>98.58526315789473</c:v>
                </c:pt>
                <c:pt idx="38">
                  <c:v>103.90649999999998</c:v>
                </c:pt>
                <c:pt idx="39">
                  <c:v>108.41863636363638</c:v>
                </c:pt>
                <c:pt idx="40">
                  <c:v>115.42428571428572</c:v>
                </c:pt>
                <c:pt idx="41">
                  <c:v>116.86950000000003</c:v>
                </c:pt>
                <c:pt idx="42">
                  <c:v>117.01630434782611</c:v>
                </c:pt>
                <c:pt idx="43">
                  <c:v>115.63363636363637</c:v>
                </c:pt>
                <c:pt idx="44">
                  <c:v>122.35380952380952</c:v>
                </c:pt>
                <c:pt idx="45">
                  <c:v>124.5826086956522</c:v>
                </c:pt>
                <c:pt idx="46">
                  <c:v>128.4841684210526</c:v>
                </c:pt>
                <c:pt idx="47">
                  <c:v>128.00397368421051</c:v>
                </c:pt>
                <c:pt idx="48">
                  <c:v>119.22181818181815</c:v>
                </c:pt>
                <c:pt idx="49">
                  <c:v>108.76800000000001</c:v>
                </c:pt>
                <c:pt idx="50">
                  <c:v>110.9795</c:v>
                </c:pt>
                <c:pt idx="51">
                  <c:v>115.03</c:v>
                </c:pt>
                <c:pt idx="52">
                  <c:v>113.77619047619046</c:v>
                </c:pt>
                <c:pt idx="53">
                  <c:v>115.01149999999998</c:v>
                </c:pt>
                <c:pt idx="54">
                  <c:v>116.33380434782606</c:v>
                </c:pt>
                <c:pt idx="55">
                  <c:v>119.61927619047617</c:v>
                </c:pt>
                <c:pt idx="56">
                  <c:v>118.78659090909092</c:v>
                </c:pt>
                <c:pt idx="57">
                  <c:v>117.79184347826089</c:v>
                </c:pt>
                <c:pt idx="58">
                  <c:v>121.56513157894736</c:v>
                </c:pt>
                <c:pt idx="59">
                  <c:v>122.79849999999996</c:v>
                </c:pt>
                <c:pt idx="60">
                  <c:v>111.20685714285717</c:v>
                </c:pt>
                <c:pt idx="61">
                  <c:v>104.70994444444446</c:v>
                </c:pt>
                <c:pt idx="62">
                  <c:v>106.03812499999998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2-41A2-90DD-9F49F0AC9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30575"/>
        <c:axId val="62033935"/>
      </c:lineChart>
      <c:dateAx>
        <c:axId val="62030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3935"/>
        <c:crosses val="autoZero"/>
        <c:auto val="1"/>
        <c:lblOffset val="100"/>
        <c:baseTimeUnit val="months"/>
      </c:dateAx>
      <c:valAx>
        <c:axId val="62033935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884601924759406"/>
          <c:y val="0.67208260425780098"/>
          <c:w val="0.2628206474190726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Soja</a:t>
            </a:r>
            <a:r>
              <a:rPr lang="pt-BR" baseline="0"/>
              <a:t> Sorriso</a:t>
            </a:r>
          </a:p>
        </c:rich>
      </c:tx>
      <c:layout>
        <c:manualLayout>
          <c:xMode val="edge"/>
          <c:yMode val="edge"/>
          <c:x val="0.3690415573053368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644225721784777"/>
          <c:y val="8.8379629629629641E-2"/>
          <c:w val="0.83745713035870517"/>
          <c:h val="0.73635243511227755"/>
        </c:manualLayout>
      </c:layout>
      <c:lineChart>
        <c:grouping val="standard"/>
        <c:varyColors val="0"/>
        <c:ser>
          <c:idx val="0"/>
          <c:order val="0"/>
          <c:tx>
            <c:v>Balcao SRS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Soja'!$E$3:$E$65</c:f>
              <c:numCache>
                <c:formatCode>_(* #,##0.00_);_(* \(#,##0.00\);_(* "-"??_);_(@_)</c:formatCode>
                <c:ptCount val="63"/>
                <c:pt idx="0">
                  <c:v>146.24916666666664</c:v>
                </c:pt>
                <c:pt idx="1">
                  <c:v>147.96666666666667</c:v>
                </c:pt>
                <c:pt idx="2">
                  <c:v>152.20304347826089</c:v>
                </c:pt>
                <c:pt idx="3">
                  <c:v>154.36150000000001</c:v>
                </c:pt>
                <c:pt idx="4">
                  <c:v>156.33523809523808</c:v>
                </c:pt>
                <c:pt idx="5">
                  <c:v>140.56714285714287</c:v>
                </c:pt>
                <c:pt idx="6">
                  <c:v>148.3281818181818</c:v>
                </c:pt>
                <c:pt idx="7">
                  <c:v>158.16318181818181</c:v>
                </c:pt>
                <c:pt idx="8">
                  <c:v>158.6657142857143</c:v>
                </c:pt>
                <c:pt idx="9">
                  <c:v>153.91800000000001</c:v>
                </c:pt>
                <c:pt idx="10">
                  <c:v>145.11600000000004</c:v>
                </c:pt>
                <c:pt idx="11">
                  <c:v>143.005</c:v>
                </c:pt>
                <c:pt idx="12">
                  <c:v>155.6123809523809</c:v>
                </c:pt>
                <c:pt idx="13">
                  <c:v>169.05631578947367</c:v>
                </c:pt>
                <c:pt idx="14">
                  <c:v>171.88772727272729</c:v>
                </c:pt>
                <c:pt idx="15">
                  <c:v>158.18157894736842</c:v>
                </c:pt>
                <c:pt idx="16">
                  <c:v>161.64045454545453</c:v>
                </c:pt>
                <c:pt idx="17">
                  <c:v>157.58904761904759</c:v>
                </c:pt>
                <c:pt idx="18">
                  <c:v>154.04095238095238</c:v>
                </c:pt>
                <c:pt idx="19">
                  <c:v>154.3686956521739</c:v>
                </c:pt>
                <c:pt idx="20">
                  <c:v>153.99904761904759</c:v>
                </c:pt>
                <c:pt idx="21">
                  <c:v>151.64949999999999</c:v>
                </c:pt>
                <c:pt idx="22">
                  <c:v>149.82500000000002</c:v>
                </c:pt>
                <c:pt idx="23">
                  <c:v>147.44842105263157</c:v>
                </c:pt>
                <c:pt idx="24">
                  <c:v>142.95523809523806</c:v>
                </c:pt>
                <c:pt idx="25">
                  <c:v>142.02444444444444</c:v>
                </c:pt>
                <c:pt idx="26">
                  <c:v>132.63866666666669</c:v>
                </c:pt>
                <c:pt idx="27">
                  <c:v>114.83444444444444</c:v>
                </c:pt>
                <c:pt idx="28">
                  <c:v>105.53636363636365</c:v>
                </c:pt>
                <c:pt idx="29">
                  <c:v>101.6247619047619</c:v>
                </c:pt>
                <c:pt idx="30">
                  <c:v>108.25714285714287</c:v>
                </c:pt>
                <c:pt idx="31">
                  <c:v>110.83086956521738</c:v>
                </c:pt>
                <c:pt idx="32">
                  <c:v>112.51699999999998</c:v>
                </c:pt>
                <c:pt idx="33">
                  <c:v>111.60095238095238</c:v>
                </c:pt>
                <c:pt idx="34">
                  <c:v>112.26799999999999</c:v>
                </c:pt>
                <c:pt idx="35">
                  <c:v>110.97105263157896</c:v>
                </c:pt>
                <c:pt idx="36">
                  <c:v>102.29545454545455</c:v>
                </c:pt>
                <c:pt idx="37">
                  <c:v>90.709473684210522</c:v>
                </c:pt>
                <c:pt idx="38">
                  <c:v>98.167999999999978</c:v>
                </c:pt>
                <c:pt idx="39">
                  <c:v>103.40590909090906</c:v>
                </c:pt>
                <c:pt idx="40">
                  <c:v>107.47952380952384</c:v>
                </c:pt>
                <c:pt idx="41">
                  <c:v>111.42949999999999</c:v>
                </c:pt>
                <c:pt idx="42">
                  <c:v>110.25521739130438</c:v>
                </c:pt>
                <c:pt idx="43">
                  <c:v>108.83636363636364</c:v>
                </c:pt>
                <c:pt idx="44">
                  <c:v>116.49333333333334</c:v>
                </c:pt>
                <c:pt idx="45">
                  <c:v>126.22347826086954</c:v>
                </c:pt>
                <c:pt idx="46">
                  <c:v>129.18842105263155</c:v>
                </c:pt>
                <c:pt idx="47">
                  <c:v>122.15631578947365</c:v>
                </c:pt>
                <c:pt idx="48">
                  <c:v>106.93136363636363</c:v>
                </c:pt>
                <c:pt idx="49">
                  <c:v>102.18449999999999</c:v>
                </c:pt>
                <c:pt idx="50">
                  <c:v>104.91842105263159</c:v>
                </c:pt>
                <c:pt idx="51">
                  <c:v>105.52649999999998</c:v>
                </c:pt>
                <c:pt idx="52">
                  <c:v>104.82666666666667</c:v>
                </c:pt>
                <c:pt idx="53">
                  <c:v>106.44500000000001</c:v>
                </c:pt>
                <c:pt idx="54">
                  <c:v>109.00782608695656</c:v>
                </c:pt>
                <c:pt idx="55">
                  <c:v>113.20095238095239</c:v>
                </c:pt>
                <c:pt idx="56">
                  <c:v>114.88818181818179</c:v>
                </c:pt>
                <c:pt idx="57">
                  <c:v>112.86304347826091</c:v>
                </c:pt>
                <c:pt idx="58">
                  <c:v>112.02368421052631</c:v>
                </c:pt>
                <c:pt idx="59">
                  <c:v>109.32000000000001</c:v>
                </c:pt>
                <c:pt idx="60">
                  <c:v>99.014285714285705</c:v>
                </c:pt>
                <c:pt idx="61">
                  <c:v>97.016666666666666</c:v>
                </c:pt>
                <c:pt idx="62">
                  <c:v>96.846111111111099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7A-4C6A-82B3-F5AE57DFA2B7}"/>
            </c:ext>
          </c:extLst>
        </c:ser>
        <c:ser>
          <c:idx val="1"/>
          <c:order val="1"/>
          <c:tx>
            <c:v>Paridade Exp SRS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Soja'!$AT$3:$AT$65</c:f>
              <c:numCache>
                <c:formatCode>_(* #,##0.00_);_(* \(#,##0.00\);_(* "-"??_);_(@_)</c:formatCode>
                <c:ptCount val="63"/>
                <c:pt idx="0">
                  <c:v>153.61500000000004</c:v>
                </c:pt>
                <c:pt idx="1">
                  <c:v>148.13328333333334</c:v>
                </c:pt>
                <c:pt idx="2">
                  <c:v>152.6665217391305</c:v>
                </c:pt>
                <c:pt idx="3">
                  <c:v>158.67800000000003</c:v>
                </c:pt>
                <c:pt idx="4">
                  <c:v>159.03880952380953</c:v>
                </c:pt>
                <c:pt idx="5">
                  <c:v>144.32576428571429</c:v>
                </c:pt>
                <c:pt idx="6">
                  <c:v>148.09681818181818</c:v>
                </c:pt>
                <c:pt idx="7">
                  <c:v>152.45772727272731</c:v>
                </c:pt>
                <c:pt idx="8">
                  <c:v>155.25928571428571</c:v>
                </c:pt>
                <c:pt idx="9">
                  <c:v>152.387</c:v>
                </c:pt>
                <c:pt idx="10">
                  <c:v>146.66850000000005</c:v>
                </c:pt>
                <c:pt idx="11">
                  <c:v>149.13190476190476</c:v>
                </c:pt>
                <c:pt idx="12">
                  <c:v>157.1277380952381</c:v>
                </c:pt>
                <c:pt idx="13">
                  <c:v>171.245</c:v>
                </c:pt>
                <c:pt idx="14">
                  <c:v>174.36477272727271</c:v>
                </c:pt>
                <c:pt idx="15">
                  <c:v>157.89810526315796</c:v>
                </c:pt>
                <c:pt idx="16">
                  <c:v>165.48090909090914</c:v>
                </c:pt>
                <c:pt idx="17">
                  <c:v>162.8695238095238</c:v>
                </c:pt>
                <c:pt idx="18">
                  <c:v>158.94428571428574</c:v>
                </c:pt>
                <c:pt idx="19">
                  <c:v>158.68706521739134</c:v>
                </c:pt>
                <c:pt idx="20">
                  <c:v>161.22380952380948</c:v>
                </c:pt>
                <c:pt idx="21">
                  <c:v>159.72800000000001</c:v>
                </c:pt>
                <c:pt idx="22">
                  <c:v>163.0275</c:v>
                </c:pt>
                <c:pt idx="23">
                  <c:v>154.60333333333332</c:v>
                </c:pt>
                <c:pt idx="24">
                  <c:v>150.03181818181818</c:v>
                </c:pt>
                <c:pt idx="25">
                  <c:v>141.49611111111113</c:v>
                </c:pt>
                <c:pt idx="26">
                  <c:v>135.62878260869567</c:v>
                </c:pt>
                <c:pt idx="27">
                  <c:v>117.14166666666665</c:v>
                </c:pt>
                <c:pt idx="28">
                  <c:v>110.20909090909092</c:v>
                </c:pt>
                <c:pt idx="29">
                  <c:v>106.33238095238093</c:v>
                </c:pt>
                <c:pt idx="30">
                  <c:v>115.25422619047617</c:v>
                </c:pt>
                <c:pt idx="31">
                  <c:v>119.37369565217391</c:v>
                </c:pt>
                <c:pt idx="32">
                  <c:v>116.6155</c:v>
                </c:pt>
                <c:pt idx="33">
                  <c:v>112.96928571428572</c:v>
                </c:pt>
                <c:pt idx="34">
                  <c:v>114.34450000000002</c:v>
                </c:pt>
                <c:pt idx="35">
                  <c:v>116.83452631578945</c:v>
                </c:pt>
                <c:pt idx="36">
                  <c:v>99.782727272727271</c:v>
                </c:pt>
                <c:pt idx="37">
                  <c:v>91.197763157894727</c:v>
                </c:pt>
                <c:pt idx="38">
                  <c:v>97.846499999999978</c:v>
                </c:pt>
                <c:pt idx="39">
                  <c:v>102.56863636363639</c:v>
                </c:pt>
                <c:pt idx="40">
                  <c:v>109.41678571428571</c:v>
                </c:pt>
                <c:pt idx="41">
                  <c:v>111.04500000000003</c:v>
                </c:pt>
                <c:pt idx="42">
                  <c:v>110.64130434782611</c:v>
                </c:pt>
                <c:pt idx="43">
                  <c:v>109.45363636363638</c:v>
                </c:pt>
                <c:pt idx="44">
                  <c:v>115.37880952380951</c:v>
                </c:pt>
                <c:pt idx="45">
                  <c:v>118.2076086956522</c:v>
                </c:pt>
                <c:pt idx="46">
                  <c:v>121.16176842105261</c:v>
                </c:pt>
                <c:pt idx="47">
                  <c:v>121.77297368421051</c:v>
                </c:pt>
                <c:pt idx="48">
                  <c:v>114.02181818181816</c:v>
                </c:pt>
                <c:pt idx="49">
                  <c:v>102.84300000000002</c:v>
                </c:pt>
                <c:pt idx="50">
                  <c:v>107.49050000000001</c:v>
                </c:pt>
                <c:pt idx="51">
                  <c:v>108.95500000000001</c:v>
                </c:pt>
                <c:pt idx="52">
                  <c:v>107.41619047619045</c:v>
                </c:pt>
                <c:pt idx="53">
                  <c:v>107.80099999999999</c:v>
                </c:pt>
                <c:pt idx="54">
                  <c:v>107.77930434782607</c:v>
                </c:pt>
                <c:pt idx="55">
                  <c:v>113.90967619047618</c:v>
                </c:pt>
                <c:pt idx="56">
                  <c:v>113.01309090909092</c:v>
                </c:pt>
                <c:pt idx="57">
                  <c:v>111.7678434782609</c:v>
                </c:pt>
                <c:pt idx="58">
                  <c:v>115.01463157894736</c:v>
                </c:pt>
                <c:pt idx="59">
                  <c:v>116.32149999999997</c:v>
                </c:pt>
                <c:pt idx="60">
                  <c:v>104.57565714285717</c:v>
                </c:pt>
                <c:pt idx="61">
                  <c:v>98.649944444444458</c:v>
                </c:pt>
                <c:pt idx="62">
                  <c:v>100.49412499999998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7A-4C6A-82B3-F5AE57DFA2B7}"/>
            </c:ext>
          </c:extLst>
        </c:ser>
        <c:ser>
          <c:idx val="2"/>
          <c:order val="2"/>
          <c:tx>
            <c:v>Disponivel SRS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Soja'!$AK$3:$AK$65</c:f>
              <c:numCache>
                <c:formatCode>_(* #,##0.00_);_(* \(#,##0.00\);_(* "-"??_);_(@_)</c:formatCode>
                <c:ptCount val="63"/>
                <c:pt idx="0">
                  <c:v>154.74194456100264</c:v>
                </c:pt>
                <c:pt idx="1">
                  <c:v>153.57666577322937</c:v>
                </c:pt>
                <c:pt idx="2">
                  <c:v>156.93637702408196</c:v>
                </c:pt>
                <c:pt idx="3">
                  <c:v>159.77040109870637</c:v>
                </c:pt>
                <c:pt idx="4">
                  <c:v>163.45525613275612</c:v>
                </c:pt>
                <c:pt idx="5">
                  <c:v>148.4744015873016</c:v>
                </c:pt>
                <c:pt idx="6">
                  <c:v>157.62258607817301</c:v>
                </c:pt>
                <c:pt idx="7">
                  <c:v>167.53059454796411</c:v>
                </c:pt>
                <c:pt idx="8">
                  <c:v>168.74381504116801</c:v>
                </c:pt>
                <c:pt idx="9">
                  <c:v>163.51306745090659</c:v>
                </c:pt>
                <c:pt idx="10">
                  <c:v>154.27313294346982</c:v>
                </c:pt>
                <c:pt idx="11">
                  <c:v>152.74385877192981</c:v>
                </c:pt>
                <c:pt idx="12">
                  <c:v>164.1051588467169</c:v>
                </c:pt>
                <c:pt idx="13">
                  <c:v>174.66631489603637</c:v>
                </c:pt>
                <c:pt idx="14">
                  <c:v>176.62106081854836</c:v>
                </c:pt>
                <c:pt idx="15">
                  <c:v>163.59048004607479</c:v>
                </c:pt>
                <c:pt idx="16">
                  <c:v>168.76047258297257</c:v>
                </c:pt>
                <c:pt idx="17">
                  <c:v>165.49630634920632</c:v>
                </c:pt>
                <c:pt idx="18">
                  <c:v>163.33535664094359</c:v>
                </c:pt>
                <c:pt idx="19">
                  <c:v>163.7361083819562</c:v>
                </c:pt>
                <c:pt idx="20">
                  <c:v>164.07714837450129</c:v>
                </c:pt>
                <c:pt idx="21">
                  <c:v>161.24456745090657</c:v>
                </c:pt>
                <c:pt idx="22">
                  <c:v>158.98213294346979</c:v>
                </c:pt>
                <c:pt idx="23">
                  <c:v>157.18727982456139</c:v>
                </c:pt>
                <c:pt idx="24">
                  <c:v>151.44801598957406</c:v>
                </c:pt>
                <c:pt idx="25">
                  <c:v>147.63444355100714</c:v>
                </c:pt>
                <c:pt idx="26">
                  <c:v>137.37200021248776</c:v>
                </c:pt>
                <c:pt idx="27">
                  <c:v>120.24334554315081</c:v>
                </c:pt>
                <c:pt idx="28">
                  <c:v>112.65638167388168</c:v>
                </c:pt>
                <c:pt idx="29">
                  <c:v>109.53202063492064</c:v>
                </c:pt>
                <c:pt idx="30">
                  <c:v>117.55154711713408</c:v>
                </c:pt>
                <c:pt idx="31">
                  <c:v>120.19828229499969</c:v>
                </c:pt>
                <c:pt idx="32">
                  <c:v>122.59510075545367</c:v>
                </c:pt>
                <c:pt idx="33">
                  <c:v>121.19601983185895</c:v>
                </c:pt>
                <c:pt idx="34">
                  <c:v>121.42513294346978</c:v>
                </c:pt>
                <c:pt idx="35">
                  <c:v>120.70991140350877</c:v>
                </c:pt>
                <c:pt idx="36">
                  <c:v>110.78823243979056</c:v>
                </c:pt>
                <c:pt idx="37">
                  <c:v>96.319472790773219</c:v>
                </c:pt>
                <c:pt idx="38">
                  <c:v>102.90133354582105</c:v>
                </c:pt>
                <c:pt idx="39">
                  <c:v>108.81481018961543</c:v>
                </c:pt>
                <c:pt idx="40">
                  <c:v>114.59954184704188</c:v>
                </c:pt>
                <c:pt idx="41">
                  <c:v>119.33675873015873</c:v>
                </c:pt>
                <c:pt idx="42">
                  <c:v>119.54962165129561</c:v>
                </c:pt>
                <c:pt idx="43">
                  <c:v>118.20377636614595</c:v>
                </c:pt>
                <c:pt idx="44">
                  <c:v>126.57143408878704</c:v>
                </c:pt>
                <c:pt idx="45">
                  <c:v>135.81854571177612</c:v>
                </c:pt>
                <c:pt idx="46">
                  <c:v>138.34555399610133</c:v>
                </c:pt>
                <c:pt idx="47">
                  <c:v>131.89517456140348</c:v>
                </c:pt>
                <c:pt idx="48">
                  <c:v>115.42414153069964</c:v>
                </c:pt>
                <c:pt idx="49">
                  <c:v>107.79449910656268</c:v>
                </c:pt>
                <c:pt idx="50">
                  <c:v>109.65175459845265</c:v>
                </c:pt>
                <c:pt idx="51">
                  <c:v>110.93540109870635</c:v>
                </c:pt>
                <c:pt idx="52">
                  <c:v>111.9466847041847</c:v>
                </c:pt>
                <c:pt idx="53">
                  <c:v>114.35225873015875</c:v>
                </c:pt>
                <c:pt idx="54">
                  <c:v>118.30223034694777</c:v>
                </c:pt>
                <c:pt idx="55">
                  <c:v>122.56836511073469</c:v>
                </c:pt>
                <c:pt idx="56">
                  <c:v>124.96628257363548</c:v>
                </c:pt>
                <c:pt idx="57">
                  <c:v>122.45811092916747</c:v>
                </c:pt>
                <c:pt idx="58">
                  <c:v>121.1808171539961</c:v>
                </c:pt>
                <c:pt idx="59">
                  <c:v>119.05885877192982</c:v>
                </c:pt>
                <c:pt idx="60">
                  <c:v>107.50706360862171</c:v>
                </c:pt>
                <c:pt idx="61">
                  <c:v>102.62666577322936</c:v>
                </c:pt>
                <c:pt idx="62">
                  <c:v>101.57944465693217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7A-4C6A-82B3-F5AE57DF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30575"/>
        <c:axId val="62033935"/>
      </c:lineChart>
      <c:dateAx>
        <c:axId val="62030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3935"/>
        <c:crosses val="autoZero"/>
        <c:auto val="1"/>
        <c:lblOffset val="100"/>
        <c:baseTimeUnit val="months"/>
      </c:dateAx>
      <c:valAx>
        <c:axId val="62033935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051268591426072"/>
          <c:y val="0.51467519685039365"/>
          <c:w val="0.25697331583552058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3120479731700199"/>
          <c:w val="0.85682917760279964"/>
          <c:h val="0.66917359288422285"/>
        </c:manualLayout>
      </c:layout>
      <c:lineChart>
        <c:grouping val="standard"/>
        <c:varyColors val="0"/>
        <c:ser>
          <c:idx val="3"/>
          <c:order val="0"/>
          <c:tx>
            <c:strRef>
              <c:f>'Modelo Soja'!$BH$2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Soja'!$BH$3:$BH$65</c:f>
              <c:numCache>
                <c:formatCode>_(* #,##0.00_);_(* \(#,##0.00\);_(* "-"??_);_(@_)</c:formatCode>
                <c:ptCount val="63"/>
                <c:pt idx="0">
                  <c:v>13.552532407407417</c:v>
                </c:pt>
                <c:pt idx="1">
                  <c:v>7.8784259259259244</c:v>
                </c:pt>
                <c:pt idx="2">
                  <c:v>4.9437888198757731</c:v>
                </c:pt>
                <c:pt idx="3">
                  <c:v>6.2527500000000016</c:v>
                </c:pt>
                <c:pt idx="4">
                  <c:v>7.8997619047619168</c:v>
                </c:pt>
                <c:pt idx="5">
                  <c:v>8.3157142857142929</c:v>
                </c:pt>
                <c:pt idx="6">
                  <c:v>11.81204545454546</c:v>
                </c:pt>
                <c:pt idx="7">
                  <c:v>11.990075757575767</c:v>
                </c:pt>
                <c:pt idx="8">
                  <c:v>11.832698412698411</c:v>
                </c:pt>
                <c:pt idx="9">
                  <c:v>9.3547500000000152</c:v>
                </c:pt>
                <c:pt idx="10">
                  <c:v>7.3271666666666748</c:v>
                </c:pt>
                <c:pt idx="11">
                  <c:v>7.0548287385129429</c:v>
                </c:pt>
                <c:pt idx="12">
                  <c:v>7.7853174603174722</c:v>
                </c:pt>
                <c:pt idx="13">
                  <c:v>6.5844736842105123</c:v>
                </c:pt>
                <c:pt idx="14">
                  <c:v>4.1950000000000118</c:v>
                </c:pt>
                <c:pt idx="15">
                  <c:v>5.8643859649122776</c:v>
                </c:pt>
                <c:pt idx="16">
                  <c:v>7.1597727272727383</c:v>
                </c:pt>
                <c:pt idx="17">
                  <c:v>8.5588095238095292</c:v>
                </c:pt>
                <c:pt idx="18">
                  <c:v>8.6342063492063286</c:v>
                </c:pt>
                <c:pt idx="19">
                  <c:v>8.7116666666666784</c:v>
                </c:pt>
                <c:pt idx="20">
                  <c:v>9.8152380952380778</c:v>
                </c:pt>
                <c:pt idx="21">
                  <c:v>9.356416666666675</c:v>
                </c:pt>
                <c:pt idx="22">
                  <c:v>9.7091535087719194</c:v>
                </c:pt>
                <c:pt idx="23">
                  <c:v>10.037253968253941</c:v>
                </c:pt>
                <c:pt idx="24">
                  <c:v>7.162272727272712</c:v>
                </c:pt>
                <c:pt idx="25">
                  <c:v>4.7284259259259374</c:v>
                </c:pt>
                <c:pt idx="26">
                  <c:v>4.2379710144927385</c:v>
                </c:pt>
                <c:pt idx="27">
                  <c:v>3.7057407407407368</c:v>
                </c:pt>
                <c:pt idx="28">
                  <c:v>6.0449999999999919</c:v>
                </c:pt>
                <c:pt idx="29">
                  <c:v>6.5796031746031884</c:v>
                </c:pt>
                <c:pt idx="30">
                  <c:v>8.5896825396825562</c:v>
                </c:pt>
                <c:pt idx="31">
                  <c:v>9.4142028985507409</c:v>
                </c:pt>
                <c:pt idx="32">
                  <c:v>9.289803921568625</c:v>
                </c:pt>
                <c:pt idx="33">
                  <c:v>9.2684920634920527</c:v>
                </c:pt>
                <c:pt idx="34">
                  <c:v>9.0104166666666838</c:v>
                </c:pt>
                <c:pt idx="35">
                  <c:v>9.7615789473684202</c:v>
                </c:pt>
                <c:pt idx="36">
                  <c:v>8.2721810207336759</c:v>
                </c:pt>
                <c:pt idx="37">
                  <c:v>5.2657894736842152</c:v>
                </c:pt>
                <c:pt idx="38">
                  <c:v>5.7750833333333347</c:v>
                </c:pt>
                <c:pt idx="39">
                  <c:v>5.2687121212121353</c:v>
                </c:pt>
                <c:pt idx="40">
                  <c:v>7.4860317460317534</c:v>
                </c:pt>
                <c:pt idx="41">
                  <c:v>8.857333333333349</c:v>
                </c:pt>
                <c:pt idx="42">
                  <c:v>9.1067391304347893</c:v>
                </c:pt>
                <c:pt idx="43">
                  <c:v>7.6331818181818223</c:v>
                </c:pt>
                <c:pt idx="44">
                  <c:v>10.272460317460331</c:v>
                </c:pt>
                <c:pt idx="45">
                  <c:v>10.905678524374141</c:v>
                </c:pt>
                <c:pt idx="46">
                  <c:v>10.596140350877192</c:v>
                </c:pt>
                <c:pt idx="47">
                  <c:v>11.51692982456138</c:v>
                </c:pt>
                <c:pt idx="48">
                  <c:v>7.5770454545454315</c:v>
                </c:pt>
                <c:pt idx="49">
                  <c:v>4.7965833333333352</c:v>
                </c:pt>
                <c:pt idx="50">
                  <c:v>4.5148245614035076</c:v>
                </c:pt>
                <c:pt idx="51">
                  <c:v>5.9529166666666642</c:v>
                </c:pt>
                <c:pt idx="52">
                  <c:v>7.0095238095237944</c:v>
                </c:pt>
                <c:pt idx="53">
                  <c:v>7.2248333333333479</c:v>
                </c:pt>
                <c:pt idx="54">
                  <c:v>8.3293478260869538</c:v>
                </c:pt>
                <c:pt idx="55">
                  <c:v>9.0879365079365062</c:v>
                </c:pt>
                <c:pt idx="56">
                  <c:v>9.180303030303044</c:v>
                </c:pt>
                <c:pt idx="57">
                  <c:v>9.0899999999999892</c:v>
                </c:pt>
                <c:pt idx="58">
                  <c:v>9.1427875243664634</c:v>
                </c:pt>
                <c:pt idx="59">
                  <c:v>10.323702380952398</c:v>
                </c:pt>
                <c:pt idx="60">
                  <c:v>6.6073182957393399</c:v>
                </c:pt>
                <c:pt idx="61">
                  <c:v>4.4062962962962944</c:v>
                </c:pt>
                <c:pt idx="62">
                  <c:v>4.4387037037036832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9F-4A8A-B948-B0980B9A68A9}"/>
            </c:ext>
          </c:extLst>
        </c:ser>
        <c:ser>
          <c:idx val="4"/>
          <c:order val="1"/>
          <c:tx>
            <c:strRef>
              <c:f>'Modelo Soja'!$BF$2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Soja'!$BF$3:$BF$65</c:f>
              <c:numCache>
                <c:formatCode>_(* #,##0.00_);_(* \(#,##0.00\);_(* "-"??_);_(@_)</c:formatCode>
                <c:ptCount val="63"/>
                <c:pt idx="0">
                  <c:v>7.946500000000043</c:v>
                </c:pt>
                <c:pt idx="1">
                  <c:v>6.839999999999975</c:v>
                </c:pt>
                <c:pt idx="2">
                  <c:v>5.4056521739130119</c:v>
                </c:pt>
                <c:pt idx="3">
                  <c:v>5.0430000000000064</c:v>
                </c:pt>
                <c:pt idx="4">
                  <c:v>8.0176190476190357</c:v>
                </c:pt>
                <c:pt idx="5">
                  <c:v>7.7519047619047683</c:v>
                </c:pt>
                <c:pt idx="6">
                  <c:v>9.6786363636363717</c:v>
                </c:pt>
                <c:pt idx="7">
                  <c:v>9.5118181818182279</c:v>
                </c:pt>
                <c:pt idx="8">
                  <c:v>9.7795238095238233</c:v>
                </c:pt>
                <c:pt idx="9">
                  <c:v>9.18100000000004</c:v>
                </c:pt>
                <c:pt idx="10">
                  <c:v>6.8690000000000282</c:v>
                </c:pt>
                <c:pt idx="11">
                  <c:v>6.157619047619022</c:v>
                </c:pt>
                <c:pt idx="12">
                  <c:v>7.9057142857142821</c:v>
                </c:pt>
                <c:pt idx="13">
                  <c:v>8.206842105263064</c:v>
                </c:pt>
                <c:pt idx="14">
                  <c:v>4.8727272727273032</c:v>
                </c:pt>
                <c:pt idx="15">
                  <c:v>5.3689473684210327</c:v>
                </c:pt>
                <c:pt idx="16">
                  <c:v>7.6804545454546087</c:v>
                </c:pt>
                <c:pt idx="17">
                  <c:v>8.2514285714285336</c:v>
                </c:pt>
                <c:pt idx="18">
                  <c:v>9.6357142857142435</c:v>
                </c:pt>
                <c:pt idx="19">
                  <c:v>7.817391304347808</c:v>
                </c:pt>
                <c:pt idx="20">
                  <c:v>8.2423809523809268</c:v>
                </c:pt>
                <c:pt idx="21">
                  <c:v>8.4220000000000255</c:v>
                </c:pt>
                <c:pt idx="22">
                  <c:v>7.7239999999999611</c:v>
                </c:pt>
                <c:pt idx="23">
                  <c:v>8.1371428571428339</c:v>
                </c:pt>
                <c:pt idx="24">
                  <c:v>7.2781818181817926</c:v>
                </c:pt>
                <c:pt idx="25">
                  <c:v>4.9766666666666879</c:v>
                </c:pt>
                <c:pt idx="26">
                  <c:v>3.0382608695652209</c:v>
                </c:pt>
                <c:pt idx="27">
                  <c:v>3.18944444444449</c:v>
                </c:pt>
                <c:pt idx="28">
                  <c:v>6.973636363636345</c:v>
                </c:pt>
                <c:pt idx="29">
                  <c:v>7.2157142857143128</c:v>
                </c:pt>
                <c:pt idx="30">
                  <c:v>7.7566666666666606</c:v>
                </c:pt>
                <c:pt idx="31">
                  <c:v>8.8939130434782783</c:v>
                </c:pt>
                <c:pt idx="32">
                  <c:v>7.5269999999999868</c:v>
                </c:pt>
                <c:pt idx="33">
                  <c:v>8.4490476190476045</c:v>
                </c:pt>
                <c:pt idx="34">
                  <c:v>7.5945000000000391</c:v>
                </c:pt>
                <c:pt idx="35">
                  <c:v>8.5773684210525687</c:v>
                </c:pt>
                <c:pt idx="36">
                  <c:v>6.0786363636363632</c:v>
                </c:pt>
                <c:pt idx="37">
                  <c:v>5.488421052631594</c:v>
                </c:pt>
                <c:pt idx="38">
                  <c:v>4.0940000000000083</c:v>
                </c:pt>
                <c:pt idx="39">
                  <c:v>3.2154545454545769</c:v>
                </c:pt>
                <c:pt idx="40">
                  <c:v>7.3499999999999801</c:v>
                </c:pt>
                <c:pt idx="41">
                  <c:v>9.3339999999999748</c:v>
                </c:pt>
                <c:pt idx="42">
                  <c:v>10.048695652173905</c:v>
                </c:pt>
                <c:pt idx="43">
                  <c:v>9.2668181818181523</c:v>
                </c:pt>
                <c:pt idx="44">
                  <c:v>9.2266666666666453</c:v>
                </c:pt>
                <c:pt idx="45">
                  <c:v>8.103043478260858</c:v>
                </c:pt>
                <c:pt idx="46">
                  <c:v>6.3357894736841587</c:v>
                </c:pt>
                <c:pt idx="47">
                  <c:v>6.4473684210526017</c:v>
                </c:pt>
                <c:pt idx="48">
                  <c:v>7.0849999999999653</c:v>
                </c:pt>
                <c:pt idx="49">
                  <c:v>6.6725000000000136</c:v>
                </c:pt>
                <c:pt idx="50">
                  <c:v>3.9357894736841956</c:v>
                </c:pt>
                <c:pt idx="51">
                  <c:v>5.3410000000000082</c:v>
                </c:pt>
                <c:pt idx="52">
                  <c:v>7.8361904761904668</c:v>
                </c:pt>
                <c:pt idx="53">
                  <c:v>7.6305000000000547</c:v>
                </c:pt>
                <c:pt idx="54">
                  <c:v>8.8560869565217075</c:v>
                </c:pt>
                <c:pt idx="55">
                  <c:v>8.5614285714285359</c:v>
                </c:pt>
                <c:pt idx="56">
                  <c:v>9.0131818181818488</c:v>
                </c:pt>
                <c:pt idx="57">
                  <c:v>9.3691304347825337</c:v>
                </c:pt>
                <c:pt idx="58">
                  <c:v>7.8957894736842036</c:v>
                </c:pt>
                <c:pt idx="59">
                  <c:v>8.1230000000000189</c:v>
                </c:pt>
                <c:pt idx="60">
                  <c:v>7.1866666666666106</c:v>
                </c:pt>
                <c:pt idx="61">
                  <c:v>5.1127777777777936</c:v>
                </c:pt>
                <c:pt idx="62">
                  <c:v>4.7172222222222047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9F-4A8A-B948-B0980B9A6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8000"/>
        <c:axId val="1951268480"/>
      </c:lineChart>
      <c:dateAx>
        <c:axId val="1951268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480"/>
        <c:crosses val="autoZero"/>
        <c:auto val="1"/>
        <c:lblOffset val="100"/>
        <c:baseTimeUnit val="months"/>
      </c:dateAx>
      <c:valAx>
        <c:axId val="1951268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079359142607174"/>
          <c:y val="0.13467592592592595"/>
          <c:w val="0.84523906386701675"/>
          <c:h val="0.140047389909594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715660542432202E-2"/>
          <c:y val="4.571813939924177E-2"/>
          <c:w val="0.89077996500437451"/>
          <c:h val="0.78822470107903175"/>
        </c:manualLayout>
      </c:layout>
      <c:lineChart>
        <c:grouping val="standard"/>
        <c:varyColors val="0"/>
        <c:ser>
          <c:idx val="0"/>
          <c:order val="0"/>
          <c:tx>
            <c:v>West PR Paridade Exp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Soja'!$AV$3:$AV$65</c:f>
              <c:numCache>
                <c:formatCode>_(* #,##0.00_);_(* \(#,##0.00\);_(* "-"??_);_(@_)</c:formatCode>
                <c:ptCount val="63"/>
                <c:pt idx="0">
                  <c:v>162.70080000000004</c:v>
                </c:pt>
                <c:pt idx="1">
                  <c:v>158.51853333333332</c:v>
                </c:pt>
                <c:pt idx="2">
                  <c:v>160.82172173913048</c:v>
                </c:pt>
                <c:pt idx="3">
                  <c:v>171.40880000000001</c:v>
                </c:pt>
                <c:pt idx="4">
                  <c:v>170.29000952380952</c:v>
                </c:pt>
                <c:pt idx="5">
                  <c:v>156.2863142857143</c:v>
                </c:pt>
                <c:pt idx="6">
                  <c:v>162.42661818181818</c:v>
                </c:pt>
                <c:pt idx="7">
                  <c:v>166.2415272727273</c:v>
                </c:pt>
                <c:pt idx="8">
                  <c:v>168.65428571428569</c:v>
                </c:pt>
                <c:pt idx="9">
                  <c:v>167.08699999999999</c:v>
                </c:pt>
                <c:pt idx="10">
                  <c:v>161.71350000000004</c:v>
                </c:pt>
                <c:pt idx="11">
                  <c:v>165.67990476190477</c:v>
                </c:pt>
                <c:pt idx="12">
                  <c:v>175.17423809523808</c:v>
                </c:pt>
                <c:pt idx="13">
                  <c:v>189.02300000000002</c:v>
                </c:pt>
                <c:pt idx="14">
                  <c:v>190.80687272727272</c:v>
                </c:pt>
                <c:pt idx="15">
                  <c:v>178.70670526315797</c:v>
                </c:pt>
                <c:pt idx="16">
                  <c:v>185.73090909090914</c:v>
                </c:pt>
                <c:pt idx="17">
                  <c:v>188.3695238095238</c:v>
                </c:pt>
                <c:pt idx="18">
                  <c:v>181.87928571428574</c:v>
                </c:pt>
                <c:pt idx="19">
                  <c:v>178.73036521739135</c:v>
                </c:pt>
                <c:pt idx="20">
                  <c:v>178.97660952380946</c:v>
                </c:pt>
                <c:pt idx="21">
                  <c:v>175.6028</c:v>
                </c:pt>
                <c:pt idx="22">
                  <c:v>178.92750000000001</c:v>
                </c:pt>
                <c:pt idx="23">
                  <c:v>174.1549333333333</c:v>
                </c:pt>
                <c:pt idx="24">
                  <c:v>168.43501818181818</c:v>
                </c:pt>
                <c:pt idx="25">
                  <c:v>163.31091111111112</c:v>
                </c:pt>
                <c:pt idx="26">
                  <c:v>151.24438260869567</c:v>
                </c:pt>
                <c:pt idx="27">
                  <c:v>133.63926666666666</c:v>
                </c:pt>
                <c:pt idx="28">
                  <c:v>127.51909090909092</c:v>
                </c:pt>
                <c:pt idx="29">
                  <c:v>126.86978095238094</c:v>
                </c:pt>
                <c:pt idx="30">
                  <c:v>137.25787619047617</c:v>
                </c:pt>
                <c:pt idx="31">
                  <c:v>136.9620956521739</c:v>
                </c:pt>
                <c:pt idx="32">
                  <c:v>136.2355</c:v>
                </c:pt>
                <c:pt idx="33">
                  <c:v>134.02928571428572</c:v>
                </c:pt>
                <c:pt idx="34">
                  <c:v>134.06200000000004</c:v>
                </c:pt>
                <c:pt idx="35">
                  <c:v>136.07052631578944</c:v>
                </c:pt>
                <c:pt idx="36">
                  <c:v>116.12072727272728</c:v>
                </c:pt>
                <c:pt idx="37">
                  <c:v>108.63586315789473</c:v>
                </c:pt>
                <c:pt idx="38">
                  <c:v>113.17289999999998</c:v>
                </c:pt>
                <c:pt idx="39">
                  <c:v>119.44363636363639</c:v>
                </c:pt>
                <c:pt idx="40">
                  <c:v>127.26618571428571</c:v>
                </c:pt>
                <c:pt idx="41">
                  <c:v>128.79330000000002</c:v>
                </c:pt>
                <c:pt idx="42">
                  <c:v>127.47130434782611</c:v>
                </c:pt>
                <c:pt idx="43">
                  <c:v>124.10863636363636</c:v>
                </c:pt>
                <c:pt idx="44">
                  <c:v>131.24580952380953</c:v>
                </c:pt>
                <c:pt idx="45">
                  <c:v>133.6084086956522</c:v>
                </c:pt>
                <c:pt idx="46">
                  <c:v>135.1477684210526</c:v>
                </c:pt>
                <c:pt idx="47">
                  <c:v>133.81647368421051</c:v>
                </c:pt>
                <c:pt idx="48">
                  <c:v>125.86181818181815</c:v>
                </c:pt>
                <c:pt idx="49">
                  <c:v>122.26800000000001</c:v>
                </c:pt>
                <c:pt idx="50">
                  <c:v>123.04400000000001</c:v>
                </c:pt>
                <c:pt idx="51">
                  <c:v>125.3734</c:v>
                </c:pt>
                <c:pt idx="52">
                  <c:v>125.83619047619045</c:v>
                </c:pt>
                <c:pt idx="53">
                  <c:v>125.08819999999999</c:v>
                </c:pt>
                <c:pt idx="54">
                  <c:v>124.41130434782606</c:v>
                </c:pt>
                <c:pt idx="55">
                  <c:v>130.06587619047619</c:v>
                </c:pt>
                <c:pt idx="56">
                  <c:v>128.84829090909091</c:v>
                </c:pt>
                <c:pt idx="57">
                  <c:v>128.08304347826089</c:v>
                </c:pt>
                <c:pt idx="58">
                  <c:v>130.72263157894736</c:v>
                </c:pt>
                <c:pt idx="59">
                  <c:v>132.29349999999997</c:v>
                </c:pt>
                <c:pt idx="60">
                  <c:v>122.10285714285718</c:v>
                </c:pt>
                <c:pt idx="61">
                  <c:v>116.26444444444446</c:v>
                </c:pt>
                <c:pt idx="62">
                  <c:v>119.16312499999998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7-4FDE-B313-24EF2FD831D1}"/>
            </c:ext>
          </c:extLst>
        </c:ser>
        <c:ser>
          <c:idx val="1"/>
          <c:order val="1"/>
          <c:tx>
            <c:v>West PR 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Soja'!$AC$3:$AC$65</c:f>
              <c:numCache>
                <c:formatCode>_(* #,##0.00_);_(* \(#,##0.00\);_(* "-"??_);_(@_)</c:formatCode>
                <c:ptCount val="63"/>
                <c:pt idx="0">
                  <c:v>163.88200000000001</c:v>
                </c:pt>
                <c:pt idx="1">
                  <c:v>161.32666666666665</c:v>
                </c:pt>
                <c:pt idx="2">
                  <c:v>162.08043478260871</c:v>
                </c:pt>
                <c:pt idx="3">
                  <c:v>170.17699999999996</c:v>
                </c:pt>
                <c:pt idx="4">
                  <c:v>171.07714285714286</c:v>
                </c:pt>
                <c:pt idx="5">
                  <c:v>156.69190476190477</c:v>
                </c:pt>
                <c:pt idx="6">
                  <c:v>162.50227272727273</c:v>
                </c:pt>
                <c:pt idx="7">
                  <c:v>166.52772727272725</c:v>
                </c:pt>
                <c:pt idx="8">
                  <c:v>168.7233333333333</c:v>
                </c:pt>
                <c:pt idx="9">
                  <c:v>167.59049999999996</c:v>
                </c:pt>
                <c:pt idx="10">
                  <c:v>161.86949999999999</c:v>
                </c:pt>
                <c:pt idx="11">
                  <c:v>165.8909523809524</c:v>
                </c:pt>
                <c:pt idx="12">
                  <c:v>175.35619047619051</c:v>
                </c:pt>
                <c:pt idx="13">
                  <c:v>192.11421052631576</c:v>
                </c:pt>
                <c:pt idx="14">
                  <c:v>195.18772727272724</c:v>
                </c:pt>
                <c:pt idx="15">
                  <c:v>180.02578947368426</c:v>
                </c:pt>
                <c:pt idx="16">
                  <c:v>187.32136363636363</c:v>
                </c:pt>
                <c:pt idx="17">
                  <c:v>187.9942857142857</c:v>
                </c:pt>
                <c:pt idx="18">
                  <c:v>182.46952380952382</c:v>
                </c:pt>
                <c:pt idx="19">
                  <c:v>180.71130434782614</c:v>
                </c:pt>
                <c:pt idx="20">
                  <c:v>180.66476190476189</c:v>
                </c:pt>
                <c:pt idx="21">
                  <c:v>178.71449999999999</c:v>
                </c:pt>
                <c:pt idx="22">
                  <c:v>180.39450000000002</c:v>
                </c:pt>
                <c:pt idx="23">
                  <c:v>176.61761904761903</c:v>
                </c:pt>
                <c:pt idx="24">
                  <c:v>168.98772727272728</c:v>
                </c:pt>
                <c:pt idx="25">
                  <c:v>161.69055555555553</c:v>
                </c:pt>
                <c:pt idx="26">
                  <c:v>151.45956521739129</c:v>
                </c:pt>
                <c:pt idx="27">
                  <c:v>135.59111111111108</c:v>
                </c:pt>
                <c:pt idx="28">
                  <c:v>129.28727272727272</c:v>
                </c:pt>
                <c:pt idx="29">
                  <c:v>125.83761904761903</c:v>
                </c:pt>
                <c:pt idx="30">
                  <c:v>135.43714285714285</c:v>
                </c:pt>
                <c:pt idx="31">
                  <c:v>138.45913043478262</c:v>
                </c:pt>
                <c:pt idx="32">
                  <c:v>136.50300000000001</c:v>
                </c:pt>
                <c:pt idx="33">
                  <c:v>133.81428571428569</c:v>
                </c:pt>
                <c:pt idx="34">
                  <c:v>136.10150000000002</c:v>
                </c:pt>
                <c:pt idx="35">
                  <c:v>136.45473684210529</c:v>
                </c:pt>
                <c:pt idx="36">
                  <c:v>116.62272727272729</c:v>
                </c:pt>
                <c:pt idx="37">
                  <c:v>108.88894736842104</c:v>
                </c:pt>
                <c:pt idx="38">
                  <c:v>113.92849999999999</c:v>
                </c:pt>
                <c:pt idx="39">
                  <c:v>119.8459090909091</c:v>
                </c:pt>
                <c:pt idx="40">
                  <c:v>127.77047619047619</c:v>
                </c:pt>
                <c:pt idx="41">
                  <c:v>130.29300000000003</c:v>
                </c:pt>
                <c:pt idx="42">
                  <c:v>130.21695652173912</c:v>
                </c:pt>
                <c:pt idx="43">
                  <c:v>125.91545454545457</c:v>
                </c:pt>
                <c:pt idx="44">
                  <c:v>133.71857142857144</c:v>
                </c:pt>
                <c:pt idx="45">
                  <c:v>137.83043478260871</c:v>
                </c:pt>
                <c:pt idx="46">
                  <c:v>138.70631578947368</c:v>
                </c:pt>
                <c:pt idx="47">
                  <c:v>135.31947368421052</c:v>
                </c:pt>
                <c:pt idx="48">
                  <c:v>126.46045454545452</c:v>
                </c:pt>
                <c:pt idx="49">
                  <c:v>122.80899999999997</c:v>
                </c:pt>
                <c:pt idx="50">
                  <c:v>124.48368421052629</c:v>
                </c:pt>
                <c:pt idx="51">
                  <c:v>126.75450000000001</c:v>
                </c:pt>
                <c:pt idx="52">
                  <c:v>125.11904761904763</c:v>
                </c:pt>
                <c:pt idx="53">
                  <c:v>126.3235</c:v>
                </c:pt>
                <c:pt idx="54">
                  <c:v>126.8104347826087</c:v>
                </c:pt>
                <c:pt idx="55">
                  <c:v>130.22000000000003</c:v>
                </c:pt>
                <c:pt idx="56">
                  <c:v>129.44818181818184</c:v>
                </c:pt>
                <c:pt idx="57">
                  <c:v>129.13304347826087</c:v>
                </c:pt>
                <c:pt idx="58">
                  <c:v>131.22578947368422</c:v>
                </c:pt>
                <c:pt idx="59">
                  <c:v>132.30200000000002</c:v>
                </c:pt>
                <c:pt idx="60">
                  <c:v>120.86666666666666</c:v>
                </c:pt>
                <c:pt idx="61">
                  <c:v>115.61999999999999</c:v>
                </c:pt>
                <c:pt idx="62">
                  <c:v>118.09833333333333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17-4FDE-B313-24EF2FD831D1}"/>
            </c:ext>
          </c:extLst>
        </c:ser>
        <c:ser>
          <c:idx val="2"/>
          <c:order val="2"/>
          <c:tx>
            <c:v>West PR Balcão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Soja'!$K$3:$K$65</c:f>
              <c:numCache>
                <c:formatCode>_(* #,##0.00_);_(* \(#,##0.00\);_(* "-"??_);_(@_)</c:formatCode>
                <c:ptCount val="63"/>
                <c:pt idx="0">
                  <c:v>152.35150000000004</c:v>
                </c:pt>
                <c:pt idx="1">
                  <c:v>153.97166666666666</c:v>
                </c:pt>
                <c:pt idx="2">
                  <c:v>157.47695652173914</c:v>
                </c:pt>
                <c:pt idx="3">
                  <c:v>159.71549999999999</c:v>
                </c:pt>
                <c:pt idx="4">
                  <c:v>159.56047619047618</c:v>
                </c:pt>
                <c:pt idx="5">
                  <c:v>145.52857142857141</c:v>
                </c:pt>
                <c:pt idx="6">
                  <c:v>150.8840909090909</c:v>
                </c:pt>
                <c:pt idx="7">
                  <c:v>156.48272727272726</c:v>
                </c:pt>
                <c:pt idx="8">
                  <c:v>157.94428571428571</c:v>
                </c:pt>
                <c:pt idx="9">
                  <c:v>159.53549999999998</c:v>
                </c:pt>
                <c:pt idx="10">
                  <c:v>154.15049999999997</c:v>
                </c:pt>
                <c:pt idx="11">
                  <c:v>158.45619047619044</c:v>
                </c:pt>
                <c:pt idx="12">
                  <c:v>166.45476190476191</c:v>
                </c:pt>
                <c:pt idx="13">
                  <c:v>186.1042105263158</c:v>
                </c:pt>
                <c:pt idx="14">
                  <c:v>191.34545454545452</c:v>
                </c:pt>
                <c:pt idx="15">
                  <c:v>172.79526315789474</c:v>
                </c:pt>
                <c:pt idx="16">
                  <c:v>177.66818181818186</c:v>
                </c:pt>
                <c:pt idx="17">
                  <c:v>175.31380952380951</c:v>
                </c:pt>
                <c:pt idx="18">
                  <c:v>171.20285714285711</c:v>
                </c:pt>
                <c:pt idx="19">
                  <c:v>166.01304347826087</c:v>
                </c:pt>
                <c:pt idx="20">
                  <c:v>165.4314285714286</c:v>
                </c:pt>
                <c:pt idx="21">
                  <c:v>165.8015</c:v>
                </c:pt>
                <c:pt idx="22">
                  <c:v>168.53849999999994</c:v>
                </c:pt>
                <c:pt idx="23">
                  <c:v>164.87000000000003</c:v>
                </c:pt>
                <c:pt idx="24">
                  <c:v>161.61636363636364</c:v>
                </c:pt>
                <c:pt idx="25">
                  <c:v>158.00222222222226</c:v>
                </c:pt>
                <c:pt idx="26">
                  <c:v>147.50608695652176</c:v>
                </c:pt>
                <c:pt idx="27">
                  <c:v>130.99166666666667</c:v>
                </c:pt>
                <c:pt idx="28">
                  <c:v>123.69181818181822</c:v>
                </c:pt>
                <c:pt idx="29">
                  <c:v>119.21428571428574</c:v>
                </c:pt>
                <c:pt idx="30">
                  <c:v>127.50047619047616</c:v>
                </c:pt>
                <c:pt idx="31">
                  <c:v>129.90130434782606</c:v>
                </c:pt>
                <c:pt idx="32">
                  <c:v>126.58999999999996</c:v>
                </c:pt>
                <c:pt idx="33">
                  <c:v>123.98571428571428</c:v>
                </c:pt>
                <c:pt idx="34">
                  <c:v>127.53200000000004</c:v>
                </c:pt>
                <c:pt idx="35">
                  <c:v>126.21473684210525</c:v>
                </c:pt>
                <c:pt idx="36">
                  <c:v>109.21272727272725</c:v>
                </c:pt>
                <c:pt idx="37">
                  <c:v>103.48526315789475</c:v>
                </c:pt>
                <c:pt idx="38">
                  <c:v>104.76699999999998</c:v>
                </c:pt>
                <c:pt idx="39">
                  <c:v>110.47590909090906</c:v>
                </c:pt>
                <c:pt idx="40">
                  <c:v>117.65619047619046</c:v>
                </c:pt>
                <c:pt idx="41">
                  <c:v>120.44050000000001</c:v>
                </c:pt>
                <c:pt idx="42">
                  <c:v>119.96347826086956</c:v>
                </c:pt>
                <c:pt idx="43">
                  <c:v>117.69045454545454</c:v>
                </c:pt>
                <c:pt idx="44">
                  <c:v>123.36190476190475</c:v>
                </c:pt>
                <c:pt idx="45">
                  <c:v>129.20869565217393</c:v>
                </c:pt>
                <c:pt idx="46">
                  <c:v>131.61421052631576</c:v>
                </c:pt>
                <c:pt idx="47">
                  <c:v>127.90368421052629</c:v>
                </c:pt>
                <c:pt idx="48">
                  <c:v>118.3781818181818</c:v>
                </c:pt>
                <c:pt idx="49">
                  <c:v>118.60550000000001</c:v>
                </c:pt>
                <c:pt idx="50">
                  <c:v>118.03578947368423</c:v>
                </c:pt>
                <c:pt idx="51">
                  <c:v>117.753</c:v>
                </c:pt>
                <c:pt idx="52">
                  <c:v>115.18333333333335</c:v>
                </c:pt>
                <c:pt idx="53">
                  <c:v>115.84599999999998</c:v>
                </c:pt>
                <c:pt idx="54">
                  <c:v>115.75565217391303</c:v>
                </c:pt>
                <c:pt idx="55">
                  <c:v>117.55380952380951</c:v>
                </c:pt>
                <c:pt idx="56">
                  <c:v>117.65499999999999</c:v>
                </c:pt>
                <c:pt idx="57">
                  <c:v>118.89130434782609</c:v>
                </c:pt>
                <c:pt idx="58">
                  <c:v>120.78684210526318</c:v>
                </c:pt>
                <c:pt idx="59">
                  <c:v>118.31949999999999</c:v>
                </c:pt>
                <c:pt idx="60">
                  <c:v>114.01523809523806</c:v>
                </c:pt>
                <c:pt idx="61">
                  <c:v>112.15944444444443</c:v>
                </c:pt>
                <c:pt idx="62">
                  <c:v>114.435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17-4FDE-B313-24EF2FD83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563775"/>
        <c:axId val="953564735"/>
      </c:lineChart>
      <c:dateAx>
        <c:axId val="9535637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564735"/>
        <c:crosses val="autoZero"/>
        <c:auto val="1"/>
        <c:lblOffset val="100"/>
        <c:baseTimeUnit val="months"/>
      </c:dateAx>
      <c:valAx>
        <c:axId val="953564735"/>
        <c:scaling>
          <c:orientation val="minMax"/>
          <c:max val="2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56377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"/>
          <c:y val="0.7592592592592593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33114610673666"/>
          <c:y val="5.0925925925925923E-2"/>
          <c:w val="0.84911329833770777"/>
          <c:h val="0.7835950714494021"/>
        </c:manualLayout>
      </c:layout>
      <c:lineChart>
        <c:grouping val="standard"/>
        <c:varyColors val="0"/>
        <c:ser>
          <c:idx val="0"/>
          <c:order val="0"/>
          <c:tx>
            <c:v>Paridade Export LDN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Soja'!$AW$3:$AW$65</c:f>
              <c:numCache>
                <c:formatCode>_(* #,##0.00_);_(* \(#,##0.00\);_(* "-"??_);_(@_)</c:formatCode>
                <c:ptCount val="63"/>
                <c:pt idx="0">
                  <c:v>163.56720000000004</c:v>
                </c:pt>
                <c:pt idx="1">
                  <c:v>159.56253333333333</c:v>
                </c:pt>
                <c:pt idx="2">
                  <c:v>162.79332173913048</c:v>
                </c:pt>
                <c:pt idx="3">
                  <c:v>169.65980000000002</c:v>
                </c:pt>
                <c:pt idx="4">
                  <c:v>170.10880952380953</c:v>
                </c:pt>
                <c:pt idx="5">
                  <c:v>157.00151428571431</c:v>
                </c:pt>
                <c:pt idx="6">
                  <c:v>162.75181818181818</c:v>
                </c:pt>
                <c:pt idx="7">
                  <c:v>167.01792727272732</c:v>
                </c:pt>
                <c:pt idx="8">
                  <c:v>168.65428571428569</c:v>
                </c:pt>
                <c:pt idx="9">
                  <c:v>166.84700000000001</c:v>
                </c:pt>
                <c:pt idx="10">
                  <c:v>161.59350000000006</c:v>
                </c:pt>
                <c:pt idx="11">
                  <c:v>166.19170476190476</c:v>
                </c:pt>
                <c:pt idx="12">
                  <c:v>175.36023809523809</c:v>
                </c:pt>
                <c:pt idx="13">
                  <c:v>190.82000000000002</c:v>
                </c:pt>
                <c:pt idx="14">
                  <c:v>192.49827272727271</c:v>
                </c:pt>
                <c:pt idx="15">
                  <c:v>180.04710526315796</c:v>
                </c:pt>
                <c:pt idx="16">
                  <c:v>186.82890909090915</c:v>
                </c:pt>
                <c:pt idx="17">
                  <c:v>188.05152380952379</c:v>
                </c:pt>
                <c:pt idx="18">
                  <c:v>183.24428571428575</c:v>
                </c:pt>
                <c:pt idx="19">
                  <c:v>179.57456521739135</c:v>
                </c:pt>
                <c:pt idx="20">
                  <c:v>180.58130952380947</c:v>
                </c:pt>
                <c:pt idx="21">
                  <c:v>177.96800000000002</c:v>
                </c:pt>
                <c:pt idx="22">
                  <c:v>180.2775</c:v>
                </c:pt>
                <c:pt idx="23">
                  <c:v>175.35333333333332</c:v>
                </c:pt>
                <c:pt idx="24">
                  <c:v>169.48181818181817</c:v>
                </c:pt>
                <c:pt idx="25">
                  <c:v>164.20611111111111</c:v>
                </c:pt>
                <c:pt idx="26">
                  <c:v>151.06498260869569</c:v>
                </c:pt>
                <c:pt idx="27">
                  <c:v>135.48066666666665</c:v>
                </c:pt>
                <c:pt idx="28">
                  <c:v>128.83099090909093</c:v>
                </c:pt>
                <c:pt idx="29">
                  <c:v>127.65218095238093</c:v>
                </c:pt>
                <c:pt idx="30">
                  <c:v>138.04027619047619</c:v>
                </c:pt>
                <c:pt idx="31">
                  <c:v>138.19389565217389</c:v>
                </c:pt>
                <c:pt idx="32">
                  <c:v>135.3415</c:v>
                </c:pt>
                <c:pt idx="33">
                  <c:v>135.09428571428572</c:v>
                </c:pt>
                <c:pt idx="34">
                  <c:v>134.89450000000002</c:v>
                </c:pt>
                <c:pt idx="35">
                  <c:v>136.67052631578943</c:v>
                </c:pt>
                <c:pt idx="36">
                  <c:v>117.33272727272728</c:v>
                </c:pt>
                <c:pt idx="37">
                  <c:v>109.62526315789472</c:v>
                </c:pt>
                <c:pt idx="38">
                  <c:v>113.97209999999998</c:v>
                </c:pt>
                <c:pt idx="39">
                  <c:v>119.74663636363638</c:v>
                </c:pt>
                <c:pt idx="40">
                  <c:v>128.31498571428571</c:v>
                </c:pt>
                <c:pt idx="41">
                  <c:v>130.58790000000002</c:v>
                </c:pt>
                <c:pt idx="42">
                  <c:v>129.55810434782612</c:v>
                </c:pt>
                <c:pt idx="43">
                  <c:v>125.75623636363636</c:v>
                </c:pt>
                <c:pt idx="44">
                  <c:v>132.37740952380952</c:v>
                </c:pt>
                <c:pt idx="45">
                  <c:v>135.0184086956522</c:v>
                </c:pt>
                <c:pt idx="46">
                  <c:v>137.0071684210526</c:v>
                </c:pt>
                <c:pt idx="47">
                  <c:v>135.01947368421051</c:v>
                </c:pt>
                <c:pt idx="48">
                  <c:v>127.82201818181815</c:v>
                </c:pt>
                <c:pt idx="49">
                  <c:v>122.79300000000001</c:v>
                </c:pt>
                <c:pt idx="50">
                  <c:v>124.86500000000001</c:v>
                </c:pt>
                <c:pt idx="51">
                  <c:v>127.8502</c:v>
                </c:pt>
                <c:pt idx="52">
                  <c:v>125.55119047619046</c:v>
                </c:pt>
                <c:pt idx="53">
                  <c:v>126.34579999999998</c:v>
                </c:pt>
                <c:pt idx="54">
                  <c:v>125.99110434782607</c:v>
                </c:pt>
                <c:pt idx="55">
                  <c:v>130.00047619047618</c:v>
                </c:pt>
                <c:pt idx="56">
                  <c:v>128.21409090909091</c:v>
                </c:pt>
                <c:pt idx="57">
                  <c:v>127.9030434782609</c:v>
                </c:pt>
                <c:pt idx="58">
                  <c:v>130.99263157894737</c:v>
                </c:pt>
                <c:pt idx="59">
                  <c:v>133.01349999999996</c:v>
                </c:pt>
                <c:pt idx="60">
                  <c:v>121.90785714285717</c:v>
                </c:pt>
                <c:pt idx="61">
                  <c:v>116.65444444444447</c:v>
                </c:pt>
                <c:pt idx="62">
                  <c:v>119.55312499999998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4-4A78-B27E-2AD15802A993}"/>
            </c:ext>
          </c:extLst>
        </c:ser>
        <c:ser>
          <c:idx val="1"/>
          <c:order val="1"/>
          <c:tx>
            <c:v>Disponivel LDN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Soja'!$AD$3:$AD$65</c:f>
              <c:numCache>
                <c:formatCode>_(* #,##0.00_);_(* \(#,##0.00\);_(* "-"??_);_(@_)</c:formatCode>
                <c:ptCount val="63"/>
                <c:pt idx="0">
                  <c:v>160.97000000000006</c:v>
                </c:pt>
                <c:pt idx="1">
                  <c:v>158.51499999999999</c:v>
                </c:pt>
                <c:pt idx="2">
                  <c:v>160.95130434782607</c:v>
                </c:pt>
                <c:pt idx="3">
                  <c:v>167.03400000000002</c:v>
                </c:pt>
                <c:pt idx="4">
                  <c:v>168.5266666666667</c:v>
                </c:pt>
                <c:pt idx="5">
                  <c:v>154.17761904761906</c:v>
                </c:pt>
                <c:pt idx="6">
                  <c:v>159.80136363636359</c:v>
                </c:pt>
                <c:pt idx="7">
                  <c:v>167.36681818181819</c:v>
                </c:pt>
                <c:pt idx="8">
                  <c:v>168.46666666666664</c:v>
                </c:pt>
                <c:pt idx="9">
                  <c:v>166.60849999999999</c:v>
                </c:pt>
                <c:pt idx="10">
                  <c:v>160.60650000000001</c:v>
                </c:pt>
                <c:pt idx="11">
                  <c:v>165.33523809523808</c:v>
                </c:pt>
                <c:pt idx="12">
                  <c:v>174.68380952380951</c:v>
                </c:pt>
                <c:pt idx="13">
                  <c:v>189.49894736842103</c:v>
                </c:pt>
                <c:pt idx="14">
                  <c:v>193.66772727272729</c:v>
                </c:pt>
                <c:pt idx="15">
                  <c:v>180.4105263157895</c:v>
                </c:pt>
                <c:pt idx="16">
                  <c:v>187.31454545454545</c:v>
                </c:pt>
                <c:pt idx="17">
                  <c:v>187.74238095238096</c:v>
                </c:pt>
                <c:pt idx="18">
                  <c:v>182.38142857142859</c:v>
                </c:pt>
                <c:pt idx="19">
                  <c:v>179.62434782608693</c:v>
                </c:pt>
                <c:pt idx="20">
                  <c:v>179.56428571428566</c:v>
                </c:pt>
                <c:pt idx="21">
                  <c:v>177.57499999999999</c:v>
                </c:pt>
                <c:pt idx="22">
                  <c:v>179.61849999999998</c:v>
                </c:pt>
                <c:pt idx="23">
                  <c:v>173.51047619047617</c:v>
                </c:pt>
                <c:pt idx="24">
                  <c:v>167.72272727272724</c:v>
                </c:pt>
                <c:pt idx="25">
                  <c:v>162.79277777777776</c:v>
                </c:pt>
                <c:pt idx="26">
                  <c:v>152.01347826086959</c:v>
                </c:pt>
                <c:pt idx="27">
                  <c:v>136.76777777777778</c:v>
                </c:pt>
                <c:pt idx="28">
                  <c:v>127.80318181818183</c:v>
                </c:pt>
                <c:pt idx="29">
                  <c:v>124.43142857142857</c:v>
                </c:pt>
                <c:pt idx="30">
                  <c:v>131.80809523809526</c:v>
                </c:pt>
                <c:pt idx="31">
                  <c:v>134.97652173913045</c:v>
                </c:pt>
                <c:pt idx="32">
                  <c:v>135.21350000000001</c:v>
                </c:pt>
                <c:pt idx="33">
                  <c:v>133.13095238095241</c:v>
                </c:pt>
                <c:pt idx="34">
                  <c:v>134.8835</c:v>
                </c:pt>
                <c:pt idx="35">
                  <c:v>136.84105263157895</c:v>
                </c:pt>
                <c:pt idx="36">
                  <c:v>119.24545454545455</c:v>
                </c:pt>
                <c:pt idx="37">
                  <c:v>109.43789473684211</c:v>
                </c:pt>
                <c:pt idx="38">
                  <c:v>115.9365</c:v>
                </c:pt>
                <c:pt idx="39">
                  <c:v>121.41818181818181</c:v>
                </c:pt>
                <c:pt idx="40">
                  <c:v>129.57285714285712</c:v>
                </c:pt>
                <c:pt idx="41">
                  <c:v>132.99299999999999</c:v>
                </c:pt>
                <c:pt idx="42">
                  <c:v>132.76608695652175</c:v>
                </c:pt>
                <c:pt idx="43">
                  <c:v>128.76954545454544</c:v>
                </c:pt>
                <c:pt idx="44">
                  <c:v>136.59000000000003</c:v>
                </c:pt>
                <c:pt idx="45">
                  <c:v>139.88260869565218</c:v>
                </c:pt>
                <c:pt idx="46">
                  <c:v>140.46947368421053</c:v>
                </c:pt>
                <c:pt idx="47">
                  <c:v>138.47210526315789</c:v>
                </c:pt>
                <c:pt idx="48">
                  <c:v>128.16590909090908</c:v>
                </c:pt>
                <c:pt idx="49">
                  <c:v>123.73000000000002</c:v>
                </c:pt>
                <c:pt idx="50">
                  <c:v>125.90473684210527</c:v>
                </c:pt>
                <c:pt idx="51">
                  <c:v>128.39699999999996</c:v>
                </c:pt>
                <c:pt idx="52">
                  <c:v>126.67666666666666</c:v>
                </c:pt>
                <c:pt idx="53">
                  <c:v>127.55700000000004</c:v>
                </c:pt>
                <c:pt idx="54">
                  <c:v>128.74782608695656</c:v>
                </c:pt>
                <c:pt idx="55">
                  <c:v>132.59238095238098</c:v>
                </c:pt>
                <c:pt idx="56">
                  <c:v>131.5740909090909</c:v>
                </c:pt>
                <c:pt idx="57">
                  <c:v>131.17826086956524</c:v>
                </c:pt>
                <c:pt idx="58">
                  <c:v>133.02315789473681</c:v>
                </c:pt>
                <c:pt idx="59">
                  <c:v>133.58600000000001</c:v>
                </c:pt>
                <c:pt idx="60">
                  <c:v>121.91857142857143</c:v>
                </c:pt>
                <c:pt idx="61">
                  <c:v>117.57833333333335</c:v>
                </c:pt>
                <c:pt idx="62">
                  <c:v>119.81666666666668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4-4A78-B27E-2AD15802A993}"/>
            </c:ext>
          </c:extLst>
        </c:ser>
        <c:ser>
          <c:idx val="2"/>
          <c:order val="2"/>
          <c:tx>
            <c:v>Balcao LDN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Soja'!$L$3:$L$65</c:f>
              <c:numCache>
                <c:formatCode>_(* #,##0.00_);_(* \(#,##0.00\);_(* "-"??_);_(@_)</c:formatCode>
                <c:ptCount val="63"/>
                <c:pt idx="0">
                  <c:v>152.62800000000001</c:v>
                </c:pt>
                <c:pt idx="1">
                  <c:v>154.01222222222225</c:v>
                </c:pt>
                <c:pt idx="2">
                  <c:v>157.63304347826084</c:v>
                </c:pt>
                <c:pt idx="3">
                  <c:v>159.65249999999997</c:v>
                </c:pt>
                <c:pt idx="4">
                  <c:v>159.46285714285713</c:v>
                </c:pt>
                <c:pt idx="5">
                  <c:v>145.72000000000003</c:v>
                </c:pt>
                <c:pt idx="6">
                  <c:v>150.87545454545455</c:v>
                </c:pt>
                <c:pt idx="7">
                  <c:v>156.60363636363641</c:v>
                </c:pt>
                <c:pt idx="8">
                  <c:v>157.98190476190476</c:v>
                </c:pt>
                <c:pt idx="9">
                  <c:v>159.60849999999999</c:v>
                </c:pt>
                <c:pt idx="10">
                  <c:v>154.20050000000001</c:v>
                </c:pt>
                <c:pt idx="11">
                  <c:v>158.54714285714286</c:v>
                </c:pt>
                <c:pt idx="12">
                  <c:v>166.59333333333331</c:v>
                </c:pt>
                <c:pt idx="13">
                  <c:v>186.49789473684211</c:v>
                </c:pt>
                <c:pt idx="14">
                  <c:v>192.12136363636364</c:v>
                </c:pt>
                <c:pt idx="15">
                  <c:v>172.94210526315788</c:v>
                </c:pt>
                <c:pt idx="16">
                  <c:v>177.72499999999999</c:v>
                </c:pt>
                <c:pt idx="17">
                  <c:v>171.87095238095236</c:v>
                </c:pt>
                <c:pt idx="18">
                  <c:v>171.94761904761907</c:v>
                </c:pt>
                <c:pt idx="19">
                  <c:v>167.36565217391308</c:v>
                </c:pt>
                <c:pt idx="20">
                  <c:v>166.27523809523811</c:v>
                </c:pt>
                <c:pt idx="21">
                  <c:v>166.44350000000003</c:v>
                </c:pt>
                <c:pt idx="22">
                  <c:v>168.63850000000002</c:v>
                </c:pt>
                <c:pt idx="23">
                  <c:v>164.57857142857142</c:v>
                </c:pt>
                <c:pt idx="24">
                  <c:v>161.56681818181818</c:v>
                </c:pt>
                <c:pt idx="25">
                  <c:v>158.65444444444447</c:v>
                </c:pt>
                <c:pt idx="26">
                  <c:v>148.06608695652173</c:v>
                </c:pt>
                <c:pt idx="27">
                  <c:v>131.48111111111109</c:v>
                </c:pt>
                <c:pt idx="28">
                  <c:v>124.00818181818181</c:v>
                </c:pt>
                <c:pt idx="29">
                  <c:v>119.33714285714288</c:v>
                </c:pt>
                <c:pt idx="30">
                  <c:v>127.7747619047619</c:v>
                </c:pt>
                <c:pt idx="31">
                  <c:v>130.00826086956522</c:v>
                </c:pt>
                <c:pt idx="32">
                  <c:v>127.01199999999999</c:v>
                </c:pt>
                <c:pt idx="33">
                  <c:v>124.51285714285716</c:v>
                </c:pt>
                <c:pt idx="34">
                  <c:v>128.11599999999999</c:v>
                </c:pt>
                <c:pt idx="35">
                  <c:v>126.60894736842106</c:v>
                </c:pt>
                <c:pt idx="36">
                  <c:v>110.35681818181816</c:v>
                </c:pt>
                <c:pt idx="37">
                  <c:v>103.85631578947373</c:v>
                </c:pt>
                <c:pt idx="38">
                  <c:v>104.97250000000001</c:v>
                </c:pt>
                <c:pt idx="39">
                  <c:v>110.75045454545456</c:v>
                </c:pt>
                <c:pt idx="40">
                  <c:v>118.10619047619045</c:v>
                </c:pt>
                <c:pt idx="41">
                  <c:v>121.059</c:v>
                </c:pt>
                <c:pt idx="42">
                  <c:v>120.14652173913043</c:v>
                </c:pt>
                <c:pt idx="43">
                  <c:v>118.07909090909092</c:v>
                </c:pt>
                <c:pt idx="44">
                  <c:v>124.04904761904761</c:v>
                </c:pt>
                <c:pt idx="45">
                  <c:v>129.70130434782604</c:v>
                </c:pt>
                <c:pt idx="46">
                  <c:v>132.18315789473687</c:v>
                </c:pt>
                <c:pt idx="47">
                  <c:v>128.84315789473683</c:v>
                </c:pt>
                <c:pt idx="48">
                  <c:v>119.91090909090907</c:v>
                </c:pt>
                <c:pt idx="49">
                  <c:v>121.37450000000001</c:v>
                </c:pt>
                <c:pt idx="50">
                  <c:v>119.41157894736841</c:v>
                </c:pt>
                <c:pt idx="51">
                  <c:v>118.58900000000001</c:v>
                </c:pt>
                <c:pt idx="52">
                  <c:v>115.93904761904763</c:v>
                </c:pt>
                <c:pt idx="53">
                  <c:v>116.14750000000001</c:v>
                </c:pt>
                <c:pt idx="54">
                  <c:v>116.25043478260868</c:v>
                </c:pt>
                <c:pt idx="55">
                  <c:v>117.93523809523809</c:v>
                </c:pt>
                <c:pt idx="56">
                  <c:v>117.91318181818183</c:v>
                </c:pt>
                <c:pt idx="57">
                  <c:v>119.10434782608698</c:v>
                </c:pt>
                <c:pt idx="58">
                  <c:v>121.03894736842099</c:v>
                </c:pt>
                <c:pt idx="59">
                  <c:v>120.07200000000003</c:v>
                </c:pt>
                <c:pt idx="60">
                  <c:v>114.99857142857144</c:v>
                </c:pt>
                <c:pt idx="61">
                  <c:v>112.68111111111109</c:v>
                </c:pt>
                <c:pt idx="62">
                  <c:v>115.23277777777778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4-4A78-B27E-2AD15802A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73760"/>
        <c:axId val="1951274240"/>
      </c:lineChart>
      <c:dateAx>
        <c:axId val="19512737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4240"/>
        <c:crosses val="autoZero"/>
        <c:auto val="1"/>
        <c:lblOffset val="100"/>
        <c:baseTimeUnit val="months"/>
      </c:dateAx>
      <c:valAx>
        <c:axId val="1951274240"/>
        <c:scaling>
          <c:orientation val="minMax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000918635170603E-2"/>
          <c:y val="0.76909667541557303"/>
          <c:w val="0.808870516185476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553368328958885E-2"/>
          <c:y val="5.0925925925925923E-2"/>
          <c:w val="0.87689107611548545"/>
          <c:h val="0.80616506270049582"/>
        </c:manualLayout>
      </c:layout>
      <c:lineChart>
        <c:grouping val="standard"/>
        <c:varyColors val="0"/>
        <c:ser>
          <c:idx val="2"/>
          <c:order val="0"/>
          <c:tx>
            <c:v>Balcão - PFO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Soja'!$J$3:$J$65</c:f>
              <c:numCache>
                <c:formatCode>_(* #,##0.00_);_(* \(#,##0.00\);_(* "-"??_);_(@_)</c:formatCode>
                <c:ptCount val="63"/>
                <c:pt idx="0">
                  <c:v>151.56049999999996</c:v>
                </c:pt>
                <c:pt idx="1">
                  <c:v>155.78555555555556</c:v>
                </c:pt>
                <c:pt idx="2">
                  <c:v>161.89608695652177</c:v>
                </c:pt>
                <c:pt idx="3">
                  <c:v>166.22150000000002</c:v>
                </c:pt>
                <c:pt idx="4">
                  <c:v>163.88523809523812</c:v>
                </c:pt>
                <c:pt idx="5">
                  <c:v>148.56380952380954</c:v>
                </c:pt>
                <c:pt idx="6">
                  <c:v>151.61681818181816</c:v>
                </c:pt>
                <c:pt idx="7">
                  <c:v>156.29999999999995</c:v>
                </c:pt>
                <c:pt idx="8">
                  <c:v>157.50952380952378</c:v>
                </c:pt>
                <c:pt idx="9">
                  <c:v>158.68649999999997</c:v>
                </c:pt>
                <c:pt idx="10">
                  <c:v>157.34700000000001</c:v>
                </c:pt>
                <c:pt idx="11">
                  <c:v>161.57761904761907</c:v>
                </c:pt>
                <c:pt idx="12">
                  <c:v>175.10476190476189</c:v>
                </c:pt>
                <c:pt idx="13">
                  <c:v>192.15315789473689</c:v>
                </c:pt>
                <c:pt idx="14">
                  <c:v>197.81136363636361</c:v>
                </c:pt>
                <c:pt idx="15">
                  <c:v>181.08263157894737</c:v>
                </c:pt>
                <c:pt idx="16">
                  <c:v>184.02954545454543</c:v>
                </c:pt>
                <c:pt idx="17">
                  <c:v>180.51476190476191</c:v>
                </c:pt>
                <c:pt idx="18">
                  <c:v>176.26428571428573</c:v>
                </c:pt>
                <c:pt idx="19">
                  <c:v>173.86913043478262</c:v>
                </c:pt>
                <c:pt idx="20">
                  <c:v>171.40333333333334</c:v>
                </c:pt>
                <c:pt idx="21">
                  <c:v>169.95499999999998</c:v>
                </c:pt>
                <c:pt idx="22">
                  <c:v>172.0395</c:v>
                </c:pt>
                <c:pt idx="23">
                  <c:v>170.91285714285715</c:v>
                </c:pt>
                <c:pt idx="24">
                  <c:v>169.29681818181822</c:v>
                </c:pt>
                <c:pt idx="25">
                  <c:v>164.99944444444444</c:v>
                </c:pt>
                <c:pt idx="26">
                  <c:v>156.19695652173911</c:v>
                </c:pt>
                <c:pt idx="27">
                  <c:v>139.74333333333331</c:v>
                </c:pt>
                <c:pt idx="28">
                  <c:v>123.49636363636365</c:v>
                </c:pt>
                <c:pt idx="29">
                  <c:v>123.19857142857143</c:v>
                </c:pt>
                <c:pt idx="30">
                  <c:v>134.52000000000004</c:v>
                </c:pt>
                <c:pt idx="31">
                  <c:v>137.42739130434785</c:v>
                </c:pt>
                <c:pt idx="32">
                  <c:v>137.16800000000001</c:v>
                </c:pt>
                <c:pt idx="33">
                  <c:v>132.96285714285716</c:v>
                </c:pt>
                <c:pt idx="34">
                  <c:v>138.26499999999999</c:v>
                </c:pt>
                <c:pt idx="35">
                  <c:v>134.90947368421055</c:v>
                </c:pt>
                <c:pt idx="36">
                  <c:v>119.17545454545453</c:v>
                </c:pt>
                <c:pt idx="37">
                  <c:v>109.81894736842105</c:v>
                </c:pt>
                <c:pt idx="38">
                  <c:v>110.65799999999999</c:v>
                </c:pt>
                <c:pt idx="39">
                  <c:v>118.39318181818179</c:v>
                </c:pt>
                <c:pt idx="40">
                  <c:v>119.93857142857145</c:v>
                </c:pt>
                <c:pt idx="41">
                  <c:v>121.78450000000001</c:v>
                </c:pt>
                <c:pt idx="42">
                  <c:v>121.60478260869564</c:v>
                </c:pt>
                <c:pt idx="43">
                  <c:v>116.92090909090908</c:v>
                </c:pt>
                <c:pt idx="44">
                  <c:v>121.4095238095238</c:v>
                </c:pt>
                <c:pt idx="45">
                  <c:v>123.78086956521737</c:v>
                </c:pt>
                <c:pt idx="46">
                  <c:v>127.45842105263158</c:v>
                </c:pt>
                <c:pt idx="47">
                  <c:v>126.79684210526318</c:v>
                </c:pt>
                <c:pt idx="48">
                  <c:v>126.07590909090912</c:v>
                </c:pt>
                <c:pt idx="49">
                  <c:v>124.32649999999998</c:v>
                </c:pt>
                <c:pt idx="50">
                  <c:v>126.49736842105264</c:v>
                </c:pt>
                <c:pt idx="51">
                  <c:v>124.64850000000001</c:v>
                </c:pt>
                <c:pt idx="52">
                  <c:v>119.9714285714286</c:v>
                </c:pt>
                <c:pt idx="53">
                  <c:v>120.59849999999999</c:v>
                </c:pt>
                <c:pt idx="54">
                  <c:v>120.34173913043479</c:v>
                </c:pt>
                <c:pt idx="55">
                  <c:v>123.53761904761905</c:v>
                </c:pt>
                <c:pt idx="56">
                  <c:v>122.49227272727272</c:v>
                </c:pt>
                <c:pt idx="57">
                  <c:v>121.73347826086965</c:v>
                </c:pt>
                <c:pt idx="58">
                  <c:v>124.03473684210527</c:v>
                </c:pt>
                <c:pt idx="59">
                  <c:v>125.66249999999999</c:v>
                </c:pt>
                <c:pt idx="60">
                  <c:v>121.98238095238096</c:v>
                </c:pt>
                <c:pt idx="61">
                  <c:v>116.89222222222222</c:v>
                </c:pt>
                <c:pt idx="62">
                  <c:v>118.06055555555557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F-4BA0-8B25-79CD524A7BDD}"/>
            </c:ext>
          </c:extLst>
        </c:ser>
        <c:ser>
          <c:idx val="0"/>
          <c:order val="1"/>
          <c:tx>
            <c:v>Paridade Exp - PFO</c:v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Soja'!$AY$3:$AY$65</c:f>
              <c:numCache>
                <c:formatCode>_(* #,##0.00_);_(* \(#,##0.00\);_(* "-"??_);_(@_)</c:formatCode>
                <c:ptCount val="63"/>
                <c:pt idx="0">
                  <c:v>155.84040000000002</c:v>
                </c:pt>
                <c:pt idx="1">
                  <c:v>158.44595555555554</c:v>
                </c:pt>
                <c:pt idx="2">
                  <c:v>159.85573913043478</c:v>
                </c:pt>
                <c:pt idx="3">
                  <c:v>163.52270000000001</c:v>
                </c:pt>
                <c:pt idx="4">
                  <c:v>166.00005714285714</c:v>
                </c:pt>
                <c:pt idx="5">
                  <c:v>151.27571428571432</c:v>
                </c:pt>
                <c:pt idx="6">
                  <c:v>156.97545454545454</c:v>
                </c:pt>
                <c:pt idx="7">
                  <c:v>160.57801818181818</c:v>
                </c:pt>
                <c:pt idx="8">
                  <c:v>161.49304761904762</c:v>
                </c:pt>
                <c:pt idx="9">
                  <c:v>162.3775</c:v>
                </c:pt>
                <c:pt idx="10">
                  <c:v>159.80600000000004</c:v>
                </c:pt>
                <c:pt idx="11">
                  <c:v>162.23503809523808</c:v>
                </c:pt>
                <c:pt idx="12">
                  <c:v>175.35447619047616</c:v>
                </c:pt>
                <c:pt idx="13">
                  <c:v>194.19259999999997</c:v>
                </c:pt>
                <c:pt idx="14">
                  <c:v>196.02649090909091</c:v>
                </c:pt>
                <c:pt idx="15">
                  <c:v>180.0027789473684</c:v>
                </c:pt>
                <c:pt idx="16">
                  <c:v>183.87640000000005</c:v>
                </c:pt>
                <c:pt idx="17">
                  <c:v>182.66659047619044</c:v>
                </c:pt>
                <c:pt idx="18">
                  <c:v>179.89999999999998</c:v>
                </c:pt>
                <c:pt idx="19">
                  <c:v>174.67312173913044</c:v>
                </c:pt>
                <c:pt idx="20">
                  <c:v>172.46491428571426</c:v>
                </c:pt>
                <c:pt idx="21">
                  <c:v>171.02880000000002</c:v>
                </c:pt>
                <c:pt idx="22">
                  <c:v>171.78349999999998</c:v>
                </c:pt>
                <c:pt idx="23">
                  <c:v>170.83519999999999</c:v>
                </c:pt>
                <c:pt idx="24">
                  <c:v>168.12540000000001</c:v>
                </c:pt>
                <c:pt idx="25">
                  <c:v>161.29171111111111</c:v>
                </c:pt>
                <c:pt idx="26">
                  <c:v>151.18201739130433</c:v>
                </c:pt>
                <c:pt idx="27">
                  <c:v>135.13277777777779</c:v>
                </c:pt>
                <c:pt idx="28">
                  <c:v>122.97</c:v>
                </c:pt>
                <c:pt idx="29">
                  <c:v>123.21428571428574</c:v>
                </c:pt>
                <c:pt idx="30">
                  <c:v>135.07666666666671</c:v>
                </c:pt>
                <c:pt idx="31">
                  <c:v>138.51110434782612</c:v>
                </c:pt>
                <c:pt idx="32">
                  <c:v>135.34039999999999</c:v>
                </c:pt>
                <c:pt idx="33">
                  <c:v>130.20090476190478</c:v>
                </c:pt>
                <c:pt idx="34">
                  <c:v>136.05400000000003</c:v>
                </c:pt>
                <c:pt idx="35">
                  <c:v>135.08684210526312</c:v>
                </c:pt>
                <c:pt idx="36">
                  <c:v>116.17069090909089</c:v>
                </c:pt>
                <c:pt idx="37">
                  <c:v>106.80716842105264</c:v>
                </c:pt>
                <c:pt idx="38">
                  <c:v>106.3142</c:v>
                </c:pt>
                <c:pt idx="39">
                  <c:v>113.41863636363637</c:v>
                </c:pt>
                <c:pt idx="40">
                  <c:v>119.46847142857143</c:v>
                </c:pt>
                <c:pt idx="41">
                  <c:v>123.66829999999999</c:v>
                </c:pt>
                <c:pt idx="42">
                  <c:v>124.40367826086955</c:v>
                </c:pt>
                <c:pt idx="43">
                  <c:v>118.34272727272723</c:v>
                </c:pt>
                <c:pt idx="44">
                  <c:v>122.86079047619045</c:v>
                </c:pt>
                <c:pt idx="45">
                  <c:v>123.30391304347823</c:v>
                </c:pt>
                <c:pt idx="46">
                  <c:v>125.54421052631574</c:v>
                </c:pt>
                <c:pt idx="47">
                  <c:v>125.44421052631579</c:v>
                </c:pt>
                <c:pt idx="48">
                  <c:v>125.21090909090908</c:v>
                </c:pt>
                <c:pt idx="49">
                  <c:v>122.29899999999999</c:v>
                </c:pt>
                <c:pt idx="50">
                  <c:v>121.73315789473683</c:v>
                </c:pt>
                <c:pt idx="51">
                  <c:v>122.54950000000002</c:v>
                </c:pt>
                <c:pt idx="52">
                  <c:v>120.78761904761907</c:v>
                </c:pt>
                <c:pt idx="53">
                  <c:v>121.62900000000005</c:v>
                </c:pt>
                <c:pt idx="54">
                  <c:v>121.6978260869565</c:v>
                </c:pt>
                <c:pt idx="55">
                  <c:v>123.77404761904758</c:v>
                </c:pt>
                <c:pt idx="56">
                  <c:v>122.73045454545456</c:v>
                </c:pt>
                <c:pt idx="57">
                  <c:v>121.38260869565218</c:v>
                </c:pt>
                <c:pt idx="58">
                  <c:v>122.10042631578948</c:v>
                </c:pt>
                <c:pt idx="59">
                  <c:v>123.84530000000001</c:v>
                </c:pt>
                <c:pt idx="60">
                  <c:v>119.86904761904758</c:v>
                </c:pt>
                <c:pt idx="61">
                  <c:v>112.63000000000001</c:v>
                </c:pt>
                <c:pt idx="62">
                  <c:v>113.40277777777777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9F-4BA0-8B25-79CD524A7BDD}"/>
            </c:ext>
          </c:extLst>
        </c:ser>
        <c:ser>
          <c:idx val="1"/>
          <c:order val="2"/>
          <c:tx>
            <c:v>Disponivel PFO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Soja'!$AH$3:$AH$65</c:f>
              <c:numCache>
                <c:formatCode>_(* #,##0.00_);_(* \(#,##0.00\);_(* "-"??_);_(@_)</c:formatCode>
                <c:ptCount val="63"/>
                <c:pt idx="0">
                  <c:v>159.50700000000001</c:v>
                </c:pt>
                <c:pt idx="1">
                  <c:v>162.62555555555554</c:v>
                </c:pt>
                <c:pt idx="2">
                  <c:v>167.30173913043478</c:v>
                </c:pt>
                <c:pt idx="3">
                  <c:v>171.26450000000003</c:v>
                </c:pt>
                <c:pt idx="4">
                  <c:v>171.90285714285716</c:v>
                </c:pt>
                <c:pt idx="5">
                  <c:v>156.31571428571431</c:v>
                </c:pt>
                <c:pt idx="6">
                  <c:v>161.29545454545453</c:v>
                </c:pt>
                <c:pt idx="7">
                  <c:v>165.81181818181818</c:v>
                </c:pt>
                <c:pt idx="8">
                  <c:v>167.28904761904761</c:v>
                </c:pt>
                <c:pt idx="9">
                  <c:v>167.86750000000001</c:v>
                </c:pt>
                <c:pt idx="10">
                  <c:v>164.21600000000004</c:v>
                </c:pt>
                <c:pt idx="11">
                  <c:v>167.73523809523809</c:v>
                </c:pt>
                <c:pt idx="12">
                  <c:v>183.01047619047617</c:v>
                </c:pt>
                <c:pt idx="13">
                  <c:v>200.35999999999996</c:v>
                </c:pt>
                <c:pt idx="14">
                  <c:v>202.68409090909091</c:v>
                </c:pt>
                <c:pt idx="15">
                  <c:v>186.4515789473684</c:v>
                </c:pt>
                <c:pt idx="16">
                  <c:v>191.71000000000004</c:v>
                </c:pt>
                <c:pt idx="17">
                  <c:v>188.76619047619045</c:v>
                </c:pt>
                <c:pt idx="18">
                  <c:v>185.89999999999998</c:v>
                </c:pt>
                <c:pt idx="19">
                  <c:v>181.68652173913043</c:v>
                </c:pt>
                <c:pt idx="20">
                  <c:v>179.64571428571426</c:v>
                </c:pt>
                <c:pt idx="21">
                  <c:v>178.37700000000001</c:v>
                </c:pt>
                <c:pt idx="22">
                  <c:v>179.76349999999996</c:v>
                </c:pt>
                <c:pt idx="23">
                  <c:v>179.04999999999998</c:v>
                </c:pt>
                <c:pt idx="24">
                  <c:v>176.57500000000002</c:v>
                </c:pt>
                <c:pt idx="25">
                  <c:v>169.97611111111112</c:v>
                </c:pt>
                <c:pt idx="26">
                  <c:v>159.23521739130433</c:v>
                </c:pt>
                <c:pt idx="27">
                  <c:v>142.9327777777778</c:v>
                </c:pt>
                <c:pt idx="28">
                  <c:v>130.47</c:v>
                </c:pt>
                <c:pt idx="29">
                  <c:v>130.41428571428574</c:v>
                </c:pt>
                <c:pt idx="30">
                  <c:v>142.2766666666667</c:v>
                </c:pt>
                <c:pt idx="31">
                  <c:v>146.32130434782613</c:v>
                </c:pt>
                <c:pt idx="32">
                  <c:v>144.69499999999999</c:v>
                </c:pt>
                <c:pt idx="33">
                  <c:v>141.41190476190476</c:v>
                </c:pt>
                <c:pt idx="34">
                  <c:v>145.85950000000003</c:v>
                </c:pt>
                <c:pt idx="35">
                  <c:v>143.48684210526312</c:v>
                </c:pt>
                <c:pt idx="36">
                  <c:v>125.25409090909089</c:v>
                </c:pt>
                <c:pt idx="37">
                  <c:v>115.30736842105264</c:v>
                </c:pt>
                <c:pt idx="38">
                  <c:v>114.752</c:v>
                </c:pt>
                <c:pt idx="39">
                  <c:v>121.60863636363636</c:v>
                </c:pt>
                <c:pt idx="40">
                  <c:v>127.28857142857143</c:v>
                </c:pt>
                <c:pt idx="41">
                  <c:v>131.11849999999998</c:v>
                </c:pt>
                <c:pt idx="42">
                  <c:v>131.65347826086955</c:v>
                </c:pt>
                <c:pt idx="43">
                  <c:v>126.18772727272723</c:v>
                </c:pt>
                <c:pt idx="44">
                  <c:v>130.63619047619045</c:v>
                </c:pt>
                <c:pt idx="45">
                  <c:v>131.88391304347823</c:v>
                </c:pt>
                <c:pt idx="46">
                  <c:v>133.79421052631574</c:v>
                </c:pt>
                <c:pt idx="47">
                  <c:v>133.24421052631578</c:v>
                </c:pt>
                <c:pt idx="48">
                  <c:v>133.16090909090909</c:v>
                </c:pt>
                <c:pt idx="49">
                  <c:v>130.999</c:v>
                </c:pt>
                <c:pt idx="50">
                  <c:v>130.43315789473684</c:v>
                </c:pt>
                <c:pt idx="51">
                  <c:v>129.98950000000002</c:v>
                </c:pt>
                <c:pt idx="52">
                  <c:v>127.80761904761907</c:v>
                </c:pt>
                <c:pt idx="53">
                  <c:v>128.22900000000004</c:v>
                </c:pt>
                <c:pt idx="54">
                  <c:v>129.1978260869565</c:v>
                </c:pt>
                <c:pt idx="55">
                  <c:v>132.09904761904758</c:v>
                </c:pt>
                <c:pt idx="56">
                  <c:v>131.50545454545457</c:v>
                </c:pt>
                <c:pt idx="57">
                  <c:v>131.10260869565218</c:v>
                </c:pt>
                <c:pt idx="58">
                  <c:v>131.93052631578948</c:v>
                </c:pt>
                <c:pt idx="59">
                  <c:v>133.78550000000001</c:v>
                </c:pt>
                <c:pt idx="60">
                  <c:v>129.16904761904757</c:v>
                </c:pt>
                <c:pt idx="61">
                  <c:v>122.00500000000001</c:v>
                </c:pt>
                <c:pt idx="62">
                  <c:v>122.77777777777777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9F-4BA0-8B25-79CD524A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050368"/>
        <c:axId val="1235061888"/>
      </c:lineChart>
      <c:catAx>
        <c:axId val="1235050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61888"/>
        <c:crosses val="autoZero"/>
        <c:auto val="1"/>
        <c:lblAlgn val="ctr"/>
        <c:lblOffset val="100"/>
        <c:noMultiLvlLbl val="0"/>
      </c:catAx>
      <c:valAx>
        <c:axId val="123506188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69488188976377"/>
          <c:y val="4.2244823563721161E-2"/>
          <c:w val="0.7577211286089239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553368328958885E-2"/>
          <c:y val="5.0925925925925923E-2"/>
          <c:w val="0.87689107611548545"/>
          <c:h val="0.80616506270049582"/>
        </c:manualLayout>
      </c:layout>
      <c:lineChart>
        <c:grouping val="standard"/>
        <c:varyColors val="0"/>
        <c:ser>
          <c:idx val="2"/>
          <c:order val="0"/>
          <c:tx>
            <c:v>Balcão - Ijui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Soja'!$N$3:$N$65</c:f>
              <c:numCache>
                <c:formatCode>_(* #,##0.00_);_(* \(#,##0.00\);_(* "-"??_);_(@_)</c:formatCode>
                <c:ptCount val="63"/>
                <c:pt idx="0">
                  <c:v>151.22199999999995</c:v>
                </c:pt>
                <c:pt idx="1">
                  <c:v>155.75055555555556</c:v>
                </c:pt>
                <c:pt idx="2">
                  <c:v>162.27217391304347</c:v>
                </c:pt>
                <c:pt idx="3">
                  <c:v>166.88750000000002</c:v>
                </c:pt>
                <c:pt idx="4">
                  <c:v>164.11142857142855</c:v>
                </c:pt>
                <c:pt idx="5">
                  <c:v>148.68380952380954</c:v>
                </c:pt>
                <c:pt idx="6">
                  <c:v>151.49818181818179</c:v>
                </c:pt>
                <c:pt idx="7">
                  <c:v>156.47772727272724</c:v>
                </c:pt>
                <c:pt idx="8">
                  <c:v>157.57952380952386</c:v>
                </c:pt>
                <c:pt idx="9">
                  <c:v>158.93899999999999</c:v>
                </c:pt>
                <c:pt idx="10">
                  <c:v>156.90600000000001</c:v>
                </c:pt>
                <c:pt idx="11">
                  <c:v>161.47523809523813</c:v>
                </c:pt>
                <c:pt idx="12">
                  <c:v>175.0704761904762</c:v>
                </c:pt>
                <c:pt idx="13">
                  <c:v>191.77473684210528</c:v>
                </c:pt>
                <c:pt idx="14">
                  <c:v>197.51000000000002</c:v>
                </c:pt>
                <c:pt idx="15">
                  <c:v>180.85210526315791</c:v>
                </c:pt>
                <c:pt idx="16">
                  <c:v>183.38954545454541</c:v>
                </c:pt>
                <c:pt idx="17">
                  <c:v>179.90666666666664</c:v>
                </c:pt>
                <c:pt idx="18">
                  <c:v>176.23857142857145</c:v>
                </c:pt>
                <c:pt idx="19">
                  <c:v>173.47391304347823</c:v>
                </c:pt>
                <c:pt idx="20">
                  <c:v>171.04142857142858</c:v>
                </c:pt>
                <c:pt idx="21">
                  <c:v>169.5855</c:v>
                </c:pt>
                <c:pt idx="22">
                  <c:v>171.85150000000004</c:v>
                </c:pt>
                <c:pt idx="23">
                  <c:v>170.82000000000002</c:v>
                </c:pt>
                <c:pt idx="24">
                  <c:v>168.61090909090913</c:v>
                </c:pt>
                <c:pt idx="25">
                  <c:v>164.28888888888889</c:v>
                </c:pt>
                <c:pt idx="26">
                  <c:v>156.15260869565216</c:v>
                </c:pt>
                <c:pt idx="27">
                  <c:v>139.05722222222224</c:v>
                </c:pt>
                <c:pt idx="28">
                  <c:v>123.51818181818184</c:v>
                </c:pt>
                <c:pt idx="29">
                  <c:v>123.95095238095234</c:v>
                </c:pt>
                <c:pt idx="30">
                  <c:v>134.94190476190477</c:v>
                </c:pt>
                <c:pt idx="31">
                  <c:v>138.23086956521738</c:v>
                </c:pt>
                <c:pt idx="32">
                  <c:v>137.23849999999999</c:v>
                </c:pt>
                <c:pt idx="33">
                  <c:v>132.78952380952381</c:v>
                </c:pt>
                <c:pt idx="34">
                  <c:v>137.90799999999999</c:v>
                </c:pt>
                <c:pt idx="35">
                  <c:v>135.79315789473685</c:v>
                </c:pt>
                <c:pt idx="36">
                  <c:v>119.4127272727273</c:v>
                </c:pt>
                <c:pt idx="37">
                  <c:v>109.71157894736842</c:v>
                </c:pt>
                <c:pt idx="38">
                  <c:v>110.27049999999997</c:v>
                </c:pt>
                <c:pt idx="39">
                  <c:v>118.47727272727273</c:v>
                </c:pt>
                <c:pt idx="40">
                  <c:v>120.3847619047619</c:v>
                </c:pt>
                <c:pt idx="41">
                  <c:v>121.83949999999997</c:v>
                </c:pt>
                <c:pt idx="42">
                  <c:v>120.31217391304349</c:v>
                </c:pt>
                <c:pt idx="43">
                  <c:v>116.87090909090908</c:v>
                </c:pt>
                <c:pt idx="44">
                  <c:v>120.70666666666664</c:v>
                </c:pt>
                <c:pt idx="45">
                  <c:v>122.63000000000001</c:v>
                </c:pt>
                <c:pt idx="46">
                  <c:v>126.21473684210524</c:v>
                </c:pt>
                <c:pt idx="47">
                  <c:v>125.91368421052634</c:v>
                </c:pt>
                <c:pt idx="48">
                  <c:v>125.26954545454542</c:v>
                </c:pt>
                <c:pt idx="49">
                  <c:v>123.78849999999996</c:v>
                </c:pt>
                <c:pt idx="50">
                  <c:v>126.48578947368424</c:v>
                </c:pt>
                <c:pt idx="51">
                  <c:v>124.62950000000004</c:v>
                </c:pt>
                <c:pt idx="52">
                  <c:v>119.18047619047618</c:v>
                </c:pt>
                <c:pt idx="53">
                  <c:v>119.83250000000001</c:v>
                </c:pt>
                <c:pt idx="54">
                  <c:v>120.12565217391305</c:v>
                </c:pt>
                <c:pt idx="55">
                  <c:v>123.26714285714286</c:v>
                </c:pt>
                <c:pt idx="56">
                  <c:v>122.1259090909091</c:v>
                </c:pt>
                <c:pt idx="57">
                  <c:v>121.12521739130435</c:v>
                </c:pt>
                <c:pt idx="58">
                  <c:v>123.16947368421052</c:v>
                </c:pt>
                <c:pt idx="59">
                  <c:v>124.76199999999997</c:v>
                </c:pt>
                <c:pt idx="60">
                  <c:v>120.82285714285715</c:v>
                </c:pt>
                <c:pt idx="61">
                  <c:v>116.16833333333335</c:v>
                </c:pt>
                <c:pt idx="62">
                  <c:v>118.07111111111109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81-465F-84EB-E1987F333DBD}"/>
            </c:ext>
          </c:extLst>
        </c:ser>
        <c:ser>
          <c:idx val="0"/>
          <c:order val="1"/>
          <c:tx>
            <c:v>Paridade Exp Ijui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Soja'!$AX$3:$AX$65</c:f>
              <c:numCache>
                <c:formatCode>_(* #,##0.00_);_(* \(#,##0.00\);_(* "-"??_);_(@_)</c:formatCode>
                <c:ptCount val="63"/>
                <c:pt idx="0">
                  <c:v>157.85769999999999</c:v>
                </c:pt>
                <c:pt idx="1">
                  <c:v>159.93953333333332</c:v>
                </c:pt>
                <c:pt idx="2">
                  <c:v>160.95495652173915</c:v>
                </c:pt>
                <c:pt idx="3">
                  <c:v>164.0865</c:v>
                </c:pt>
                <c:pt idx="4">
                  <c:v>166.75000000000006</c:v>
                </c:pt>
                <c:pt idx="5">
                  <c:v>151.14543809523809</c:v>
                </c:pt>
                <c:pt idx="6">
                  <c:v>157.05192727272726</c:v>
                </c:pt>
                <c:pt idx="7">
                  <c:v>161.23174545454543</c:v>
                </c:pt>
                <c:pt idx="8">
                  <c:v>162.10417142857142</c:v>
                </c:pt>
                <c:pt idx="9">
                  <c:v>163.0121</c:v>
                </c:pt>
                <c:pt idx="10">
                  <c:v>160.18170000000001</c:v>
                </c:pt>
                <c:pt idx="11">
                  <c:v>163.38192380952381</c:v>
                </c:pt>
                <c:pt idx="12">
                  <c:v>176.75918095238097</c:v>
                </c:pt>
                <c:pt idx="13">
                  <c:v>195.68872631578949</c:v>
                </c:pt>
                <c:pt idx="14">
                  <c:v>197.05583636363636</c:v>
                </c:pt>
                <c:pt idx="15">
                  <c:v>181.0285789473684</c:v>
                </c:pt>
                <c:pt idx="16">
                  <c:v>184.87054545454546</c:v>
                </c:pt>
                <c:pt idx="17">
                  <c:v>184.83763809523811</c:v>
                </c:pt>
                <c:pt idx="18">
                  <c:v>179.97714285714284</c:v>
                </c:pt>
                <c:pt idx="19">
                  <c:v>176.64650434782612</c:v>
                </c:pt>
                <c:pt idx="20">
                  <c:v>173.98552380952378</c:v>
                </c:pt>
                <c:pt idx="21">
                  <c:v>171.9453</c:v>
                </c:pt>
                <c:pt idx="22">
                  <c:v>172.57200000000003</c:v>
                </c:pt>
                <c:pt idx="23">
                  <c:v>172.05333333333331</c:v>
                </c:pt>
                <c:pt idx="24">
                  <c:v>169.6527272727273</c:v>
                </c:pt>
                <c:pt idx="25">
                  <c:v>162.59500000000003</c:v>
                </c:pt>
                <c:pt idx="26">
                  <c:v>153.22334782608692</c:v>
                </c:pt>
                <c:pt idx="27">
                  <c:v>134.92833333333334</c:v>
                </c:pt>
                <c:pt idx="28">
                  <c:v>125.68555454545455</c:v>
                </c:pt>
                <c:pt idx="29">
                  <c:v>126.18829523809524</c:v>
                </c:pt>
                <c:pt idx="30">
                  <c:v>138.13686666666666</c:v>
                </c:pt>
                <c:pt idx="31">
                  <c:v>141.08695652173915</c:v>
                </c:pt>
                <c:pt idx="32">
                  <c:v>137.93749999999997</c:v>
                </c:pt>
                <c:pt idx="33">
                  <c:v>135.11857142857141</c:v>
                </c:pt>
                <c:pt idx="34">
                  <c:v>139.10250000000002</c:v>
                </c:pt>
                <c:pt idx="35">
                  <c:v>135.65473684210525</c:v>
                </c:pt>
                <c:pt idx="36">
                  <c:v>116.37909090909093</c:v>
                </c:pt>
                <c:pt idx="37">
                  <c:v>107.18664210526319</c:v>
                </c:pt>
                <c:pt idx="38">
                  <c:v>108.1842</c:v>
                </c:pt>
                <c:pt idx="39">
                  <c:v>113.76941818181817</c:v>
                </c:pt>
                <c:pt idx="40">
                  <c:v>120.41678095238095</c:v>
                </c:pt>
                <c:pt idx="41">
                  <c:v>123.9547</c:v>
                </c:pt>
                <c:pt idx="42">
                  <c:v>123.05173913043478</c:v>
                </c:pt>
                <c:pt idx="43">
                  <c:v>119.04809090909093</c:v>
                </c:pt>
                <c:pt idx="44">
                  <c:v>122.3112857142857</c:v>
                </c:pt>
                <c:pt idx="45">
                  <c:v>123.72217391304346</c:v>
                </c:pt>
                <c:pt idx="46">
                  <c:v>125.80947368421053</c:v>
                </c:pt>
                <c:pt idx="47">
                  <c:v>126.40052631578946</c:v>
                </c:pt>
                <c:pt idx="48">
                  <c:v>125.99661818181815</c:v>
                </c:pt>
                <c:pt idx="49">
                  <c:v>122.48000000000003</c:v>
                </c:pt>
                <c:pt idx="50">
                  <c:v>120.50684210526317</c:v>
                </c:pt>
                <c:pt idx="51">
                  <c:v>124.1345</c:v>
                </c:pt>
                <c:pt idx="52">
                  <c:v>121.61190476190474</c:v>
                </c:pt>
                <c:pt idx="53">
                  <c:v>122.35000000000004</c:v>
                </c:pt>
                <c:pt idx="54">
                  <c:v>122.46891304347825</c:v>
                </c:pt>
                <c:pt idx="55">
                  <c:v>124.93523809523808</c:v>
                </c:pt>
                <c:pt idx="56">
                  <c:v>124.48343636363634</c:v>
                </c:pt>
                <c:pt idx="57">
                  <c:v>121.79434782608693</c:v>
                </c:pt>
                <c:pt idx="58">
                  <c:v>124.10250000000002</c:v>
                </c:pt>
                <c:pt idx="59">
                  <c:v>125.657</c:v>
                </c:pt>
                <c:pt idx="60">
                  <c:v>123.27285714285713</c:v>
                </c:pt>
                <c:pt idx="61">
                  <c:v>114.60888888888887</c:v>
                </c:pt>
                <c:pt idx="62">
                  <c:v>116.09388888888887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81-465F-84EB-E1987F333DBD}"/>
            </c:ext>
          </c:extLst>
        </c:ser>
        <c:ser>
          <c:idx val="1"/>
          <c:order val="2"/>
          <c:tx>
            <c:v>Disponível - Ijui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Soja'!$AG$3:$AG$65</c:f>
              <c:numCache>
                <c:formatCode>_(* #,##0.00_);_(* \(#,##0.00\);_(* "-"??_);_(@_)</c:formatCode>
                <c:ptCount val="63"/>
                <c:pt idx="0">
                  <c:v>161.0275</c:v>
                </c:pt>
                <c:pt idx="1">
                  <c:v>163.6283333333333</c:v>
                </c:pt>
                <c:pt idx="2">
                  <c:v>168.34695652173914</c:v>
                </c:pt>
                <c:pt idx="3">
                  <c:v>171.36449999999999</c:v>
                </c:pt>
                <c:pt idx="4">
                  <c:v>172.45000000000005</c:v>
                </c:pt>
                <c:pt idx="5">
                  <c:v>156.83523809523808</c:v>
                </c:pt>
                <c:pt idx="6">
                  <c:v>161.71272727272725</c:v>
                </c:pt>
                <c:pt idx="7">
                  <c:v>166.23454545454544</c:v>
                </c:pt>
                <c:pt idx="8">
                  <c:v>167.57857142857142</c:v>
                </c:pt>
                <c:pt idx="9">
                  <c:v>168.14750000000001</c:v>
                </c:pt>
                <c:pt idx="10">
                  <c:v>164.7465</c:v>
                </c:pt>
                <c:pt idx="11">
                  <c:v>168.9595238095238</c:v>
                </c:pt>
                <c:pt idx="12">
                  <c:v>184.06238095238098</c:v>
                </c:pt>
                <c:pt idx="13">
                  <c:v>201.24052631578948</c:v>
                </c:pt>
                <c:pt idx="14">
                  <c:v>203.21363636363637</c:v>
                </c:pt>
                <c:pt idx="15">
                  <c:v>187.00157894736842</c:v>
                </c:pt>
                <c:pt idx="16">
                  <c:v>192.21454545454546</c:v>
                </c:pt>
                <c:pt idx="17">
                  <c:v>190.38523809523809</c:v>
                </c:pt>
                <c:pt idx="18">
                  <c:v>187.23714285714283</c:v>
                </c:pt>
                <c:pt idx="19">
                  <c:v>183.34130434782611</c:v>
                </c:pt>
                <c:pt idx="20">
                  <c:v>180.87952380952379</c:v>
                </c:pt>
                <c:pt idx="21">
                  <c:v>179.0385</c:v>
                </c:pt>
                <c:pt idx="22">
                  <c:v>180.79200000000003</c:v>
                </c:pt>
                <c:pt idx="23">
                  <c:v>180.21333333333331</c:v>
                </c:pt>
                <c:pt idx="24">
                  <c:v>177.7527272727273</c:v>
                </c:pt>
                <c:pt idx="25">
                  <c:v>170.63500000000002</c:v>
                </c:pt>
                <c:pt idx="26">
                  <c:v>160.71434782608694</c:v>
                </c:pt>
                <c:pt idx="27">
                  <c:v>142.87833333333333</c:v>
                </c:pt>
                <c:pt idx="28">
                  <c:v>133.06045454545455</c:v>
                </c:pt>
                <c:pt idx="29">
                  <c:v>132.98809523809524</c:v>
                </c:pt>
                <c:pt idx="30">
                  <c:v>144.93666666666667</c:v>
                </c:pt>
                <c:pt idx="31">
                  <c:v>148.73695652173916</c:v>
                </c:pt>
                <c:pt idx="32">
                  <c:v>147.16249999999997</c:v>
                </c:pt>
                <c:pt idx="33">
                  <c:v>142.3185714285714</c:v>
                </c:pt>
                <c:pt idx="34">
                  <c:v>147.05250000000001</c:v>
                </c:pt>
                <c:pt idx="35">
                  <c:v>144.35473684210524</c:v>
                </c:pt>
                <c:pt idx="36">
                  <c:v>125.67909090909093</c:v>
                </c:pt>
                <c:pt idx="37">
                  <c:v>115.6868421052632</c:v>
                </c:pt>
                <c:pt idx="38">
                  <c:v>115.545</c:v>
                </c:pt>
                <c:pt idx="39">
                  <c:v>121.22681818181817</c:v>
                </c:pt>
                <c:pt idx="40">
                  <c:v>127.84238095238095</c:v>
                </c:pt>
                <c:pt idx="41">
                  <c:v>131.3485</c:v>
                </c:pt>
                <c:pt idx="42">
                  <c:v>130.43173913043478</c:v>
                </c:pt>
                <c:pt idx="43">
                  <c:v>126.20909090909093</c:v>
                </c:pt>
                <c:pt idx="44">
                  <c:v>130.8042857142857</c:v>
                </c:pt>
                <c:pt idx="45">
                  <c:v>132.12217391304347</c:v>
                </c:pt>
                <c:pt idx="46">
                  <c:v>133.90947368421052</c:v>
                </c:pt>
                <c:pt idx="47">
                  <c:v>134.20052631578946</c:v>
                </c:pt>
                <c:pt idx="48">
                  <c:v>134.19681818181814</c:v>
                </c:pt>
                <c:pt idx="49">
                  <c:v>131.40500000000003</c:v>
                </c:pt>
                <c:pt idx="50">
                  <c:v>129.80684210526317</c:v>
                </c:pt>
                <c:pt idx="51">
                  <c:v>131.4545</c:v>
                </c:pt>
                <c:pt idx="52">
                  <c:v>128.66190476190474</c:v>
                </c:pt>
                <c:pt idx="53">
                  <c:v>129.02500000000003</c:v>
                </c:pt>
                <c:pt idx="54">
                  <c:v>129.89391304347825</c:v>
                </c:pt>
                <c:pt idx="55">
                  <c:v>133.33523809523808</c:v>
                </c:pt>
                <c:pt idx="56">
                  <c:v>132.83363636363634</c:v>
                </c:pt>
                <c:pt idx="57">
                  <c:v>131.09434782608693</c:v>
                </c:pt>
                <c:pt idx="58">
                  <c:v>133.23000000000002</c:v>
                </c:pt>
                <c:pt idx="59">
                  <c:v>134.61199999999999</c:v>
                </c:pt>
                <c:pt idx="60">
                  <c:v>132.27285714285713</c:v>
                </c:pt>
                <c:pt idx="61">
                  <c:v>123.90888888888887</c:v>
                </c:pt>
                <c:pt idx="62">
                  <c:v>125.39388888888887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81-465F-84EB-E1987F333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050368"/>
        <c:axId val="1235061888"/>
      </c:lineChart>
      <c:catAx>
        <c:axId val="1235050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61888"/>
        <c:crosses val="autoZero"/>
        <c:auto val="1"/>
        <c:lblAlgn val="ctr"/>
        <c:lblOffset val="100"/>
        <c:noMultiLvlLbl val="0"/>
      </c:catAx>
      <c:valAx>
        <c:axId val="123506188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69488188976377"/>
          <c:y val="4.2244823563721161E-2"/>
          <c:w val="0.7577211286089239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</a:t>
            </a:r>
            <a:r>
              <a:rPr lang="pt-BR" baseline="0"/>
              <a:t> margin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Crushing Margin'!$F$2</c:f>
              <c:strCache>
                <c:ptCount val="1"/>
                <c:pt idx="0">
                  <c:v>Sorriso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Margin'!$F$3:$F$65</c:f>
              <c:numCache>
                <c:formatCode>_-* #,##0_-;\-* #,##0_-;_-* "-"??_-;_-@_-</c:formatCode>
                <c:ptCount val="63"/>
                <c:pt idx="0">
                  <c:v>247.69771829419278</c:v>
                </c:pt>
                <c:pt idx="1">
                  <c:v>271.99831812085176</c:v>
                </c:pt>
                <c:pt idx="2">
                  <c:v>394.50736949092925</c:v>
                </c:pt>
                <c:pt idx="3">
                  <c:v>319.23891360325206</c:v>
                </c:pt>
                <c:pt idx="4">
                  <c:v>291.97442564897528</c:v>
                </c:pt>
                <c:pt idx="5">
                  <c:v>-4.8260937500699583</c:v>
                </c:pt>
                <c:pt idx="6">
                  <c:v>16.524166133128347</c:v>
                </c:pt>
                <c:pt idx="7">
                  <c:v>32.830869698432707</c:v>
                </c:pt>
                <c:pt idx="8">
                  <c:v>-59.555743862718373</c:v>
                </c:pt>
                <c:pt idx="9">
                  <c:v>129.6759807340718</c:v>
                </c:pt>
                <c:pt idx="10">
                  <c:v>367.38265406236678</c:v>
                </c:pt>
                <c:pt idx="11">
                  <c:v>451.73623152675782</c:v>
                </c:pt>
                <c:pt idx="12">
                  <c:v>396.03043415390675</c:v>
                </c:pt>
                <c:pt idx="13">
                  <c:v>261.67629824076676</c:v>
                </c:pt>
                <c:pt idx="14">
                  <c:v>386.50603271764021</c:v>
                </c:pt>
                <c:pt idx="15">
                  <c:v>418.66093179372456</c:v>
                </c:pt>
                <c:pt idx="16">
                  <c:v>331.51199629832763</c:v>
                </c:pt>
                <c:pt idx="17">
                  <c:v>160.37886614339732</c:v>
                </c:pt>
                <c:pt idx="18">
                  <c:v>290.09596658859027</c:v>
                </c:pt>
                <c:pt idx="19">
                  <c:v>330.55675957934136</c:v>
                </c:pt>
                <c:pt idx="20">
                  <c:v>42.963830846437759</c:v>
                </c:pt>
                <c:pt idx="21">
                  <c:v>54.331212267402861</c:v>
                </c:pt>
                <c:pt idx="22">
                  <c:v>108.86985803613106</c:v>
                </c:pt>
                <c:pt idx="23">
                  <c:v>214.36999288788866</c:v>
                </c:pt>
                <c:pt idx="24">
                  <c:v>338.01159950073179</c:v>
                </c:pt>
                <c:pt idx="25">
                  <c:v>408.7347650541833</c:v>
                </c:pt>
                <c:pt idx="26">
                  <c:v>402.69227552065195</c:v>
                </c:pt>
                <c:pt idx="27">
                  <c:v>359.47860229496564</c:v>
                </c:pt>
                <c:pt idx="28">
                  <c:v>266.00204128600308</c:v>
                </c:pt>
                <c:pt idx="29">
                  <c:v>218.10441560027812</c:v>
                </c:pt>
                <c:pt idx="30">
                  <c:v>191.59001786816202</c:v>
                </c:pt>
                <c:pt idx="31">
                  <c:v>160.64975397534522</c:v>
                </c:pt>
                <c:pt idx="32">
                  <c:v>37.303360323474863</c:v>
                </c:pt>
                <c:pt idx="33">
                  <c:v>138.4463961594281</c:v>
                </c:pt>
                <c:pt idx="34">
                  <c:v>359.91895700041528</c:v>
                </c:pt>
                <c:pt idx="35">
                  <c:v>59.535417710379079</c:v>
                </c:pt>
                <c:pt idx="36">
                  <c:v>121.67906026742776</c:v>
                </c:pt>
                <c:pt idx="37">
                  <c:v>203.4497312984422</c:v>
                </c:pt>
                <c:pt idx="38">
                  <c:v>196.95185400071796</c:v>
                </c:pt>
                <c:pt idx="39">
                  <c:v>182.78787813021404</c:v>
                </c:pt>
                <c:pt idx="40">
                  <c:v>175.06384824806696</c:v>
                </c:pt>
                <c:pt idx="41">
                  <c:v>279.7515649906195</c:v>
                </c:pt>
                <c:pt idx="42">
                  <c:v>354.9913552495816</c:v>
                </c:pt>
                <c:pt idx="43">
                  <c:v>241.20119031979675</c:v>
                </c:pt>
                <c:pt idx="44">
                  <c:v>162.41288430614895</c:v>
                </c:pt>
                <c:pt idx="45">
                  <c:v>267.16409144946442</c:v>
                </c:pt>
                <c:pt idx="46">
                  <c:v>252.38520499775041</c:v>
                </c:pt>
                <c:pt idx="47">
                  <c:v>302.00402217932833</c:v>
                </c:pt>
                <c:pt idx="48">
                  <c:v>435.30021663745447</c:v>
                </c:pt>
                <c:pt idx="49">
                  <c:v>397.10126782110319</c:v>
                </c:pt>
                <c:pt idx="50">
                  <c:v>273.07692274067153</c:v>
                </c:pt>
                <c:pt idx="51">
                  <c:v>279.99265370487797</c:v>
                </c:pt>
                <c:pt idx="52">
                  <c:v>247.57537961894536</c:v>
                </c:pt>
                <c:pt idx="53">
                  <c:v>161.65341224249801</c:v>
                </c:pt>
                <c:pt idx="54">
                  <c:v>129.73430278493811</c:v>
                </c:pt>
                <c:pt idx="55">
                  <c:v>92.966682269029889</c:v>
                </c:pt>
                <c:pt idx="56">
                  <c:v>67.525666922258324</c:v>
                </c:pt>
                <c:pt idx="57">
                  <c:v>116.77252614017698</c:v>
                </c:pt>
                <c:pt idx="58">
                  <c:v>200.84868633021983</c:v>
                </c:pt>
                <c:pt idx="59">
                  <c:v>146.22913939593991</c:v>
                </c:pt>
                <c:pt idx="60">
                  <c:v>284.85602962020289</c:v>
                </c:pt>
                <c:pt idx="61">
                  <c:v>383.61865548587775</c:v>
                </c:pt>
                <c:pt idx="62">
                  <c:v>345.4932219021166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F7-4036-AF3A-53C8C1854205}"/>
            </c:ext>
          </c:extLst>
        </c:ser>
        <c:ser>
          <c:idx val="2"/>
          <c:order val="1"/>
          <c:tx>
            <c:strRef>
              <c:f>'Modelo Crushing Margin'!$I$2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Margin'!$I$3:$I$65</c:f>
              <c:numCache>
                <c:formatCode>_-* #,##0_-;\-* #,##0_-;_-* "-"??_-;_-@_-</c:formatCode>
                <c:ptCount val="63"/>
                <c:pt idx="0">
                  <c:v>215.93314324316043</c:v>
                </c:pt>
                <c:pt idx="1">
                  <c:v>237.31582278900987</c:v>
                </c:pt>
                <c:pt idx="2">
                  <c:v>348.89904217089452</c:v>
                </c:pt>
                <c:pt idx="3">
                  <c:v>271.98827756618721</c:v>
                </c:pt>
                <c:pt idx="4">
                  <c:v>241.88194066957385</c:v>
                </c:pt>
                <c:pt idx="5">
                  <c:v>-46.17398351441534</c:v>
                </c:pt>
                <c:pt idx="6">
                  <c:v>-31.601730283995494</c:v>
                </c:pt>
                <c:pt idx="7">
                  <c:v>-18.887642717504605</c:v>
                </c:pt>
                <c:pt idx="8">
                  <c:v>-112.11420145764305</c:v>
                </c:pt>
                <c:pt idx="9">
                  <c:v>69.085595279191693</c:v>
                </c:pt>
                <c:pt idx="10">
                  <c:v>308.64194466808067</c:v>
                </c:pt>
                <c:pt idx="11">
                  <c:v>396.7826948875113</c:v>
                </c:pt>
                <c:pt idx="12">
                  <c:v>341.76367756931495</c:v>
                </c:pt>
                <c:pt idx="13">
                  <c:v>203.84699647012894</c:v>
                </c:pt>
                <c:pt idx="14">
                  <c:v>321.64858317496009</c:v>
                </c:pt>
                <c:pt idx="15">
                  <c:v>350.98919517077138</c:v>
                </c:pt>
                <c:pt idx="16">
                  <c:v>257.62403890567657</c:v>
                </c:pt>
                <c:pt idx="17">
                  <c:v>97.502665905884896</c:v>
                </c:pt>
                <c:pt idx="18">
                  <c:v>241.58000428332298</c:v>
                </c:pt>
                <c:pt idx="19">
                  <c:v>281.99892355189695</c:v>
                </c:pt>
                <c:pt idx="20">
                  <c:v>6.2678249396412866E-3</c:v>
                </c:pt>
                <c:pt idx="21">
                  <c:v>6.6067418686789097</c:v>
                </c:pt>
                <c:pt idx="22">
                  <c:v>57.566338298330265</c:v>
                </c:pt>
                <c:pt idx="23">
                  <c:v>171.51711222981339</c:v>
                </c:pt>
                <c:pt idx="24">
                  <c:v>300.52670700229737</c:v>
                </c:pt>
                <c:pt idx="25">
                  <c:v>372.84197540783589</c:v>
                </c:pt>
                <c:pt idx="26">
                  <c:v>372.60883244753541</c:v>
                </c:pt>
                <c:pt idx="27">
                  <c:v>333.43462132584455</c:v>
                </c:pt>
                <c:pt idx="28">
                  <c:v>240.49431791563575</c:v>
                </c:pt>
                <c:pt idx="29">
                  <c:v>190.14507696624332</c:v>
                </c:pt>
                <c:pt idx="30">
                  <c:v>162.82670913088896</c:v>
                </c:pt>
                <c:pt idx="31">
                  <c:v>132.64814297802423</c:v>
                </c:pt>
                <c:pt idx="32">
                  <c:v>9.7929856722025761</c:v>
                </c:pt>
                <c:pt idx="33">
                  <c:v>110.92931886009364</c:v>
                </c:pt>
                <c:pt idx="34">
                  <c:v>332.04765661422789</c:v>
                </c:pt>
                <c:pt idx="35">
                  <c:v>34.506900997481807</c:v>
                </c:pt>
                <c:pt idx="36">
                  <c:v>97.061518947587729</c:v>
                </c:pt>
                <c:pt idx="37">
                  <c:v>178.08159183857788</c:v>
                </c:pt>
                <c:pt idx="38">
                  <c:v>167.13838839861546</c:v>
                </c:pt>
                <c:pt idx="39">
                  <c:v>152.60775012281465</c:v>
                </c:pt>
                <c:pt idx="40">
                  <c:v>146.2196071257913</c:v>
                </c:pt>
                <c:pt idx="41">
                  <c:v>246.3319411382231</c:v>
                </c:pt>
                <c:pt idx="42">
                  <c:v>319.85890955072091</c:v>
                </c:pt>
                <c:pt idx="43">
                  <c:v>206.04144104512079</c:v>
                </c:pt>
                <c:pt idx="44">
                  <c:v>125.1418591550273</c:v>
                </c:pt>
                <c:pt idx="45">
                  <c:v>223.44686492181245</c:v>
                </c:pt>
                <c:pt idx="46">
                  <c:v>203.44093573371947</c:v>
                </c:pt>
                <c:pt idx="47">
                  <c:v>256.95324027092829</c:v>
                </c:pt>
                <c:pt idx="48">
                  <c:v>391.25697505923108</c:v>
                </c:pt>
                <c:pt idx="49">
                  <c:v>351.09649389803394</c:v>
                </c:pt>
                <c:pt idx="50">
                  <c:v>231.23365782155315</c:v>
                </c:pt>
                <c:pt idx="51">
                  <c:v>235.7060713395731</c:v>
                </c:pt>
                <c:pt idx="52">
                  <c:v>204.55130355360689</c:v>
                </c:pt>
                <c:pt idx="53">
                  <c:v>118.3308153639141</c:v>
                </c:pt>
                <c:pt idx="54">
                  <c:v>80.335172620188587</c:v>
                </c:pt>
                <c:pt idx="55">
                  <c:v>45.884702230451239</c:v>
                </c:pt>
                <c:pt idx="56">
                  <c:v>21.028722357579682</c:v>
                </c:pt>
                <c:pt idx="57">
                  <c:v>69.90657384887345</c:v>
                </c:pt>
                <c:pt idx="58">
                  <c:v>157.26475580394026</c:v>
                </c:pt>
                <c:pt idx="59">
                  <c:v>100.90107756042289</c:v>
                </c:pt>
                <c:pt idx="60">
                  <c:v>237.50598377182882</c:v>
                </c:pt>
                <c:pt idx="61">
                  <c:v>336.06859548478383</c:v>
                </c:pt>
                <c:pt idx="62">
                  <c:v>300.86732998092248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F7-4036-AF3A-53C8C1854205}"/>
            </c:ext>
          </c:extLst>
        </c:ser>
        <c:ser>
          <c:idx val="5"/>
          <c:order val="2"/>
          <c:tx>
            <c:strRef>
              <c:f>'Modelo Crushing Margin'!$K$2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Margin'!$K$3:$K$65</c:f>
              <c:numCache>
                <c:formatCode>_-* #,##0_-;\-* #,##0_-;_-* "-"??_-;_-@_-</c:formatCode>
                <c:ptCount val="63"/>
                <c:pt idx="0">
                  <c:v>340.09644055764466</c:v>
                </c:pt>
                <c:pt idx="1">
                  <c:v>283.13160448271947</c:v>
                </c:pt>
                <c:pt idx="2">
                  <c:v>402.76424057580516</c:v>
                </c:pt>
                <c:pt idx="3">
                  <c:v>346.58229574765528</c:v>
                </c:pt>
                <c:pt idx="4">
                  <c:v>292.56912500907947</c:v>
                </c:pt>
                <c:pt idx="5">
                  <c:v>30.233782233412057</c:v>
                </c:pt>
                <c:pt idx="6">
                  <c:v>50.525357780170907</c:v>
                </c:pt>
                <c:pt idx="7">
                  <c:v>44.139074816345783</c:v>
                </c:pt>
                <c:pt idx="8">
                  <c:v>-46.195705401136365</c:v>
                </c:pt>
                <c:pt idx="9">
                  <c:v>95.223509218418712</c:v>
                </c:pt>
                <c:pt idx="10">
                  <c:v>306.87985763760389</c:v>
                </c:pt>
                <c:pt idx="11">
                  <c:v>412.96120585233257</c:v>
                </c:pt>
                <c:pt idx="12">
                  <c:v>261.01571112305101</c:v>
                </c:pt>
                <c:pt idx="13">
                  <c:v>87.949486424811312</c:v>
                </c:pt>
                <c:pt idx="14">
                  <c:v>239.335474099983</c:v>
                </c:pt>
                <c:pt idx="15">
                  <c:v>317.58544306912199</c:v>
                </c:pt>
                <c:pt idx="16">
                  <c:v>250.58012601783594</c:v>
                </c:pt>
                <c:pt idx="17">
                  <c:v>171.47363283601817</c:v>
                </c:pt>
                <c:pt idx="18">
                  <c:v>299.8876583687852</c:v>
                </c:pt>
                <c:pt idx="19">
                  <c:v>350.96135911585634</c:v>
                </c:pt>
                <c:pt idx="20">
                  <c:v>107.2421220624442</c:v>
                </c:pt>
                <c:pt idx="21">
                  <c:v>73.765367122650332</c:v>
                </c:pt>
                <c:pt idx="22">
                  <c:v>139.82680309609668</c:v>
                </c:pt>
                <c:pt idx="23">
                  <c:v>202.18651713633153</c:v>
                </c:pt>
                <c:pt idx="24">
                  <c:v>291.22107847671668</c:v>
                </c:pt>
                <c:pt idx="25">
                  <c:v>400.72623495799508</c:v>
                </c:pt>
                <c:pt idx="26">
                  <c:v>406.53502460083291</c:v>
                </c:pt>
                <c:pt idx="27">
                  <c:v>360.0486155894323</c:v>
                </c:pt>
                <c:pt idx="28">
                  <c:v>356.35127510863504</c:v>
                </c:pt>
                <c:pt idx="29">
                  <c:v>278.35497280414666</c:v>
                </c:pt>
                <c:pt idx="30">
                  <c:v>226.18899559574356</c:v>
                </c:pt>
                <c:pt idx="31">
                  <c:v>156.94864568515959</c:v>
                </c:pt>
                <c:pt idx="32">
                  <c:v>38.824611839899717</c:v>
                </c:pt>
                <c:pt idx="33">
                  <c:v>144.15486201677641</c:v>
                </c:pt>
                <c:pt idx="34">
                  <c:v>289.73768022113336</c:v>
                </c:pt>
                <c:pt idx="35">
                  <c:v>64.934868283138258</c:v>
                </c:pt>
                <c:pt idx="36">
                  <c:v>114.14716245494128</c:v>
                </c:pt>
                <c:pt idx="37">
                  <c:v>205.86096554268056</c:v>
                </c:pt>
                <c:pt idx="38">
                  <c:v>272.94328218423038</c:v>
                </c:pt>
                <c:pt idx="39">
                  <c:v>225.60436398578213</c:v>
                </c:pt>
                <c:pt idx="40">
                  <c:v>278.70330216655816</c:v>
                </c:pt>
                <c:pt idx="41">
                  <c:v>361.16432845869213</c:v>
                </c:pt>
                <c:pt idx="42">
                  <c:v>410.9926181505657</c:v>
                </c:pt>
                <c:pt idx="43">
                  <c:v>307.02532649626824</c:v>
                </c:pt>
                <c:pt idx="44">
                  <c:v>262.46787231978442</c:v>
                </c:pt>
                <c:pt idx="45">
                  <c:v>369.14522378088577</c:v>
                </c:pt>
                <c:pt idx="46">
                  <c:v>340.86506034731838</c:v>
                </c:pt>
                <c:pt idx="47">
                  <c:v>367.93525831497482</c:v>
                </c:pt>
                <c:pt idx="48">
                  <c:v>394.96527059860455</c:v>
                </c:pt>
                <c:pt idx="49">
                  <c:v>339.27628026983371</c:v>
                </c:pt>
                <c:pt idx="50">
                  <c:v>262.7629958830471</c:v>
                </c:pt>
                <c:pt idx="51">
                  <c:v>293.46369863692007</c:v>
                </c:pt>
                <c:pt idx="52">
                  <c:v>272.64801566379447</c:v>
                </c:pt>
                <c:pt idx="53">
                  <c:v>200.795139777955</c:v>
                </c:pt>
                <c:pt idx="54">
                  <c:v>184.83934333897332</c:v>
                </c:pt>
                <c:pt idx="55">
                  <c:v>163.37488237497291</c:v>
                </c:pt>
                <c:pt idx="56">
                  <c:v>119.92212926917955</c:v>
                </c:pt>
                <c:pt idx="57">
                  <c:v>160.49072690670027</c:v>
                </c:pt>
                <c:pt idx="58">
                  <c:v>279.27220115343289</c:v>
                </c:pt>
                <c:pt idx="59">
                  <c:v>216.96389189599768</c:v>
                </c:pt>
                <c:pt idx="60">
                  <c:v>245.58683233780152</c:v>
                </c:pt>
                <c:pt idx="61">
                  <c:v>385.86094565831081</c:v>
                </c:pt>
                <c:pt idx="62">
                  <c:v>387.64395325736245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F7-4036-AF3A-53C8C1854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304991"/>
        <c:axId val="1328291071"/>
      </c:lineChart>
      <c:dateAx>
        <c:axId val="132830499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291071"/>
        <c:crosses val="autoZero"/>
        <c:auto val="1"/>
        <c:lblOffset val="100"/>
        <c:baseTimeUnit val="months"/>
      </c:dateAx>
      <c:valAx>
        <c:axId val="132829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3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4456692913385825E-2"/>
          <c:y val="0.82291557305336838"/>
          <c:w val="0.86997550306211713"/>
          <c:h val="0.14930664916885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30336832895888"/>
          <c:y val="0.17171296296296296"/>
          <c:w val="0.85234930008748921"/>
          <c:h val="0.65454469233012536"/>
        </c:manualLayout>
      </c:layout>
      <c:lineChart>
        <c:grouping val="standard"/>
        <c:varyColors val="0"/>
        <c:ser>
          <c:idx val="0"/>
          <c:order val="0"/>
          <c:tx>
            <c:v>Disponivel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Margin'!$P$3:$P$65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Margin'!$R$3:$R$65</c:f>
              <c:numCache>
                <c:formatCode>_(* #,##0.00_);_(* \(#,##0.00\);_(* "-"??_);_(@_)</c:formatCode>
                <c:ptCount val="63"/>
                <c:pt idx="0">
                  <c:v>278.71708829419413</c:v>
                </c:pt>
                <c:pt idx="1">
                  <c:v>188.43120941013331</c:v>
                </c:pt>
                <c:pt idx="2">
                  <c:v>287.15074470832178</c:v>
                </c:pt>
                <c:pt idx="3">
                  <c:v>240.52755626991893</c:v>
                </c:pt>
                <c:pt idx="4">
                  <c:v>174.15331907754717</c:v>
                </c:pt>
                <c:pt idx="5">
                  <c:v>-79.016809180095152</c:v>
                </c:pt>
                <c:pt idx="6">
                  <c:v>-129.06484113959914</c:v>
                </c:pt>
                <c:pt idx="7">
                  <c:v>-218.04236030156562</c:v>
                </c:pt>
                <c:pt idx="8">
                  <c:v>-239.05595798970398</c:v>
                </c:pt>
                <c:pt idx="9">
                  <c:v>37.533671400738967</c:v>
                </c:pt>
                <c:pt idx="10">
                  <c:v>323.37712072903514</c:v>
                </c:pt>
                <c:pt idx="11">
                  <c:v>464.96188663786825</c:v>
                </c:pt>
                <c:pt idx="12">
                  <c:v>329.89762370417156</c:v>
                </c:pt>
                <c:pt idx="13">
                  <c:v>197.18674771445103</c:v>
                </c:pt>
                <c:pt idx="14">
                  <c:v>332.43969468733667</c:v>
                </c:pt>
                <c:pt idx="15">
                  <c:v>429.06665718319937</c:v>
                </c:pt>
                <c:pt idx="16">
                  <c:v>327.06900599529854</c:v>
                </c:pt>
                <c:pt idx="17">
                  <c:v>174.75435042911249</c:v>
                </c:pt>
                <c:pt idx="18">
                  <c:v>262.00673585843197</c:v>
                </c:pt>
                <c:pt idx="19">
                  <c:v>330.80078744890625</c:v>
                </c:pt>
                <c:pt idx="20">
                  <c:v>103.28579706866003</c:v>
                </c:pt>
                <c:pt idx="21">
                  <c:v>92.904025600736531</c:v>
                </c:pt>
                <c:pt idx="22">
                  <c:v>210.97287838700913</c:v>
                </c:pt>
                <c:pt idx="23">
                  <c:v>246.47976511011075</c:v>
                </c:pt>
                <c:pt idx="24">
                  <c:v>346.5601361818276</c:v>
                </c:pt>
                <c:pt idx="25">
                  <c:v>301.75500718054536</c:v>
                </c:pt>
                <c:pt idx="26">
                  <c:v>327.857130384421</c:v>
                </c:pt>
                <c:pt idx="27">
                  <c:v>257.01110029496567</c:v>
                </c:pt>
                <c:pt idx="28">
                  <c:v>241.61740306909701</c:v>
                </c:pt>
                <c:pt idx="29">
                  <c:v>221.40514639392836</c:v>
                </c:pt>
                <c:pt idx="30">
                  <c:v>207.71241335091258</c:v>
                </c:pt>
                <c:pt idx="31">
                  <c:v>124.88353448259113</c:v>
                </c:pt>
                <c:pt idx="32">
                  <c:v>-33.822989809858882</c:v>
                </c:pt>
                <c:pt idx="33">
                  <c:v>35.628722667365309</c:v>
                </c:pt>
                <c:pt idx="34">
                  <c:v>309.29681224708247</c:v>
                </c:pt>
                <c:pt idx="35">
                  <c:v>-5.2749312580422156</c:v>
                </c:pt>
                <c:pt idx="36">
                  <c:v>66.585412749390571</c:v>
                </c:pt>
                <c:pt idx="37">
                  <c:v>161.17326436861731</c:v>
                </c:pt>
                <c:pt idx="38">
                  <c:v>140.39529133405108</c:v>
                </c:pt>
                <c:pt idx="39">
                  <c:v>108.08704843324517</c:v>
                </c:pt>
                <c:pt idx="40">
                  <c:v>87.453596168702006</c:v>
                </c:pt>
                <c:pt idx="41">
                  <c:v>123.79374745728683</c:v>
                </c:pt>
                <c:pt idx="42">
                  <c:v>194.6618980032049</c:v>
                </c:pt>
                <c:pt idx="43">
                  <c:v>93.951308380403589</c:v>
                </c:pt>
                <c:pt idx="44">
                  <c:v>54.922323512497769</c:v>
                </c:pt>
                <c:pt idx="45">
                  <c:v>6.3310110146817351</c:v>
                </c:pt>
                <c:pt idx="46">
                  <c:v>49.487628526170738</c:v>
                </c:pt>
                <c:pt idx="47">
                  <c:v>254.53609836880059</c:v>
                </c:pt>
                <c:pt idx="48">
                  <c:v>441.02153300109103</c:v>
                </c:pt>
                <c:pt idx="49">
                  <c:v>328.7762044877702</c:v>
                </c:pt>
                <c:pt idx="50">
                  <c:v>216.57172885919067</c:v>
                </c:pt>
                <c:pt idx="51">
                  <c:v>261.34185037154452</c:v>
                </c:pt>
                <c:pt idx="52">
                  <c:v>237.03955917450094</c:v>
                </c:pt>
                <c:pt idx="53">
                  <c:v>145.96609044249726</c:v>
                </c:pt>
                <c:pt idx="54">
                  <c:v>80.163089715372962</c:v>
                </c:pt>
                <c:pt idx="55">
                  <c:v>28.585962528077744</c:v>
                </c:pt>
                <c:pt idx="56">
                  <c:v>-38.514308101983715</c:v>
                </c:pt>
                <c:pt idx="57">
                  <c:v>11.370981653221406</c:v>
                </c:pt>
                <c:pt idx="58">
                  <c:v>150.67856789864027</c:v>
                </c:pt>
                <c:pt idx="59">
                  <c:v>169.60101952927221</c:v>
                </c:pt>
                <c:pt idx="60">
                  <c:v>311.34033792242485</c:v>
                </c:pt>
                <c:pt idx="61">
                  <c:v>393.75375948587885</c:v>
                </c:pt>
                <c:pt idx="62">
                  <c:v>409.98284372433795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C-42B0-AE01-C115EDB39F46}"/>
            </c:ext>
          </c:extLst>
        </c:ser>
        <c:ser>
          <c:idx val="1"/>
          <c:order val="1"/>
          <c:tx>
            <c:v>Par Export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Margin'!$P$3:$P$65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Margin'!$G$3:$G$65</c:f>
              <c:numCache>
                <c:formatCode>_-* #,##0_-;\-* #,##0_-;_-* "-"??_-;_-@_-</c:formatCode>
                <c:ptCount val="63"/>
                <c:pt idx="0">
                  <c:v>247.06708829419358</c:v>
                </c:pt>
                <c:pt idx="1">
                  <c:v>271.41486954085167</c:v>
                </c:pt>
                <c:pt idx="2">
                  <c:v>394.0311794909303</c:v>
                </c:pt>
                <c:pt idx="3">
                  <c:v>318.78588960325214</c:v>
                </c:pt>
                <c:pt idx="4">
                  <c:v>291.72474764897515</c:v>
                </c:pt>
                <c:pt idx="5">
                  <c:v>-5.3752051700707852</c:v>
                </c:pt>
                <c:pt idx="6">
                  <c:v>15.957886133127886</c:v>
                </c:pt>
                <c:pt idx="7">
                  <c:v>32.457639698433468</c:v>
                </c:pt>
                <c:pt idx="8">
                  <c:v>-59.928973862718522</c:v>
                </c:pt>
                <c:pt idx="9">
                  <c:v>128.84200473407145</c:v>
                </c:pt>
                <c:pt idx="10">
                  <c:v>366.61045406236735</c:v>
                </c:pt>
                <c:pt idx="11">
                  <c:v>450.85077552675739</c:v>
                </c:pt>
                <c:pt idx="12">
                  <c:v>395.09735915390729</c:v>
                </c:pt>
                <c:pt idx="13">
                  <c:v>260.62095824076732</c:v>
                </c:pt>
                <c:pt idx="14">
                  <c:v>385.46999771764013</c:v>
                </c:pt>
                <c:pt idx="15">
                  <c:v>417.0403413937247</c:v>
                </c:pt>
                <c:pt idx="16">
                  <c:v>330.12203629832857</c:v>
                </c:pt>
                <c:pt idx="17">
                  <c:v>158.71863614339827</c:v>
                </c:pt>
                <c:pt idx="18">
                  <c:v>288.73689458859008</c:v>
                </c:pt>
                <c:pt idx="19">
                  <c:v>329.32252657934123</c:v>
                </c:pt>
                <c:pt idx="20">
                  <c:v>41.563574846438314</c:v>
                </c:pt>
                <c:pt idx="21">
                  <c:v>53.095692267403592</c:v>
                </c:pt>
                <c:pt idx="22">
                  <c:v>107.89173803613176</c:v>
                </c:pt>
                <c:pt idx="23">
                  <c:v>212.63254288788903</c:v>
                </c:pt>
                <c:pt idx="24">
                  <c:v>336.87903950073178</c:v>
                </c:pt>
                <c:pt idx="25">
                  <c:v>407.43746905418311</c:v>
                </c:pt>
                <c:pt idx="26">
                  <c:v>401.50205792065208</c:v>
                </c:pt>
                <c:pt idx="27">
                  <c:v>358.26110029496567</c:v>
                </c:pt>
                <c:pt idx="28">
                  <c:v>264.79483528600235</c:v>
                </c:pt>
                <c:pt idx="29">
                  <c:v>216.61149560027798</c:v>
                </c:pt>
                <c:pt idx="30">
                  <c:v>190.28716202816122</c:v>
                </c:pt>
                <c:pt idx="31">
                  <c:v>159.72954897534464</c:v>
                </c:pt>
                <c:pt idx="32">
                  <c:v>36.085343523474876</c:v>
                </c:pt>
                <c:pt idx="33">
                  <c:v>137.12078615942823</c:v>
                </c:pt>
                <c:pt idx="34">
                  <c:v>358.59764558041547</c:v>
                </c:pt>
                <c:pt idx="35">
                  <c:v>58.304016110379507</c:v>
                </c:pt>
                <c:pt idx="36">
                  <c:v>120.35345026742766</c:v>
                </c:pt>
                <c:pt idx="37">
                  <c:v>202.1820362984422</c:v>
                </c:pt>
                <c:pt idx="38">
                  <c:v>195.91195800071819</c:v>
                </c:pt>
                <c:pt idx="39">
                  <c:v>181.78401813021446</c:v>
                </c:pt>
                <c:pt idx="40">
                  <c:v>174.03296124806639</c:v>
                </c:pt>
                <c:pt idx="41">
                  <c:v>278.75208079061963</c:v>
                </c:pt>
                <c:pt idx="42">
                  <c:v>353.89740524958165</c:v>
                </c:pt>
                <c:pt idx="43">
                  <c:v>240.1407023197969</c:v>
                </c:pt>
                <c:pt idx="44">
                  <c:v>161.21597430614884</c:v>
                </c:pt>
                <c:pt idx="45">
                  <c:v>266.07014144946424</c:v>
                </c:pt>
                <c:pt idx="46">
                  <c:v>251.12868115775063</c:v>
                </c:pt>
                <c:pt idx="47">
                  <c:v>300.93478257932748</c:v>
                </c:pt>
                <c:pt idx="48">
                  <c:v>434.40789663745454</c:v>
                </c:pt>
                <c:pt idx="49">
                  <c:v>396.08453782110337</c:v>
                </c:pt>
                <c:pt idx="50">
                  <c:v>272.47821034067192</c:v>
                </c:pt>
                <c:pt idx="51">
                  <c:v>278.95018370487765</c:v>
                </c:pt>
                <c:pt idx="52">
                  <c:v>246.48400361894505</c:v>
                </c:pt>
                <c:pt idx="53">
                  <c:v>160.41609044249799</c:v>
                </c:pt>
                <c:pt idx="54">
                  <c:v>128.26635058493844</c:v>
                </c:pt>
                <c:pt idx="55">
                  <c:v>91.986914909030247</c:v>
                </c:pt>
                <c:pt idx="56">
                  <c:v>66.534934322259005</c:v>
                </c:pt>
                <c:pt idx="57">
                  <c:v>115.73880774017744</c:v>
                </c:pt>
                <c:pt idx="58">
                  <c:v>199.72462053021968</c:v>
                </c:pt>
                <c:pt idx="59">
                  <c:v>145.11768619593977</c:v>
                </c:pt>
                <c:pt idx="60">
                  <c:v>283.71811570020259</c:v>
                </c:pt>
                <c:pt idx="61">
                  <c:v>382.57875948587844</c:v>
                </c:pt>
                <c:pt idx="62">
                  <c:v>344.54187150211601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C-42B0-AE01-C115EDB39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171568"/>
        <c:axId val="305175408"/>
      </c:lineChart>
      <c:dateAx>
        <c:axId val="3051715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5408"/>
        <c:crosses val="autoZero"/>
        <c:auto val="1"/>
        <c:lblOffset val="100"/>
        <c:baseTimeUnit val="months"/>
      </c:dateAx>
      <c:valAx>
        <c:axId val="30517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509711286089241"/>
          <c:y val="0.62115667833187516"/>
          <c:w val="0.5187917760279965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385892388451444"/>
          <c:y val="5.5555555555555552E-2"/>
          <c:w val="0.86558552055992999"/>
          <c:h val="0.89814814814814814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Margin'!$U$38</c:f>
              <c:strCache>
                <c:ptCount val="1"/>
                <c:pt idx="0">
                  <c:v>Stonex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Margin'!$P$39:$P$65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Margin'!$U$39:$U$65</c:f>
              <c:numCache>
                <c:formatCode>_(* #,##0.00_);_(* \(#,##0.00\);_(* "-"??_);_(@_)</c:formatCode>
                <c:ptCount val="27"/>
                <c:pt idx="0">
                  <c:v>284.70270833333274</c:v>
                </c:pt>
                <c:pt idx="1">
                  <c:v>285.9854999999996</c:v>
                </c:pt>
                <c:pt idx="2">
                  <c:v>158.97833333333327</c:v>
                </c:pt>
                <c:pt idx="3">
                  <c:v>148.00916666666623</c:v>
                </c:pt>
                <c:pt idx="4">
                  <c:v>252.65416666666616</c:v>
                </c:pt>
                <c:pt idx="5">
                  <c:v>257.44208333333302</c:v>
                </c:pt>
                <c:pt idx="6">
                  <c:v>369.95270833333302</c:v>
                </c:pt>
                <c:pt idx="7">
                  <c:v>247.767333333333</c:v>
                </c:pt>
                <c:pt idx="8">
                  <c:v>124.12499999999987</c:v>
                </c:pt>
                <c:pt idx="9">
                  <c:v>-18.799999999999841</c:v>
                </c:pt>
                <c:pt idx="10">
                  <c:v>29.250000000000099</c:v>
                </c:pt>
                <c:pt idx="11">
                  <c:v>21.616666666666649</c:v>
                </c:pt>
                <c:pt idx="12">
                  <c:v>410.5999999999998</c:v>
                </c:pt>
                <c:pt idx="13">
                  <c:v>405.33333333333303</c:v>
                </c:pt>
                <c:pt idx="14">
                  <c:v>226.49999999999977</c:v>
                </c:pt>
                <c:pt idx="15">
                  <c:v>176.74999999999974</c:v>
                </c:pt>
                <c:pt idx="16">
                  <c:v>209.933333333333</c:v>
                </c:pt>
                <c:pt idx="17">
                  <c:v>174.20833333333292</c:v>
                </c:pt>
                <c:pt idx="18">
                  <c:v>147.67333333333286</c:v>
                </c:pt>
                <c:pt idx="19">
                  <c:v>70.183333333332925</c:v>
                </c:pt>
                <c:pt idx="20">
                  <c:v>200.70833333333303</c:v>
                </c:pt>
                <c:pt idx="21">
                  <c:v>307.4999999999996</c:v>
                </c:pt>
                <c:pt idx="22">
                  <c:v>403.91666666666652</c:v>
                </c:pt>
                <c:pt idx="23">
                  <c:v>297.83333333333303</c:v>
                </c:pt>
                <c:pt idx="24">
                  <c:v>318.53333333333302</c:v>
                </c:pt>
                <c:pt idx="25">
                  <c:v>366.41666666666629</c:v>
                </c:pt>
                <c:pt idx="26">
                  <c:v>324.166666666666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32D-AE26-726307EE3EBC}"/>
            </c:ext>
          </c:extLst>
        </c:ser>
        <c:ser>
          <c:idx val="1"/>
          <c:order val="1"/>
          <c:tx>
            <c:v>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Margin'!$P$39:$P$65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Margin'!$R$39:$R$65</c:f>
              <c:numCache>
                <c:formatCode>_(* #,##0.00_);_(* \(#,##0.00\);_(* "-"??_);_(@_)</c:formatCode>
                <c:ptCount val="27"/>
                <c:pt idx="0">
                  <c:v>66.585412749390571</c:v>
                </c:pt>
                <c:pt idx="1">
                  <c:v>161.17326436861731</c:v>
                </c:pt>
                <c:pt idx="2">
                  <c:v>140.39529133405108</c:v>
                </c:pt>
                <c:pt idx="3">
                  <c:v>108.08704843324517</c:v>
                </c:pt>
                <c:pt idx="4">
                  <c:v>87.453596168702006</c:v>
                </c:pt>
                <c:pt idx="5">
                  <c:v>123.79374745728683</c:v>
                </c:pt>
                <c:pt idx="6">
                  <c:v>194.6618980032049</c:v>
                </c:pt>
                <c:pt idx="7">
                  <c:v>93.951308380403589</c:v>
                </c:pt>
                <c:pt idx="8">
                  <c:v>54.922323512497769</c:v>
                </c:pt>
                <c:pt idx="9">
                  <c:v>6.3310110146817351</c:v>
                </c:pt>
                <c:pt idx="10">
                  <c:v>49.487628526170738</c:v>
                </c:pt>
                <c:pt idx="11">
                  <c:v>254.53609836880059</c:v>
                </c:pt>
                <c:pt idx="12">
                  <c:v>441.02153300109103</c:v>
                </c:pt>
                <c:pt idx="13">
                  <c:v>328.7762044877702</c:v>
                </c:pt>
                <c:pt idx="14">
                  <c:v>216.57172885919067</c:v>
                </c:pt>
                <c:pt idx="15">
                  <c:v>261.34185037154452</c:v>
                </c:pt>
                <c:pt idx="16">
                  <c:v>237.03955917450094</c:v>
                </c:pt>
                <c:pt idx="17">
                  <c:v>145.96609044249726</c:v>
                </c:pt>
                <c:pt idx="18">
                  <c:v>80.163089715372962</c:v>
                </c:pt>
                <c:pt idx="19">
                  <c:v>28.585962528077744</c:v>
                </c:pt>
                <c:pt idx="20">
                  <c:v>-38.514308101983715</c:v>
                </c:pt>
                <c:pt idx="21">
                  <c:v>11.370981653221406</c:v>
                </c:pt>
                <c:pt idx="22">
                  <c:v>150.67856789864027</c:v>
                </c:pt>
                <c:pt idx="23">
                  <c:v>169.60101952927221</c:v>
                </c:pt>
                <c:pt idx="24">
                  <c:v>311.34033792242485</c:v>
                </c:pt>
                <c:pt idx="25">
                  <c:v>393.75375948587885</c:v>
                </c:pt>
                <c:pt idx="26">
                  <c:v>409.98284372433795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02-432D-AE26-726307EE3EBC}"/>
            </c:ext>
          </c:extLst>
        </c:ser>
        <c:ser>
          <c:idx val="2"/>
          <c:order val="2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Crushing Margin'!$G$39:$G$65</c:f>
              <c:numCache>
                <c:formatCode>_-* #,##0_-;\-* #,##0_-;_-* "-"??_-;_-@_-</c:formatCode>
                <c:ptCount val="27"/>
                <c:pt idx="0">
                  <c:v>120.35345026742766</c:v>
                </c:pt>
                <c:pt idx="1">
                  <c:v>202.1820362984422</c:v>
                </c:pt>
                <c:pt idx="2">
                  <c:v>195.91195800071819</c:v>
                </c:pt>
                <c:pt idx="3">
                  <c:v>181.78401813021446</c:v>
                </c:pt>
                <c:pt idx="4">
                  <c:v>174.03296124806639</c:v>
                </c:pt>
                <c:pt idx="5">
                  <c:v>278.75208079061963</c:v>
                </c:pt>
                <c:pt idx="6">
                  <c:v>353.89740524958165</c:v>
                </c:pt>
                <c:pt idx="7">
                  <c:v>240.1407023197969</c:v>
                </c:pt>
                <c:pt idx="8">
                  <c:v>161.21597430614884</c:v>
                </c:pt>
                <c:pt idx="9">
                  <c:v>266.07014144946424</c:v>
                </c:pt>
                <c:pt idx="10">
                  <c:v>251.12868115775063</c:v>
                </c:pt>
                <c:pt idx="11">
                  <c:v>300.93478257932748</c:v>
                </c:pt>
                <c:pt idx="12">
                  <c:v>434.40789663745454</c:v>
                </c:pt>
                <c:pt idx="13">
                  <c:v>396.08453782110337</c:v>
                </c:pt>
                <c:pt idx="14">
                  <c:v>272.47821034067192</c:v>
                </c:pt>
                <c:pt idx="15">
                  <c:v>278.95018370487765</c:v>
                </c:pt>
                <c:pt idx="16">
                  <c:v>246.48400361894505</c:v>
                </c:pt>
                <c:pt idx="17">
                  <c:v>160.41609044249799</c:v>
                </c:pt>
                <c:pt idx="18">
                  <c:v>128.26635058493844</c:v>
                </c:pt>
                <c:pt idx="19">
                  <c:v>91.986914909030247</c:v>
                </c:pt>
                <c:pt idx="20">
                  <c:v>66.534934322259005</c:v>
                </c:pt>
                <c:pt idx="21">
                  <c:v>115.73880774017744</c:v>
                </c:pt>
                <c:pt idx="22">
                  <c:v>199.72462053021968</c:v>
                </c:pt>
                <c:pt idx="23">
                  <c:v>145.11768619593977</c:v>
                </c:pt>
                <c:pt idx="24">
                  <c:v>283.71811570020259</c:v>
                </c:pt>
                <c:pt idx="25">
                  <c:v>382.57875948587844</c:v>
                </c:pt>
                <c:pt idx="26">
                  <c:v>344.54187150211601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02-432D-AE26-726307EE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467408"/>
        <c:axId val="318465968"/>
      </c:lineChart>
      <c:dateAx>
        <c:axId val="3184674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5968"/>
        <c:crosses val="autoZero"/>
        <c:auto val="1"/>
        <c:lblOffset val="100"/>
        <c:baseTimeUnit val="months"/>
      </c:dateAx>
      <c:valAx>
        <c:axId val="31846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924912510936132"/>
          <c:y val="1.2441309419655879E-2"/>
          <c:w val="0.662973097112860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1227034120735"/>
          <c:y val="0.17171296296296296"/>
          <c:w val="0.8493217410323709"/>
          <c:h val="0.66222987751531059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Margin'!$L$2</c:f>
              <c:strCache>
                <c:ptCount val="1"/>
                <c:pt idx="0">
                  <c:v>LRV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Margin'!$L$3:$L$65</c:f>
              <c:numCache>
                <c:formatCode>0</c:formatCode>
                <c:ptCount val="63"/>
                <c:pt idx="0">
                  <c:v>247.59475829419353</c:v>
                </c:pt>
                <c:pt idx="1">
                  <c:v>271.89535812085205</c:v>
                </c:pt>
                <c:pt idx="2">
                  <c:v>394.40440949092999</c:v>
                </c:pt>
                <c:pt idx="3">
                  <c:v>319.13595360325189</c:v>
                </c:pt>
                <c:pt idx="4">
                  <c:v>291.87146564897512</c:v>
                </c:pt>
                <c:pt idx="5">
                  <c:v>-4.9290537500701248</c:v>
                </c:pt>
                <c:pt idx="6">
                  <c:v>16.42120613312818</c:v>
                </c:pt>
                <c:pt idx="7">
                  <c:v>32.727909698432995</c:v>
                </c:pt>
                <c:pt idx="8">
                  <c:v>-59.658703862719449</c:v>
                </c:pt>
                <c:pt idx="9">
                  <c:v>129.57302073407209</c:v>
                </c:pt>
                <c:pt idx="10">
                  <c:v>367.27969406236707</c:v>
                </c:pt>
                <c:pt idx="11">
                  <c:v>451.63327152675765</c:v>
                </c:pt>
                <c:pt idx="12">
                  <c:v>395.92747415390659</c:v>
                </c:pt>
                <c:pt idx="13">
                  <c:v>261.57333824076704</c:v>
                </c:pt>
                <c:pt idx="14">
                  <c:v>386.40307271764004</c:v>
                </c:pt>
                <c:pt idx="15">
                  <c:v>418.55797179372394</c:v>
                </c:pt>
                <c:pt idx="16">
                  <c:v>331.40903629832837</c:v>
                </c:pt>
                <c:pt idx="17">
                  <c:v>160.27590614339806</c:v>
                </c:pt>
                <c:pt idx="18">
                  <c:v>289.99300658859011</c:v>
                </c:pt>
                <c:pt idx="19">
                  <c:v>330.45379957934119</c:v>
                </c:pt>
                <c:pt idx="20">
                  <c:v>42.860870846438047</c:v>
                </c:pt>
                <c:pt idx="21">
                  <c:v>54.22825226740315</c:v>
                </c:pt>
                <c:pt idx="22">
                  <c:v>108.76689803613226</c:v>
                </c:pt>
                <c:pt idx="23">
                  <c:v>214.2670328878894</c:v>
                </c:pt>
                <c:pt idx="24">
                  <c:v>337.90863950073162</c:v>
                </c:pt>
                <c:pt idx="25">
                  <c:v>408.63180505418359</c:v>
                </c:pt>
                <c:pt idx="26">
                  <c:v>402.58931552065224</c:v>
                </c:pt>
                <c:pt idx="27">
                  <c:v>359.37564229496547</c:v>
                </c:pt>
                <c:pt idx="28">
                  <c:v>265.89908128600268</c:v>
                </c:pt>
                <c:pt idx="29">
                  <c:v>218.00145560027795</c:v>
                </c:pt>
                <c:pt idx="30">
                  <c:v>191.4870578681614</c:v>
                </c:pt>
                <c:pt idx="31">
                  <c:v>160.54679397534505</c:v>
                </c:pt>
                <c:pt idx="32">
                  <c:v>37.200400323474696</c:v>
                </c:pt>
                <c:pt idx="33">
                  <c:v>138.34343615942817</c:v>
                </c:pt>
                <c:pt idx="34">
                  <c:v>359.81599700041511</c:v>
                </c:pt>
                <c:pt idx="35">
                  <c:v>59.432457710378912</c:v>
                </c:pt>
                <c:pt idx="36">
                  <c:v>121.57610026742759</c:v>
                </c:pt>
                <c:pt idx="37">
                  <c:v>203.34677129844204</c:v>
                </c:pt>
                <c:pt idx="38">
                  <c:v>196.84889400071779</c:v>
                </c:pt>
                <c:pt idx="39">
                  <c:v>182.68491813021456</c:v>
                </c:pt>
                <c:pt idx="40">
                  <c:v>174.96088824806657</c:v>
                </c:pt>
                <c:pt idx="41">
                  <c:v>279.64860499061933</c:v>
                </c:pt>
                <c:pt idx="42">
                  <c:v>354.88839524958144</c:v>
                </c:pt>
                <c:pt idx="43">
                  <c:v>241.09823031979681</c:v>
                </c:pt>
                <c:pt idx="44">
                  <c:v>162.30992430614856</c:v>
                </c:pt>
                <c:pt idx="45">
                  <c:v>267.06113144946426</c:v>
                </c:pt>
                <c:pt idx="46">
                  <c:v>252.28224499775047</c:v>
                </c:pt>
                <c:pt idx="47">
                  <c:v>301.90106217932748</c:v>
                </c:pt>
                <c:pt idx="48">
                  <c:v>435.1972566374543</c:v>
                </c:pt>
                <c:pt idx="49">
                  <c:v>396.99830782110325</c:v>
                </c:pt>
                <c:pt idx="50">
                  <c:v>272.97396274067137</c:v>
                </c:pt>
                <c:pt idx="51">
                  <c:v>279.8896937048778</c:v>
                </c:pt>
                <c:pt idx="52">
                  <c:v>247.47241961894451</c:v>
                </c:pt>
                <c:pt idx="53">
                  <c:v>161.55045224249807</c:v>
                </c:pt>
                <c:pt idx="54">
                  <c:v>129.63134278493794</c:v>
                </c:pt>
                <c:pt idx="55">
                  <c:v>92.863722269030177</c:v>
                </c:pt>
                <c:pt idx="56">
                  <c:v>67.422706922258385</c:v>
                </c:pt>
                <c:pt idx="57">
                  <c:v>116.66956614017681</c:v>
                </c:pt>
                <c:pt idx="58">
                  <c:v>200.74572633022012</c:v>
                </c:pt>
                <c:pt idx="59">
                  <c:v>146.12617939593974</c:v>
                </c:pt>
                <c:pt idx="60">
                  <c:v>284.75306962020318</c:v>
                </c:pt>
                <c:pt idx="61">
                  <c:v>383.5156954858785</c:v>
                </c:pt>
                <c:pt idx="62">
                  <c:v>345.39026190211644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4C-4968-A325-54BB10E47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624848"/>
        <c:axId val="1896618608"/>
      </c:lineChart>
      <c:dateAx>
        <c:axId val="1896624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6618608"/>
        <c:crosses val="autoZero"/>
        <c:auto val="1"/>
        <c:lblOffset val="100"/>
        <c:baseTimeUnit val="months"/>
      </c:dateAx>
      <c:valAx>
        <c:axId val="189661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R$/ ton</a:t>
                </a:r>
              </a:p>
            </c:rich>
          </c:tx>
          <c:layout>
            <c:manualLayout>
              <c:xMode val="edge"/>
              <c:yMode val="edge"/>
              <c:x val="2.208223972003499E-3"/>
              <c:y val="0.34421660834062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662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303149606299212E-2"/>
          <c:y val="0.13368110236220473"/>
          <c:w val="0.87025743657042864"/>
          <c:h val="0.69105096237970243"/>
        </c:manualLayout>
      </c:layout>
      <c:lineChart>
        <c:grouping val="standard"/>
        <c:varyColors val="0"/>
        <c:ser>
          <c:idx val="0"/>
          <c:order val="0"/>
          <c:tx>
            <c:strRef>
              <c:f>'Modelo Farelo'!$L$2</c:f>
              <c:strCache>
                <c:ptCount val="1"/>
                <c:pt idx="0">
                  <c:v>Rondonopolis, MT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Farelo'!$L$3:$L$65</c:f>
              <c:numCache>
                <c:formatCode>_-* #,##0_-;\-* #,##0_-;_-* "-"??_-;_-@_-</c:formatCode>
                <c:ptCount val="63"/>
                <c:pt idx="0">
                  <c:v>2593.3873333333336</c:v>
                </c:pt>
                <c:pt idx="1">
                  <c:v>2580.9659999999999</c:v>
                </c:pt>
                <c:pt idx="2">
                  <c:v>2199.139550724638</c:v>
                </c:pt>
                <c:pt idx="3">
                  <c:v>2380.7683333333334</c:v>
                </c:pt>
                <c:pt idx="4">
                  <c:v>2399.4542105263158</c:v>
                </c:pt>
                <c:pt idx="5">
                  <c:v>2351.4916666666668</c:v>
                </c:pt>
                <c:pt idx="6">
                  <c:v>2193.4194444444438</c:v>
                </c:pt>
                <c:pt idx="7">
                  <c:v>2250.9657142857145</c:v>
                </c:pt>
                <c:pt idx="8">
                  <c:v>2233.1582352941168</c:v>
                </c:pt>
                <c:pt idx="9">
                  <c:v>2227.5691666666667</c:v>
                </c:pt>
                <c:pt idx="10">
                  <c:v>2137.7745000000004</c:v>
                </c:pt>
                <c:pt idx="11">
                  <c:v>2250.8838095238098</c:v>
                </c:pt>
                <c:pt idx="12">
                  <c:v>2489.0482352941171</c:v>
                </c:pt>
                <c:pt idx="13">
                  <c:v>2634.0839999999998</c:v>
                </c:pt>
                <c:pt idx="14">
                  <c:v>2521.92</c:v>
                </c:pt>
                <c:pt idx="15">
                  <c:v>2386.4666666666667</c:v>
                </c:pt>
                <c:pt idx="16">
                  <c:v>2258.3818181818178</c:v>
                </c:pt>
                <c:pt idx="17">
                  <c:v>2287.600952380953</c:v>
                </c:pt>
                <c:pt idx="18">
                  <c:v>2444.651904761904</c:v>
                </c:pt>
                <c:pt idx="19">
                  <c:v>2434.0122727272733</c:v>
                </c:pt>
                <c:pt idx="20">
                  <c:v>2447.1884999999993</c:v>
                </c:pt>
                <c:pt idx="21">
                  <c:v>2502.0754999999999</c:v>
                </c:pt>
                <c:pt idx="22">
                  <c:v>2455.5252631578951</c:v>
                </c:pt>
                <c:pt idx="23">
                  <c:v>2574.3320000000003</c:v>
                </c:pt>
                <c:pt idx="24">
                  <c:v>2712.2999999999997</c:v>
                </c:pt>
                <c:pt idx="25">
                  <c:v>2695.6890909090907</c:v>
                </c:pt>
                <c:pt idx="26">
                  <c:v>2517</c:v>
                </c:pt>
                <c:pt idx="27">
                  <c:v>2236.2322222222224</c:v>
                </c:pt>
                <c:pt idx="28">
                  <c:v>2097.4890909090918</c:v>
                </c:pt>
                <c:pt idx="29">
                  <c:v>2018.7080952380948</c:v>
                </c:pt>
                <c:pt idx="30">
                  <c:v>2047.2514285714285</c:v>
                </c:pt>
                <c:pt idx="31">
                  <c:v>2016.1686363636363</c:v>
                </c:pt>
                <c:pt idx="32">
                  <c:v>2041.1380000000004</c:v>
                </c:pt>
                <c:pt idx="33">
                  <c:v>2069.0935294117644</c:v>
                </c:pt>
                <c:pt idx="34">
                  <c:v>2286.84</c:v>
                </c:pt>
                <c:pt idx="35">
                  <c:v>1984.4883333333335</c:v>
                </c:pt>
                <c:pt idx="36">
                  <c:v>1895.9386363636368</c:v>
                </c:pt>
                <c:pt idx="37">
                  <c:v>1753.7015789473685</c:v>
                </c:pt>
                <c:pt idx="38">
                  <c:v>1664.8545000000001</c:v>
                </c:pt>
                <c:pt idx="39">
                  <c:v>1686.1072727272724</c:v>
                </c:pt>
                <c:pt idx="40">
                  <c:v>1985.0714285714287</c:v>
                </c:pt>
                <c:pt idx="41">
                  <c:v>2012.1490000000001</c:v>
                </c:pt>
                <c:pt idx="42">
                  <c:v>1962.9895652173911</c:v>
                </c:pt>
                <c:pt idx="43">
                  <c:v>1938.4890909090916</c:v>
                </c:pt>
                <c:pt idx="44">
                  <c:v>1986.7313333333334</c:v>
                </c:pt>
                <c:pt idx="45">
                  <c:v>2008.3391304347826</c:v>
                </c:pt>
                <c:pt idx="46">
                  <c:v>1902.9478947368425</c:v>
                </c:pt>
                <c:pt idx="47">
                  <c:v>1949.9068421052634</c:v>
                </c:pt>
                <c:pt idx="48">
                  <c:v>1889.6013636363632</c:v>
                </c:pt>
                <c:pt idx="49">
                  <c:v>1677.2085000000002</c:v>
                </c:pt>
                <c:pt idx="50">
                  <c:v>1699.2905263157893</c:v>
                </c:pt>
                <c:pt idx="51">
                  <c:v>1693.367777777778</c:v>
                </c:pt>
                <c:pt idx="52">
                  <c:v>1610.7164285714287</c:v>
                </c:pt>
                <c:pt idx="53">
                  <c:v>1576.81</c:v>
                </c:pt>
                <c:pt idx="54">
                  <c:v>1465.4404347826082</c:v>
                </c:pt>
                <c:pt idx="55">
                  <c:v>1484.9444999999998</c:v>
                </c:pt>
                <c:pt idx="56">
                  <c:v>1501.390909090909</c:v>
                </c:pt>
                <c:pt idx="57">
                  <c:v>1438.1621739130437</c:v>
                </c:pt>
                <c:pt idx="58">
                  <c:v>1536.7394736842105</c:v>
                </c:pt>
                <c:pt idx="59">
                  <c:v>1563.3260000000002</c:v>
                </c:pt>
                <c:pt idx="60">
                  <c:v>1493.3157142857144</c:v>
                </c:pt>
                <c:pt idx="61">
                  <c:v>1585.38</c:v>
                </c:pt>
                <c:pt idx="62">
                  <c:v>1570.88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B-4F92-BFD9-5FAD4B243B81}"/>
            </c:ext>
          </c:extLst>
        </c:ser>
        <c:ser>
          <c:idx val="1"/>
          <c:order val="1"/>
          <c:tx>
            <c:strRef>
              <c:f>'Modelo Farelo'!$O$2</c:f>
              <c:strCache>
                <c:ptCount val="1"/>
                <c:pt idx="0">
                  <c:v>MT IMEA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Farelo'!$O$3:$O$65</c:f>
              <c:numCache>
                <c:formatCode>General</c:formatCode>
                <c:ptCount val="63"/>
                <c:pt idx="24" formatCode="_-* #,##0_-;\-* #,##0_-;_-* &quot;-&quot;??_-;_-@_-">
                  <c:v>0</c:v>
                </c:pt>
                <c:pt idx="25" formatCode="_-* #,##0_-;\-* #,##0_-;_-* &quot;-&quot;??_-;_-@_-">
                  <c:v>0</c:v>
                </c:pt>
                <c:pt idx="26" formatCode="_-* #,##0_-;\-* #,##0_-;_-* &quot;-&quot;??_-;_-@_-">
                  <c:v>0</c:v>
                </c:pt>
                <c:pt idx="27" formatCode="_-* #,##0_-;\-* #,##0_-;_-* &quot;-&quot;??_-;_-@_-">
                  <c:v>0</c:v>
                </c:pt>
                <c:pt idx="28" formatCode="_-* #,##0_-;\-* #,##0_-;_-* &quot;-&quot;??_-;_-@_-">
                  <c:v>0</c:v>
                </c:pt>
                <c:pt idx="29" formatCode="_-* #,##0_-;\-* #,##0_-;_-* &quot;-&quot;??_-;_-@_-">
                  <c:v>0</c:v>
                </c:pt>
                <c:pt idx="30" formatCode="_-* #,##0_-;\-* #,##0_-;_-* &quot;-&quot;??_-;_-@_-">
                  <c:v>0</c:v>
                </c:pt>
                <c:pt idx="31" formatCode="_-* #,##0_-;\-* #,##0_-;_-* &quot;-&quot;??_-;_-@_-">
                  <c:v>0</c:v>
                </c:pt>
                <c:pt idx="32" formatCode="_-* #,##0_-;\-* #,##0_-;_-* &quot;-&quot;??_-;_-@_-">
                  <c:v>0</c:v>
                </c:pt>
                <c:pt idx="33" formatCode="_-* #,##0_-;\-* #,##0_-;_-* &quot;-&quot;??_-;_-@_-">
                  <c:v>0</c:v>
                </c:pt>
                <c:pt idx="34" formatCode="_-* #,##0_-;\-* #,##0_-;_-* &quot;-&quot;??_-;_-@_-">
                  <c:v>0</c:v>
                </c:pt>
                <c:pt idx="35" formatCode="_-* #,##0_-;\-* #,##0_-;_-* &quot;-&quot;??_-;_-@_-">
                  <c:v>0</c:v>
                </c:pt>
                <c:pt idx="36" formatCode="_-* #,##0_-;\-* #,##0_-;_-* &quot;-&quot;??_-;_-@_-">
                  <c:v>0</c:v>
                </c:pt>
                <c:pt idx="37" formatCode="_-* #,##0_-;\-* #,##0_-;_-* &quot;-&quot;??_-;_-@_-">
                  <c:v>0</c:v>
                </c:pt>
                <c:pt idx="38" formatCode="_-* #,##0_-;\-* #,##0_-;_-* &quot;-&quot;??_-;_-@_-">
                  <c:v>0</c:v>
                </c:pt>
                <c:pt idx="39" formatCode="_-* #,##0_-;\-* #,##0_-;_-* &quot;-&quot;??_-;_-@_-">
                  <c:v>0</c:v>
                </c:pt>
                <c:pt idx="40" formatCode="_-* #,##0_-;\-* #,##0_-;_-* &quot;-&quot;??_-;_-@_-">
                  <c:v>0</c:v>
                </c:pt>
                <c:pt idx="41" formatCode="_-* #,##0_-;\-* #,##0_-;_-* &quot;-&quot;??_-;_-@_-">
                  <c:v>0</c:v>
                </c:pt>
                <c:pt idx="42" formatCode="_-* #,##0_-;\-* #,##0_-;_-* &quot;-&quot;??_-;_-@_-">
                  <c:v>0</c:v>
                </c:pt>
                <c:pt idx="43" formatCode="_-* #,##0_-;\-* #,##0_-;_-* &quot;-&quot;??_-;_-@_-">
                  <c:v>0</c:v>
                </c:pt>
                <c:pt idx="44" formatCode="_-* #,##0_-;\-* #,##0_-;_-* &quot;-&quot;??_-;_-@_-">
                  <c:v>0</c:v>
                </c:pt>
                <c:pt idx="45" formatCode="_-* #,##0_-;\-* #,##0_-;_-* &quot;-&quot;??_-;_-@_-">
                  <c:v>0</c:v>
                </c:pt>
                <c:pt idx="46" formatCode="_-* #,##0_-;\-* #,##0_-;_-* &quot;-&quot;??_-;_-@_-">
                  <c:v>0</c:v>
                </c:pt>
                <c:pt idx="47" formatCode="_-* #,##0_-;\-* #,##0_-;_-* &quot;-&quot;??_-;_-@_-">
                  <c:v>0</c:v>
                </c:pt>
                <c:pt idx="48" formatCode="_-* #,##0_-;\-* #,##0_-;_-* &quot;-&quot;??_-;_-@_-">
                  <c:v>0</c:v>
                </c:pt>
                <c:pt idx="49" formatCode="_-* #,##0_-;\-* #,##0_-;_-* &quot;-&quot;??_-;_-@_-">
                  <c:v>0</c:v>
                </c:pt>
                <c:pt idx="50" formatCode="_-* #,##0_-;\-* #,##0_-;_-* &quot;-&quot;??_-;_-@_-">
                  <c:v>0</c:v>
                </c:pt>
                <c:pt idx="51" formatCode="_-* #,##0_-;\-* #,##0_-;_-* &quot;-&quot;??_-;_-@_-">
                  <c:v>0</c:v>
                </c:pt>
                <c:pt idx="52" formatCode="_-* #,##0_-;\-* #,##0_-;_-* &quot;-&quot;??_-;_-@_-">
                  <c:v>0</c:v>
                </c:pt>
                <c:pt idx="53" formatCode="_-* #,##0_-;\-* #,##0_-;_-* &quot;-&quot;??_-;_-@_-">
                  <c:v>0</c:v>
                </c:pt>
                <c:pt idx="54" formatCode="_-* #,##0_-;\-* #,##0_-;_-* &quot;-&quot;??_-;_-@_-">
                  <c:v>0</c:v>
                </c:pt>
                <c:pt idx="55" formatCode="_-* #,##0_-;\-* #,##0_-;_-* &quot;-&quot;??_-;_-@_-">
                  <c:v>0</c:v>
                </c:pt>
                <c:pt idx="56" formatCode="_-* #,##0_-;\-* #,##0_-;_-* &quot;-&quot;??_-;_-@_-">
                  <c:v>0</c:v>
                </c:pt>
                <c:pt idx="57" formatCode="_-* #,##0_-;\-* #,##0_-;_-* &quot;-&quot;??_-;_-@_-">
                  <c:v>0</c:v>
                </c:pt>
                <c:pt idx="58" formatCode="_-* #,##0_-;\-* #,##0_-;_-* &quot;-&quot;??_-;_-@_-">
                  <c:v>0</c:v>
                </c:pt>
                <c:pt idx="59" formatCode="_-* #,##0_-;\-* #,##0_-;_-* &quot;-&quot;??_-;_-@_-">
                  <c:v>0</c:v>
                </c:pt>
                <c:pt idx="60" formatCode="_-* #,##0_-;\-* #,##0_-;_-* &quot;-&quot;??_-;_-@_-">
                  <c:v>0</c:v>
                </c:pt>
                <c:pt idx="61" formatCode="_-* #,##0_-;\-* #,##0_-;_-* &quot;-&quot;??_-;_-@_-">
                  <c:v>0</c:v>
                </c:pt>
                <c:pt idx="62" formatCode="_-* #,##0_-;\-* #,##0_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B-4F92-BFD9-5FAD4B243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04512"/>
        <c:axId val="958304992"/>
      </c:lineChart>
      <c:dateAx>
        <c:axId val="9583045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8304992"/>
        <c:crosses val="autoZero"/>
        <c:auto val="1"/>
        <c:lblOffset val="100"/>
        <c:baseTimeUnit val="months"/>
      </c:dateAx>
      <c:valAx>
        <c:axId val="958304992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830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Rondonópolis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Farelo'!$L$3:$L$65</c:f>
              <c:numCache>
                <c:formatCode>_-* #,##0_-;\-* #,##0_-;_-* "-"??_-;_-@_-</c:formatCode>
                <c:ptCount val="63"/>
                <c:pt idx="0">
                  <c:v>2593.3873333333336</c:v>
                </c:pt>
                <c:pt idx="1">
                  <c:v>2580.9659999999999</c:v>
                </c:pt>
                <c:pt idx="2">
                  <c:v>2199.139550724638</c:v>
                </c:pt>
                <c:pt idx="3">
                  <c:v>2380.7683333333334</c:v>
                </c:pt>
                <c:pt idx="4">
                  <c:v>2399.4542105263158</c:v>
                </c:pt>
                <c:pt idx="5">
                  <c:v>2351.4916666666668</c:v>
                </c:pt>
                <c:pt idx="6">
                  <c:v>2193.4194444444438</c:v>
                </c:pt>
                <c:pt idx="7">
                  <c:v>2250.9657142857145</c:v>
                </c:pt>
                <c:pt idx="8">
                  <c:v>2233.1582352941168</c:v>
                </c:pt>
                <c:pt idx="9">
                  <c:v>2227.5691666666667</c:v>
                </c:pt>
                <c:pt idx="10">
                  <c:v>2137.7745000000004</c:v>
                </c:pt>
                <c:pt idx="11">
                  <c:v>2250.8838095238098</c:v>
                </c:pt>
                <c:pt idx="12">
                  <c:v>2489.0482352941171</c:v>
                </c:pt>
                <c:pt idx="13">
                  <c:v>2634.0839999999998</c:v>
                </c:pt>
                <c:pt idx="14">
                  <c:v>2521.92</c:v>
                </c:pt>
                <c:pt idx="15">
                  <c:v>2386.4666666666667</c:v>
                </c:pt>
                <c:pt idx="16">
                  <c:v>2258.3818181818178</c:v>
                </c:pt>
                <c:pt idx="17">
                  <c:v>2287.600952380953</c:v>
                </c:pt>
                <c:pt idx="18">
                  <c:v>2444.651904761904</c:v>
                </c:pt>
                <c:pt idx="19">
                  <c:v>2434.0122727272733</c:v>
                </c:pt>
                <c:pt idx="20">
                  <c:v>2447.1884999999993</c:v>
                </c:pt>
                <c:pt idx="21">
                  <c:v>2502.0754999999999</c:v>
                </c:pt>
                <c:pt idx="22">
                  <c:v>2455.5252631578951</c:v>
                </c:pt>
                <c:pt idx="23">
                  <c:v>2574.3320000000003</c:v>
                </c:pt>
                <c:pt idx="24">
                  <c:v>2712.2999999999997</c:v>
                </c:pt>
                <c:pt idx="25">
                  <c:v>2695.6890909090907</c:v>
                </c:pt>
                <c:pt idx="26">
                  <c:v>2517</c:v>
                </c:pt>
                <c:pt idx="27">
                  <c:v>2236.2322222222224</c:v>
                </c:pt>
                <c:pt idx="28">
                  <c:v>2097.4890909090918</c:v>
                </c:pt>
                <c:pt idx="29">
                  <c:v>2018.7080952380948</c:v>
                </c:pt>
                <c:pt idx="30">
                  <c:v>2047.2514285714285</c:v>
                </c:pt>
                <c:pt idx="31">
                  <c:v>2016.1686363636363</c:v>
                </c:pt>
                <c:pt idx="32">
                  <c:v>2041.1380000000004</c:v>
                </c:pt>
                <c:pt idx="33">
                  <c:v>2069.0935294117644</c:v>
                </c:pt>
                <c:pt idx="34">
                  <c:v>2286.84</c:v>
                </c:pt>
                <c:pt idx="35">
                  <c:v>1984.4883333333335</c:v>
                </c:pt>
                <c:pt idx="36">
                  <c:v>1895.9386363636368</c:v>
                </c:pt>
                <c:pt idx="37">
                  <c:v>1753.7015789473685</c:v>
                </c:pt>
                <c:pt idx="38">
                  <c:v>1664.8545000000001</c:v>
                </c:pt>
                <c:pt idx="39">
                  <c:v>1686.1072727272724</c:v>
                </c:pt>
                <c:pt idx="40">
                  <c:v>1985.0714285714287</c:v>
                </c:pt>
                <c:pt idx="41">
                  <c:v>2012.1490000000001</c:v>
                </c:pt>
                <c:pt idx="42">
                  <c:v>1962.9895652173911</c:v>
                </c:pt>
                <c:pt idx="43">
                  <c:v>1938.4890909090916</c:v>
                </c:pt>
                <c:pt idx="44">
                  <c:v>1986.7313333333334</c:v>
                </c:pt>
                <c:pt idx="45">
                  <c:v>2008.3391304347826</c:v>
                </c:pt>
                <c:pt idx="46">
                  <c:v>1902.9478947368425</c:v>
                </c:pt>
                <c:pt idx="47">
                  <c:v>1949.9068421052634</c:v>
                </c:pt>
                <c:pt idx="48">
                  <c:v>1889.6013636363632</c:v>
                </c:pt>
                <c:pt idx="49">
                  <c:v>1677.2085000000002</c:v>
                </c:pt>
                <c:pt idx="50">
                  <c:v>1699.2905263157893</c:v>
                </c:pt>
                <c:pt idx="51">
                  <c:v>1693.367777777778</c:v>
                </c:pt>
                <c:pt idx="52">
                  <c:v>1610.7164285714287</c:v>
                </c:pt>
                <c:pt idx="53">
                  <c:v>1576.81</c:v>
                </c:pt>
                <c:pt idx="54">
                  <c:v>1465.4404347826082</c:v>
                </c:pt>
                <c:pt idx="55">
                  <c:v>1484.9444999999998</c:v>
                </c:pt>
                <c:pt idx="56">
                  <c:v>1501.390909090909</c:v>
                </c:pt>
                <c:pt idx="57">
                  <c:v>1438.1621739130437</c:v>
                </c:pt>
                <c:pt idx="58">
                  <c:v>1536.7394736842105</c:v>
                </c:pt>
                <c:pt idx="59">
                  <c:v>1563.3260000000002</c:v>
                </c:pt>
                <c:pt idx="60">
                  <c:v>1493.3157142857144</c:v>
                </c:pt>
                <c:pt idx="61">
                  <c:v>1585.38</c:v>
                </c:pt>
                <c:pt idx="62">
                  <c:v>1570.88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8-4760-B7AE-214C3F36BD9E}"/>
            </c:ext>
          </c:extLst>
        </c:ser>
        <c:ser>
          <c:idx val="1"/>
          <c:order val="1"/>
          <c:tx>
            <c:v>IMEA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Farelo'!$O$3:$O$65</c:f>
              <c:numCache>
                <c:formatCode>General</c:formatCode>
                <c:ptCount val="63"/>
                <c:pt idx="24" formatCode="_-* #,##0_-;\-* #,##0_-;_-* &quot;-&quot;??_-;_-@_-">
                  <c:v>0</c:v>
                </c:pt>
                <c:pt idx="25" formatCode="_-* #,##0_-;\-* #,##0_-;_-* &quot;-&quot;??_-;_-@_-">
                  <c:v>0</c:v>
                </c:pt>
                <c:pt idx="26" formatCode="_-* #,##0_-;\-* #,##0_-;_-* &quot;-&quot;??_-;_-@_-">
                  <c:v>0</c:v>
                </c:pt>
                <c:pt idx="27" formatCode="_-* #,##0_-;\-* #,##0_-;_-* &quot;-&quot;??_-;_-@_-">
                  <c:v>0</c:v>
                </c:pt>
                <c:pt idx="28" formatCode="_-* #,##0_-;\-* #,##0_-;_-* &quot;-&quot;??_-;_-@_-">
                  <c:v>0</c:v>
                </c:pt>
                <c:pt idx="29" formatCode="_-* #,##0_-;\-* #,##0_-;_-* &quot;-&quot;??_-;_-@_-">
                  <c:v>0</c:v>
                </c:pt>
                <c:pt idx="30" formatCode="_-* #,##0_-;\-* #,##0_-;_-* &quot;-&quot;??_-;_-@_-">
                  <c:v>0</c:v>
                </c:pt>
                <c:pt idx="31" formatCode="_-* #,##0_-;\-* #,##0_-;_-* &quot;-&quot;??_-;_-@_-">
                  <c:v>0</c:v>
                </c:pt>
                <c:pt idx="32" formatCode="_-* #,##0_-;\-* #,##0_-;_-* &quot;-&quot;??_-;_-@_-">
                  <c:v>0</c:v>
                </c:pt>
                <c:pt idx="33" formatCode="_-* #,##0_-;\-* #,##0_-;_-* &quot;-&quot;??_-;_-@_-">
                  <c:v>0</c:v>
                </c:pt>
                <c:pt idx="34" formatCode="_-* #,##0_-;\-* #,##0_-;_-* &quot;-&quot;??_-;_-@_-">
                  <c:v>0</c:v>
                </c:pt>
                <c:pt idx="35" formatCode="_-* #,##0_-;\-* #,##0_-;_-* &quot;-&quot;??_-;_-@_-">
                  <c:v>0</c:v>
                </c:pt>
                <c:pt idx="36" formatCode="_-* #,##0_-;\-* #,##0_-;_-* &quot;-&quot;??_-;_-@_-">
                  <c:v>0</c:v>
                </c:pt>
                <c:pt idx="37" formatCode="_-* #,##0_-;\-* #,##0_-;_-* &quot;-&quot;??_-;_-@_-">
                  <c:v>0</c:v>
                </c:pt>
                <c:pt idx="38" formatCode="_-* #,##0_-;\-* #,##0_-;_-* &quot;-&quot;??_-;_-@_-">
                  <c:v>0</c:v>
                </c:pt>
                <c:pt idx="39" formatCode="_-* #,##0_-;\-* #,##0_-;_-* &quot;-&quot;??_-;_-@_-">
                  <c:v>0</c:v>
                </c:pt>
                <c:pt idx="40" formatCode="_-* #,##0_-;\-* #,##0_-;_-* &quot;-&quot;??_-;_-@_-">
                  <c:v>0</c:v>
                </c:pt>
                <c:pt idx="41" formatCode="_-* #,##0_-;\-* #,##0_-;_-* &quot;-&quot;??_-;_-@_-">
                  <c:v>0</c:v>
                </c:pt>
                <c:pt idx="42" formatCode="_-* #,##0_-;\-* #,##0_-;_-* &quot;-&quot;??_-;_-@_-">
                  <c:v>0</c:v>
                </c:pt>
                <c:pt idx="43" formatCode="_-* #,##0_-;\-* #,##0_-;_-* &quot;-&quot;??_-;_-@_-">
                  <c:v>0</c:v>
                </c:pt>
                <c:pt idx="44" formatCode="_-* #,##0_-;\-* #,##0_-;_-* &quot;-&quot;??_-;_-@_-">
                  <c:v>0</c:v>
                </c:pt>
                <c:pt idx="45" formatCode="_-* #,##0_-;\-* #,##0_-;_-* &quot;-&quot;??_-;_-@_-">
                  <c:v>0</c:v>
                </c:pt>
                <c:pt idx="46" formatCode="_-* #,##0_-;\-* #,##0_-;_-* &quot;-&quot;??_-;_-@_-">
                  <c:v>0</c:v>
                </c:pt>
                <c:pt idx="47" formatCode="_-* #,##0_-;\-* #,##0_-;_-* &quot;-&quot;??_-;_-@_-">
                  <c:v>0</c:v>
                </c:pt>
                <c:pt idx="48" formatCode="_-* #,##0_-;\-* #,##0_-;_-* &quot;-&quot;??_-;_-@_-">
                  <c:v>0</c:v>
                </c:pt>
                <c:pt idx="49" formatCode="_-* #,##0_-;\-* #,##0_-;_-* &quot;-&quot;??_-;_-@_-">
                  <c:v>0</c:v>
                </c:pt>
                <c:pt idx="50" formatCode="_-* #,##0_-;\-* #,##0_-;_-* &quot;-&quot;??_-;_-@_-">
                  <c:v>0</c:v>
                </c:pt>
                <c:pt idx="51" formatCode="_-* #,##0_-;\-* #,##0_-;_-* &quot;-&quot;??_-;_-@_-">
                  <c:v>0</c:v>
                </c:pt>
                <c:pt idx="52" formatCode="_-* #,##0_-;\-* #,##0_-;_-* &quot;-&quot;??_-;_-@_-">
                  <c:v>0</c:v>
                </c:pt>
                <c:pt idx="53" formatCode="_-* #,##0_-;\-* #,##0_-;_-* &quot;-&quot;??_-;_-@_-">
                  <c:v>0</c:v>
                </c:pt>
                <c:pt idx="54" formatCode="_-* #,##0_-;\-* #,##0_-;_-* &quot;-&quot;??_-;_-@_-">
                  <c:v>0</c:v>
                </c:pt>
                <c:pt idx="55" formatCode="_-* #,##0_-;\-* #,##0_-;_-* &quot;-&quot;??_-;_-@_-">
                  <c:v>0</c:v>
                </c:pt>
                <c:pt idx="56" formatCode="_-* #,##0_-;\-* #,##0_-;_-* &quot;-&quot;??_-;_-@_-">
                  <c:v>0</c:v>
                </c:pt>
                <c:pt idx="57" formatCode="_-* #,##0_-;\-* #,##0_-;_-* &quot;-&quot;??_-;_-@_-">
                  <c:v>0</c:v>
                </c:pt>
                <c:pt idx="58" formatCode="_-* #,##0_-;\-* #,##0_-;_-* &quot;-&quot;??_-;_-@_-">
                  <c:v>0</c:v>
                </c:pt>
                <c:pt idx="59" formatCode="_-* #,##0_-;\-* #,##0_-;_-* &quot;-&quot;??_-;_-@_-">
                  <c:v>0</c:v>
                </c:pt>
                <c:pt idx="60" formatCode="_-* #,##0_-;\-* #,##0_-;_-* &quot;-&quot;??_-;_-@_-">
                  <c:v>0</c:v>
                </c:pt>
                <c:pt idx="61" formatCode="_-* #,##0_-;\-* #,##0_-;_-* &quot;-&quot;??_-;_-@_-">
                  <c:v>0</c:v>
                </c:pt>
                <c:pt idx="62" formatCode="_-* #,##0_-;\-* #,##0_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D8-4760-B7AE-214C3F36BD9E}"/>
            </c:ext>
          </c:extLst>
        </c:ser>
        <c:ser>
          <c:idx val="2"/>
          <c:order val="2"/>
          <c:tx>
            <c:v>Paridde Exp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Farelo'!$AB$3:$AB$65</c:f>
              <c:numCache>
                <c:formatCode>_-* #,##0_-;\-* #,##0_-;_-* "-"??_-;_-@_-</c:formatCode>
                <c:ptCount val="63"/>
                <c:pt idx="0">
                  <c:v>2437.4996452555797</c:v>
                </c:pt>
                <c:pt idx="1">
                  <c:v>2309.968522349769</c:v>
                </c:pt>
                <c:pt idx="2">
                  <c:v>2268.7354557076706</c:v>
                </c:pt>
                <c:pt idx="3">
                  <c:v>2260.6890143080755</c:v>
                </c:pt>
                <c:pt idx="4">
                  <c:v>2160.9164729738095</c:v>
                </c:pt>
                <c:pt idx="5">
                  <c:v>1829.1789391300513</c:v>
                </c:pt>
                <c:pt idx="6">
                  <c:v>1782.5639500420361</c:v>
                </c:pt>
                <c:pt idx="7">
                  <c:v>1778.976469675622</c:v>
                </c:pt>
                <c:pt idx="8">
                  <c:v>1711.26754903092</c:v>
                </c:pt>
                <c:pt idx="9">
                  <c:v>1736.2664233370474</c:v>
                </c:pt>
                <c:pt idx="10">
                  <c:v>1914.1117712765567</c:v>
                </c:pt>
                <c:pt idx="11">
                  <c:v>2137.8593851231813</c:v>
                </c:pt>
                <c:pt idx="12">
                  <c:v>2239.2430187110449</c:v>
                </c:pt>
                <c:pt idx="13">
                  <c:v>2284.0814428112094</c:v>
                </c:pt>
                <c:pt idx="14">
                  <c:v>2310.1723887619341</c:v>
                </c:pt>
                <c:pt idx="15">
                  <c:v>2078.1168718551157</c:v>
                </c:pt>
                <c:pt idx="16">
                  <c:v>1963.7508342536007</c:v>
                </c:pt>
                <c:pt idx="17">
                  <c:v>2014.8285086919377</c:v>
                </c:pt>
                <c:pt idx="18">
                  <c:v>2344.8562761209787</c:v>
                </c:pt>
                <c:pt idx="19">
                  <c:v>2356.2846626936857</c:v>
                </c:pt>
                <c:pt idx="20">
                  <c:v>2235.1054845380227</c:v>
                </c:pt>
                <c:pt idx="21">
                  <c:v>2102.6913647180254</c:v>
                </c:pt>
                <c:pt idx="22">
                  <c:v>2110.7084880036882</c:v>
                </c:pt>
                <c:pt idx="23">
                  <c:v>2336.6734514759551</c:v>
                </c:pt>
                <c:pt idx="24">
                  <c:v>2432.4346029854751</c:v>
                </c:pt>
                <c:pt idx="25">
                  <c:v>2420.7167373503307</c:v>
                </c:pt>
                <c:pt idx="26">
                  <c:v>2399.8818327769586</c:v>
                </c:pt>
                <c:pt idx="27">
                  <c:v>2141.5327570052254</c:v>
                </c:pt>
                <c:pt idx="28">
                  <c:v>1941.4519975989529</c:v>
                </c:pt>
                <c:pt idx="29">
                  <c:v>1814.3305425146509</c:v>
                </c:pt>
                <c:pt idx="30">
                  <c:v>1907.883437315953</c:v>
                </c:pt>
                <c:pt idx="31">
                  <c:v>1910.5094223052129</c:v>
                </c:pt>
                <c:pt idx="32">
                  <c:v>1778.1969686280556</c:v>
                </c:pt>
                <c:pt idx="33">
                  <c:v>1841.3823275388513</c:v>
                </c:pt>
                <c:pt idx="34">
                  <c:v>2074.9647817228483</c:v>
                </c:pt>
                <c:pt idx="35">
                  <c:v>1861.0014808055103</c:v>
                </c:pt>
                <c:pt idx="36">
                  <c:v>1646.1757230001815</c:v>
                </c:pt>
                <c:pt idx="37">
                  <c:v>1566.1724678989524</c:v>
                </c:pt>
                <c:pt idx="38">
                  <c:v>1549.1879883658307</c:v>
                </c:pt>
                <c:pt idx="39">
                  <c:v>1607.0435555537738</c:v>
                </c:pt>
                <c:pt idx="40">
                  <c:v>1750.972211327341</c:v>
                </c:pt>
                <c:pt idx="41">
                  <c:v>1788.6386287581768</c:v>
                </c:pt>
                <c:pt idx="42">
                  <c:v>1829.3343530928096</c:v>
                </c:pt>
                <c:pt idx="43">
                  <c:v>1681.2525777365845</c:v>
                </c:pt>
                <c:pt idx="44">
                  <c:v>1673.4172970083116</c:v>
                </c:pt>
                <c:pt idx="45">
                  <c:v>1682.705982260155</c:v>
                </c:pt>
                <c:pt idx="46">
                  <c:v>1621.6110234804034</c:v>
                </c:pt>
                <c:pt idx="47">
                  <c:v>1735.2580696457285</c:v>
                </c:pt>
                <c:pt idx="48">
                  <c:v>1745.0652830282379</c:v>
                </c:pt>
                <c:pt idx="49">
                  <c:v>1511.5294900275112</c:v>
                </c:pt>
                <c:pt idx="50">
                  <c:v>1500.9231335147435</c:v>
                </c:pt>
                <c:pt idx="51">
                  <c:v>1530.4691568820522</c:v>
                </c:pt>
                <c:pt idx="52">
                  <c:v>1499.9995842689905</c:v>
                </c:pt>
                <c:pt idx="53">
                  <c:v>1429.1122246700661</c:v>
                </c:pt>
                <c:pt idx="54">
                  <c:v>1291.8472506709104</c:v>
                </c:pt>
                <c:pt idx="55">
                  <c:v>1350.9747798662816</c:v>
                </c:pt>
                <c:pt idx="56">
                  <c:v>1320.1908486758214</c:v>
                </c:pt>
                <c:pt idx="57">
                  <c:v>1348.8321595474977</c:v>
                </c:pt>
                <c:pt idx="58">
                  <c:v>1564.6566846827823</c:v>
                </c:pt>
                <c:pt idx="59">
                  <c:v>1496.6628434708884</c:v>
                </c:pt>
                <c:pt idx="60">
                  <c:v>1401.8949180928312</c:v>
                </c:pt>
                <c:pt idx="61">
                  <c:v>1390.6223479991784</c:v>
                </c:pt>
                <c:pt idx="62">
                  <c:v>1438.8735628541197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D8-4760-B7AE-214C3F36BD9E}"/>
            </c:ext>
          </c:extLst>
        </c:ser>
        <c:ser>
          <c:idx val="3"/>
          <c:order val="3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D8-4760-B7AE-214C3F36B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Ijuí</a:t>
            </a:r>
            <a:r>
              <a:rPr lang="pt-BR" baseline="0"/>
              <a:t> RS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Farelo'!$N$3:$N$65</c:f>
              <c:numCache>
                <c:formatCode>_-* #,##0_-;\-* #,##0_-;_-* "-"??_-;_-@_-</c:formatCode>
                <c:ptCount val="63"/>
                <c:pt idx="0">
                  <c:v>2726.4009999999994</c:v>
                </c:pt>
                <c:pt idx="1">
                  <c:v>2810.7172222222225</c:v>
                </c:pt>
                <c:pt idx="2">
                  <c:v>2677.1739130434785</c:v>
                </c:pt>
                <c:pt idx="3">
                  <c:v>2407.58</c:v>
                </c:pt>
                <c:pt idx="4">
                  <c:v>2352.1280952380948</c:v>
                </c:pt>
                <c:pt idx="5">
                  <c:v>2133.9438095238097</c:v>
                </c:pt>
                <c:pt idx="6">
                  <c:v>2148.9722727272724</c:v>
                </c:pt>
                <c:pt idx="7">
                  <c:v>2205.5068181818183</c:v>
                </c:pt>
                <c:pt idx="8">
                  <c:v>2159.6785714285716</c:v>
                </c:pt>
                <c:pt idx="9">
                  <c:v>2108.6669999999999</c:v>
                </c:pt>
                <c:pt idx="10">
                  <c:v>2057.6165000000001</c:v>
                </c:pt>
                <c:pt idx="11">
                  <c:v>2162.1557142857146</c:v>
                </c:pt>
                <c:pt idx="12">
                  <c:v>2572.8542857142861</c:v>
                </c:pt>
                <c:pt idx="13">
                  <c:v>2826.66</c:v>
                </c:pt>
                <c:pt idx="14">
                  <c:v>2882.2622727272728</c:v>
                </c:pt>
                <c:pt idx="15">
                  <c:v>2494.9842105263156</c:v>
                </c:pt>
                <c:pt idx="16">
                  <c:v>2310.4054545454546</c:v>
                </c:pt>
                <c:pt idx="17">
                  <c:v>2368.6823809523812</c:v>
                </c:pt>
                <c:pt idx="18">
                  <c:v>2579.8352380952383</c:v>
                </c:pt>
                <c:pt idx="19">
                  <c:v>2615.8430434782608</c:v>
                </c:pt>
                <c:pt idx="20">
                  <c:v>2577.3342857142861</c:v>
                </c:pt>
                <c:pt idx="21">
                  <c:v>2673.0395000000003</c:v>
                </c:pt>
                <c:pt idx="22">
                  <c:v>2615.4573684210518</c:v>
                </c:pt>
                <c:pt idx="23">
                  <c:v>2695.6689473684205</c:v>
                </c:pt>
                <c:pt idx="24">
                  <c:v>2789.758181818182</c:v>
                </c:pt>
                <c:pt idx="25">
                  <c:v>2825.1388888888887</c:v>
                </c:pt>
                <c:pt idx="26">
                  <c:v>2732.8152173913045</c:v>
                </c:pt>
                <c:pt idx="27">
                  <c:v>2460.9477777777779</c:v>
                </c:pt>
                <c:pt idx="28">
                  <c:v>2291.2568181818183</c:v>
                </c:pt>
                <c:pt idx="29">
                  <c:v>2191.9738095238099</c:v>
                </c:pt>
                <c:pt idx="30">
                  <c:v>2257.9671428571432</c:v>
                </c:pt>
                <c:pt idx="31">
                  <c:v>2308.3746666666671</c:v>
                </c:pt>
                <c:pt idx="32">
                  <c:v>2281.7429999999995</c:v>
                </c:pt>
                <c:pt idx="33">
                  <c:v>2273.0726315789475</c:v>
                </c:pt>
                <c:pt idx="34">
                  <c:v>2465.3960000000002</c:v>
                </c:pt>
                <c:pt idx="35">
                  <c:v>2484.3825000000002</c:v>
                </c:pt>
                <c:pt idx="36">
                  <c:v>2405.35</c:v>
                </c:pt>
                <c:pt idx="37">
                  <c:v>#N/A</c:v>
                </c:pt>
                <c:pt idx="38">
                  <c:v>1870.1076470588232</c:v>
                </c:pt>
                <c:pt idx="39">
                  <c:v>1871.7368181818185</c:v>
                </c:pt>
                <c:pt idx="40">
                  <c:v>2024.7338095238101</c:v>
                </c:pt>
                <c:pt idx="41">
                  <c:v>2242.7065000000002</c:v>
                </c:pt>
                <c:pt idx="42">
                  <c:v>2179.7869565217393</c:v>
                </c:pt>
                <c:pt idx="43">
                  <c:v>2055.148181818181</c:v>
                </c:pt>
                <c:pt idx="44">
                  <c:v>2044.1409523809523</c:v>
                </c:pt>
                <c:pt idx="45">
                  <c:v>2052.1534782608701</c:v>
                </c:pt>
                <c:pt idx="46">
                  <c:v>1985.3673684210528</c:v>
                </c:pt>
                <c:pt idx="47">
                  <c:v>1919.5921052631575</c:v>
                </c:pt>
                <c:pt idx="48">
                  <c:v>1858.8018181818181</c:v>
                </c:pt>
                <c:pt idx="49">
                  <c:v>1818.5855000000004</c:v>
                </c:pt>
                <c:pt idx="50">
                  <c:v>1838.5894736842108</c:v>
                </c:pt>
                <c:pt idx="51">
                  <c:v>1818.6921052631581</c:v>
                </c:pt>
                <c:pt idx="52">
                  <c:v>1764.9380952380955</c:v>
                </c:pt>
                <c:pt idx="53">
                  <c:v>1718.1840000000004</c:v>
                </c:pt>
                <c:pt idx="54">
                  <c:v>1619.83</c:v>
                </c:pt>
                <c:pt idx="55">
                  <c:v>1605.8952380952383</c:v>
                </c:pt>
                <c:pt idx="56">
                  <c:v>1583.2645454545454</c:v>
                </c:pt>
                <c:pt idx="57">
                  <c:v>1546.2230434782612</c:v>
                </c:pt>
                <c:pt idx="58">
                  <c:v>1663.3073684210522</c:v>
                </c:pt>
                <c:pt idx="59">
                  <c:v>1718.8424999999995</c:v>
                </c:pt>
                <c:pt idx="60">
                  <c:v>1763.2928571428572</c:v>
                </c:pt>
                <c:pt idx="61">
                  <c:v>1767.3944444444444</c:v>
                </c:pt>
                <c:pt idx="62">
                  <c:v>1763.1555555555556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92-4CE2-BB32-9D15EF68CB88}"/>
            </c:ext>
          </c:extLst>
        </c:ser>
        <c:ser>
          <c:idx val="2"/>
          <c:order val="1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Farelo'!$AE$3:$AE$65</c:f>
              <c:numCache>
                <c:formatCode>_-* #,##0_-;\-* #,##0_-;_-* "-"??_-;_-@_-</c:formatCode>
                <c:ptCount val="63"/>
                <c:pt idx="0">
                  <c:v>2560.9196452555798</c:v>
                </c:pt>
                <c:pt idx="1">
                  <c:v>2495.988522349769</c:v>
                </c:pt>
                <c:pt idx="2">
                  <c:v>2419.2854557076707</c:v>
                </c:pt>
                <c:pt idx="3">
                  <c:v>2402.3890143080753</c:v>
                </c:pt>
                <c:pt idx="4">
                  <c:v>2330.9164729738095</c:v>
                </c:pt>
                <c:pt idx="5">
                  <c:v>1976.8489391300513</c:v>
                </c:pt>
                <c:pt idx="6">
                  <c:v>1974.8839500420361</c:v>
                </c:pt>
                <c:pt idx="7">
                  <c:v>1969.3464696756218</c:v>
                </c:pt>
                <c:pt idx="8">
                  <c:v>1875.02754903092</c:v>
                </c:pt>
                <c:pt idx="9">
                  <c:v>1882.6764233370475</c:v>
                </c:pt>
                <c:pt idx="10">
                  <c:v>2081.7817712765568</c:v>
                </c:pt>
                <c:pt idx="11">
                  <c:v>2310.8993851231812</c:v>
                </c:pt>
                <c:pt idx="12">
                  <c:v>2402.5230187110451</c:v>
                </c:pt>
                <c:pt idx="13">
                  <c:v>2485.3014428112092</c:v>
                </c:pt>
                <c:pt idx="14">
                  <c:v>2527.542388761934</c:v>
                </c:pt>
                <c:pt idx="15">
                  <c:v>2295.5668718551156</c:v>
                </c:pt>
                <c:pt idx="16">
                  <c:v>2171.3508342536006</c:v>
                </c:pt>
                <c:pt idx="17">
                  <c:v>2296.1185086919377</c:v>
                </c:pt>
                <c:pt idx="18">
                  <c:v>2621.8562761209787</c:v>
                </c:pt>
                <c:pt idx="19">
                  <c:v>2599.7046626936858</c:v>
                </c:pt>
                <c:pt idx="20">
                  <c:v>2418.2054845380226</c:v>
                </c:pt>
                <c:pt idx="21">
                  <c:v>2264.4713647180256</c:v>
                </c:pt>
                <c:pt idx="22">
                  <c:v>2263.7084880036882</c:v>
                </c:pt>
                <c:pt idx="23">
                  <c:v>2489.4234514759551</c:v>
                </c:pt>
                <c:pt idx="24">
                  <c:v>2637.4346029854751</c:v>
                </c:pt>
                <c:pt idx="25">
                  <c:v>2679.2167373503307</c:v>
                </c:pt>
                <c:pt idx="26">
                  <c:v>2601.0318327769587</c:v>
                </c:pt>
                <c:pt idx="27">
                  <c:v>2359.0327570052254</c:v>
                </c:pt>
                <c:pt idx="28">
                  <c:v>2166.2869975989529</c:v>
                </c:pt>
                <c:pt idx="29">
                  <c:v>2058.000542514651</c:v>
                </c:pt>
                <c:pt idx="30">
                  <c:v>2194.4509373159531</c:v>
                </c:pt>
                <c:pt idx="31">
                  <c:v>2179.8844223052129</c:v>
                </c:pt>
                <c:pt idx="32">
                  <c:v>2015.7469686280556</c:v>
                </c:pt>
                <c:pt idx="33">
                  <c:v>2111.3823275388513</c:v>
                </c:pt>
                <c:pt idx="34">
                  <c:v>2309.1322817228483</c:v>
                </c:pt>
                <c:pt idx="35">
                  <c:v>2082.0014808055103</c:v>
                </c:pt>
                <c:pt idx="36">
                  <c:v>1814.9257230001815</c:v>
                </c:pt>
                <c:pt idx="37">
                  <c:v>1742.0024678989523</c:v>
                </c:pt>
                <c:pt idx="38">
                  <c:v>1726.5079883658307</c:v>
                </c:pt>
                <c:pt idx="39">
                  <c:v>1789.0035555537738</c:v>
                </c:pt>
                <c:pt idx="40">
                  <c:v>1970.212211327341</c:v>
                </c:pt>
                <c:pt idx="41">
                  <c:v>2032.9086287581767</c:v>
                </c:pt>
                <c:pt idx="42">
                  <c:v>2057.5843530928096</c:v>
                </c:pt>
                <c:pt idx="43">
                  <c:v>1854.9025777365846</c:v>
                </c:pt>
                <c:pt idx="44">
                  <c:v>1824.3672970083117</c:v>
                </c:pt>
                <c:pt idx="45">
                  <c:v>1830.205982260155</c:v>
                </c:pt>
                <c:pt idx="46">
                  <c:v>1735.3310234804035</c:v>
                </c:pt>
                <c:pt idx="47">
                  <c:v>1824.6830696457284</c:v>
                </c:pt>
                <c:pt idx="48">
                  <c:v>1865.0619496949046</c:v>
                </c:pt>
                <c:pt idx="49">
                  <c:v>1742.7794900275112</c:v>
                </c:pt>
                <c:pt idx="50">
                  <c:v>1721.0981335147435</c:v>
                </c:pt>
                <c:pt idx="51">
                  <c:v>1735.9691568820522</c:v>
                </c:pt>
                <c:pt idx="52">
                  <c:v>1704.4995842689905</c:v>
                </c:pt>
                <c:pt idx="53">
                  <c:v>1640.9372246700661</c:v>
                </c:pt>
                <c:pt idx="54">
                  <c:v>1510.7222506709104</c:v>
                </c:pt>
                <c:pt idx="55">
                  <c:v>1558.9947798662815</c:v>
                </c:pt>
                <c:pt idx="56">
                  <c:v>1514.1458486758213</c:v>
                </c:pt>
                <c:pt idx="57">
                  <c:v>1528.3521595474976</c:v>
                </c:pt>
                <c:pt idx="58">
                  <c:v>1727.6566846827823</c:v>
                </c:pt>
                <c:pt idx="59">
                  <c:v>1667.6628434708884</c:v>
                </c:pt>
                <c:pt idx="60">
                  <c:v>1581.4949180928313</c:v>
                </c:pt>
                <c:pt idx="61">
                  <c:v>1595.9473479991784</c:v>
                </c:pt>
                <c:pt idx="62">
                  <c:v>1670.3735628541197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92-4CE2-BB32-9D15EF68CB88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92-4CE2-BB32-9D15EF68C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19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Passo Fundo 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Farelo'!$J$3:$J$65</c:f>
              <c:numCache>
                <c:formatCode>_-* #,##0_-;\-* #,##0_-;_-* "-"??_-;_-@_-</c:formatCode>
                <c:ptCount val="63"/>
                <c:pt idx="0">
                  <c:v>2762.2555000000002</c:v>
                </c:pt>
                <c:pt idx="1">
                  <c:v>2819.0500000000006</c:v>
                </c:pt>
                <c:pt idx="2">
                  <c:v>2644.1213043478269</c:v>
                </c:pt>
                <c:pt idx="3">
                  <c:v>2403.35</c:v>
                </c:pt>
                <c:pt idx="4">
                  <c:v>2333.861904761905</c:v>
                </c:pt>
                <c:pt idx="5">
                  <c:v>2132.9066666666672</c:v>
                </c:pt>
                <c:pt idx="6">
                  <c:v>2165.8486363636362</c:v>
                </c:pt>
                <c:pt idx="7">
                  <c:v>2212.2818181818188</c:v>
                </c:pt>
                <c:pt idx="8">
                  <c:v>2143.6409523809521</c:v>
                </c:pt>
                <c:pt idx="9">
                  <c:v>2106.2675000000004</c:v>
                </c:pt>
                <c:pt idx="10">
                  <c:v>2055.1669999999999</c:v>
                </c:pt>
                <c:pt idx="11">
                  <c:v>2161.2576190476188</c:v>
                </c:pt>
                <c:pt idx="12">
                  <c:v>2549.4038095238088</c:v>
                </c:pt>
                <c:pt idx="13">
                  <c:v>2769.9736842105262</c:v>
                </c:pt>
                <c:pt idx="14">
                  <c:v>2833.2822727272728</c:v>
                </c:pt>
                <c:pt idx="15">
                  <c:v>2464.2536842105264</c:v>
                </c:pt>
                <c:pt idx="16">
                  <c:v>2263.2350000000001</c:v>
                </c:pt>
                <c:pt idx="17">
                  <c:v>2360.945238095238</c:v>
                </c:pt>
                <c:pt idx="18">
                  <c:v>2558.1142857142854</c:v>
                </c:pt>
                <c:pt idx="19">
                  <c:v>2577.1760869565219</c:v>
                </c:pt>
                <c:pt idx="20">
                  <c:v>2553.1338095238098</c:v>
                </c:pt>
                <c:pt idx="21">
                  <c:v>2626.951</c:v>
                </c:pt>
                <c:pt idx="22">
                  <c:v>2570.1326315789474</c:v>
                </c:pt>
                <c:pt idx="23">
                  <c:v>2654.9852631578947</c:v>
                </c:pt>
                <c:pt idx="24">
                  <c:v>2697.9209090909089</c:v>
                </c:pt>
                <c:pt idx="25">
                  <c:v>2714.7033333333334</c:v>
                </c:pt>
                <c:pt idx="26">
                  <c:v>2681.183043478261</c:v>
                </c:pt>
                <c:pt idx="27">
                  <c:v>2409.8594444444443</c:v>
                </c:pt>
                <c:pt idx="28">
                  <c:v>2272.505454545455</c:v>
                </c:pt>
                <c:pt idx="29">
                  <c:v>2174.1952380952389</c:v>
                </c:pt>
                <c:pt idx="30">
                  <c:v>2186.3909523809525</c:v>
                </c:pt>
                <c:pt idx="31">
                  <c:v>2186.1726086956523</c:v>
                </c:pt>
                <c:pt idx="32">
                  <c:v>2222.2309999999993</c:v>
                </c:pt>
                <c:pt idx="33">
                  <c:v>2220.492631578948</c:v>
                </c:pt>
                <c:pt idx="34">
                  <c:v>2447.0733333333333</c:v>
                </c:pt>
                <c:pt idx="35">
                  <c:v>2474.8916666666673</c:v>
                </c:pt>
                <c:pt idx="36">
                  <c:v>2570.0500000000002</c:v>
                </c:pt>
                <c:pt idx="37">
                  <c:v>1924.33</c:v>
                </c:pt>
                <c:pt idx="38">
                  <c:v>1909.0176470588233</c:v>
                </c:pt>
                <c:pt idx="39">
                  <c:v>1822.7081818181812</c:v>
                </c:pt>
                <c:pt idx="40">
                  <c:v>2070.8828571428576</c:v>
                </c:pt>
                <c:pt idx="41">
                  <c:v>2272.2759999999994</c:v>
                </c:pt>
                <c:pt idx="42">
                  <c:v>2093.6656249999996</c:v>
                </c:pt>
                <c:pt idx="43">
                  <c:v>1961.2657142857138</c:v>
                </c:pt>
                <c:pt idx="44">
                  <c:v>2037.9066666666661</c:v>
                </c:pt>
                <c:pt idx="45">
                  <c:v>2036.0195652173916</c:v>
                </c:pt>
                <c:pt idx="46">
                  <c:v>1944.6326315789477</c:v>
                </c:pt>
                <c:pt idx="47">
                  <c:v>1908.4426315789478</c:v>
                </c:pt>
                <c:pt idx="48">
                  <c:v>1929.1449999999998</c:v>
                </c:pt>
                <c:pt idx="49">
                  <c:v>1882.6994999999995</c:v>
                </c:pt>
                <c:pt idx="50">
                  <c:v>1859.2421052631578</c:v>
                </c:pt>
                <c:pt idx="51">
                  <c:v>1815.3394736842104</c:v>
                </c:pt>
                <c:pt idx="52">
                  <c:v>1752.0809523809523</c:v>
                </c:pt>
                <c:pt idx="53">
                  <c:v>1660.6155000000003</c:v>
                </c:pt>
                <c:pt idx="54">
                  <c:v>1577.7152173913048</c:v>
                </c:pt>
                <c:pt idx="55">
                  <c:v>1572.4442857142853</c:v>
                </c:pt>
                <c:pt idx="56">
                  <c:v>1549.8054545454543</c:v>
                </c:pt>
                <c:pt idx="57">
                  <c:v>1554.6765217391307</c:v>
                </c:pt>
                <c:pt idx="58">
                  <c:v>1657.2373684210534</c:v>
                </c:pt>
                <c:pt idx="59">
                  <c:v>1741.7205000000001</c:v>
                </c:pt>
                <c:pt idx="60">
                  <c:v>1788.4399999999998</c:v>
                </c:pt>
                <c:pt idx="61">
                  <c:v>1722.6505555555552</c:v>
                </c:pt>
                <c:pt idx="62">
                  <c:v>1727.8622222222225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1-4BBD-B5CA-C6A88921F96E}"/>
            </c:ext>
          </c:extLst>
        </c:ser>
        <c:ser>
          <c:idx val="2"/>
          <c:order val="1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Farelo'!$AF$3:$AF$65</c:f>
              <c:numCache>
                <c:formatCode>_-* #,##0_-;\-* #,##0_-;_-* "-"??_-;_-@_-</c:formatCode>
                <c:ptCount val="63"/>
                <c:pt idx="0">
                  <c:v>2552.6396452555796</c:v>
                </c:pt>
                <c:pt idx="1">
                  <c:v>2487.8085223497692</c:v>
                </c:pt>
                <c:pt idx="2">
                  <c:v>2418.3854557076706</c:v>
                </c:pt>
                <c:pt idx="3">
                  <c:v>2394.6590143080753</c:v>
                </c:pt>
                <c:pt idx="4">
                  <c:v>2327.5364729738094</c:v>
                </c:pt>
                <c:pt idx="5">
                  <c:v>1987.6789391300513</c:v>
                </c:pt>
                <c:pt idx="6">
                  <c:v>1980.5639500420361</c:v>
                </c:pt>
                <c:pt idx="7">
                  <c:v>1965.4964696756219</c:v>
                </c:pt>
                <c:pt idx="8">
                  <c:v>1869.6675490309201</c:v>
                </c:pt>
                <c:pt idx="9">
                  <c:v>1876.7664233370474</c:v>
                </c:pt>
                <c:pt idx="10">
                  <c:v>2084.3617712765567</c:v>
                </c:pt>
                <c:pt idx="11">
                  <c:v>2312.1893851231812</c:v>
                </c:pt>
                <c:pt idx="12">
                  <c:v>2396.643018711045</c:v>
                </c:pt>
                <c:pt idx="13">
                  <c:v>2475.0414428112094</c:v>
                </c:pt>
                <c:pt idx="14">
                  <c:v>2519.2123887619341</c:v>
                </c:pt>
                <c:pt idx="15">
                  <c:v>2287.6368718551157</c:v>
                </c:pt>
                <c:pt idx="16">
                  <c:v>2163.1908342536008</c:v>
                </c:pt>
                <c:pt idx="17">
                  <c:v>2286.9185086919379</c:v>
                </c:pt>
                <c:pt idx="18">
                  <c:v>2642.8562761209787</c:v>
                </c:pt>
                <c:pt idx="19">
                  <c:v>2594.3946626936859</c:v>
                </c:pt>
                <c:pt idx="20">
                  <c:v>2413.4254845380228</c:v>
                </c:pt>
                <c:pt idx="21">
                  <c:v>2260.2213647180256</c:v>
                </c:pt>
                <c:pt idx="22">
                  <c:v>2267.7084880036882</c:v>
                </c:pt>
                <c:pt idx="23">
                  <c:v>2488.5101181426216</c:v>
                </c:pt>
                <c:pt idx="24">
                  <c:v>2631.6079363188082</c:v>
                </c:pt>
                <c:pt idx="25">
                  <c:v>2668.4767373503309</c:v>
                </c:pt>
                <c:pt idx="26">
                  <c:v>2591.6618327769588</c:v>
                </c:pt>
                <c:pt idx="27">
                  <c:v>2361.5327570052254</c:v>
                </c:pt>
                <c:pt idx="28">
                  <c:v>2164.2019975989529</c:v>
                </c:pt>
                <c:pt idx="29">
                  <c:v>2051.3305425146509</c:v>
                </c:pt>
                <c:pt idx="30">
                  <c:v>2187.780937315953</c:v>
                </c:pt>
                <c:pt idx="31">
                  <c:v>2177.2144223052128</c:v>
                </c:pt>
                <c:pt idx="32">
                  <c:v>2013.5869686280555</c:v>
                </c:pt>
                <c:pt idx="33">
                  <c:v>2044.5323275388514</c:v>
                </c:pt>
                <c:pt idx="34">
                  <c:v>2278.2072817228482</c:v>
                </c:pt>
                <c:pt idx="35">
                  <c:v>2087.0014808055103</c:v>
                </c:pt>
                <c:pt idx="36">
                  <c:v>1818.5357230001814</c:v>
                </c:pt>
                <c:pt idx="37">
                  <c:v>1742.0024678989523</c:v>
                </c:pt>
                <c:pt idx="38">
                  <c:v>1708.5579883658306</c:v>
                </c:pt>
                <c:pt idx="39">
                  <c:v>1776.7935555537738</c:v>
                </c:pt>
                <c:pt idx="40">
                  <c:v>1963.637211327341</c:v>
                </c:pt>
                <c:pt idx="41">
                  <c:v>2031.9686287581767</c:v>
                </c:pt>
                <c:pt idx="42">
                  <c:v>2059.7543530928097</c:v>
                </c:pt>
                <c:pt idx="43">
                  <c:v>1843.5025777365845</c:v>
                </c:pt>
                <c:pt idx="44">
                  <c:v>1836.3272970083117</c:v>
                </c:pt>
                <c:pt idx="45">
                  <c:v>1827.205982260155</c:v>
                </c:pt>
                <c:pt idx="46">
                  <c:v>1732.8310234804035</c:v>
                </c:pt>
                <c:pt idx="47">
                  <c:v>1824.6830696457284</c:v>
                </c:pt>
                <c:pt idx="48">
                  <c:v>1869.2319496949046</c:v>
                </c:pt>
                <c:pt idx="49">
                  <c:v>1746.5294900275112</c:v>
                </c:pt>
                <c:pt idx="50">
                  <c:v>1731.0981335147435</c:v>
                </c:pt>
                <c:pt idx="51">
                  <c:v>1733.9691568820522</c:v>
                </c:pt>
                <c:pt idx="52">
                  <c:v>1704.9995842689905</c:v>
                </c:pt>
                <c:pt idx="53">
                  <c:v>1642.1872246700661</c:v>
                </c:pt>
                <c:pt idx="54">
                  <c:v>1509.4722506709104</c:v>
                </c:pt>
                <c:pt idx="55">
                  <c:v>1560.2447798662815</c:v>
                </c:pt>
                <c:pt idx="56">
                  <c:v>1507.0658486758214</c:v>
                </c:pt>
                <c:pt idx="57">
                  <c:v>1521.3521595474976</c:v>
                </c:pt>
                <c:pt idx="58">
                  <c:v>1715.9466846827822</c:v>
                </c:pt>
                <c:pt idx="59">
                  <c:v>1651.2428434708884</c:v>
                </c:pt>
                <c:pt idx="60">
                  <c:v>1576.4949180928313</c:v>
                </c:pt>
                <c:pt idx="61">
                  <c:v>1594.6973479991784</c:v>
                </c:pt>
                <c:pt idx="62">
                  <c:v>1669.1235628541197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F1-4BBD-B5CA-C6A88921F96E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F1-4BBD-B5CA-C6A88921F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Casacavel PR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Farelo'!$E$3:$E$65</c:f>
              <c:numCache>
                <c:formatCode>_-* #,##0_-;\-* #,##0_-;_-* "-"??_-;_-@_-</c:formatCode>
                <c:ptCount val="63"/>
                <c:pt idx="0">
                  <c:v>3050.7015000000001</c:v>
                </c:pt>
                <c:pt idx="1">
                  <c:v>3131.5800000000004</c:v>
                </c:pt>
                <c:pt idx="2">
                  <c:v>2613.3204347826086</c:v>
                </c:pt>
                <c:pt idx="3">
                  <c:v>2548.6319999999996</c:v>
                </c:pt>
                <c:pt idx="4">
                  <c:v>2467.0247619047623</c:v>
                </c:pt>
                <c:pt idx="5">
                  <c:v>2290.8747619047622</c:v>
                </c:pt>
                <c:pt idx="6">
                  <c:v>2330.6477272727275</c:v>
                </c:pt>
                <c:pt idx="7">
                  <c:v>2374.6759090909086</c:v>
                </c:pt>
                <c:pt idx="8">
                  <c:v>2366.0133333333324</c:v>
                </c:pt>
                <c:pt idx="9">
                  <c:v>2256.4605000000001</c:v>
                </c:pt>
                <c:pt idx="10">
                  <c:v>2158.4420000000005</c:v>
                </c:pt>
                <c:pt idx="11">
                  <c:v>2290.9566666666669</c:v>
                </c:pt>
                <c:pt idx="12">
                  <c:v>2666.9542857142851</c:v>
                </c:pt>
                <c:pt idx="13">
                  <c:v>3009.302105263158</c:v>
                </c:pt>
                <c:pt idx="14">
                  <c:v>3015.8872727272728</c:v>
                </c:pt>
                <c:pt idx="15">
                  <c:v>2670.988947368422</c:v>
                </c:pt>
                <c:pt idx="16">
                  <c:v>2502.9959090909088</c:v>
                </c:pt>
                <c:pt idx="17">
                  <c:v>2386.5814285714278</c:v>
                </c:pt>
                <c:pt idx="18">
                  <c:v>2497.6319047619045</c:v>
                </c:pt>
                <c:pt idx="19">
                  <c:v>2584.1973913043475</c:v>
                </c:pt>
                <c:pt idx="20">
                  <c:v>2688.7538095238097</c:v>
                </c:pt>
                <c:pt idx="21">
                  <c:v>2839.2804999999994</c:v>
                </c:pt>
                <c:pt idx="22">
                  <c:v>2811.9474999999993</c:v>
                </c:pt>
                <c:pt idx="23">
                  <c:v>2798.3231578947366</c:v>
                </c:pt>
                <c:pt idx="24">
                  <c:v>2826.4881818181816</c:v>
                </c:pt>
                <c:pt idx="25">
                  <c:v>2854.3866666666672</c:v>
                </c:pt>
                <c:pt idx="26">
                  <c:v>2777.8869565217392</c:v>
                </c:pt>
                <c:pt idx="27">
                  <c:v>2503.0844444444442</c:v>
                </c:pt>
                <c:pt idx="28">
                  <c:v>2339.3140909090916</c:v>
                </c:pt>
                <c:pt idx="29">
                  <c:v>2240.1295238095236</c:v>
                </c:pt>
                <c:pt idx="30">
                  <c:v>2285.3338095238091</c:v>
                </c:pt>
                <c:pt idx="31">
                  <c:v>2270.8708695652172</c:v>
                </c:pt>
                <c:pt idx="32">
                  <c:v>2257.4810000000002</c:v>
                </c:pt>
                <c:pt idx="33">
                  <c:v>2286.434285714286</c:v>
                </c:pt>
                <c:pt idx="34">
                  <c:v>2458.1340000000005</c:v>
                </c:pt>
                <c:pt idx="35">
                  <c:v>2505.4215789473687</c:v>
                </c:pt>
                <c:pt idx="36">
                  <c:v>2274.9536363636366</c:v>
                </c:pt>
                <c:pt idx="37">
                  <c:v>2172.0336842105271</c:v>
                </c:pt>
                <c:pt idx="38">
                  <c:v>2119.7865000000006</c:v>
                </c:pt>
                <c:pt idx="39">
                  <c:v>2060.6045454545456</c:v>
                </c:pt>
                <c:pt idx="40">
                  <c:v>2247.2757142857145</c:v>
                </c:pt>
                <c:pt idx="41">
                  <c:v>2316.7220000000007</c:v>
                </c:pt>
                <c:pt idx="42">
                  <c:v>2156.3695652173915</c:v>
                </c:pt>
                <c:pt idx="43">
                  <c:v>1979.3118181818181</c:v>
                </c:pt>
                <c:pt idx="44">
                  <c:v>2066.7852380952377</c:v>
                </c:pt>
                <c:pt idx="45">
                  <c:v>2149.6726086956523</c:v>
                </c:pt>
                <c:pt idx="46">
                  <c:v>2007.6984210526314</c:v>
                </c:pt>
                <c:pt idx="47">
                  <c:v>1917.9410526315785</c:v>
                </c:pt>
                <c:pt idx="48">
                  <c:v>1972.7595454545444</c:v>
                </c:pt>
                <c:pt idx="49">
                  <c:v>1968.0319999999999</c:v>
                </c:pt>
                <c:pt idx="50">
                  <c:v>1823.6768421052627</c:v>
                </c:pt>
                <c:pt idx="51">
                  <c:v>1818.7678947368415</c:v>
                </c:pt>
                <c:pt idx="52">
                  <c:v>1750.7157142857138</c:v>
                </c:pt>
                <c:pt idx="53">
                  <c:v>1772.5554999999999</c:v>
                </c:pt>
                <c:pt idx="54">
                  <c:v>1640.4734782608698</c:v>
                </c:pt>
                <c:pt idx="55">
                  <c:v>1574.8695238095238</c:v>
                </c:pt>
                <c:pt idx="56">
                  <c:v>1621.7709090909091</c:v>
                </c:pt>
                <c:pt idx="57">
                  <c:v>1596.0904347826088</c:v>
                </c:pt>
                <c:pt idx="58">
                  <c:v>1713.957894736842</c:v>
                </c:pt>
                <c:pt idx="59">
                  <c:v>1863.1280000000002</c:v>
                </c:pt>
                <c:pt idx="60">
                  <c:v>1914.5566666666664</c:v>
                </c:pt>
                <c:pt idx="61">
                  <c:v>1893.7277777777781</c:v>
                </c:pt>
                <c:pt idx="62">
                  <c:v>1844.8183333333327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2-4893-AA81-A78B5D8EA0B7}"/>
            </c:ext>
          </c:extLst>
        </c:ser>
        <c:ser>
          <c:idx val="2"/>
          <c:order val="1"/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Farelo'!$AC$3:$AC$65</c:f>
              <c:numCache>
                <c:formatCode>_-* #,##0_-;\-* #,##0_-;_-* "-"??_-;_-@_-</c:formatCode>
                <c:ptCount val="63"/>
                <c:pt idx="0">
                  <c:v>2527.6796452555795</c:v>
                </c:pt>
                <c:pt idx="1">
                  <c:v>2426.3885223497691</c:v>
                </c:pt>
                <c:pt idx="2">
                  <c:v>2358.4054557076706</c:v>
                </c:pt>
                <c:pt idx="3">
                  <c:v>2428.8690143080753</c:v>
                </c:pt>
                <c:pt idx="4">
                  <c:v>2324.1864729738095</c:v>
                </c:pt>
                <c:pt idx="5">
                  <c:v>1975.1889391300513</c:v>
                </c:pt>
                <c:pt idx="6">
                  <c:v>1966.3939500420361</c:v>
                </c:pt>
                <c:pt idx="7">
                  <c:v>1972.456469675622</c:v>
                </c:pt>
                <c:pt idx="8">
                  <c:v>1898.26754903092</c:v>
                </c:pt>
                <c:pt idx="9">
                  <c:v>1900.2664233370474</c:v>
                </c:pt>
                <c:pt idx="10">
                  <c:v>2089.8617712765567</c:v>
                </c:pt>
                <c:pt idx="11">
                  <c:v>2327.6593851231814</c:v>
                </c:pt>
                <c:pt idx="12">
                  <c:v>2449.393018711045</c:v>
                </c:pt>
                <c:pt idx="13">
                  <c:v>2477.8814428112096</c:v>
                </c:pt>
                <c:pt idx="14">
                  <c:v>2483.582388761934</c:v>
                </c:pt>
                <c:pt idx="15">
                  <c:v>2267.5268718551156</c:v>
                </c:pt>
                <c:pt idx="16">
                  <c:v>2166.2508342536007</c:v>
                </c:pt>
                <c:pt idx="17">
                  <c:v>2278.5785086919377</c:v>
                </c:pt>
                <c:pt idx="18">
                  <c:v>2595.1062761209787</c:v>
                </c:pt>
                <c:pt idx="19">
                  <c:v>2570.4646626936856</c:v>
                </c:pt>
                <c:pt idx="20">
                  <c:v>2394.9854845380228</c:v>
                </c:pt>
                <c:pt idx="21">
                  <c:v>2247.2713647180253</c:v>
                </c:pt>
                <c:pt idx="22">
                  <c:v>2280.7084880036882</c:v>
                </c:pt>
                <c:pt idx="23">
                  <c:v>2493.7834514759552</c:v>
                </c:pt>
                <c:pt idx="24">
                  <c:v>2629.1546029854749</c:v>
                </c:pt>
                <c:pt idx="25">
                  <c:v>2658.2967373503307</c:v>
                </c:pt>
                <c:pt idx="26">
                  <c:v>2544.5418327769585</c:v>
                </c:pt>
                <c:pt idx="27">
                  <c:v>2298.2427570052255</c:v>
                </c:pt>
                <c:pt idx="28">
                  <c:v>2112.7019975989529</c:v>
                </c:pt>
                <c:pt idx="29">
                  <c:v>2011.6205425146509</c:v>
                </c:pt>
                <c:pt idx="30">
                  <c:v>2148.070937315953</c:v>
                </c:pt>
                <c:pt idx="31">
                  <c:v>2114.2744223052127</c:v>
                </c:pt>
                <c:pt idx="32">
                  <c:v>1986.8969686280557</c:v>
                </c:pt>
                <c:pt idx="33">
                  <c:v>2063.6323275388513</c:v>
                </c:pt>
                <c:pt idx="34">
                  <c:v>2275.2572817228483</c:v>
                </c:pt>
                <c:pt idx="35">
                  <c:v>2062.0014808055103</c:v>
                </c:pt>
                <c:pt idx="36">
                  <c:v>1789.7257230001815</c:v>
                </c:pt>
                <c:pt idx="37">
                  <c:v>1733.6824678989524</c:v>
                </c:pt>
                <c:pt idx="38">
                  <c:v>1703.6279883658308</c:v>
                </c:pt>
                <c:pt idx="39">
                  <c:v>1790.7935555537738</c:v>
                </c:pt>
                <c:pt idx="40">
                  <c:v>1948.337211327341</c:v>
                </c:pt>
                <c:pt idx="41">
                  <c:v>1987.3686287581768</c:v>
                </c:pt>
                <c:pt idx="42">
                  <c:v>2003.5843530928096</c:v>
                </c:pt>
                <c:pt idx="43">
                  <c:v>1822.5025777365845</c:v>
                </c:pt>
                <c:pt idx="44">
                  <c:v>1821.6172970083117</c:v>
                </c:pt>
                <c:pt idx="45">
                  <c:v>1833.1359822601551</c:v>
                </c:pt>
                <c:pt idx="46">
                  <c:v>1732.6710234804034</c:v>
                </c:pt>
                <c:pt idx="47">
                  <c:v>1832.1330696457285</c:v>
                </c:pt>
                <c:pt idx="48">
                  <c:v>1855.7319496949046</c:v>
                </c:pt>
                <c:pt idx="49">
                  <c:v>1736.5294900275112</c:v>
                </c:pt>
                <c:pt idx="50">
                  <c:v>1701.9981335147436</c:v>
                </c:pt>
                <c:pt idx="51">
                  <c:v>1702.859156882052</c:v>
                </c:pt>
                <c:pt idx="52">
                  <c:v>1700.9995842689905</c:v>
                </c:pt>
                <c:pt idx="53">
                  <c:v>1597.0572246700663</c:v>
                </c:pt>
                <c:pt idx="54">
                  <c:v>1426.4722506709104</c:v>
                </c:pt>
                <c:pt idx="55">
                  <c:v>1525.0847798662815</c:v>
                </c:pt>
                <c:pt idx="56">
                  <c:v>1487.8858486758213</c:v>
                </c:pt>
                <c:pt idx="57">
                  <c:v>1520.3521595474976</c:v>
                </c:pt>
                <c:pt idx="58">
                  <c:v>1717.2816846827823</c:v>
                </c:pt>
                <c:pt idx="59">
                  <c:v>1654.9128434708884</c:v>
                </c:pt>
                <c:pt idx="60">
                  <c:v>1583.4949180928313</c:v>
                </c:pt>
                <c:pt idx="61">
                  <c:v>1583.1973479991784</c:v>
                </c:pt>
                <c:pt idx="62">
                  <c:v>1657.6235628541197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2-4893-AA81-A78B5D8EA0B7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C2-4893-AA81-A78B5D8EA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3114610673666"/>
          <c:y val="6.0601851851851851E-2"/>
          <c:w val="0.84911329833770777"/>
          <c:h val="0.66743766404199478"/>
        </c:manualLayout>
      </c:layout>
      <c:lineChart>
        <c:grouping val="standard"/>
        <c:varyColors val="0"/>
        <c:ser>
          <c:idx val="0"/>
          <c:order val="0"/>
          <c:tx>
            <c:strRef>
              <c:f>'Modelo Oleo'!$D$2</c:f>
              <c:strCache>
                <c:ptCount val="1"/>
                <c:pt idx="0">
                  <c:v>São Paulo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Oleo'!$C$3:$C$65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Oleo'!$D$3:$D$65</c:f>
              <c:numCache>
                <c:formatCode>_-* #,##0_-;\-* #,##0_-;_-* "-"??_-;_-@_-</c:formatCode>
                <c:ptCount val="63"/>
                <c:pt idx="0">
                  <c:v>6097.5814999999984</c:v>
                </c:pt>
                <c:pt idx="1">
                  <c:v>5978.8672222222231</c:v>
                </c:pt>
                <c:pt idx="2">
                  <c:v>7045.6608695652167</c:v>
                </c:pt>
                <c:pt idx="3">
                  <c:v>7429.3750000000018</c:v>
                </c:pt>
                <c:pt idx="4">
                  <c:v>7638.496666666666</c:v>
                </c:pt>
                <c:pt idx="5">
                  <c:v>6990.8223809523834</c:v>
                </c:pt>
                <c:pt idx="6">
                  <c:v>7047.86409090909</c:v>
                </c:pt>
                <c:pt idx="7">
                  <c:v>7477.1781818181807</c:v>
                </c:pt>
                <c:pt idx="8">
                  <c:v>7496.1452380952387</c:v>
                </c:pt>
                <c:pt idx="9">
                  <c:v>8236.7200000000012</c:v>
                </c:pt>
                <c:pt idx="10">
                  <c:v>8398.9134999999987</c:v>
                </c:pt>
                <c:pt idx="11">
                  <c:v>8315.286666666665</c:v>
                </c:pt>
                <c:pt idx="12">
                  <c:v>8338.0633333333335</c:v>
                </c:pt>
                <c:pt idx="13">
                  <c:v>8578.1194736842117</c:v>
                </c:pt>
                <c:pt idx="14">
                  <c:v>9353.9549999999981</c:v>
                </c:pt>
                <c:pt idx="15">
                  <c:v>9201.4536842105281</c:v>
                </c:pt>
                <c:pt idx="16">
                  <c:v>9715.5077272727249</c:v>
                </c:pt>
                <c:pt idx="17">
                  <c:v>9168.165714285713</c:v>
                </c:pt>
                <c:pt idx="18">
                  <c:v>8163.08</c:v>
                </c:pt>
                <c:pt idx="19">
                  <c:v>7771.6139130434776</c:v>
                </c:pt>
                <c:pt idx="20">
                  <c:v>7357.0304761904754</c:v>
                </c:pt>
                <c:pt idx="21">
                  <c:v>7218.4325000000008</c:v>
                </c:pt>
                <c:pt idx="22">
                  <c:v>7884.7335000000003</c:v>
                </c:pt>
                <c:pt idx="23">
                  <c:v>7362.7152380952393</c:v>
                </c:pt>
                <c:pt idx="24">
                  <c:v>6945.4250000000002</c:v>
                </c:pt>
                <c:pt idx="25">
                  <c:v>6526.9427777777782</c:v>
                </c:pt>
                <c:pt idx="26">
                  <c:v>6131.8269565217388</c:v>
                </c:pt>
                <c:pt idx="27">
                  <c:v>5486.3366666666661</c:v>
                </c:pt>
                <c:pt idx="28">
                  <c:v>5176.1509090909094</c:v>
                </c:pt>
                <c:pt idx="29">
                  <c:v>4998.2485714285731</c:v>
                </c:pt>
                <c:pt idx="30">
                  <c:v>5091.5790476190477</c:v>
                </c:pt>
                <c:pt idx="31">
                  <c:v>5208.329565217392</c:v>
                </c:pt>
                <c:pt idx="32">
                  <c:v>5246.9394999999995</c:v>
                </c:pt>
                <c:pt idx="33">
                  <c:v>5281.5680952380953</c:v>
                </c:pt>
                <c:pt idx="34">
                  <c:v>5473.7290000000012</c:v>
                </c:pt>
                <c:pt idx="35">
                  <c:v>5471.0536842105275</c:v>
                </c:pt>
                <c:pt idx="36">
                  <c:v>5058.2372727272732</c:v>
                </c:pt>
                <c:pt idx="37">
                  <c:v>4797.5784210526308</c:v>
                </c:pt>
                <c:pt idx="38">
                  <c:v>5097.9975000000004</c:v>
                </c:pt>
                <c:pt idx="39">
                  <c:v>5152.216363636363</c:v>
                </c:pt>
                <c:pt idx="40">
                  <c:v>5116.9052380952389</c:v>
                </c:pt>
                <c:pt idx="41">
                  <c:v>5558.7800000000007</c:v>
                </c:pt>
                <c:pt idx="42">
                  <c:v>6056.3700000000008</c:v>
                </c:pt>
                <c:pt idx="43">
                  <c:v>6317.2481818181814</c:v>
                </c:pt>
                <c:pt idx="44">
                  <c:v>6413.7071428571435</c:v>
                </c:pt>
                <c:pt idx="45">
                  <c:v>6730.6243478260876</c:v>
                </c:pt>
                <c:pt idx="46">
                  <c:v>7351.6515789473669</c:v>
                </c:pt>
                <c:pt idx="47">
                  <c:v>7148.2542105263155</c:v>
                </c:pt>
                <c:pt idx="48">
                  <c:v>6795.7413636363644</c:v>
                </c:pt>
                <c:pt idx="49">
                  <c:v>6658.2194999999992</c:v>
                </c:pt>
                <c:pt idx="50">
                  <c:v>6709.8610526315806</c:v>
                </c:pt>
                <c:pt idx="51">
                  <c:v>6715.6449999999995</c:v>
                </c:pt>
                <c:pt idx="52">
                  <c:v>6422.1623809523799</c:v>
                </c:pt>
                <c:pt idx="53">
                  <c:v>6282.9839999999995</c:v>
                </c:pt>
                <c:pt idx="54">
                  <c:v>6647.0452173913036</c:v>
                </c:pt>
                <c:pt idx="55">
                  <c:v>7070.922380952381</c:v>
                </c:pt>
                <c:pt idx="56">
                  <c:v>7493.8045454545436</c:v>
                </c:pt>
                <c:pt idx="57">
                  <c:v>7470.4295652173914</c:v>
                </c:pt>
                <c:pt idx="58">
                  <c:v>7101.7721052631568</c:v>
                </c:pt>
                <c:pt idx="59">
                  <c:v>6597.4305000000004</c:v>
                </c:pt>
                <c:pt idx="60">
                  <c:v>6522.9728571428568</c:v>
                </c:pt>
                <c:pt idx="61">
                  <c:v>6462.8722222222241</c:v>
                </c:pt>
                <c:pt idx="62">
                  <c:v>6619.7538888888885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F-4EB4-96B5-04DCB4E72623}"/>
            </c:ext>
          </c:extLst>
        </c:ser>
        <c:ser>
          <c:idx val="1"/>
          <c:order val="1"/>
          <c:tx>
            <c:strRef>
              <c:f>'Modelo Oleo'!$E$2</c:f>
              <c:strCache>
                <c:ptCount val="1"/>
                <c:pt idx="0">
                  <c:v>Paranagua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Oleo'!$C$3:$C$65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Oleo'!$E$3:$E$65</c:f>
              <c:numCache>
                <c:formatCode>_-* #,##0_-;\-* #,##0_-;_-* "-"??_-;_-@_-</c:formatCode>
                <c:ptCount val="63"/>
                <c:pt idx="0">
                  <c:v>5544.4026806526608</c:v>
                </c:pt>
                <c:pt idx="1">
                  <c:v>5747.9166533795596</c:v>
                </c:pt>
                <c:pt idx="2">
                  <c:v>6820.0369806721574</c:v>
                </c:pt>
                <c:pt idx="3">
                  <c:v>6947.0664672199982</c:v>
                </c:pt>
                <c:pt idx="4">
                  <c:v>7124.9095481884588</c:v>
                </c:pt>
                <c:pt idx="5">
                  <c:v>5891.1729976659999</c:v>
                </c:pt>
                <c:pt idx="6">
                  <c:v>6499.823936111</c:v>
                </c:pt>
                <c:pt idx="7">
                  <c:v>6851.8666896382983</c:v>
                </c:pt>
                <c:pt idx="8">
                  <c:v>6866.8014408916988</c:v>
                </c:pt>
                <c:pt idx="9">
                  <c:v>7634.1253795460752</c:v>
                </c:pt>
                <c:pt idx="10">
                  <c:v>7635.589871343499</c:v>
                </c:pt>
                <c:pt idx="11">
                  <c:v>7476.6046034584351</c:v>
                </c:pt>
                <c:pt idx="12">
                  <c:v>7510.4032746190478</c:v>
                </c:pt>
                <c:pt idx="13">
                  <c:v>7888.8914828499983</c:v>
                </c:pt>
                <c:pt idx="14">
                  <c:v>8650.622948695649</c:v>
                </c:pt>
                <c:pt idx="15">
                  <c:v>8622.7853803333328</c:v>
                </c:pt>
                <c:pt idx="16">
                  <c:v>9140.9271790909097</c:v>
                </c:pt>
                <c:pt idx="17">
                  <c:v>8097.9163633636381</c:v>
                </c:pt>
                <c:pt idx="18">
                  <c:v>7066.7722575238095</c:v>
                </c:pt>
                <c:pt idx="19">
                  <c:v>7096.3803166956504</c:v>
                </c:pt>
                <c:pt idx="20">
                  <c:v>6397.7521325000007</c:v>
                </c:pt>
                <c:pt idx="21">
                  <c:v>6730.8277140476175</c:v>
                </c:pt>
                <c:pt idx="22">
                  <c:v>7114.3804593181812</c:v>
                </c:pt>
                <c:pt idx="23">
                  <c:v>6456.5643112727294</c:v>
                </c:pt>
                <c:pt idx="24">
                  <c:v>6101.9268512727258</c:v>
                </c:pt>
                <c:pt idx="25">
                  <c:v>5932.9275063000005</c:v>
                </c:pt>
                <c:pt idx="26">
                  <c:v>5400.8614693913041</c:v>
                </c:pt>
                <c:pt idx="27">
                  <c:v>4724.0803943999999</c:v>
                </c:pt>
                <c:pt idx="28">
                  <c:v>4464.729038391305</c:v>
                </c:pt>
                <c:pt idx="29">
                  <c:v>4540.7592626818196</c:v>
                </c:pt>
                <c:pt idx="30">
                  <c:v>4731.067068095238</c:v>
                </c:pt>
                <c:pt idx="31">
                  <c:v>4722.7573432608697</c:v>
                </c:pt>
                <c:pt idx="32">
                  <c:v>4538.5485531904769</c:v>
                </c:pt>
                <c:pt idx="33">
                  <c:v>4544.2165025909107</c:v>
                </c:pt>
                <c:pt idx="34">
                  <c:v>4815.356968363636</c:v>
                </c:pt>
                <c:pt idx="35">
                  <c:v>4335.490083857143</c:v>
                </c:pt>
                <c:pt idx="36">
                  <c:v>4076.5912183043483</c:v>
                </c:pt>
                <c:pt idx="37">
                  <c:v>4048.8421695238089</c:v>
                </c:pt>
                <c:pt idx="38">
                  <c:v>4486.3089558095235</c:v>
                </c:pt>
                <c:pt idx="39">
                  <c:v>4568.5571288181818</c:v>
                </c:pt>
                <c:pt idx="40">
                  <c:v>4590.199785652173</c:v>
                </c:pt>
                <c:pt idx="41">
                  <c:v>5087.6969568000004</c:v>
                </c:pt>
                <c:pt idx="42">
                  <c:v>5289.6251895652176</c:v>
                </c:pt>
                <c:pt idx="43">
                  <c:v>5129.6955491363642</c:v>
                </c:pt>
                <c:pt idx="44">
                  <c:v>5315.5726588571442</c:v>
                </c:pt>
                <c:pt idx="45">
                  <c:v>5951.5333270000001</c:v>
                </c:pt>
                <c:pt idx="46">
                  <c:v>6377.4681748095236</c:v>
                </c:pt>
                <c:pt idx="47">
                  <c:v>6125.6739538500015</c:v>
                </c:pt>
                <c:pt idx="48">
                  <c:v>6065.2193968695647</c:v>
                </c:pt>
                <c:pt idx="49">
                  <c:v>6043.3775714499998</c:v>
                </c:pt>
                <c:pt idx="50">
                  <c:v>5665.2752707142863</c:v>
                </c:pt>
                <c:pt idx="51">
                  <c:v>5859.9354249500002</c:v>
                </c:pt>
                <c:pt idx="52">
                  <c:v>5713.5859790952381</c:v>
                </c:pt>
                <c:pt idx="53">
                  <c:v>5666.0239249999995</c:v>
                </c:pt>
                <c:pt idx="54">
                  <c:v>6146.3662916956519</c:v>
                </c:pt>
                <c:pt idx="55">
                  <c:v>6020.4455168571421</c:v>
                </c:pt>
                <c:pt idx="56">
                  <c:v>5932.6111845454552</c:v>
                </c:pt>
                <c:pt idx="57">
                  <c:v>5982.9964625217408</c:v>
                </c:pt>
                <c:pt idx="58">
                  <c:v>5862.0462835789467</c:v>
                </c:pt>
                <c:pt idx="59">
                  <c:v>5957.2906355454552</c:v>
                </c:pt>
                <c:pt idx="60">
                  <c:v>6058.312422809523</c:v>
                </c:pt>
                <c:pt idx="61">
                  <c:v>6086.0183114444444</c:v>
                </c:pt>
                <c:pt idx="62">
                  <c:v>5857.6831885555557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0F-4EB4-96B5-04DCB4E72623}"/>
            </c:ext>
          </c:extLst>
        </c:ser>
        <c:ser>
          <c:idx val="2"/>
          <c:order val="2"/>
          <c:tx>
            <c:strRef>
              <c:f>'Modelo Oleo'!$H$2</c:f>
              <c:strCache>
                <c:ptCount val="1"/>
                <c:pt idx="0">
                  <c:v>São Paulo s/ICMS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'Modelo Oleo'!$H$3:$H$65</c:f>
              <c:numCache>
                <c:formatCode>_-* #,##0_-;\-* #,##0_-;_-* "-"??_-;_-@_-</c:formatCode>
                <c:ptCount val="63"/>
                <c:pt idx="0">
                  <c:v>5365.8717199999983</c:v>
                </c:pt>
                <c:pt idx="1">
                  <c:v>5261.4031555555566</c:v>
                </c:pt>
                <c:pt idx="2">
                  <c:v>6200.1815652173909</c:v>
                </c:pt>
                <c:pt idx="3">
                  <c:v>6537.8500000000013</c:v>
                </c:pt>
                <c:pt idx="4">
                  <c:v>6721.877066666666</c:v>
                </c:pt>
                <c:pt idx="5">
                  <c:v>6151.923695238097</c:v>
                </c:pt>
                <c:pt idx="6">
                  <c:v>6202.1203999999989</c:v>
                </c:pt>
                <c:pt idx="7">
                  <c:v>6579.9167999999991</c:v>
                </c:pt>
                <c:pt idx="8">
                  <c:v>6596.6078095238099</c:v>
                </c:pt>
                <c:pt idx="9">
                  <c:v>7248.3136000000013</c:v>
                </c:pt>
                <c:pt idx="10">
                  <c:v>7391.0438799999993</c:v>
                </c:pt>
                <c:pt idx="11">
                  <c:v>7317.4522666666653</c:v>
                </c:pt>
                <c:pt idx="12">
                  <c:v>7337.4957333333332</c:v>
                </c:pt>
                <c:pt idx="13">
                  <c:v>7548.7451368421061</c:v>
                </c:pt>
                <c:pt idx="14">
                  <c:v>8231.4803999999986</c:v>
                </c:pt>
                <c:pt idx="15">
                  <c:v>8097.2792421052645</c:v>
                </c:pt>
                <c:pt idx="16">
                  <c:v>8549.6467999999986</c:v>
                </c:pt>
                <c:pt idx="17">
                  <c:v>8067.9858285714272</c:v>
                </c:pt>
                <c:pt idx="18">
                  <c:v>7183.5104000000001</c:v>
                </c:pt>
                <c:pt idx="19">
                  <c:v>6839.0202434782605</c:v>
                </c:pt>
                <c:pt idx="20">
                  <c:v>6474.186819047618</c:v>
                </c:pt>
                <c:pt idx="21">
                  <c:v>6352.2206000000006</c:v>
                </c:pt>
                <c:pt idx="22">
                  <c:v>6938.5654800000002</c:v>
                </c:pt>
                <c:pt idx="23">
                  <c:v>6479.1894095238104</c:v>
                </c:pt>
                <c:pt idx="24">
                  <c:v>6111.9740000000002</c:v>
                </c:pt>
                <c:pt idx="25">
                  <c:v>5743.7096444444451</c:v>
                </c:pt>
                <c:pt idx="26">
                  <c:v>5396.0077217391299</c:v>
                </c:pt>
                <c:pt idx="27">
                  <c:v>4827.9762666666666</c:v>
                </c:pt>
                <c:pt idx="28">
                  <c:v>4555.0128000000004</c:v>
                </c:pt>
                <c:pt idx="29">
                  <c:v>4398.458742857144</c:v>
                </c:pt>
                <c:pt idx="30">
                  <c:v>4480.5895619047624</c:v>
                </c:pt>
                <c:pt idx="31">
                  <c:v>4583.3300173913049</c:v>
                </c:pt>
                <c:pt idx="32">
                  <c:v>4617.3067599999995</c:v>
                </c:pt>
                <c:pt idx="33">
                  <c:v>4647.779923809524</c:v>
                </c:pt>
                <c:pt idx="34">
                  <c:v>4816.8815200000008</c:v>
                </c:pt>
                <c:pt idx="35">
                  <c:v>4814.5272421052641</c:v>
                </c:pt>
                <c:pt idx="36">
                  <c:v>4451.2488000000003</c:v>
                </c:pt>
                <c:pt idx="37">
                  <c:v>4221.8690105263149</c:v>
                </c:pt>
                <c:pt idx="38">
                  <c:v>4486.2378000000008</c:v>
                </c:pt>
                <c:pt idx="39">
                  <c:v>4533.9503999999997</c:v>
                </c:pt>
                <c:pt idx="40">
                  <c:v>4502.8766095238107</c:v>
                </c:pt>
                <c:pt idx="41">
                  <c:v>4891.7264000000005</c:v>
                </c:pt>
                <c:pt idx="42">
                  <c:v>5329.6056000000008</c:v>
                </c:pt>
                <c:pt idx="43">
                  <c:v>5559.1783999999998</c:v>
                </c:pt>
                <c:pt idx="44">
                  <c:v>5644.0622857142862</c:v>
                </c:pt>
                <c:pt idx="45">
                  <c:v>5922.9494260869569</c:v>
                </c:pt>
                <c:pt idx="46">
                  <c:v>6469.4533894736833</c:v>
                </c:pt>
                <c:pt idx="47">
                  <c:v>6290.4637052631579</c:v>
                </c:pt>
                <c:pt idx="48">
                  <c:v>5980.2524000000003</c:v>
                </c:pt>
                <c:pt idx="49">
                  <c:v>5859.2331599999998</c:v>
                </c:pt>
                <c:pt idx="50">
                  <c:v>5904.677726315791</c:v>
                </c:pt>
                <c:pt idx="51">
                  <c:v>5909.7675999999992</c:v>
                </c:pt>
                <c:pt idx="52">
                  <c:v>5651.5028952380944</c:v>
                </c:pt>
                <c:pt idx="53">
                  <c:v>5529.0259199999991</c:v>
                </c:pt>
                <c:pt idx="54">
                  <c:v>5849.3997913043468</c:v>
                </c:pt>
                <c:pt idx="55">
                  <c:v>6222.4116952380955</c:v>
                </c:pt>
                <c:pt idx="56">
                  <c:v>6594.547999999998</c:v>
                </c:pt>
                <c:pt idx="57">
                  <c:v>6573.9780173913041</c:v>
                </c:pt>
                <c:pt idx="58">
                  <c:v>6249.5594526315781</c:v>
                </c:pt>
                <c:pt idx="59">
                  <c:v>5805.73884</c:v>
                </c:pt>
                <c:pt idx="60">
                  <c:v>5740.216114285714</c:v>
                </c:pt>
                <c:pt idx="61">
                  <c:v>5687.3275555555574</c:v>
                </c:pt>
                <c:pt idx="62">
                  <c:v>5825.3834222222222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1-46A7-8409-EEA871E4A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4160"/>
        <c:axId val="1951271360"/>
      </c:lineChart>
      <c:dateAx>
        <c:axId val="19512641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1360"/>
        <c:crosses val="autoZero"/>
        <c:auto val="1"/>
        <c:lblOffset val="100"/>
        <c:baseTimeUnit val="months"/>
      </c:dateAx>
      <c:valAx>
        <c:axId val="1951271360"/>
        <c:scaling>
          <c:orientation val="minMax"/>
          <c:max val="10000"/>
          <c:min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'Estudo PR'!$BB$2</c:f>
              <c:strCache>
                <c:ptCount val="1"/>
                <c:pt idx="0">
                  <c:v>PRG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PR'!$BB$3:$BB$65</c:f>
              <c:numCache>
                <c:formatCode>_-* #,##0.0_-;\-* #,##0.0_-;_-* "-"?_-;_-@_-</c:formatCode>
                <c:ptCount val="63"/>
                <c:pt idx="0">
                  <c:v>217.58326021639778</c:v>
                </c:pt>
                <c:pt idx="1">
                  <c:v>240.31489839228743</c:v>
                </c:pt>
                <c:pt idx="2">
                  <c:v>346.90441946923875</c:v>
                </c:pt>
                <c:pt idx="3">
                  <c:v>270.57449836254182</c:v>
                </c:pt>
                <c:pt idx="4">
                  <c:v>244.63872650054327</c:v>
                </c:pt>
                <c:pt idx="5">
                  <c:v>-19.440755260796777</c:v>
                </c:pt>
                <c:pt idx="6">
                  <c:v>-6.9173124575513611</c:v>
                </c:pt>
                <c:pt idx="7">
                  <c:v>4.1694708273066681</c:v>
                </c:pt>
                <c:pt idx="8">
                  <c:v>-84.840494648000004</c:v>
                </c:pt>
                <c:pt idx="9">
                  <c:v>92.388268947566303</c:v>
                </c:pt>
                <c:pt idx="10">
                  <c:v>322.53273565663358</c:v>
                </c:pt>
                <c:pt idx="11">
                  <c:v>399.26209663380314</c:v>
                </c:pt>
                <c:pt idx="12">
                  <c:v>338.04783747625243</c:v>
                </c:pt>
                <c:pt idx="13">
                  <c:v>195.59577350271093</c:v>
                </c:pt>
                <c:pt idx="14">
                  <c:v>306.49449722493728</c:v>
                </c:pt>
                <c:pt idx="15">
                  <c:v>347.79454661848649</c:v>
                </c:pt>
                <c:pt idx="16">
                  <c:v>256.84126575523987</c:v>
                </c:pt>
                <c:pt idx="17">
                  <c:v>97.149723795880163</c:v>
                </c:pt>
                <c:pt idx="18">
                  <c:v>228.66280597523792</c:v>
                </c:pt>
                <c:pt idx="19">
                  <c:v>270.48539185912341</c:v>
                </c:pt>
                <c:pt idx="20">
                  <c:v>0.99623233214606444</c:v>
                </c:pt>
                <c:pt idx="21">
                  <c:v>13.569680797290403</c:v>
                </c:pt>
                <c:pt idx="22">
                  <c:v>61.703470689774804</c:v>
                </c:pt>
                <c:pt idx="23">
                  <c:v>167.62117256816737</c:v>
                </c:pt>
                <c:pt idx="24">
                  <c:v>290.94703917713014</c:v>
                </c:pt>
                <c:pt idx="25">
                  <c:v>361.93273084922612</c:v>
                </c:pt>
                <c:pt idx="26">
                  <c:v>368.24083264132605</c:v>
                </c:pt>
                <c:pt idx="27">
                  <c:v>344.31880598075577</c:v>
                </c:pt>
                <c:pt idx="28">
                  <c:v>262.81345889134764</c:v>
                </c:pt>
                <c:pt idx="29">
                  <c:v>218.02630847744786</c:v>
                </c:pt>
                <c:pt idx="30">
                  <c:v>182.97470205110722</c:v>
                </c:pt>
                <c:pt idx="31">
                  <c:v>152.59056023882886</c:v>
                </c:pt>
                <c:pt idx="32">
                  <c:v>37.253057990237721</c:v>
                </c:pt>
                <c:pt idx="33">
                  <c:v>135.77371181254875</c:v>
                </c:pt>
                <c:pt idx="34">
                  <c:v>345.06083063914957</c:v>
                </c:pt>
                <c:pt idx="35">
                  <c:v>60.559556885063103</c:v>
                </c:pt>
                <c:pt idx="36">
                  <c:v>137.13486804402783</c:v>
                </c:pt>
                <c:pt idx="37">
                  <c:v>222.85413000412223</c:v>
                </c:pt>
                <c:pt idx="38">
                  <c:v>211.45435777357216</c:v>
                </c:pt>
                <c:pt idx="39">
                  <c:v>193.47859850206532</c:v>
                </c:pt>
                <c:pt idx="40">
                  <c:v>177.89029934631071</c:v>
                </c:pt>
                <c:pt idx="41">
                  <c:v>272.31849185705005</c:v>
                </c:pt>
                <c:pt idx="42">
                  <c:v>343.58759412346126</c:v>
                </c:pt>
                <c:pt idx="43">
                  <c:v>241.01026687939111</c:v>
                </c:pt>
                <c:pt idx="44">
                  <c:v>159.58530953313539</c:v>
                </c:pt>
                <c:pt idx="45">
                  <c:v>254.62461404331134</c:v>
                </c:pt>
                <c:pt idx="46">
                  <c:v>237.52844444581251</c:v>
                </c:pt>
                <c:pt idx="47">
                  <c:v>288.147331135081</c:v>
                </c:pt>
                <c:pt idx="48">
                  <c:v>420.30245546682499</c:v>
                </c:pt>
                <c:pt idx="49">
                  <c:v>385.39044905310811</c:v>
                </c:pt>
                <c:pt idx="50">
                  <c:v>268.20796325686251</c:v>
                </c:pt>
                <c:pt idx="51">
                  <c:v>272.91791729130182</c:v>
                </c:pt>
                <c:pt idx="52">
                  <c:v>244.1591170127831</c:v>
                </c:pt>
                <c:pt idx="53">
                  <c:v>161.55987829751621</c:v>
                </c:pt>
                <c:pt idx="54">
                  <c:v>126.52915324669129</c:v>
                </c:pt>
                <c:pt idx="55">
                  <c:v>89.568409713588153</c:v>
                </c:pt>
                <c:pt idx="56">
                  <c:v>67.411393854955804</c:v>
                </c:pt>
                <c:pt idx="57">
                  <c:v>114.64751695253972</c:v>
                </c:pt>
                <c:pt idx="58">
                  <c:v>192.92694564736394</c:v>
                </c:pt>
                <c:pt idx="59">
                  <c:v>139.2955114331553</c:v>
                </c:pt>
                <c:pt idx="60">
                  <c:v>279.62954278893221</c:v>
                </c:pt>
                <c:pt idx="61">
                  <c:v>376.98386751031785</c:v>
                </c:pt>
                <c:pt idx="62">
                  <c:v>339.222574947049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7-4343-A919-DC5D74360AB2}"/>
            </c:ext>
          </c:extLst>
        </c:ser>
        <c:ser>
          <c:idx val="1"/>
          <c:order val="1"/>
          <c:tx>
            <c:strRef>
              <c:f>'Estudo PR'!$BC$2</c:f>
              <c:strCache>
                <c:ptCount val="1"/>
                <c:pt idx="0">
                  <c:v>PG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PR'!$BC$3:$BC$65</c:f>
              <c:numCache>
                <c:formatCode>_-* #,##0.0_-;\-* #,##0.0_-;_-* "-"?_-;_-@_-</c:formatCode>
                <c:ptCount val="63"/>
                <c:pt idx="0">
                  <c:v>564.27933416662245</c:v>
                </c:pt>
                <c:pt idx="1">
                  <c:v>664.12085533691061</c:v>
                </c:pt>
                <c:pt idx="2">
                  <c:v>415.71115492168337</c:v>
                </c:pt>
                <c:pt idx="3">
                  <c:v>335.7295604583046</c:v>
                </c:pt>
                <c:pt idx="4">
                  <c:v>310.64363126400076</c:v>
                </c:pt>
                <c:pt idx="5">
                  <c:v>148.95026102180964</c:v>
                </c:pt>
                <c:pt idx="6">
                  <c:v>227.60865147093136</c:v>
                </c:pt>
                <c:pt idx="7">
                  <c:v>221.77844960662287</c:v>
                </c:pt>
                <c:pt idx="8">
                  <c:v>220.17691382480962</c:v>
                </c:pt>
                <c:pt idx="9">
                  <c:v>355.76369395308393</c:v>
                </c:pt>
                <c:pt idx="10">
                  <c:v>374.23094815546801</c:v>
                </c:pt>
                <c:pt idx="11">
                  <c:v>413.24590909195967</c:v>
                </c:pt>
                <c:pt idx="12">
                  <c:v>512.72987091496998</c:v>
                </c:pt>
                <c:pt idx="13">
                  <c:v>483.65305745374644</c:v>
                </c:pt>
                <c:pt idx="14">
                  <c:v>591.20446181074931</c:v>
                </c:pt>
                <c:pt idx="15">
                  <c:v>563.18106331830813</c:v>
                </c:pt>
                <c:pt idx="16">
                  <c:v>426.71190722953497</c:v>
                </c:pt>
                <c:pt idx="17">
                  <c:v>205.73569142673978</c:v>
                </c:pt>
                <c:pt idx="18">
                  <c:v>195.54408732143975</c:v>
                </c:pt>
                <c:pt idx="19">
                  <c:v>246.2946787343426</c:v>
                </c:pt>
                <c:pt idx="20">
                  <c:v>171.6896446868941</c:v>
                </c:pt>
                <c:pt idx="21">
                  <c:v>329.42506009395811</c:v>
                </c:pt>
                <c:pt idx="22">
                  <c:v>286.86819318339849</c:v>
                </c:pt>
                <c:pt idx="23">
                  <c:v>360.23393927600227</c:v>
                </c:pt>
                <c:pt idx="24">
                  <c:v>485.22528827142696</c:v>
                </c:pt>
                <c:pt idx="25">
                  <c:v>538.84401920224445</c:v>
                </c:pt>
                <c:pt idx="26">
                  <c:v>442.00935829598302</c:v>
                </c:pt>
                <c:pt idx="27">
                  <c:v>388.47991312862587</c:v>
                </c:pt>
                <c:pt idx="28">
                  <c:v>381.05980260582191</c:v>
                </c:pt>
                <c:pt idx="29">
                  <c:v>379.34565921202329</c:v>
                </c:pt>
                <c:pt idx="30">
                  <c:v>336.75439872795732</c:v>
                </c:pt>
                <c:pt idx="31">
                  <c:v>288.45400518954784</c:v>
                </c:pt>
                <c:pt idx="32">
                  <c:v>250.95228429891722</c:v>
                </c:pt>
                <c:pt idx="33">
                  <c:v>306.93931957006771</c:v>
                </c:pt>
                <c:pt idx="34">
                  <c:v>476.15436512751694</c:v>
                </c:pt>
                <c:pt idx="35">
                  <c:v>324.72533540892391</c:v>
                </c:pt>
                <c:pt idx="36">
                  <c:v>398.28831026039597</c:v>
                </c:pt>
                <c:pt idx="37">
                  <c:v>489.24983639429479</c:v>
                </c:pt>
                <c:pt idx="38">
                  <c:v>424.34435019305511</c:v>
                </c:pt>
                <c:pt idx="39">
                  <c:v>343.60585704037794</c:v>
                </c:pt>
                <c:pt idx="40">
                  <c:v>344.2179159023085</c:v>
                </c:pt>
                <c:pt idx="41">
                  <c:v>433.04665258790465</c:v>
                </c:pt>
                <c:pt idx="42">
                  <c:v>428.21615086628708</c:v>
                </c:pt>
                <c:pt idx="43">
                  <c:v>413.3631047597537</c:v>
                </c:pt>
                <c:pt idx="44">
                  <c:v>389.73714646216831</c:v>
                </c:pt>
                <c:pt idx="45">
                  <c:v>465.24140284008172</c:v>
                </c:pt>
                <c:pt idx="46">
                  <c:v>449.81641552777819</c:v>
                </c:pt>
                <c:pt idx="47">
                  <c:v>421.34373356163405</c:v>
                </c:pt>
                <c:pt idx="48">
                  <c:v>555.18266206899398</c:v>
                </c:pt>
                <c:pt idx="49">
                  <c:v>517.78872402394563</c:v>
                </c:pt>
                <c:pt idx="50">
                  <c:v>371.24059504292654</c:v>
                </c:pt>
                <c:pt idx="51">
                  <c:v>346.62051604206044</c:v>
                </c:pt>
                <c:pt idx="52">
                  <c:v>280.66378778767694</c:v>
                </c:pt>
                <c:pt idx="53">
                  <c:v>234.35247906435279</c:v>
                </c:pt>
                <c:pt idx="54">
                  <c:v>261.47368851665351</c:v>
                </c:pt>
                <c:pt idx="55">
                  <c:v>150.91448255061914</c:v>
                </c:pt>
                <c:pt idx="56">
                  <c:v>123.72561528288088</c:v>
                </c:pt>
                <c:pt idx="57">
                  <c:v>127.4968727469377</c:v>
                </c:pt>
                <c:pt idx="58">
                  <c:v>172.08325218442678</c:v>
                </c:pt>
                <c:pt idx="59">
                  <c:v>223.89189402795</c:v>
                </c:pt>
                <c:pt idx="60">
                  <c:v>412.22792894306531</c:v>
                </c:pt>
                <c:pt idx="61">
                  <c:v>531.45624230871113</c:v>
                </c:pt>
                <c:pt idx="62">
                  <c:v>442.01802297500763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7-4343-A919-DC5D74360AB2}"/>
            </c:ext>
          </c:extLst>
        </c:ser>
        <c:ser>
          <c:idx val="2"/>
          <c:order val="2"/>
          <c:tx>
            <c:strRef>
              <c:f>'Estudo PR'!$BD$2</c:f>
              <c:strCache>
                <c:ptCount val="1"/>
                <c:pt idx="0">
                  <c:v>Cascavel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PR'!$BD$3:$BD$65</c:f>
              <c:numCache>
                <c:formatCode>_-* #,##0.0_-;\-* #,##0.0_-;_-* "-"?_-;_-@_-</c:formatCode>
                <c:ptCount val="63"/>
                <c:pt idx="0">
                  <c:v>587.97614561628961</c:v>
                </c:pt>
                <c:pt idx="1">
                  <c:v>719.0119368824212</c:v>
                </c:pt>
                <c:pt idx="2">
                  <c:v>518.6708983489184</c:v>
                </c:pt>
                <c:pt idx="3">
                  <c:v>378.20224914897426</c:v>
                </c:pt>
                <c:pt idx="4">
                  <c:v>338.14664252837929</c:v>
                </c:pt>
                <c:pt idx="5">
                  <c:v>208.07716575274253</c:v>
                </c:pt>
                <c:pt idx="6">
                  <c:v>261.15448729300988</c:v>
                </c:pt>
                <c:pt idx="7">
                  <c:v>298.15156071618367</c:v>
                </c:pt>
                <c:pt idx="8">
                  <c:v>258.93362518333379</c:v>
                </c:pt>
                <c:pt idx="9">
                  <c:v>346.22319960982668</c:v>
                </c:pt>
                <c:pt idx="10">
                  <c:v>368.69986676032386</c:v>
                </c:pt>
                <c:pt idx="11">
                  <c:v>368.13641808269222</c:v>
                </c:pt>
                <c:pt idx="12">
                  <c:v>496.28526422682125</c:v>
                </c:pt>
                <c:pt idx="13">
                  <c:v>538.61572753211203</c:v>
                </c:pt>
                <c:pt idx="14">
                  <c:v>631.55027653575735</c:v>
                </c:pt>
                <c:pt idx="15">
                  <c:v>629.091407593432</c:v>
                </c:pt>
                <c:pt idx="16">
                  <c:v>483.87038009291246</c:v>
                </c:pt>
                <c:pt idx="17">
                  <c:v>183.45172633887069</c:v>
                </c:pt>
                <c:pt idx="18">
                  <c:v>148.11714914975755</c:v>
                </c:pt>
                <c:pt idx="19">
                  <c:v>250.0774111142091</c:v>
                </c:pt>
                <c:pt idx="20">
                  <c:v>194.62244854094388</c:v>
                </c:pt>
                <c:pt idx="21">
                  <c:v>406.09637945255554</c:v>
                </c:pt>
                <c:pt idx="22">
                  <c:v>433.9056154023524</c:v>
                </c:pt>
                <c:pt idx="23">
                  <c:v>354.83443907088622</c:v>
                </c:pt>
                <c:pt idx="24">
                  <c:v>430.02408481137218</c:v>
                </c:pt>
                <c:pt idx="25">
                  <c:v>535.67058977137413</c:v>
                </c:pt>
                <c:pt idx="26">
                  <c:v>539.22406068878445</c:v>
                </c:pt>
                <c:pt idx="27">
                  <c:v>469.3569151239476</c:v>
                </c:pt>
                <c:pt idx="28">
                  <c:v>404.63753749662783</c:v>
                </c:pt>
                <c:pt idx="29">
                  <c:v>405.54130492038939</c:v>
                </c:pt>
                <c:pt idx="30">
                  <c:v>316.11043491251394</c:v>
                </c:pt>
                <c:pt idx="31">
                  <c:v>245.06530073686872</c:v>
                </c:pt>
                <c:pt idx="32">
                  <c:v>233.23691101195345</c:v>
                </c:pt>
                <c:pt idx="33">
                  <c:v>311.47031202745848</c:v>
                </c:pt>
                <c:pt idx="34">
                  <c:v>451.1784120971015</c:v>
                </c:pt>
                <c:pt idx="35">
                  <c:v>384.60805610540638</c:v>
                </c:pt>
                <c:pt idx="36">
                  <c:v>490.32347616442212</c:v>
                </c:pt>
                <c:pt idx="37">
                  <c:v>545.11082934237675</c:v>
                </c:pt>
                <c:pt idx="38">
                  <c:v>509.53162605900343</c:v>
                </c:pt>
                <c:pt idx="39">
                  <c:v>387.47228478617626</c:v>
                </c:pt>
                <c:pt idx="40">
                  <c:v>391.88485575144841</c:v>
                </c:pt>
                <c:pt idx="41">
                  <c:v>492.37669833547852</c:v>
                </c:pt>
                <c:pt idx="42">
                  <c:v>416.12952685626442</c:v>
                </c:pt>
                <c:pt idx="43">
                  <c:v>331.09238841560591</c:v>
                </c:pt>
                <c:pt idx="44">
                  <c:v>301.9633569323446</c:v>
                </c:pt>
                <c:pt idx="45">
                  <c:v>421.62160334824739</c:v>
                </c:pt>
                <c:pt idx="46">
                  <c:v>386.95356468110549</c:v>
                </c:pt>
                <c:pt idx="47">
                  <c:v>330.26085732423007</c:v>
                </c:pt>
                <c:pt idx="48">
                  <c:v>497.59595830547687</c:v>
                </c:pt>
                <c:pt idx="49">
                  <c:v>547.52401287627345</c:v>
                </c:pt>
                <c:pt idx="50">
                  <c:v>335.50431993050961</c:v>
                </c:pt>
                <c:pt idx="51">
                  <c:v>340.38643912928046</c:v>
                </c:pt>
                <c:pt idx="52">
                  <c:v>292.69767011355816</c:v>
                </c:pt>
                <c:pt idx="53">
                  <c:v>273.69227794411472</c:v>
                </c:pt>
                <c:pt idx="54">
                  <c:v>246.31869911475178</c:v>
                </c:pt>
                <c:pt idx="55">
                  <c:v>124.19310787498944</c:v>
                </c:pt>
                <c:pt idx="56">
                  <c:v>157.354650642043</c:v>
                </c:pt>
                <c:pt idx="57">
                  <c:v>153.29887454239861</c:v>
                </c:pt>
                <c:pt idx="58">
                  <c:v>181.73933004060882</c:v>
                </c:pt>
                <c:pt idx="59">
                  <c:v>292.44393441319608</c:v>
                </c:pt>
                <c:pt idx="60">
                  <c:v>542.82275624195859</c:v>
                </c:pt>
                <c:pt idx="61">
                  <c:v>617.25431911897635</c:v>
                </c:pt>
                <c:pt idx="62">
                  <c:v>495.23042571119754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47-4343-A919-DC5D74360AB2}"/>
            </c:ext>
          </c:extLst>
        </c:ser>
        <c:ser>
          <c:idx val="3"/>
          <c:order val="3"/>
          <c:tx>
            <c:strRef>
              <c:f>'Estudo PR'!$BE$2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PR'!$BE$3:$BE$65</c:f>
              <c:numCache>
                <c:formatCode>_-* #,##0.0_-;\-* #,##0.0_-;_-* "-"?_-;_-@_-</c:formatCode>
                <c:ptCount val="63"/>
                <c:pt idx="0">
                  <c:v>760.31185072726794</c:v>
                </c:pt>
                <c:pt idx="1">
                  <c:v>862.90468581179221</c:v>
                </c:pt>
                <c:pt idx="2">
                  <c:v>665.14313894121597</c:v>
                </c:pt>
                <c:pt idx="3">
                  <c:v>471.21019327456588</c:v>
                </c:pt>
                <c:pt idx="4">
                  <c:v>440.71031060111409</c:v>
                </c:pt>
                <c:pt idx="5">
                  <c:v>301.75773938217208</c:v>
                </c:pt>
                <c:pt idx="6">
                  <c:v>367.61185187876708</c:v>
                </c:pt>
                <c:pt idx="7">
                  <c:v>315.42489047568097</c:v>
                </c:pt>
                <c:pt idx="8">
                  <c:v>274.62572282110341</c:v>
                </c:pt>
                <c:pt idx="9">
                  <c:v>422.92627567815089</c:v>
                </c:pt>
                <c:pt idx="10">
                  <c:v>450.71826157864916</c:v>
                </c:pt>
                <c:pt idx="11">
                  <c:v>442.09481366447426</c:v>
                </c:pt>
                <c:pt idx="12">
                  <c:v>518.94865361222219</c:v>
                </c:pt>
                <c:pt idx="13">
                  <c:v>607.85331266232924</c:v>
                </c:pt>
                <c:pt idx="14">
                  <c:v>737.19821052974203</c:v>
                </c:pt>
                <c:pt idx="15">
                  <c:v>694.44439945739714</c:v>
                </c:pt>
                <c:pt idx="16">
                  <c:v>516.43582818409141</c:v>
                </c:pt>
                <c:pt idx="17">
                  <c:v>215.98226131622687</c:v>
                </c:pt>
                <c:pt idx="18">
                  <c:v>205.52909512785709</c:v>
                </c:pt>
                <c:pt idx="19">
                  <c:v>308.34128159260945</c:v>
                </c:pt>
                <c:pt idx="20">
                  <c:v>248.39929478095382</c:v>
                </c:pt>
                <c:pt idx="21">
                  <c:v>453.75528694761942</c:v>
                </c:pt>
                <c:pt idx="22">
                  <c:v>460.48606347055465</c:v>
                </c:pt>
                <c:pt idx="23">
                  <c:v>505.80273980281936</c:v>
                </c:pt>
                <c:pt idx="24">
                  <c:v>586.43237941232337</c:v>
                </c:pt>
                <c:pt idx="25">
                  <c:v>602.21958084887137</c:v>
                </c:pt>
                <c:pt idx="26">
                  <c:v>551.21657085014431</c:v>
                </c:pt>
                <c:pt idx="27">
                  <c:v>484.55803427837009</c:v>
                </c:pt>
                <c:pt idx="28">
                  <c:v>444.23720489918242</c:v>
                </c:pt>
                <c:pt idx="29">
                  <c:v>453.02712504438341</c:v>
                </c:pt>
                <c:pt idx="30">
                  <c:v>430.66814075079265</c:v>
                </c:pt>
                <c:pt idx="31">
                  <c:v>353.86950052611883</c:v>
                </c:pt>
                <c:pt idx="32">
                  <c:v>293.26215070547642</c:v>
                </c:pt>
                <c:pt idx="33">
                  <c:v>361.49357891792579</c:v>
                </c:pt>
                <c:pt idx="34">
                  <c:v>514.62229851840902</c:v>
                </c:pt>
                <c:pt idx="35">
                  <c:v>380.69674568328264</c:v>
                </c:pt>
                <c:pt idx="36">
                  <c:v>453.84060360722697</c:v>
                </c:pt>
                <c:pt idx="37">
                  <c:v>570.01269162512563</c:v>
                </c:pt>
                <c:pt idx="38">
                  <c:v>500.54230084119104</c:v>
                </c:pt>
                <c:pt idx="39">
                  <c:v>375.72970384303017</c:v>
                </c:pt>
                <c:pt idx="40">
                  <c:v>340.2244731009846</c:v>
                </c:pt>
                <c:pt idx="41">
                  <c:v>431.553678451</c:v>
                </c:pt>
                <c:pt idx="42">
                  <c:v>409.45391020072475</c:v>
                </c:pt>
                <c:pt idx="43">
                  <c:v>358.4646902444706</c:v>
                </c:pt>
                <c:pt idx="44">
                  <c:v>312.04837400095221</c:v>
                </c:pt>
                <c:pt idx="45">
                  <c:v>420.17706588094188</c:v>
                </c:pt>
                <c:pt idx="46">
                  <c:v>368.28662435101432</c:v>
                </c:pt>
                <c:pt idx="47">
                  <c:v>332.60640806215406</c:v>
                </c:pt>
                <c:pt idx="48">
                  <c:v>522.85284128729245</c:v>
                </c:pt>
                <c:pt idx="49">
                  <c:v>529.32203326608305</c:v>
                </c:pt>
                <c:pt idx="50">
                  <c:v>375.4069279186715</c:v>
                </c:pt>
                <c:pt idx="51">
                  <c:v>329.15988624244346</c:v>
                </c:pt>
                <c:pt idx="52">
                  <c:v>285.71660527079348</c:v>
                </c:pt>
                <c:pt idx="53">
                  <c:v>245.6798930833329</c:v>
                </c:pt>
                <c:pt idx="54">
                  <c:v>239.1997876052892</c:v>
                </c:pt>
                <c:pt idx="55">
                  <c:v>100.31544558674523</c:v>
                </c:pt>
                <c:pt idx="56">
                  <c:v>105.9324322022735</c:v>
                </c:pt>
                <c:pt idx="57">
                  <c:v>126.23164609391324</c:v>
                </c:pt>
                <c:pt idx="58">
                  <c:v>175.52802376719364</c:v>
                </c:pt>
                <c:pt idx="59">
                  <c:v>263.65288518136367</c:v>
                </c:pt>
                <c:pt idx="60">
                  <c:v>518.00218286452423</c:v>
                </c:pt>
                <c:pt idx="61">
                  <c:v>580.74974360666647</c:v>
                </c:pt>
                <c:pt idx="62">
                  <c:v>439.40845019888843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47-4343-A919-DC5D7436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70495"/>
        <c:axId val="27370975"/>
      </c:lineChart>
      <c:dateAx>
        <c:axId val="2737049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975"/>
        <c:crosses val="autoZero"/>
        <c:auto val="1"/>
        <c:lblOffset val="100"/>
        <c:baseTimeUnit val="months"/>
      </c:dateAx>
      <c:valAx>
        <c:axId val="2737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 Margin</a:t>
            </a:r>
          </a:p>
        </c:rich>
      </c:tx>
      <c:layout>
        <c:manualLayout>
          <c:xMode val="edge"/>
          <c:yMode val="edge"/>
          <c:x val="0.3872637795275590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6789370078740158E-2"/>
          <c:y val="7.9120370370370396E-2"/>
          <c:w val="0.88265507436570434"/>
          <c:h val="0.64891914552347618"/>
        </c:manualLayout>
      </c:layout>
      <c:lineChart>
        <c:grouping val="standard"/>
        <c:varyColors val="0"/>
        <c:ser>
          <c:idx val="0"/>
          <c:order val="0"/>
          <c:tx>
            <c:strRef>
              <c:f>'Estudo PR'!$BH$2</c:f>
              <c:strCache>
                <c:ptCount val="1"/>
                <c:pt idx="0">
                  <c:v>PRG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PR'!$BH$3:$BH$65</c:f>
              <c:numCache>
                <c:formatCode>_-* #,##0_-;\-* #,##0_-;_-* "-"??_-;_-@_-</c:formatCode>
                <c:ptCount val="63"/>
                <c:pt idx="0">
                  <c:v>217.58326021639778</c:v>
                </c:pt>
                <c:pt idx="1">
                  <c:v>240.31489839228743</c:v>
                </c:pt>
                <c:pt idx="2">
                  <c:v>346.90441946923875</c:v>
                </c:pt>
                <c:pt idx="3">
                  <c:v>270.57449836254182</c:v>
                </c:pt>
                <c:pt idx="4">
                  <c:v>244.63872650054327</c:v>
                </c:pt>
                <c:pt idx="5">
                  <c:v>-19.440755260796777</c:v>
                </c:pt>
                <c:pt idx="6">
                  <c:v>-6.9173124575513611</c:v>
                </c:pt>
                <c:pt idx="7">
                  <c:v>4.1694708273066681</c:v>
                </c:pt>
                <c:pt idx="8">
                  <c:v>-84.840494648000004</c:v>
                </c:pt>
                <c:pt idx="9">
                  <c:v>92.388268947566303</c:v>
                </c:pt>
                <c:pt idx="10">
                  <c:v>322.53273565663358</c:v>
                </c:pt>
                <c:pt idx="11">
                  <c:v>399.26209663380314</c:v>
                </c:pt>
                <c:pt idx="12">
                  <c:v>338.04783747625243</c:v>
                </c:pt>
                <c:pt idx="13">
                  <c:v>195.59577350271093</c:v>
                </c:pt>
                <c:pt idx="14">
                  <c:v>306.49449722493728</c:v>
                </c:pt>
                <c:pt idx="15">
                  <c:v>347.79454661848649</c:v>
                </c:pt>
                <c:pt idx="16">
                  <c:v>256.84126575523987</c:v>
                </c:pt>
                <c:pt idx="17">
                  <c:v>97.149723795880163</c:v>
                </c:pt>
                <c:pt idx="18">
                  <c:v>228.66280597523792</c:v>
                </c:pt>
                <c:pt idx="19">
                  <c:v>270.48539185912341</c:v>
                </c:pt>
                <c:pt idx="20">
                  <c:v>0.99623233214606444</c:v>
                </c:pt>
                <c:pt idx="21">
                  <c:v>13.569680797290403</c:v>
                </c:pt>
                <c:pt idx="22">
                  <c:v>61.703470689774804</c:v>
                </c:pt>
                <c:pt idx="23">
                  <c:v>167.62117256816737</c:v>
                </c:pt>
                <c:pt idx="24">
                  <c:v>290.94703917713014</c:v>
                </c:pt>
                <c:pt idx="25">
                  <c:v>361.93273084922612</c:v>
                </c:pt>
                <c:pt idx="26">
                  <c:v>368.24083264132605</c:v>
                </c:pt>
                <c:pt idx="27">
                  <c:v>344.31880598075577</c:v>
                </c:pt>
                <c:pt idx="28">
                  <c:v>262.81345889134764</c:v>
                </c:pt>
                <c:pt idx="29">
                  <c:v>218.02630847744786</c:v>
                </c:pt>
                <c:pt idx="30">
                  <c:v>182.97470205110722</c:v>
                </c:pt>
                <c:pt idx="31">
                  <c:v>152.59056023882886</c:v>
                </c:pt>
                <c:pt idx="32">
                  <c:v>37.253057990237721</c:v>
                </c:pt>
                <c:pt idx="33">
                  <c:v>135.77371181254875</c:v>
                </c:pt>
                <c:pt idx="34">
                  <c:v>345.06083063914957</c:v>
                </c:pt>
                <c:pt idx="35">
                  <c:v>60.559556885063103</c:v>
                </c:pt>
                <c:pt idx="36">
                  <c:v>137.13486804402783</c:v>
                </c:pt>
                <c:pt idx="37">
                  <c:v>222.85413000412223</c:v>
                </c:pt>
                <c:pt idx="38">
                  <c:v>211.45435777357216</c:v>
                </c:pt>
                <c:pt idx="39">
                  <c:v>193.47859850206532</c:v>
                </c:pt>
                <c:pt idx="40">
                  <c:v>177.89029934631071</c:v>
                </c:pt>
                <c:pt idx="41">
                  <c:v>272.31849185705005</c:v>
                </c:pt>
                <c:pt idx="42">
                  <c:v>343.58759412346126</c:v>
                </c:pt>
                <c:pt idx="43">
                  <c:v>241.01026687939111</c:v>
                </c:pt>
                <c:pt idx="44">
                  <c:v>159.58530953313539</c:v>
                </c:pt>
                <c:pt idx="45">
                  <c:v>254.62461404331134</c:v>
                </c:pt>
                <c:pt idx="46">
                  <c:v>237.52844444581251</c:v>
                </c:pt>
                <c:pt idx="47">
                  <c:v>288.147331135081</c:v>
                </c:pt>
                <c:pt idx="48">
                  <c:v>420.30245546682499</c:v>
                </c:pt>
                <c:pt idx="49">
                  <c:v>385.39044905310811</c:v>
                </c:pt>
                <c:pt idx="50">
                  <c:v>268.20796325686251</c:v>
                </c:pt>
                <c:pt idx="51">
                  <c:v>272.91791729130182</c:v>
                </c:pt>
                <c:pt idx="52">
                  <c:v>244.1591170127831</c:v>
                </c:pt>
                <c:pt idx="53">
                  <c:v>161.55987829751621</c:v>
                </c:pt>
                <c:pt idx="54">
                  <c:v>126.52915324669129</c:v>
                </c:pt>
                <c:pt idx="55">
                  <c:v>89.568409713588153</c:v>
                </c:pt>
                <c:pt idx="56">
                  <c:v>67.411393854955804</c:v>
                </c:pt>
                <c:pt idx="57">
                  <c:v>114.64751695253972</c:v>
                </c:pt>
                <c:pt idx="58">
                  <c:v>192.92694564736394</c:v>
                </c:pt>
                <c:pt idx="59">
                  <c:v>139.2955114331553</c:v>
                </c:pt>
                <c:pt idx="60">
                  <c:v>279.62954278893221</c:v>
                </c:pt>
                <c:pt idx="61">
                  <c:v>376.98386751031785</c:v>
                </c:pt>
                <c:pt idx="62">
                  <c:v>339.222574947049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D-43B2-8A47-1963893EEE27}"/>
            </c:ext>
          </c:extLst>
        </c:ser>
        <c:ser>
          <c:idx val="1"/>
          <c:order val="1"/>
          <c:tx>
            <c:strRef>
              <c:f>'Estudo PR'!$BI$2</c:f>
              <c:strCache>
                <c:ptCount val="1"/>
                <c:pt idx="0">
                  <c:v>PG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PR'!$BI$3:$BI$65</c:f>
              <c:numCache>
                <c:formatCode>_-* #,##0_-;\-* #,##0_-;_-* "-"??_-;_-@_-</c:formatCode>
                <c:ptCount val="63"/>
                <c:pt idx="0">
                  <c:v>296.44303290444122</c:v>
                </c:pt>
                <c:pt idx="1">
                  <c:v>323.20834418951063</c:v>
                </c:pt>
                <c:pt idx="2">
                  <c:v>377.86265553347994</c:v>
                </c:pt>
                <c:pt idx="3">
                  <c:v>311.2606022624791</c:v>
                </c:pt>
                <c:pt idx="4">
                  <c:v>275.95836605989825</c:v>
                </c:pt>
                <c:pt idx="5">
                  <c:v>25.040521042643377</c:v>
                </c:pt>
                <c:pt idx="6">
                  <c:v>62.517267848556003</c:v>
                </c:pt>
                <c:pt idx="7">
                  <c:v>47.511160153463152</c:v>
                </c:pt>
                <c:pt idx="8">
                  <c:v>-18.771629887844483</c:v>
                </c:pt>
                <c:pt idx="9">
                  <c:v>138.25417394175838</c:v>
                </c:pt>
                <c:pt idx="10">
                  <c:v>342.42061919770777</c:v>
                </c:pt>
                <c:pt idx="11">
                  <c:v>413.80982025616913</c:v>
                </c:pt>
                <c:pt idx="12">
                  <c:v>372.75154013902784</c:v>
                </c:pt>
                <c:pt idx="13">
                  <c:v>254.71315066502621</c:v>
                </c:pt>
                <c:pt idx="14">
                  <c:v>345.98007255794437</c:v>
                </c:pt>
                <c:pt idx="15">
                  <c:v>383.48287502106041</c:v>
                </c:pt>
                <c:pt idx="16">
                  <c:v>296.56839188292952</c:v>
                </c:pt>
                <c:pt idx="17">
                  <c:v>126.99103730229444</c:v>
                </c:pt>
                <c:pt idx="18">
                  <c:v>232.99659670032634</c:v>
                </c:pt>
                <c:pt idx="19">
                  <c:v>267.62153467028747</c:v>
                </c:pt>
                <c:pt idx="20">
                  <c:v>50.30104558643643</c:v>
                </c:pt>
                <c:pt idx="21">
                  <c:v>61.016689999057689</c:v>
                </c:pt>
                <c:pt idx="22">
                  <c:v>70.368945925478329</c:v>
                </c:pt>
                <c:pt idx="23">
                  <c:v>180.30766389248947</c:v>
                </c:pt>
                <c:pt idx="24">
                  <c:v>324.55532138181024</c:v>
                </c:pt>
                <c:pt idx="25">
                  <c:v>397.91740236980149</c:v>
                </c:pt>
                <c:pt idx="26">
                  <c:v>362.0467097380747</c:v>
                </c:pt>
                <c:pt idx="27">
                  <c:v>343.08767339883298</c:v>
                </c:pt>
                <c:pt idx="28">
                  <c:v>297.09785844673706</c:v>
                </c:pt>
                <c:pt idx="29">
                  <c:v>271.97838781544215</c:v>
                </c:pt>
                <c:pt idx="30">
                  <c:v>251.2093267680325</c:v>
                </c:pt>
                <c:pt idx="31">
                  <c:v>202.52239830985172</c:v>
                </c:pt>
                <c:pt idx="32">
                  <c:v>85.446345840809045</c:v>
                </c:pt>
                <c:pt idx="33">
                  <c:v>173.44963264757916</c:v>
                </c:pt>
                <c:pt idx="34">
                  <c:v>357.87154413339749</c:v>
                </c:pt>
                <c:pt idx="35">
                  <c:v>134.013692581329</c:v>
                </c:pt>
                <c:pt idx="36">
                  <c:v>161.38259731490734</c:v>
                </c:pt>
                <c:pt idx="37">
                  <c:v>268.95208482422572</c:v>
                </c:pt>
                <c:pt idx="38">
                  <c:v>238.43285324697263</c:v>
                </c:pt>
                <c:pt idx="39">
                  <c:v>213.2652851238422</c:v>
                </c:pt>
                <c:pt idx="40">
                  <c:v>209.76698833751152</c:v>
                </c:pt>
                <c:pt idx="41">
                  <c:v>296.67076157464999</c:v>
                </c:pt>
                <c:pt idx="42">
                  <c:v>353.35034650532953</c:v>
                </c:pt>
                <c:pt idx="43">
                  <c:v>264.58019194460121</c:v>
                </c:pt>
                <c:pt idx="44">
                  <c:v>189.96985315956636</c:v>
                </c:pt>
                <c:pt idx="45">
                  <c:v>269.71826928760584</c:v>
                </c:pt>
                <c:pt idx="46">
                  <c:v>284.67156344398109</c:v>
                </c:pt>
                <c:pt idx="47">
                  <c:v>301.87778652880434</c:v>
                </c:pt>
                <c:pt idx="48">
                  <c:v>441.54439426545332</c:v>
                </c:pt>
                <c:pt idx="49">
                  <c:v>397.16504783479422</c:v>
                </c:pt>
                <c:pt idx="50">
                  <c:v>278.33913674947235</c:v>
                </c:pt>
                <c:pt idx="51">
                  <c:v>292.30797839128263</c:v>
                </c:pt>
                <c:pt idx="52">
                  <c:v>254.31650444774459</c:v>
                </c:pt>
                <c:pt idx="53">
                  <c:v>183.04056201701223</c:v>
                </c:pt>
                <c:pt idx="54">
                  <c:v>150.75054422501944</c:v>
                </c:pt>
                <c:pt idx="55">
                  <c:v>106.84857777388243</c:v>
                </c:pt>
                <c:pt idx="56">
                  <c:v>71.292365867318495</c:v>
                </c:pt>
                <c:pt idx="57">
                  <c:v>96.711779504248625</c:v>
                </c:pt>
                <c:pt idx="58">
                  <c:v>178.01518960424983</c:v>
                </c:pt>
                <c:pt idx="59">
                  <c:v>157.74147093527336</c:v>
                </c:pt>
                <c:pt idx="60">
                  <c:v>270.59410746072581</c:v>
                </c:pt>
                <c:pt idx="61">
                  <c:v>392.33682680898551</c:v>
                </c:pt>
                <c:pt idx="62">
                  <c:v>363.14848222496266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3D-43B2-8A47-1963893EEE27}"/>
            </c:ext>
          </c:extLst>
        </c:ser>
        <c:ser>
          <c:idx val="2"/>
          <c:order val="2"/>
          <c:tx>
            <c:strRef>
              <c:f>'Estudo PR'!$BJ$2</c:f>
              <c:strCache>
                <c:ptCount val="1"/>
                <c:pt idx="0">
                  <c:v>Cascavel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PR'!$BJ$3:$BJ$65</c:f>
              <c:numCache>
                <c:formatCode>_-* #,##0_-;\-* #,##0_-;_-* "-"??_-;_-@_-</c:formatCode>
                <c:ptCount val="63"/>
                <c:pt idx="0">
                  <c:v>438.90407661194104</c:v>
                </c:pt>
                <c:pt idx="1">
                  <c:v>516.82277949795343</c:v>
                </c:pt>
                <c:pt idx="2">
                  <c:v>450.09806454273667</c:v>
                </c:pt>
                <c:pt idx="3">
                  <c:v>338.10520538416449</c:v>
                </c:pt>
                <c:pt idx="4">
                  <c:v>296.64794900481729</c:v>
                </c:pt>
                <c:pt idx="5">
                  <c:v>114.90648221142828</c:v>
                </c:pt>
                <c:pt idx="6">
                  <c:v>151.74880923272485</c:v>
                </c:pt>
                <c:pt idx="7">
                  <c:v>180.56276664925917</c:v>
                </c:pt>
                <c:pt idx="8">
                  <c:v>116.89631302981979</c:v>
                </c:pt>
                <c:pt idx="9">
                  <c:v>236.8677529175925</c:v>
                </c:pt>
                <c:pt idx="10">
                  <c:v>343.07211905818485</c:v>
                </c:pt>
                <c:pt idx="11">
                  <c:v>377.01722274582062</c:v>
                </c:pt>
                <c:pt idx="12">
                  <c:v>431.54672919386212</c:v>
                </c:pt>
                <c:pt idx="13">
                  <c:v>382.93433144633491</c:v>
                </c:pt>
                <c:pt idx="14">
                  <c:v>481.47683088201711</c:v>
                </c:pt>
                <c:pt idx="15">
                  <c:v>518.64727324149362</c:v>
                </c:pt>
                <c:pt idx="16">
                  <c:v>392.33383794106931</c:v>
                </c:pt>
                <c:pt idx="17">
                  <c:v>150.35806205454173</c:v>
                </c:pt>
                <c:pt idx="18">
                  <c:v>178.27788307204355</c:v>
                </c:pt>
                <c:pt idx="19">
                  <c:v>249.70956344545311</c:v>
                </c:pt>
                <c:pt idx="20">
                  <c:v>115.73450434515053</c:v>
                </c:pt>
                <c:pt idx="21">
                  <c:v>243.29959540909113</c:v>
                </c:pt>
                <c:pt idx="22">
                  <c:v>283.07318785144435</c:v>
                </c:pt>
                <c:pt idx="23">
                  <c:v>269.52436597092674</c:v>
                </c:pt>
                <c:pt idx="24">
                  <c:v>374.86638547689154</c:v>
                </c:pt>
                <c:pt idx="25">
                  <c:v>479.30037069373884</c:v>
                </c:pt>
                <c:pt idx="26">
                  <c:v>472.09270406032965</c:v>
                </c:pt>
                <c:pt idx="27">
                  <c:v>419.71129564193825</c:v>
                </c:pt>
                <c:pt idx="28">
                  <c:v>343.39895787682644</c:v>
                </c:pt>
                <c:pt idx="29">
                  <c:v>338.59232645710699</c:v>
                </c:pt>
                <c:pt idx="30">
                  <c:v>276.17030473898831</c:v>
                </c:pt>
                <c:pt idx="31">
                  <c:v>199.71323234790771</c:v>
                </c:pt>
                <c:pt idx="32">
                  <c:v>151.27923772585791</c:v>
                </c:pt>
                <c:pt idx="33">
                  <c:v>259.65493240752949</c:v>
                </c:pt>
                <c:pt idx="34">
                  <c:v>405.6679034870649</c:v>
                </c:pt>
                <c:pt idx="35">
                  <c:v>256.46370705541585</c:v>
                </c:pt>
                <c:pt idx="36">
                  <c:v>349.98161380883903</c:v>
                </c:pt>
                <c:pt idx="37">
                  <c:v>418.15014931415044</c:v>
                </c:pt>
                <c:pt idx="38">
                  <c:v>390.58742661528913</c:v>
                </c:pt>
                <c:pt idx="39">
                  <c:v>308.37487177554749</c:v>
                </c:pt>
                <c:pt idx="40">
                  <c:v>304.19973887576953</c:v>
                </c:pt>
                <c:pt idx="41">
                  <c:v>395.72282044789881</c:v>
                </c:pt>
                <c:pt idx="42">
                  <c:v>380.42742406738853</c:v>
                </c:pt>
                <c:pt idx="43">
                  <c:v>292.08277324381697</c:v>
                </c:pt>
                <c:pt idx="44">
                  <c:v>232.41876637061432</c:v>
                </c:pt>
                <c:pt idx="45">
                  <c:v>333.20444192334026</c:v>
                </c:pt>
                <c:pt idx="46">
                  <c:v>315.50881499972638</c:v>
                </c:pt>
                <c:pt idx="47">
                  <c:v>311.5364943604186</c:v>
                </c:pt>
                <c:pt idx="48">
                  <c:v>462.59466996062338</c:v>
                </c:pt>
                <c:pt idx="49">
                  <c:v>476.65198992441674</c:v>
                </c:pt>
                <c:pt idx="50">
                  <c:v>300.06758218771574</c:v>
                </c:pt>
                <c:pt idx="51">
                  <c:v>314.69401272426285</c:v>
                </c:pt>
                <c:pt idx="52">
                  <c:v>275.97481562860821</c:v>
                </c:pt>
                <c:pt idx="53">
                  <c:v>226.17294844645448</c:v>
                </c:pt>
                <c:pt idx="54">
                  <c:v>183.49233574812342</c:v>
                </c:pt>
                <c:pt idx="55">
                  <c:v>108.02418366779011</c:v>
                </c:pt>
                <c:pt idx="56">
                  <c:v>117.55595275917722</c:v>
                </c:pt>
                <c:pt idx="57">
                  <c:v>129.03034507280563</c:v>
                </c:pt>
                <c:pt idx="58">
                  <c:v>179.87417186460743</c:v>
                </c:pt>
                <c:pt idx="59">
                  <c:v>226.96424808057873</c:v>
                </c:pt>
                <c:pt idx="60">
                  <c:v>437.54687866410336</c:v>
                </c:pt>
                <c:pt idx="61">
                  <c:v>522.59931190451084</c:v>
                </c:pt>
                <c:pt idx="62">
                  <c:v>437.08277364935043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3D-43B2-8A47-1963893EEE27}"/>
            </c:ext>
          </c:extLst>
        </c:ser>
        <c:ser>
          <c:idx val="3"/>
          <c:order val="3"/>
          <c:tx>
            <c:strRef>
              <c:f>'Estudo PR'!$BK$2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PR'!$BK$3:$BK$65</c:f>
              <c:numCache>
                <c:formatCode>_-* #,##0_-;\-* #,##0_-;_-* "-"??_-;_-@_-</c:formatCode>
                <c:ptCount val="63"/>
                <c:pt idx="0">
                  <c:v>561.8742337229196</c:v>
                </c:pt>
                <c:pt idx="1">
                  <c:v>621.25659064954607</c:v>
                </c:pt>
                <c:pt idx="2">
                  <c:v>552.110332961121</c:v>
                </c:pt>
                <c:pt idx="3">
                  <c:v>411.50803350975639</c:v>
                </c:pt>
                <c:pt idx="4">
                  <c:v>374.14323612517137</c:v>
                </c:pt>
                <c:pt idx="5">
                  <c:v>192.43659107895246</c:v>
                </c:pt>
                <c:pt idx="6">
                  <c:v>238.11382836393705</c:v>
                </c:pt>
                <c:pt idx="7">
                  <c:v>188.4465727723923</c:v>
                </c:pt>
                <c:pt idx="8">
                  <c:v>132.15131733425551</c:v>
                </c:pt>
                <c:pt idx="9">
                  <c:v>292.79429298591731</c:v>
                </c:pt>
                <c:pt idx="10">
                  <c:v>406.31715787651001</c:v>
                </c:pt>
                <c:pt idx="11">
                  <c:v>430.8349326133166</c:v>
                </c:pt>
                <c:pt idx="12">
                  <c:v>451.88976048402492</c:v>
                </c:pt>
                <c:pt idx="13">
                  <c:v>451.5900428923419</c:v>
                </c:pt>
                <c:pt idx="14">
                  <c:v>558.27377942145586</c:v>
                </c:pt>
                <c:pt idx="15">
                  <c:v>554.31723797095583</c:v>
                </c:pt>
                <c:pt idx="16">
                  <c:v>410.55149330497534</c:v>
                </c:pt>
                <c:pt idx="17">
                  <c:v>171.49203322237372</c:v>
                </c:pt>
                <c:pt idx="18">
                  <c:v>220.80511666919074</c:v>
                </c:pt>
                <c:pt idx="19">
                  <c:v>294.14971914124453</c:v>
                </c:pt>
                <c:pt idx="20">
                  <c:v>156.99675248992253</c:v>
                </c:pt>
                <c:pt idx="21">
                  <c:v>280.57541490415497</c:v>
                </c:pt>
                <c:pt idx="22">
                  <c:v>305.79741802490935</c:v>
                </c:pt>
                <c:pt idx="23">
                  <c:v>383.1244323168944</c:v>
                </c:pt>
                <c:pt idx="24">
                  <c:v>480.15166795662981</c:v>
                </c:pt>
                <c:pt idx="25">
                  <c:v>515.59076177123552</c:v>
                </c:pt>
                <c:pt idx="26">
                  <c:v>474.23343335212394</c:v>
                </c:pt>
                <c:pt idx="27">
                  <c:v>422.15070368525085</c:v>
                </c:pt>
                <c:pt idx="28">
                  <c:v>380.03647255210899</c:v>
                </c:pt>
                <c:pt idx="29">
                  <c:v>381.26279039062456</c:v>
                </c:pt>
                <c:pt idx="30">
                  <c:v>373.90294772012476</c:v>
                </c:pt>
                <c:pt idx="31">
                  <c:v>295.5858531648264</c:v>
                </c:pt>
                <c:pt idx="32">
                  <c:v>193.94570541938083</c:v>
                </c:pt>
                <c:pt idx="33">
                  <c:v>286.29814596466349</c:v>
                </c:pt>
                <c:pt idx="34">
                  <c:v>448.54274990837212</c:v>
                </c:pt>
                <c:pt idx="35">
                  <c:v>252.8448134753985</c:v>
                </c:pt>
                <c:pt idx="36">
                  <c:v>315.30891579709851</c:v>
                </c:pt>
                <c:pt idx="37">
                  <c:v>432.82614633374169</c:v>
                </c:pt>
                <c:pt idx="38">
                  <c:v>372.43275739747628</c:v>
                </c:pt>
                <c:pt idx="39">
                  <c:v>292.30840355967439</c:v>
                </c:pt>
                <c:pt idx="40">
                  <c:v>267.43160955863914</c:v>
                </c:pt>
                <c:pt idx="41">
                  <c:v>352.25605656342077</c:v>
                </c:pt>
                <c:pt idx="42">
                  <c:v>362.66956741184822</c:v>
                </c:pt>
                <c:pt idx="43">
                  <c:v>291.90675870904488</c:v>
                </c:pt>
                <c:pt idx="44">
                  <c:v>223.62293010588883</c:v>
                </c:pt>
                <c:pt idx="45">
                  <c:v>322.39279141255656</c:v>
                </c:pt>
                <c:pt idx="46">
                  <c:v>293.95520996788036</c:v>
                </c:pt>
                <c:pt idx="47">
                  <c:v>292.64700509834211</c:v>
                </c:pt>
                <c:pt idx="48">
                  <c:v>479.09224021516593</c:v>
                </c:pt>
                <c:pt idx="49">
                  <c:v>466.44497031422634</c:v>
                </c:pt>
                <c:pt idx="50">
                  <c:v>326.87296912324609</c:v>
                </c:pt>
                <c:pt idx="51">
                  <c:v>303.37336299532035</c:v>
                </c:pt>
                <c:pt idx="52">
                  <c:v>262.57564621441543</c:v>
                </c:pt>
                <c:pt idx="53">
                  <c:v>204.86984758567223</c:v>
                </c:pt>
                <c:pt idx="54">
                  <c:v>176.69027293431373</c:v>
                </c:pt>
                <c:pt idx="55">
                  <c:v>80.216346141450231</c:v>
                </c:pt>
                <c:pt idx="56">
                  <c:v>70.273967046680355</c:v>
                </c:pt>
                <c:pt idx="57">
                  <c:v>101.057227928668</c:v>
                </c:pt>
                <c:pt idx="58">
                  <c:v>170.03258138066576</c:v>
                </c:pt>
                <c:pt idx="59">
                  <c:v>210.96291484874655</c:v>
                </c:pt>
                <c:pt idx="60">
                  <c:v>423.20033576285937</c:v>
                </c:pt>
                <c:pt idx="61">
                  <c:v>493.81786972553482</c:v>
                </c:pt>
                <c:pt idx="62">
                  <c:v>398.3108914703746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3D-43B2-8A47-1963893EE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70495"/>
        <c:axId val="27370975"/>
      </c:lineChart>
      <c:dateAx>
        <c:axId val="2737049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975"/>
        <c:crosses val="autoZero"/>
        <c:auto val="1"/>
        <c:lblOffset val="100"/>
        <c:baseTimeUnit val="months"/>
      </c:dateAx>
      <c:valAx>
        <c:axId val="2737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1440180</xdr:colOff>
      <xdr:row>5</xdr:row>
      <xdr:rowOff>144780</xdr:rowOff>
    </xdr:from>
    <xdr:to>
      <xdr:col>25</xdr:col>
      <xdr:colOff>220980</xdr:colOff>
      <xdr:row>24</xdr:row>
      <xdr:rowOff>121920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24E3FF9-FAAF-4446-9FB1-F143B7816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1089660</xdr:colOff>
      <xdr:row>4</xdr:row>
      <xdr:rowOff>15240</xdr:rowOff>
    </xdr:from>
    <xdr:to>
      <xdr:col>13</xdr:col>
      <xdr:colOff>853440</xdr:colOff>
      <xdr:row>19</xdr:row>
      <xdr:rowOff>15240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E179856-E0CA-4BA5-B22C-CF5A2582B0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160020</xdr:colOff>
      <xdr:row>1</xdr:row>
      <xdr:rowOff>11430</xdr:rowOff>
    </xdr:from>
    <xdr:to>
      <xdr:col>73</xdr:col>
      <xdr:colOff>464820</xdr:colOff>
      <xdr:row>16</xdr:row>
      <xdr:rowOff>11430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D65BDBD-C7AE-408A-B4F5-096ADE423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38100</xdr:colOff>
      <xdr:row>16</xdr:row>
      <xdr:rowOff>15240</xdr:rowOff>
    </xdr:from>
    <xdr:to>
      <xdr:col>73</xdr:col>
      <xdr:colOff>342900</xdr:colOff>
      <xdr:row>31</xdr:row>
      <xdr:rowOff>15240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F5B6E8A-7B37-4221-9B33-894BF6576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73</xdr:col>
      <xdr:colOff>45720</xdr:colOff>
      <xdr:row>16</xdr:row>
      <xdr:rowOff>160020</xdr:rowOff>
    </xdr:from>
    <xdr:to>
      <xdr:col>80</xdr:col>
      <xdr:colOff>350520</xdr:colOff>
      <xdr:row>31</xdr:row>
      <xdr:rowOff>160020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EA6E3C7-9DA7-45C7-8C83-73E6101F64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73</xdr:col>
      <xdr:colOff>76200</xdr:colOff>
      <xdr:row>1</xdr:row>
      <xdr:rowOff>45720</xdr:rowOff>
    </xdr:from>
    <xdr:to>
      <xdr:col>80</xdr:col>
      <xdr:colOff>381000</xdr:colOff>
      <xdr:row>16</xdr:row>
      <xdr:rowOff>45720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1271D4-AD32-488C-884A-0C619445E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73</xdr:col>
      <xdr:colOff>30480</xdr:colOff>
      <xdr:row>32</xdr:row>
      <xdr:rowOff>26670</xdr:rowOff>
    </xdr:from>
    <xdr:to>
      <xdr:col>80</xdr:col>
      <xdr:colOff>335280</xdr:colOff>
      <xdr:row>47</xdr:row>
      <xdr:rowOff>26670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3F2F8E-B08A-6BDF-F159-DAC7DF841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73</xdr:col>
      <xdr:colOff>114300</xdr:colOff>
      <xdr:row>47</xdr:row>
      <xdr:rowOff>137160</xdr:rowOff>
    </xdr:from>
    <xdr:to>
      <xdr:col>80</xdr:col>
      <xdr:colOff>419100</xdr:colOff>
      <xdr:row>62</xdr:row>
      <xdr:rowOff>137160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476926-8C5A-4977-9E52-EC606667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81</xdr:col>
      <xdr:colOff>0</xdr:colOff>
      <xdr:row>16</xdr:row>
      <xdr:rowOff>0</xdr:rowOff>
    </xdr:from>
    <xdr:to>
      <xdr:col>88</xdr:col>
      <xdr:colOff>304800</xdr:colOff>
      <xdr:row>31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9A267D1-281C-4C19-B2E0-2322CDE87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81</xdr:col>
      <xdr:colOff>7620</xdr:colOff>
      <xdr:row>31</xdr:row>
      <xdr:rowOff>144780</xdr:rowOff>
    </xdr:from>
    <xdr:to>
      <xdr:col>88</xdr:col>
      <xdr:colOff>312420</xdr:colOff>
      <xdr:row>46</xdr:row>
      <xdr:rowOff>144780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D483D7C-4BB1-45B4-B7E6-90CF40AC0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106680</xdr:colOff>
      <xdr:row>1</xdr:row>
      <xdr:rowOff>179070</xdr:rowOff>
    </xdr:from>
    <xdr:to>
      <xdr:col>32</xdr:col>
      <xdr:colOff>411480</xdr:colOff>
      <xdr:row>16</xdr:row>
      <xdr:rowOff>179070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6EB5DE-CDF7-2607-462C-E3D3C2C41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106680</xdr:colOff>
      <xdr:row>18</xdr:row>
      <xdr:rowOff>41910</xdr:rowOff>
    </xdr:from>
    <xdr:to>
      <xdr:col>32</xdr:col>
      <xdr:colOff>411480</xdr:colOff>
      <xdr:row>33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5FA6ED3-0A4E-A920-98A2-73006FEB9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167640</xdr:colOff>
      <xdr:row>36</xdr:row>
      <xdr:rowOff>102870</xdr:rowOff>
    </xdr:from>
    <xdr:to>
      <xdr:col>28</xdr:col>
      <xdr:colOff>472440</xdr:colOff>
      <xdr:row>51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0D1DEE8-9996-D7A2-8F72-3570504E2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41</xdr:row>
      <xdr:rowOff>133350</xdr:rowOff>
    </xdr:from>
    <xdr:to>
      <xdr:col>13</xdr:col>
      <xdr:colOff>182880</xdr:colOff>
      <xdr:row>56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37521E-B414-E422-7680-5D00979A22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289560</xdr:colOff>
      <xdr:row>1</xdr:row>
      <xdr:rowOff>41910</xdr:rowOff>
    </xdr:from>
    <xdr:to>
      <xdr:col>41</xdr:col>
      <xdr:colOff>594360</xdr:colOff>
      <xdr:row>16</xdr:row>
      <xdr:rowOff>41910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6684F7-3D92-E524-A951-967D42929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83820</xdr:colOff>
      <xdr:row>17</xdr:row>
      <xdr:rowOff>38100</xdr:rowOff>
    </xdr:from>
    <xdr:to>
      <xdr:col>41</xdr:col>
      <xdr:colOff>388620</xdr:colOff>
      <xdr:row>32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C2790F-99FC-41FA-9F06-6A37D8078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0</xdr:colOff>
      <xdr:row>17</xdr:row>
      <xdr:rowOff>0</xdr:rowOff>
    </xdr:from>
    <xdr:to>
      <xdr:col>48</xdr:col>
      <xdr:colOff>304800</xdr:colOff>
      <xdr:row>32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0A32F44-DCFC-4AEA-BC20-31D06264F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0</xdr:colOff>
      <xdr:row>17</xdr:row>
      <xdr:rowOff>0</xdr:rowOff>
    </xdr:from>
    <xdr:to>
      <xdr:col>56</xdr:col>
      <xdr:colOff>304800</xdr:colOff>
      <xdr:row>32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057639B-9BDC-4762-BF51-79F9C8F03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83820</xdr:colOff>
      <xdr:row>0</xdr:row>
      <xdr:rowOff>160020</xdr:rowOff>
    </xdr:from>
    <xdr:to>
      <xdr:col>48</xdr:col>
      <xdr:colOff>388620</xdr:colOff>
      <xdr:row>15</xdr:row>
      <xdr:rowOff>160020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A9F0125-2ABE-4C66-902D-E1E157026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</xdr:colOff>
      <xdr:row>1</xdr:row>
      <xdr:rowOff>15240</xdr:rowOff>
    </xdr:from>
    <xdr:to>
      <xdr:col>16</xdr:col>
      <xdr:colOff>388620</xdr:colOff>
      <xdr:row>16</xdr:row>
      <xdr:rowOff>15240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0308441-C0D7-42AB-8FBC-E6DF44B9A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64</xdr:col>
      <xdr:colOff>30480</xdr:colOff>
      <xdr:row>0</xdr:row>
      <xdr:rowOff>34290</xdr:rowOff>
    </xdr:from>
    <xdr:to>
      <xdr:col>71</xdr:col>
      <xdr:colOff>335280</xdr:colOff>
      <xdr:row>15</xdr:row>
      <xdr:rowOff>34290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7B5A1BB-F3B2-C5E8-03CB-BCA72110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64</xdr:col>
      <xdr:colOff>15240</xdr:colOff>
      <xdr:row>15</xdr:row>
      <xdr:rowOff>129540</xdr:rowOff>
    </xdr:from>
    <xdr:to>
      <xdr:col>71</xdr:col>
      <xdr:colOff>320040</xdr:colOff>
      <xdr:row>30</xdr:row>
      <xdr:rowOff>129540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6477DDE-E687-49CF-BF07-5D69B0B84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leoplan365-my.sharepoint.com/personal/otavio_kucharski_oleoplan_com_br/Documents/Arquivos%20de%20Chat%20do%20Microsoft%20Teams/Crush%20Margin%20-%20Eduardo%20Sanchez.xlsx" TargetMode="External"/><Relationship Id="rId1" Type="http://schemas.openxmlformats.org/officeDocument/2006/relationships/externalLinkPath" Target="https://oleoplan365-my.sharepoint.com/personal/otavio_kucharski_oleoplan_com_br/Documents/Arquivos%20de%20Chat%20do%20Microsoft%20Teams/Crush%20Margin%20-%20Eduardo%20Sanchez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CEPEA%20site%20Soja%20Paranagua.xlsx" TargetMode="External"/><Relationship Id="rId1" Type="http://schemas.openxmlformats.org/officeDocument/2006/relationships/externalLinkPath" Target="file:///I:\TEMPOR&#193;RIOS\Produtos_Inteligencia\CEPEA%20site%20Soja%20Paranagu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arket_intelligence_data\Pre&#231;os%20LSEG%20.xlsx" TargetMode="External"/><Relationship Id="rId1" Type="http://schemas.openxmlformats.org/officeDocument/2006/relationships/externalLinkPath" Target="Pre&#231;os%20LSEG%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Soja\Pre&#231;o%20Soja%20-%20IMEA%20-%20MT.xlsx" TargetMode="External"/><Relationship Id="rId1" Type="http://schemas.openxmlformats.org/officeDocument/2006/relationships/externalLinkPath" Target="file:///I:\TEMPOR&#193;RIOS\Produtos_Inteligencia\Soja\Pre&#231;o%20Soja%20-%20IMEA%20-%20M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Base%20de%20Pre&#231;o.xlsx" TargetMode="External"/><Relationship Id="rId1" Type="http://schemas.openxmlformats.org/officeDocument/2006/relationships/externalLinkPath" Target="file:///I:\TEMPOR&#193;RIOS\Produtos_Inteligencia\Base%20de%20Pre&#231;o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Broadcast_FRETE.xlsx" TargetMode="External"/><Relationship Id="rId1" Type="http://schemas.openxmlformats.org/officeDocument/2006/relationships/externalLinkPath" Target="file:///I:\TEMPOR&#193;RIOS\Produtos_Inteligencia\Broadcast_FRE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gem esmagamento stonex"/>
    </sheetNames>
    <sheetDataSet>
      <sheetData sheetId="0">
        <row r="3">
          <cell r="L3">
            <v>284.70270833333274</v>
          </cell>
        </row>
        <row r="4">
          <cell r="L4">
            <v>285.9854999999996</v>
          </cell>
        </row>
        <row r="5">
          <cell r="L5">
            <v>158.97833333333327</v>
          </cell>
        </row>
        <row r="6">
          <cell r="L6">
            <v>148.00916666666623</v>
          </cell>
        </row>
        <row r="7">
          <cell r="L7">
            <v>252.65416666666616</v>
          </cell>
        </row>
        <row r="8">
          <cell r="L8">
            <v>257.44208333333302</v>
          </cell>
        </row>
        <row r="9">
          <cell r="L9">
            <v>369.95270833333302</v>
          </cell>
        </row>
        <row r="10">
          <cell r="L10">
            <v>247.767333333333</v>
          </cell>
        </row>
        <row r="11">
          <cell r="L11">
            <v>124.12499999999987</v>
          </cell>
        </row>
        <row r="12">
          <cell r="L12">
            <v>-18.799999999999841</v>
          </cell>
        </row>
        <row r="13">
          <cell r="L13">
            <v>29.250000000000099</v>
          </cell>
        </row>
        <row r="14">
          <cell r="L14">
            <v>21.616666666666649</v>
          </cell>
        </row>
        <row r="15">
          <cell r="L15">
            <v>410.5999999999998</v>
          </cell>
        </row>
        <row r="16">
          <cell r="L16">
            <v>405.33333333333303</v>
          </cell>
        </row>
        <row r="17">
          <cell r="L17">
            <v>226.49999999999977</v>
          </cell>
        </row>
        <row r="18">
          <cell r="L18">
            <v>176.74999999999974</v>
          </cell>
        </row>
        <row r="19">
          <cell r="L19">
            <v>209.933333333333</v>
          </cell>
        </row>
        <row r="20">
          <cell r="L20">
            <v>174.20833333333292</v>
          </cell>
        </row>
        <row r="21">
          <cell r="L21">
            <v>147.67333333333286</v>
          </cell>
        </row>
        <row r="22">
          <cell r="L22">
            <v>70.183333333332925</v>
          </cell>
        </row>
        <row r="23">
          <cell r="L23">
            <v>200.70833333333303</v>
          </cell>
        </row>
        <row r="24">
          <cell r="L24">
            <v>307.4999999999996</v>
          </cell>
        </row>
        <row r="25">
          <cell r="L25">
            <v>403.91666666666652</v>
          </cell>
        </row>
        <row r="26">
          <cell r="L26">
            <v>297.83333333333303</v>
          </cell>
        </row>
        <row r="27">
          <cell r="L27">
            <v>318.53333333333302</v>
          </cell>
        </row>
        <row r="28">
          <cell r="L28">
            <v>366.41666666666629</v>
          </cell>
        </row>
        <row r="29">
          <cell r="L29">
            <v>324.166666666666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 1"/>
      <sheetName val="summary"/>
      <sheetName val="fonte"/>
    </sheetNames>
    <sheetDataSet>
      <sheetData sheetId="0"/>
      <sheetData sheetId="1">
        <row r="15">
          <cell r="C15">
            <v>167.86500000000004</v>
          </cell>
        </row>
        <row r="16">
          <cell r="C16">
            <v>166.38333333333333</v>
          </cell>
        </row>
        <row r="17">
          <cell r="C17">
            <v>171.86652173913049</v>
          </cell>
        </row>
        <row r="18">
          <cell r="C18">
            <v>177.09800000000001</v>
          </cell>
        </row>
        <row r="19">
          <cell r="C19">
            <v>176.39380952380952</v>
          </cell>
        </row>
        <row r="20">
          <cell r="C20">
            <v>162.0757142857143</v>
          </cell>
        </row>
        <row r="21">
          <cell r="C21">
            <v>167.59681818181818</v>
          </cell>
        </row>
        <row r="22">
          <cell r="C22">
            <v>171.05772727272731</v>
          </cell>
        </row>
        <row r="23">
          <cell r="C23">
            <v>172.7342857142857</v>
          </cell>
        </row>
        <row r="24">
          <cell r="C24">
            <v>171.167</v>
          </cell>
        </row>
        <row r="25">
          <cell r="C25">
            <v>165.79350000000005</v>
          </cell>
        </row>
        <row r="26">
          <cell r="C26">
            <v>170.25190476190477</v>
          </cell>
        </row>
        <row r="27">
          <cell r="C27">
            <v>179.6652380952381</v>
          </cell>
        </row>
        <row r="28">
          <cell r="C28">
            <v>195.02</v>
          </cell>
        </row>
        <row r="29">
          <cell r="C29">
            <v>199.60227272727272</v>
          </cell>
        </row>
        <row r="30">
          <cell r="C30">
            <v>186.36210526315796</v>
          </cell>
        </row>
        <row r="31">
          <cell r="C31">
            <v>193.38090909090914</v>
          </cell>
        </row>
        <row r="32">
          <cell r="C32">
            <v>194.96952380952379</v>
          </cell>
        </row>
        <row r="33">
          <cell r="C33">
            <v>190.74428571428575</v>
          </cell>
        </row>
        <row r="34">
          <cell r="C34">
            <v>187.17956521739134</v>
          </cell>
        </row>
        <row r="35">
          <cell r="C35">
            <v>187.26380952380947</v>
          </cell>
        </row>
        <row r="36">
          <cell r="C36">
            <v>183.72800000000001</v>
          </cell>
        </row>
        <row r="37">
          <cell r="C37">
            <v>186.1275</v>
          </cell>
        </row>
        <row r="38">
          <cell r="C38">
            <v>182.05333333333331</v>
          </cell>
        </row>
        <row r="39">
          <cell r="C39">
            <v>177.03181818181818</v>
          </cell>
        </row>
        <row r="40">
          <cell r="C40">
            <v>172.60611111111112</v>
          </cell>
        </row>
        <row r="41">
          <cell r="C41">
            <v>162.12478260869568</v>
          </cell>
        </row>
        <row r="42">
          <cell r="C42">
            <v>145.23666666666665</v>
          </cell>
        </row>
        <row r="43">
          <cell r="C43">
            <v>138.10909090909092</v>
          </cell>
        </row>
        <row r="44">
          <cell r="C44">
            <v>136.45238095238093</v>
          </cell>
        </row>
        <row r="45">
          <cell r="C45">
            <v>146.84047619047618</v>
          </cell>
        </row>
        <row r="46">
          <cell r="C46">
            <v>148.5486956521739</v>
          </cell>
        </row>
        <row r="47">
          <cell r="C47">
            <v>147.19149999999999</v>
          </cell>
        </row>
        <row r="48">
          <cell r="C48">
            <v>144.09428571428572</v>
          </cell>
        </row>
        <row r="49">
          <cell r="C49">
            <v>144.04450000000003</v>
          </cell>
        </row>
        <row r="50">
          <cell r="C50">
            <v>145.97052631578944</v>
          </cell>
        </row>
        <row r="51">
          <cell r="C51">
            <v>126.93272727272728</v>
          </cell>
        </row>
        <row r="52">
          <cell r="C52">
            <v>117.63526315789473</v>
          </cell>
        </row>
        <row r="53">
          <cell r="C53">
            <v>121.90649999999998</v>
          </cell>
        </row>
        <row r="54">
          <cell r="C54">
            <v>126.79363636363638</v>
          </cell>
        </row>
        <row r="55">
          <cell r="C55">
            <v>136.00428571428571</v>
          </cell>
        </row>
        <row r="56">
          <cell r="C56">
            <v>138.91950000000003</v>
          </cell>
        </row>
        <row r="57">
          <cell r="C57">
            <v>138.09130434782611</v>
          </cell>
        </row>
        <row r="58">
          <cell r="C58">
            <v>133.21363636363637</v>
          </cell>
        </row>
        <row r="59">
          <cell r="C59">
            <v>139.90380952380951</v>
          </cell>
        </row>
        <row r="60">
          <cell r="C60">
            <v>141.8326086956522</v>
          </cell>
        </row>
        <row r="61">
          <cell r="C61">
            <v>143.40736842105261</v>
          </cell>
        </row>
        <row r="62">
          <cell r="C62">
            <v>141.16947368421052</v>
          </cell>
        </row>
        <row r="63">
          <cell r="C63">
            <v>134.62181818181816</v>
          </cell>
        </row>
        <row r="64">
          <cell r="C64">
            <v>131.56800000000001</v>
          </cell>
        </row>
        <row r="65">
          <cell r="C65">
            <v>133.49</v>
          </cell>
        </row>
        <row r="66">
          <cell r="C66">
            <v>134.68</v>
          </cell>
        </row>
        <row r="67">
          <cell r="C67">
            <v>133.09619047619046</v>
          </cell>
        </row>
        <row r="68">
          <cell r="C68">
            <v>134.39599999999999</v>
          </cell>
        </row>
        <row r="69">
          <cell r="C69">
            <v>136.89130434782606</v>
          </cell>
        </row>
        <row r="70">
          <cell r="C70">
            <v>140.50047619047618</v>
          </cell>
        </row>
        <row r="71">
          <cell r="C71">
            <v>138.77409090909092</v>
          </cell>
        </row>
        <row r="72">
          <cell r="C72">
            <v>137.86304347826089</v>
          </cell>
        </row>
        <row r="73">
          <cell r="C73">
            <v>140.47263157894736</v>
          </cell>
        </row>
        <row r="74">
          <cell r="C74">
            <v>142.01349999999996</v>
          </cell>
        </row>
        <row r="75">
          <cell r="C75">
            <v>130.98285714285717</v>
          </cell>
        </row>
        <row r="76">
          <cell r="C76">
            <v>126.32944444444446</v>
          </cell>
        </row>
        <row r="77">
          <cell r="C77">
            <v>129.22812499999998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IA"/>
      <sheetName val="AGRO"/>
      <sheetName val="mensal"/>
    </sheetNames>
    <sheetDataSet>
      <sheetData sheetId="0"/>
      <sheetData sheetId="1"/>
      <sheetData sheetId="2">
        <row r="3">
          <cell r="AF3">
            <v>2371.1414031829568</v>
          </cell>
        </row>
        <row r="4">
          <cell r="AF4">
            <v>2320.0842941052633</v>
          </cell>
        </row>
        <row r="5">
          <cell r="AF5">
            <v>2306.4919557088847</v>
          </cell>
        </row>
        <row r="6">
          <cell r="AF6">
            <v>2289.4402</v>
          </cell>
        </row>
        <row r="7">
          <cell r="AF7">
            <v>2200.7429059523806</v>
          </cell>
        </row>
        <row r="8">
          <cell r="AF8">
            <v>1879.3856999999998</v>
          </cell>
        </row>
        <row r="9">
          <cell r="AF9">
            <v>1862.0449641991345</v>
          </cell>
        </row>
        <row r="10">
          <cell r="AF10">
            <v>1862.1923987603307</v>
          </cell>
        </row>
        <row r="11">
          <cell r="AF11">
            <v>1783.7585951298699</v>
          </cell>
        </row>
        <row r="12">
          <cell r="AF12">
            <v>1785.5719339229026</v>
          </cell>
        </row>
        <row r="13">
          <cell r="AF13">
            <v>1957.5690416666666</v>
          </cell>
        </row>
        <row r="14">
          <cell r="AF14">
            <v>2180.7331569960475</v>
          </cell>
        </row>
        <row r="15">
          <cell r="AF15">
            <v>2289.9427817142855</v>
          </cell>
        </row>
        <row r="16">
          <cell r="AF16">
            <v>2338.557128289473</v>
          </cell>
        </row>
        <row r="17">
          <cell r="AF17">
            <v>2386.0397876370512</v>
          </cell>
        </row>
        <row r="18">
          <cell r="AF18">
            <v>2172.8021238095239</v>
          </cell>
        </row>
        <row r="19">
          <cell r="AF19">
            <v>2080.8448818181814</v>
          </cell>
        </row>
        <row r="20">
          <cell r="AF20">
            <v>2166.8706515151521</v>
          </cell>
        </row>
        <row r="21">
          <cell r="AF21">
            <v>2488.2643565714293</v>
          </cell>
        </row>
        <row r="22">
          <cell r="AF22">
            <v>2459.6232203024579</v>
          </cell>
        </row>
        <row r="23">
          <cell r="AF23">
            <v>2297.9826334632035</v>
          </cell>
        </row>
        <row r="24">
          <cell r="AF24">
            <v>2161.5299522448981</v>
          </cell>
        </row>
        <row r="25">
          <cell r="AF25">
            <v>2177.8747261471858</v>
          </cell>
        </row>
        <row r="26">
          <cell r="AF26">
            <v>2381.7316467099567</v>
          </cell>
        </row>
        <row r="27">
          <cell r="AF27">
            <v>2515.097223136363</v>
          </cell>
        </row>
        <row r="28">
          <cell r="AF28">
            <v>2552.093959789473</v>
          </cell>
        </row>
        <row r="29">
          <cell r="AF29">
            <v>2472.8654810586013</v>
          </cell>
        </row>
        <row r="30">
          <cell r="AF30">
            <v>2260.2686865000005</v>
          </cell>
        </row>
        <row r="31">
          <cell r="AF31">
            <v>2076.7182681818181</v>
          </cell>
        </row>
        <row r="32">
          <cell r="AF32">
            <v>1969.787641558441</v>
          </cell>
        </row>
        <row r="33">
          <cell r="AF33">
            <v>2093.5727107142861</v>
          </cell>
        </row>
        <row r="34">
          <cell r="AF34">
            <v>2093.2130002268432</v>
          </cell>
        </row>
        <row r="35">
          <cell r="AF35">
            <v>1968.1242599999996</v>
          </cell>
        </row>
        <row r="36">
          <cell r="AF36">
            <v>2024.265419896695</v>
          </cell>
        </row>
        <row r="37">
          <cell r="AF37">
            <v>2214.9999733333334</v>
          </cell>
        </row>
        <row r="38">
          <cell r="AF38">
            <v>2020.2912033571429</v>
          </cell>
        </row>
        <row r="39">
          <cell r="AF39">
            <v>1787.0772173913047</v>
          </cell>
        </row>
        <row r="40">
          <cell r="AF40">
            <v>1708.8299894285717</v>
          </cell>
        </row>
        <row r="41">
          <cell r="AF41">
            <v>1677.5463592857143</v>
          </cell>
        </row>
        <row r="42">
          <cell r="AF42">
            <v>1735.7016477272725</v>
          </cell>
        </row>
        <row r="43">
          <cell r="AF43">
            <v>1899.6097106719371</v>
          </cell>
        </row>
        <row r="44">
          <cell r="AF44">
            <v>1956.0058412368428</v>
          </cell>
        </row>
        <row r="45">
          <cell r="AF45">
            <v>1978.182513438735</v>
          </cell>
        </row>
        <row r="46">
          <cell r="AF46">
            <v>1791.0024534710747</v>
          </cell>
        </row>
        <row r="47">
          <cell r="AF47">
            <v>1783.4408535</v>
          </cell>
        </row>
        <row r="48">
          <cell r="AF48">
            <v>1787.3314629867673</v>
          </cell>
        </row>
        <row r="49">
          <cell r="AF49">
            <v>1696.7268978809525</v>
          </cell>
        </row>
        <row r="50">
          <cell r="AF50">
            <v>1773.2493871212118</v>
          </cell>
        </row>
        <row r="51">
          <cell r="AF51">
            <v>1815.9311901242236</v>
          </cell>
        </row>
        <row r="52">
          <cell r="AF52">
            <v>1715.9577227631576</v>
          </cell>
        </row>
        <row r="53">
          <cell r="AF53">
            <v>1701.958704761905</v>
          </cell>
        </row>
        <row r="54">
          <cell r="AF54">
            <v>1685.5124597402601</v>
          </cell>
        </row>
        <row r="55">
          <cell r="AF55">
            <v>1652.8815828571428</v>
          </cell>
        </row>
        <row r="56">
          <cell r="AF56">
            <v>1589.5492064761906</v>
          </cell>
        </row>
        <row r="57">
          <cell r="AF57">
            <v>1482.7605363636364</v>
          </cell>
        </row>
        <row r="58">
          <cell r="AF58">
            <v>1541.2940843990932</v>
          </cell>
        </row>
        <row r="59">
          <cell r="AF59">
            <v>1499.8550716017317</v>
          </cell>
        </row>
        <row r="60">
          <cell r="AF60">
            <v>1527.1034120982988</v>
          </cell>
        </row>
        <row r="61">
          <cell r="AF61">
            <v>1705.3003487105264</v>
          </cell>
        </row>
        <row r="62">
          <cell r="AF62">
            <v>1648.2669933399206</v>
          </cell>
        </row>
        <row r="63">
          <cell r="AF63">
            <v>1570.7775597954546</v>
          </cell>
        </row>
        <row r="64">
          <cell r="AF64">
            <v>1588.4244151578946</v>
          </cell>
        </row>
        <row r="65">
          <cell r="AF65">
            <v>1655.9423887500002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"/>
      <sheetName val="mensal"/>
    </sheetNames>
    <sheetDataSet>
      <sheetData sheetId="0"/>
      <sheetData sheetId="1">
        <row r="2">
          <cell r="C2">
            <v>5544.4026806526608</v>
          </cell>
        </row>
        <row r="3">
          <cell r="C3">
            <v>5747.9166533795596</v>
          </cell>
        </row>
        <row r="4">
          <cell r="C4">
            <v>6820.0369806721574</v>
          </cell>
        </row>
        <row r="5">
          <cell r="C5">
            <v>6947.0664672199982</v>
          </cell>
        </row>
        <row r="6">
          <cell r="C6">
            <v>7124.9095481884588</v>
          </cell>
        </row>
        <row r="7">
          <cell r="C7">
            <v>5891.1729976659999</v>
          </cell>
        </row>
        <row r="8">
          <cell r="C8">
            <v>6499.823936111</v>
          </cell>
        </row>
        <row r="9">
          <cell r="C9">
            <v>6851.8666896382983</v>
          </cell>
        </row>
        <row r="10">
          <cell r="C10">
            <v>6866.8014408916988</v>
          </cell>
        </row>
        <row r="11">
          <cell r="C11">
            <v>7634.1253795460752</v>
          </cell>
        </row>
        <row r="12">
          <cell r="C12">
            <v>7635.589871343499</v>
          </cell>
        </row>
        <row r="13">
          <cell r="C13">
            <v>7476.6046034584351</v>
          </cell>
        </row>
        <row r="14">
          <cell r="C14">
            <v>7510.4032746190478</v>
          </cell>
        </row>
        <row r="15">
          <cell r="C15">
            <v>7888.8914828499983</v>
          </cell>
        </row>
        <row r="16">
          <cell r="C16">
            <v>8650.622948695649</v>
          </cell>
        </row>
        <row r="17">
          <cell r="C17">
            <v>8622.7853803333328</v>
          </cell>
        </row>
        <row r="18">
          <cell r="C18">
            <v>9140.9271790909097</v>
          </cell>
        </row>
        <row r="19">
          <cell r="C19">
            <v>8097.9163633636381</v>
          </cell>
        </row>
        <row r="20">
          <cell r="C20">
            <v>7066.7722575238095</v>
          </cell>
        </row>
        <row r="21">
          <cell r="C21">
            <v>7096.3803166956504</v>
          </cell>
        </row>
        <row r="22">
          <cell r="C22">
            <v>6397.7521325000007</v>
          </cell>
        </row>
        <row r="23">
          <cell r="C23">
            <v>6730.8277140476175</v>
          </cell>
        </row>
        <row r="24">
          <cell r="C24">
            <v>7114.3804593181812</v>
          </cell>
        </row>
        <row r="25">
          <cell r="C25">
            <v>6456.5643112727294</v>
          </cell>
        </row>
        <row r="26">
          <cell r="C26">
            <v>6101.9268512727258</v>
          </cell>
        </row>
        <row r="27">
          <cell r="C27">
            <v>5932.9275063000005</v>
          </cell>
        </row>
        <row r="28">
          <cell r="C28">
            <v>5400.8614693913041</v>
          </cell>
        </row>
        <row r="29">
          <cell r="C29">
            <v>4724.0803943999999</v>
          </cell>
        </row>
        <row r="30">
          <cell r="C30">
            <v>4464.729038391305</v>
          </cell>
        </row>
        <row r="31">
          <cell r="C31">
            <v>4540.7592626818196</v>
          </cell>
        </row>
        <row r="32">
          <cell r="C32">
            <v>4731.067068095238</v>
          </cell>
        </row>
        <row r="33">
          <cell r="C33">
            <v>4722.7573432608697</v>
          </cell>
        </row>
        <row r="34">
          <cell r="C34">
            <v>4538.5485531904769</v>
          </cell>
        </row>
        <row r="35">
          <cell r="C35">
            <v>4544.2165025909107</v>
          </cell>
        </row>
        <row r="36">
          <cell r="C36">
            <v>4815.356968363636</v>
          </cell>
        </row>
        <row r="37">
          <cell r="C37">
            <v>4335.490083857143</v>
          </cell>
        </row>
        <row r="38">
          <cell r="C38">
            <v>4076.5912183043483</v>
          </cell>
        </row>
        <row r="39">
          <cell r="C39">
            <v>4048.8421695238089</v>
          </cell>
        </row>
        <row r="40">
          <cell r="C40">
            <v>4486.3089558095235</v>
          </cell>
        </row>
        <row r="41">
          <cell r="C41">
            <v>4568.5571288181818</v>
          </cell>
        </row>
        <row r="42">
          <cell r="C42">
            <v>4590.199785652173</v>
          </cell>
        </row>
        <row r="43">
          <cell r="C43">
            <v>5087.6969568000004</v>
          </cell>
        </row>
        <row r="44">
          <cell r="C44">
            <v>5289.6251895652176</v>
          </cell>
        </row>
        <row r="45">
          <cell r="C45">
            <v>5129.6955491363642</v>
          </cell>
        </row>
        <row r="46">
          <cell r="C46">
            <v>5315.5726588571442</v>
          </cell>
        </row>
        <row r="47">
          <cell r="C47">
            <v>5951.5333270000001</v>
          </cell>
        </row>
        <row r="48">
          <cell r="C48">
            <v>6377.4681748095236</v>
          </cell>
        </row>
        <row r="49">
          <cell r="C49">
            <v>6125.6739538500015</v>
          </cell>
        </row>
        <row r="50">
          <cell r="C50">
            <v>6065.2193968695647</v>
          </cell>
        </row>
        <row r="51">
          <cell r="C51">
            <v>6043.3775714499998</v>
          </cell>
        </row>
        <row r="52">
          <cell r="C52">
            <v>5665.2752707142863</v>
          </cell>
        </row>
        <row r="53">
          <cell r="C53">
            <v>5859.9354249500002</v>
          </cell>
        </row>
        <row r="54">
          <cell r="C54">
            <v>5713.5859790952381</v>
          </cell>
        </row>
        <row r="55">
          <cell r="C55">
            <v>5666.0239249999995</v>
          </cell>
        </row>
        <row r="56">
          <cell r="C56">
            <v>6146.3662916956519</v>
          </cell>
        </row>
        <row r="57">
          <cell r="C57">
            <v>6020.4455168571421</v>
          </cell>
        </row>
        <row r="58">
          <cell r="C58">
            <v>5932.6111845454552</v>
          </cell>
        </row>
        <row r="59">
          <cell r="C59">
            <v>5982.9964625217408</v>
          </cell>
        </row>
        <row r="60">
          <cell r="C60">
            <v>5862.0462835789467</v>
          </cell>
        </row>
        <row r="61">
          <cell r="C61">
            <v>5957.2906355454552</v>
          </cell>
        </row>
        <row r="62">
          <cell r="C62">
            <v>6058.312422809523</v>
          </cell>
        </row>
        <row r="63">
          <cell r="C63">
            <v>6086.0183114444444</v>
          </cell>
        </row>
        <row r="64">
          <cell r="C64">
            <v>5857.6831885555557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ONPRA"/>
      <sheetName val="FCASPRA"/>
      <sheetName val="FMARPRA"/>
      <sheetName val="FRONPRA"/>
      <sheetName val="FSORPRA"/>
      <sheetName val="FRONSTS"/>
      <sheetName val="FSORSTS"/>
      <sheetName val="FSORMIR"/>
      <sheetName val="FSORRON"/>
    </sheetNames>
    <sheetDataSet>
      <sheetData sheetId="0"/>
      <sheetData sheetId="1"/>
      <sheetData sheetId="2"/>
      <sheetData sheetId="3">
        <row r="2">
          <cell r="H2">
            <v>176.25</v>
          </cell>
        </row>
        <row r="3">
          <cell r="H3">
            <v>247.5</v>
          </cell>
        </row>
        <row r="4">
          <cell r="H4">
            <v>273.75</v>
          </cell>
        </row>
        <row r="5">
          <cell r="H5">
            <v>263</v>
          </cell>
        </row>
        <row r="6">
          <cell r="H6">
            <v>265</v>
          </cell>
        </row>
        <row r="7">
          <cell r="H7">
            <v>242.5</v>
          </cell>
        </row>
        <row r="8">
          <cell r="H8">
            <v>270</v>
          </cell>
        </row>
        <row r="9">
          <cell r="H9">
            <v>273.75</v>
          </cell>
        </row>
        <row r="10">
          <cell r="H10">
            <v>255</v>
          </cell>
        </row>
        <row r="11">
          <cell r="H11">
            <v>232</v>
          </cell>
        </row>
        <row r="12">
          <cell r="H12">
            <v>243.75</v>
          </cell>
        </row>
        <row r="13">
          <cell r="H13">
            <v>266</v>
          </cell>
        </row>
        <row r="14">
          <cell r="H14">
            <v>285</v>
          </cell>
        </row>
        <row r="15">
          <cell r="H15">
            <v>293.75</v>
          </cell>
        </row>
        <row r="16">
          <cell r="H16">
            <v>320</v>
          </cell>
        </row>
        <row r="17">
          <cell r="H17">
            <v>317</v>
          </cell>
        </row>
        <row r="18">
          <cell r="H18">
            <v>330</v>
          </cell>
        </row>
        <row r="19">
          <cell r="H19">
            <v>373.75</v>
          </cell>
        </row>
        <row r="20">
          <cell r="H20">
            <v>398</v>
          </cell>
        </row>
        <row r="21">
          <cell r="H21">
            <v>355</v>
          </cell>
        </row>
        <row r="22">
          <cell r="H22">
            <v>298</v>
          </cell>
        </row>
        <row r="23">
          <cell r="H23">
            <v>280</v>
          </cell>
        </row>
        <row r="24">
          <cell r="H24">
            <v>290</v>
          </cell>
        </row>
        <row r="25">
          <cell r="H25">
            <v>288.75</v>
          </cell>
        </row>
        <row r="26">
          <cell r="H26">
            <v>340</v>
          </cell>
        </row>
        <row r="27">
          <cell r="H27">
            <v>392.5</v>
          </cell>
        </row>
        <row r="28">
          <cell r="H28">
            <v>326</v>
          </cell>
        </row>
        <row r="29">
          <cell r="H29">
            <v>350</v>
          </cell>
        </row>
        <row r="30">
          <cell r="H30">
            <v>347.75</v>
          </cell>
        </row>
        <row r="31">
          <cell r="H31">
            <v>357</v>
          </cell>
        </row>
        <row r="32">
          <cell r="H32">
            <v>399.89749999999998</v>
          </cell>
        </row>
        <row r="33">
          <cell r="H33">
            <v>396.875</v>
          </cell>
        </row>
        <row r="34">
          <cell r="H34">
            <v>391.3</v>
          </cell>
        </row>
        <row r="35">
          <cell r="H35">
            <v>390</v>
          </cell>
        </row>
        <row r="36">
          <cell r="H36">
            <v>366.66750000000002</v>
          </cell>
        </row>
        <row r="37">
          <cell r="H37">
            <v>366</v>
          </cell>
        </row>
        <row r="38">
          <cell r="H38">
            <v>323.75</v>
          </cell>
        </row>
        <row r="39">
          <cell r="H39">
            <v>317.5</v>
          </cell>
        </row>
        <row r="40">
          <cell r="H40">
            <v>300</v>
          </cell>
        </row>
        <row r="41">
          <cell r="H41">
            <v>306.25</v>
          </cell>
        </row>
        <row r="42">
          <cell r="H42">
            <v>343</v>
          </cell>
        </row>
        <row r="43">
          <cell r="H43">
            <v>367.5</v>
          </cell>
        </row>
        <row r="44">
          <cell r="H44">
            <v>351.25</v>
          </cell>
        </row>
        <row r="45">
          <cell r="H45">
            <v>293</v>
          </cell>
        </row>
        <row r="46">
          <cell r="H46">
            <v>292.5</v>
          </cell>
        </row>
        <row r="47">
          <cell r="H47">
            <v>287.5</v>
          </cell>
        </row>
        <row r="48">
          <cell r="H48">
            <v>248.71999999999997</v>
          </cell>
        </row>
        <row r="49">
          <cell r="H49">
            <v>219.42500000000001</v>
          </cell>
        </row>
        <row r="50">
          <cell r="H50">
            <v>256.66666666666669</v>
          </cell>
        </row>
        <row r="51">
          <cell r="H51">
            <v>380</v>
          </cell>
        </row>
        <row r="52">
          <cell r="H52">
            <v>375.17500000000001</v>
          </cell>
        </row>
        <row r="53">
          <cell r="H53">
            <v>327.5</v>
          </cell>
        </row>
        <row r="54">
          <cell r="H54">
            <v>322</v>
          </cell>
        </row>
        <row r="55">
          <cell r="H55">
            <v>323.07499999999999</v>
          </cell>
        </row>
        <row r="56">
          <cell r="H56">
            <v>342.625</v>
          </cell>
        </row>
        <row r="57">
          <cell r="H57">
            <v>348.02</v>
          </cell>
        </row>
        <row r="58">
          <cell r="H58">
            <v>333.125</v>
          </cell>
        </row>
        <row r="59">
          <cell r="H59">
            <v>334.52</v>
          </cell>
        </row>
        <row r="60">
          <cell r="H60">
            <v>315.125</v>
          </cell>
        </row>
        <row r="61">
          <cell r="H61">
            <v>320.25</v>
          </cell>
        </row>
        <row r="62">
          <cell r="H62">
            <v>329.6</v>
          </cell>
        </row>
        <row r="63">
          <cell r="H63">
            <v>360.32499999999999</v>
          </cell>
        </row>
        <row r="64">
          <cell r="H64">
            <v>386.5</v>
          </cell>
        </row>
      </sheetData>
      <sheetData sheetId="4">
        <row r="2">
          <cell r="H2">
            <v>237.5</v>
          </cell>
        </row>
        <row r="3">
          <cell r="H3">
            <v>304.16750000000002</v>
          </cell>
        </row>
        <row r="4">
          <cell r="H4">
            <v>320</v>
          </cell>
        </row>
        <row r="5">
          <cell r="H5">
            <v>307</v>
          </cell>
        </row>
        <row r="6">
          <cell r="H6">
            <v>289.25</v>
          </cell>
        </row>
        <row r="7">
          <cell r="H7">
            <v>295.83249999999998</v>
          </cell>
        </row>
        <row r="8">
          <cell r="H8">
            <v>325</v>
          </cell>
        </row>
        <row r="9">
          <cell r="H9">
            <v>310</v>
          </cell>
        </row>
        <row r="10">
          <cell r="H10">
            <v>291.25</v>
          </cell>
        </row>
        <row r="11">
          <cell r="H11">
            <v>313</v>
          </cell>
        </row>
        <row r="12">
          <cell r="H12">
            <v>318.75</v>
          </cell>
        </row>
        <row r="13">
          <cell r="H13">
            <v>352</v>
          </cell>
        </row>
        <row r="14">
          <cell r="H14">
            <v>375.625</v>
          </cell>
        </row>
        <row r="15">
          <cell r="H15">
            <v>396.25</v>
          </cell>
        </row>
        <row r="16">
          <cell r="H16">
            <v>420.625</v>
          </cell>
        </row>
        <row r="17">
          <cell r="H17">
            <v>474.4</v>
          </cell>
        </row>
        <row r="18">
          <cell r="H18">
            <v>465</v>
          </cell>
        </row>
        <row r="19">
          <cell r="H19">
            <v>535</v>
          </cell>
        </row>
        <row r="20">
          <cell r="H20">
            <v>530</v>
          </cell>
        </row>
        <row r="21">
          <cell r="H21">
            <v>474.875</v>
          </cell>
        </row>
        <row r="22">
          <cell r="H22">
            <v>434</v>
          </cell>
        </row>
        <row r="23">
          <cell r="H23">
            <v>400</v>
          </cell>
        </row>
        <row r="24">
          <cell r="H24">
            <v>385</v>
          </cell>
        </row>
        <row r="25">
          <cell r="H25">
            <v>457.5</v>
          </cell>
        </row>
        <row r="26">
          <cell r="H26">
            <v>450</v>
          </cell>
        </row>
        <row r="27">
          <cell r="H27">
            <v>518.5</v>
          </cell>
        </row>
        <row r="28">
          <cell r="H28">
            <v>441.6</v>
          </cell>
        </row>
        <row r="29">
          <cell r="H29">
            <v>468.25</v>
          </cell>
        </row>
        <row r="30">
          <cell r="H30">
            <v>465</v>
          </cell>
        </row>
        <row r="31">
          <cell r="H31">
            <v>502</v>
          </cell>
        </row>
        <row r="32">
          <cell r="H32">
            <v>526.4375</v>
          </cell>
        </row>
        <row r="33">
          <cell r="H33">
            <v>486.25</v>
          </cell>
        </row>
        <row r="34">
          <cell r="H34">
            <v>509.6</v>
          </cell>
        </row>
        <row r="35">
          <cell r="H35">
            <v>518.75</v>
          </cell>
        </row>
        <row r="36">
          <cell r="H36">
            <v>495</v>
          </cell>
        </row>
        <row r="37">
          <cell r="H37">
            <v>485.6</v>
          </cell>
        </row>
        <row r="38">
          <cell r="H38">
            <v>452.5</v>
          </cell>
        </row>
        <row r="39">
          <cell r="H39">
            <v>440.625</v>
          </cell>
        </row>
        <row r="40">
          <cell r="H40">
            <v>401</v>
          </cell>
        </row>
        <row r="41">
          <cell r="H41">
            <v>403.75</v>
          </cell>
        </row>
        <row r="42">
          <cell r="H42">
            <v>443.125</v>
          </cell>
        </row>
        <row r="43">
          <cell r="H43">
            <v>464.57499999999999</v>
          </cell>
        </row>
        <row r="44">
          <cell r="H44">
            <v>457.5</v>
          </cell>
        </row>
        <row r="45">
          <cell r="H45">
            <v>396</v>
          </cell>
        </row>
        <row r="46">
          <cell r="H46">
            <v>408.75</v>
          </cell>
        </row>
        <row r="47">
          <cell r="H47">
            <v>393.75</v>
          </cell>
        </row>
        <row r="48">
          <cell r="H48">
            <v>370.76</v>
          </cell>
        </row>
        <row r="49">
          <cell r="H49">
            <v>323.27499999999998</v>
          </cell>
        </row>
        <row r="50">
          <cell r="H50">
            <v>343.33333333333331</v>
          </cell>
        </row>
        <row r="51">
          <cell r="H51">
            <v>478.75</v>
          </cell>
        </row>
        <row r="52">
          <cell r="H52">
            <v>433.32499999999999</v>
          </cell>
        </row>
        <row r="53">
          <cell r="H53">
            <v>428.75</v>
          </cell>
        </row>
        <row r="54">
          <cell r="H54">
            <v>428</v>
          </cell>
        </row>
        <row r="55">
          <cell r="H55">
            <v>443.25</v>
          </cell>
        </row>
        <row r="56">
          <cell r="H56">
            <v>485.2</v>
          </cell>
        </row>
        <row r="57">
          <cell r="H57">
            <v>443.18</v>
          </cell>
        </row>
        <row r="58">
          <cell r="H58">
            <v>429.35</v>
          </cell>
        </row>
        <row r="59">
          <cell r="H59">
            <v>434.91999999999996</v>
          </cell>
        </row>
        <row r="60">
          <cell r="H60">
            <v>424.3</v>
          </cell>
        </row>
        <row r="61">
          <cell r="H61">
            <v>428.2</v>
          </cell>
        </row>
        <row r="62">
          <cell r="H62">
            <v>440.12</v>
          </cell>
        </row>
        <row r="63">
          <cell r="H63">
            <v>461.32499999999999</v>
          </cell>
        </row>
        <row r="64">
          <cell r="H64">
            <v>478.9</v>
          </cell>
        </row>
      </sheetData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AEDF-952E-4437-93A1-2600DB4D0F53}">
  <dimension ref="A1:BN1629"/>
  <sheetViews>
    <sheetView topLeftCell="AH1" workbookViewId="0">
      <selection activeCell="Q2" sqref="Q2"/>
    </sheetView>
  </sheetViews>
  <sheetFormatPr defaultColWidth="8.88671875" defaultRowHeight="14.4" x14ac:dyDescent="0.3"/>
  <cols>
    <col min="1" max="1" width="17.44140625" style="1" customWidth="1"/>
    <col min="2" max="2" width="8.88671875" style="1"/>
    <col min="3" max="3" width="10.33203125" style="1" bestFit="1" customWidth="1"/>
    <col min="4" max="4" width="17.33203125" style="1" bestFit="1" customWidth="1"/>
    <col min="5" max="5" width="24" style="1" customWidth="1"/>
    <col min="6" max="6" width="18.6640625" style="1" bestFit="1" customWidth="1"/>
    <col min="7" max="66" width="22.5546875" style="1" bestFit="1" customWidth="1"/>
    <col min="67" max="67" width="11.88671875" style="1" bestFit="1" customWidth="1"/>
    <col min="68" max="69" width="12.88671875" style="1" bestFit="1" customWidth="1"/>
    <col min="70" max="71" width="13" style="1" bestFit="1" customWidth="1"/>
    <col min="72" max="73" width="13.5546875" style="1" bestFit="1" customWidth="1"/>
    <col min="74" max="75" width="13.33203125" style="1" bestFit="1" customWidth="1"/>
    <col min="76" max="77" width="14" style="1" bestFit="1" customWidth="1"/>
    <col min="78" max="79" width="13.109375" style="1" bestFit="1" customWidth="1"/>
    <col min="80" max="81" width="13.5546875" style="1" bestFit="1" customWidth="1"/>
    <col min="82" max="83" width="13.33203125" style="1" bestFit="1" customWidth="1"/>
    <col min="84" max="85" width="14" style="1" bestFit="1" customWidth="1"/>
    <col min="86" max="87" width="14.44140625" style="1" bestFit="1" customWidth="1"/>
    <col min="88" max="89" width="13.44140625" style="1" bestFit="1" customWidth="1"/>
    <col min="90" max="91" width="14" style="1" bestFit="1" customWidth="1"/>
    <col min="92" max="93" width="15" style="1" bestFit="1" customWidth="1"/>
    <col min="94" max="95" width="12.109375" style="1" bestFit="1" customWidth="1"/>
    <col min="96" max="97" width="15.44140625" style="1" bestFit="1" customWidth="1"/>
    <col min="98" max="99" width="15.6640625" style="1" bestFit="1" customWidth="1"/>
    <col min="100" max="101" width="13.5546875" style="1" bestFit="1" customWidth="1"/>
    <col min="102" max="103" width="13.33203125" style="1" bestFit="1" customWidth="1"/>
    <col min="104" max="105" width="13" style="1" bestFit="1" customWidth="1"/>
    <col min="106" max="107" width="13.44140625" style="1" bestFit="1" customWidth="1"/>
    <col min="108" max="109" width="13.33203125" style="1" bestFit="1" customWidth="1"/>
    <col min="110" max="111" width="12.44140625" style="1" bestFit="1" customWidth="1"/>
    <col min="112" max="113" width="11.33203125" style="1" bestFit="1" customWidth="1"/>
    <col min="114" max="115" width="12.88671875" style="1" bestFit="1" customWidth="1"/>
    <col min="116" max="117" width="12.6640625" style="1" bestFit="1" customWidth="1"/>
    <col min="118" max="119" width="13.33203125" style="1" bestFit="1" customWidth="1"/>
    <col min="120" max="121" width="12.88671875" style="1" bestFit="1" customWidth="1"/>
    <col min="122" max="123" width="13" style="1" bestFit="1" customWidth="1"/>
    <col min="124" max="125" width="14.33203125" style="1" bestFit="1" customWidth="1"/>
    <col min="126" max="127" width="13.33203125" style="1" bestFit="1" customWidth="1"/>
    <col min="128" max="129" width="12.6640625" style="1" bestFit="1" customWidth="1"/>
    <col min="130" max="131" width="14.33203125" style="1" bestFit="1" customWidth="1"/>
    <col min="132" max="133" width="12.33203125" style="1" bestFit="1" customWidth="1"/>
    <col min="134" max="135" width="12.44140625" style="1" bestFit="1" customWidth="1"/>
    <col min="136" max="137" width="14.109375" style="1" bestFit="1" customWidth="1"/>
    <col min="138" max="139" width="14.6640625" style="1" bestFit="1" customWidth="1"/>
    <col min="140" max="141" width="13.44140625" style="1" bestFit="1" customWidth="1"/>
    <col min="142" max="143" width="13.33203125" style="1" bestFit="1" customWidth="1"/>
    <col min="144" max="145" width="13.44140625" style="1" bestFit="1" customWidth="1"/>
    <col min="146" max="147" width="14.5546875" style="1" bestFit="1" customWidth="1"/>
    <col min="148" max="149" width="13.88671875" style="1" bestFit="1" customWidth="1"/>
    <col min="150" max="151" width="14.6640625" style="1" bestFit="1" customWidth="1"/>
    <col min="152" max="153" width="13.6640625" style="1" bestFit="1" customWidth="1"/>
    <col min="154" max="155" width="12.5546875" style="1" bestFit="1" customWidth="1"/>
    <col min="156" max="157" width="12.88671875" style="1" bestFit="1" customWidth="1"/>
    <col min="158" max="159" width="14.6640625" style="1" bestFit="1" customWidth="1"/>
    <col min="160" max="161" width="13.88671875" style="1" bestFit="1" customWidth="1"/>
    <col min="162" max="16384" width="8.88671875" style="1"/>
  </cols>
  <sheetData>
    <row r="1" spans="1:66" x14ac:dyDescent="0.3">
      <c r="B1" s="7" t="s">
        <v>147</v>
      </c>
      <c r="C1" s="9">
        <f ca="1">TODAY()</f>
        <v>46119</v>
      </c>
      <c r="E1" s="18">
        <v>3</v>
      </c>
      <c r="F1" s="18">
        <f>+E1+1</f>
        <v>4</v>
      </c>
      <c r="G1" s="18">
        <f t="shared" ref="G1:BN1" si="0">+F1+1</f>
        <v>5</v>
      </c>
      <c r="H1" s="18">
        <f t="shared" si="0"/>
        <v>6</v>
      </c>
      <c r="I1" s="18">
        <f t="shared" si="0"/>
        <v>7</v>
      </c>
      <c r="J1" s="18">
        <f t="shared" si="0"/>
        <v>8</v>
      </c>
      <c r="K1" s="18">
        <f t="shared" si="0"/>
        <v>9</v>
      </c>
      <c r="L1" s="18">
        <f t="shared" si="0"/>
        <v>10</v>
      </c>
      <c r="M1" s="18">
        <f t="shared" si="0"/>
        <v>11</v>
      </c>
      <c r="N1" s="18">
        <f t="shared" si="0"/>
        <v>12</v>
      </c>
      <c r="O1" s="18">
        <f t="shared" si="0"/>
        <v>13</v>
      </c>
      <c r="P1" s="18">
        <f t="shared" si="0"/>
        <v>14</v>
      </c>
      <c r="Q1" s="18">
        <f t="shared" si="0"/>
        <v>15</v>
      </c>
      <c r="R1" s="18">
        <f t="shared" si="0"/>
        <v>16</v>
      </c>
      <c r="S1" s="18">
        <f t="shared" si="0"/>
        <v>17</v>
      </c>
      <c r="T1" s="18">
        <f t="shared" si="0"/>
        <v>18</v>
      </c>
      <c r="U1" s="18">
        <f t="shared" si="0"/>
        <v>19</v>
      </c>
      <c r="V1" s="18">
        <f t="shared" si="0"/>
        <v>20</v>
      </c>
      <c r="W1" s="18">
        <f t="shared" si="0"/>
        <v>21</v>
      </c>
      <c r="X1" s="18">
        <f t="shared" si="0"/>
        <v>22</v>
      </c>
      <c r="Y1" s="18">
        <f t="shared" si="0"/>
        <v>23</v>
      </c>
      <c r="Z1" s="18">
        <f t="shared" si="0"/>
        <v>24</v>
      </c>
      <c r="AA1" s="18">
        <f t="shared" si="0"/>
        <v>25</v>
      </c>
      <c r="AB1" s="18">
        <f t="shared" si="0"/>
        <v>26</v>
      </c>
      <c r="AC1" s="18">
        <f t="shared" si="0"/>
        <v>27</v>
      </c>
      <c r="AD1" s="18">
        <f t="shared" si="0"/>
        <v>28</v>
      </c>
      <c r="AE1" s="18">
        <f t="shared" si="0"/>
        <v>29</v>
      </c>
      <c r="AF1" s="18">
        <f t="shared" si="0"/>
        <v>30</v>
      </c>
      <c r="AG1" s="18">
        <f t="shared" si="0"/>
        <v>31</v>
      </c>
      <c r="AH1" s="18">
        <f t="shared" si="0"/>
        <v>32</v>
      </c>
      <c r="AI1" s="18">
        <f t="shared" si="0"/>
        <v>33</v>
      </c>
      <c r="AJ1" s="18">
        <f t="shared" si="0"/>
        <v>34</v>
      </c>
      <c r="AK1" s="18">
        <f t="shared" si="0"/>
        <v>35</v>
      </c>
      <c r="AL1" s="18">
        <f t="shared" si="0"/>
        <v>36</v>
      </c>
      <c r="AM1" s="18">
        <f t="shared" si="0"/>
        <v>37</v>
      </c>
      <c r="AN1" s="18">
        <f t="shared" si="0"/>
        <v>38</v>
      </c>
      <c r="AO1" s="18">
        <f t="shared" si="0"/>
        <v>39</v>
      </c>
      <c r="AP1" s="18">
        <f t="shared" si="0"/>
        <v>40</v>
      </c>
      <c r="AQ1" s="18">
        <f t="shared" si="0"/>
        <v>41</v>
      </c>
      <c r="AR1" s="18">
        <f t="shared" si="0"/>
        <v>42</v>
      </c>
      <c r="AS1" s="18">
        <f t="shared" si="0"/>
        <v>43</v>
      </c>
      <c r="AT1" s="18">
        <f t="shared" si="0"/>
        <v>44</v>
      </c>
      <c r="AU1" s="18">
        <f t="shared" si="0"/>
        <v>45</v>
      </c>
      <c r="AV1" s="18">
        <f t="shared" si="0"/>
        <v>46</v>
      </c>
      <c r="AW1" s="18">
        <f t="shared" si="0"/>
        <v>47</v>
      </c>
      <c r="AX1" s="18">
        <f t="shared" si="0"/>
        <v>48</v>
      </c>
      <c r="AY1" s="18">
        <f t="shared" si="0"/>
        <v>49</v>
      </c>
      <c r="AZ1" s="18">
        <f t="shared" si="0"/>
        <v>50</v>
      </c>
      <c r="BA1" s="18">
        <f t="shared" si="0"/>
        <v>51</v>
      </c>
      <c r="BB1" s="18">
        <f t="shared" si="0"/>
        <v>52</v>
      </c>
      <c r="BC1" s="18">
        <f t="shared" si="0"/>
        <v>53</v>
      </c>
      <c r="BD1" s="18">
        <f t="shared" si="0"/>
        <v>54</v>
      </c>
      <c r="BE1" s="18">
        <f t="shared" si="0"/>
        <v>55</v>
      </c>
      <c r="BF1" s="18">
        <f t="shared" si="0"/>
        <v>56</v>
      </c>
      <c r="BG1" s="18">
        <f t="shared" si="0"/>
        <v>57</v>
      </c>
      <c r="BH1" s="18">
        <f t="shared" si="0"/>
        <v>58</v>
      </c>
      <c r="BI1" s="18">
        <f t="shared" si="0"/>
        <v>59</v>
      </c>
      <c r="BJ1" s="18">
        <f t="shared" si="0"/>
        <v>60</v>
      </c>
      <c r="BK1" s="18">
        <f t="shared" si="0"/>
        <v>61</v>
      </c>
      <c r="BL1" s="18">
        <f t="shared" si="0"/>
        <v>62</v>
      </c>
      <c r="BM1" s="18">
        <f t="shared" si="0"/>
        <v>63</v>
      </c>
      <c r="BN1" s="18">
        <f t="shared" si="0"/>
        <v>64</v>
      </c>
    </row>
    <row r="2" spans="1:66" ht="23.25" customHeight="1" x14ac:dyDescent="0.3">
      <c r="C2" s="1" t="e">
        <f ca="1">_xll.RDP.HistoricalPricing($A$4:$A$65,"CLOSE","START:01-Jan-2020 END:"&amp;$C$1&amp;" SOURCE:RFV INTERVAL:P1D",,"CH:IN RH:Timestamp TSREPEAT:NO",D4)</f>
        <v>#NAME?</v>
      </c>
      <c r="D2" s="1" t="s">
        <v>82</v>
      </c>
      <c r="E2" s="1" t="s">
        <v>148</v>
      </c>
      <c r="F2" s="1" t="s">
        <v>149</v>
      </c>
      <c r="G2" s="1" t="s">
        <v>150</v>
      </c>
      <c r="H2" s="1" t="s">
        <v>151</v>
      </c>
      <c r="I2" s="1" t="s">
        <v>152</v>
      </c>
      <c r="J2" s="1" t="s">
        <v>153</v>
      </c>
      <c r="K2" s="1" t="s">
        <v>154</v>
      </c>
      <c r="L2" s="1" t="s">
        <v>155</v>
      </c>
      <c r="M2" s="1" t="s">
        <v>156</v>
      </c>
      <c r="N2" s="1" t="s">
        <v>157</v>
      </c>
      <c r="O2" s="1" t="s">
        <v>158</v>
      </c>
      <c r="P2" s="1" t="s">
        <v>159</v>
      </c>
      <c r="Q2" s="1" t="s">
        <v>160</v>
      </c>
      <c r="R2" s="1" t="s">
        <v>161</v>
      </c>
      <c r="S2" s="1" t="s">
        <v>162</v>
      </c>
      <c r="T2" s="1" t="s">
        <v>163</v>
      </c>
      <c r="U2" s="1" t="s">
        <v>164</v>
      </c>
      <c r="V2" s="1" t="s">
        <v>165</v>
      </c>
      <c r="W2" s="1" t="s">
        <v>166</v>
      </c>
      <c r="X2" s="1" t="s">
        <v>167</v>
      </c>
      <c r="Y2" s="1" t="s">
        <v>168</v>
      </c>
      <c r="Z2" s="1" t="s">
        <v>169</v>
      </c>
      <c r="AA2" s="1" t="s">
        <v>170</v>
      </c>
      <c r="AB2" s="1" t="s">
        <v>171</v>
      </c>
      <c r="AC2" s="1" t="s">
        <v>172</v>
      </c>
      <c r="AD2" s="1" t="s">
        <v>173</v>
      </c>
      <c r="AE2" s="1" t="s">
        <v>174</v>
      </c>
      <c r="AF2" s="1" t="s">
        <v>175</v>
      </c>
      <c r="AG2" s="1" t="s">
        <v>176</v>
      </c>
      <c r="AH2" s="1" t="s">
        <v>177</v>
      </c>
      <c r="AI2" s="1" t="s">
        <v>178</v>
      </c>
      <c r="AJ2" s="1" t="s">
        <v>179</v>
      </c>
      <c r="AK2" s="1" t="s">
        <v>180</v>
      </c>
      <c r="AL2" s="1" t="s">
        <v>181</v>
      </c>
      <c r="AM2" s="1" t="s">
        <v>182</v>
      </c>
      <c r="AN2" s="1" t="s">
        <v>183</v>
      </c>
      <c r="AO2" s="1" t="s">
        <v>184</v>
      </c>
      <c r="AP2" s="1" t="s">
        <v>185</v>
      </c>
      <c r="AQ2" s="1" t="s">
        <v>186</v>
      </c>
      <c r="AR2" s="1" t="s">
        <v>187</v>
      </c>
      <c r="AS2" s="1" t="s">
        <v>188</v>
      </c>
      <c r="AT2" s="1" t="s">
        <v>189</v>
      </c>
      <c r="AU2" s="1" t="s">
        <v>190</v>
      </c>
      <c r="AV2" s="1" t="s">
        <v>191</v>
      </c>
      <c r="AW2" s="1" t="s">
        <v>192</v>
      </c>
      <c r="AX2" s="1" t="s">
        <v>193</v>
      </c>
      <c r="AY2" s="1" t="s">
        <v>194</v>
      </c>
      <c r="AZ2" s="1" t="s">
        <v>195</v>
      </c>
      <c r="BA2" s="1" t="s">
        <v>196</v>
      </c>
      <c r="BB2" s="1" t="s">
        <v>197</v>
      </c>
      <c r="BC2" s="1" t="s">
        <v>198</v>
      </c>
      <c r="BD2" s="1" t="s">
        <v>199</v>
      </c>
      <c r="BE2" s="1" t="s">
        <v>200</v>
      </c>
      <c r="BF2" s="1" t="s">
        <v>201</v>
      </c>
      <c r="BG2" s="1" t="s">
        <v>202</v>
      </c>
      <c r="BH2" s="1" t="s">
        <v>203</v>
      </c>
      <c r="BI2" s="1" t="s">
        <v>204</v>
      </c>
      <c r="BJ2" s="1" t="s">
        <v>205</v>
      </c>
      <c r="BK2" s="1" t="s">
        <v>206</v>
      </c>
      <c r="BL2" s="1" t="s">
        <v>207</v>
      </c>
      <c r="BM2" s="1" t="s">
        <v>208</v>
      </c>
      <c r="BN2" s="1" t="s">
        <v>209</v>
      </c>
    </row>
    <row r="3" spans="1:66" x14ac:dyDescent="0.3">
      <c r="A3" s="1" t="s">
        <v>0</v>
      </c>
      <c r="E3" s="7" t="e" cm="1">
        <f t="array" aca="1" ref="E3" ca="1">_xll.TR(E4,$D$2)</f>
        <v>#NAME?</v>
      </c>
      <c r="F3" s="7" t="e" cm="1">
        <f t="array" aca="1" ref="F3" ca="1">_xll.TR(F4,$D$2)</f>
        <v>#NAME?</v>
      </c>
      <c r="G3" s="7" t="e" cm="1">
        <f t="array" aca="1" ref="G3" ca="1">_xll.TR(G4,$D$2)</f>
        <v>#NAME?</v>
      </c>
      <c r="H3" s="7" t="e" cm="1">
        <f t="array" aca="1" ref="H3" ca="1">_xll.TR(H4,$D$2)</f>
        <v>#NAME?</v>
      </c>
      <c r="I3" s="7" t="e" cm="1">
        <f t="array" aca="1" ref="I3" ca="1">_xll.TR(I4,$D$2)</f>
        <v>#NAME?</v>
      </c>
      <c r="J3" s="7" t="e" cm="1">
        <f t="array" aca="1" ref="J3" ca="1">_xll.TR(J4,$D$2)</f>
        <v>#NAME?</v>
      </c>
      <c r="K3" s="7" t="e" cm="1">
        <f t="array" aca="1" ref="K3" ca="1">_xll.TR(K4,$D$2)</f>
        <v>#NAME?</v>
      </c>
      <c r="L3" s="7" t="e" cm="1">
        <f t="array" aca="1" ref="L3" ca="1">_xll.TR(L4,$D$2)</f>
        <v>#NAME?</v>
      </c>
      <c r="M3" s="7" t="e" cm="1">
        <f t="array" aca="1" ref="M3" ca="1">_xll.TR(M4,$D$2)</f>
        <v>#NAME?</v>
      </c>
      <c r="N3" s="7" t="e" cm="1">
        <f t="array" aca="1" ref="N3" ca="1">_xll.TR(N4,$D$2)</f>
        <v>#NAME?</v>
      </c>
      <c r="O3" s="7" t="e" cm="1">
        <f t="array" aca="1" ref="O3" ca="1">_xll.TR(O4,$D$2)</f>
        <v>#NAME?</v>
      </c>
      <c r="P3" s="7" t="e" cm="1">
        <f t="array" aca="1" ref="P3" ca="1">_xll.TR(P4,$D$2)</f>
        <v>#NAME?</v>
      </c>
      <c r="Q3" s="7" t="e" cm="1">
        <f t="array" aca="1" ref="Q3" ca="1">_xll.TR(Q4,$D$2)</f>
        <v>#NAME?</v>
      </c>
      <c r="R3" s="7" t="e" cm="1">
        <f t="array" aca="1" ref="R3" ca="1">_xll.TR(R4,$D$2)</f>
        <v>#NAME?</v>
      </c>
      <c r="S3" s="7" t="e" cm="1">
        <f t="array" aca="1" ref="S3" ca="1">_xll.TR(S4,$D$2)</f>
        <v>#NAME?</v>
      </c>
      <c r="T3" s="7" t="e" cm="1">
        <f t="array" aca="1" ref="T3" ca="1">_xll.TR(T4,$D$2)</f>
        <v>#NAME?</v>
      </c>
      <c r="U3" s="7" t="e" cm="1">
        <f t="array" aca="1" ref="U3" ca="1">_xll.TR(U4,$D$2)</f>
        <v>#NAME?</v>
      </c>
      <c r="V3" s="7" t="e" cm="1">
        <f t="array" aca="1" ref="V3" ca="1">_xll.TR(V4,$D$2)</f>
        <v>#NAME?</v>
      </c>
      <c r="W3" s="7" t="e" cm="1">
        <f t="array" aca="1" ref="W3" ca="1">_xll.TR(W4,$D$2)</f>
        <v>#NAME?</v>
      </c>
      <c r="X3" s="7" t="e" cm="1">
        <f t="array" aca="1" ref="X3" ca="1">_xll.TR(X4,$D$2)</f>
        <v>#NAME?</v>
      </c>
      <c r="Y3" s="7" t="e" cm="1">
        <f t="array" aca="1" ref="Y3" ca="1">_xll.TR(Y4,$D$2)</f>
        <v>#NAME?</v>
      </c>
      <c r="Z3" s="7" t="e" cm="1">
        <f t="array" aca="1" ref="Z3" ca="1">_xll.TR(Z4,$D$2)</f>
        <v>#NAME?</v>
      </c>
      <c r="AA3" s="7" t="e" cm="1">
        <f t="array" aca="1" ref="AA3" ca="1">_xll.TR(AA4,$D$2)</f>
        <v>#NAME?</v>
      </c>
      <c r="AB3" s="7" t="e" cm="1">
        <f t="array" aca="1" ref="AB3" ca="1">_xll.TR(AB4,$D$2)</f>
        <v>#NAME?</v>
      </c>
      <c r="AC3" s="7" t="e" cm="1">
        <f t="array" aca="1" ref="AC3" ca="1">_xll.TR(AC4,$D$2)</f>
        <v>#NAME?</v>
      </c>
      <c r="AD3" s="7" t="e" cm="1">
        <f t="array" aca="1" ref="AD3" ca="1">_xll.TR(AD4,$D$2)</f>
        <v>#NAME?</v>
      </c>
      <c r="AE3" s="7" t="e" cm="1">
        <f t="array" aca="1" ref="AE3" ca="1">_xll.TR(AE4,$D$2)</f>
        <v>#NAME?</v>
      </c>
      <c r="AF3" s="7" t="e" cm="1">
        <f t="array" aca="1" ref="AF3" ca="1">_xll.TR(AF4,$D$2)</f>
        <v>#NAME?</v>
      </c>
      <c r="AG3" s="7" t="e" cm="1">
        <f t="array" aca="1" ref="AG3" ca="1">_xll.TR(AG4,$D$2)</f>
        <v>#NAME?</v>
      </c>
      <c r="AH3" s="7" t="e" cm="1">
        <f t="array" aca="1" ref="AH3" ca="1">_xll.TR(AH4,$D$2)</f>
        <v>#NAME?</v>
      </c>
      <c r="AI3" s="7" t="e" cm="1">
        <f t="array" aca="1" ref="AI3" ca="1">_xll.TR(AI4,$D$2)</f>
        <v>#NAME?</v>
      </c>
      <c r="AJ3" s="7" t="e" cm="1">
        <f t="array" aca="1" ref="AJ3" ca="1">_xll.TR(AJ4,$D$2)</f>
        <v>#NAME?</v>
      </c>
      <c r="AK3" s="7" t="e" cm="1">
        <f t="array" aca="1" ref="AK3" ca="1">_xll.TR(AK4,$D$2)</f>
        <v>#NAME?</v>
      </c>
      <c r="AL3" s="7" t="e" cm="1">
        <f t="array" aca="1" ref="AL3" ca="1">_xll.TR(AL4,$D$2)</f>
        <v>#NAME?</v>
      </c>
      <c r="AM3" s="7" t="e" cm="1">
        <f t="array" aca="1" ref="AM3" ca="1">_xll.TR(AM4,$D$2)</f>
        <v>#NAME?</v>
      </c>
      <c r="AN3" s="7" t="e" cm="1">
        <f t="array" aca="1" ref="AN3" ca="1">_xll.TR(AN4,$D$2)</f>
        <v>#NAME?</v>
      </c>
      <c r="AO3" s="7" t="e" cm="1">
        <f t="array" aca="1" ref="AO3" ca="1">_xll.TR(AO4,$D$2)</f>
        <v>#NAME?</v>
      </c>
      <c r="AP3" s="7" t="e" cm="1">
        <f t="array" aca="1" ref="AP3" ca="1">_xll.TR(AP4,$D$2)</f>
        <v>#NAME?</v>
      </c>
      <c r="AQ3" s="7" t="e" cm="1">
        <f t="array" aca="1" ref="AQ3" ca="1">_xll.TR(AQ4,$D$2)</f>
        <v>#NAME?</v>
      </c>
      <c r="AR3" s="7" t="e" cm="1">
        <f t="array" aca="1" ref="AR3" ca="1">_xll.TR(AR4,$D$2)</f>
        <v>#NAME?</v>
      </c>
      <c r="AS3" s="7" t="e" cm="1">
        <f t="array" aca="1" ref="AS3" ca="1">_xll.TR(AS4,$D$2)</f>
        <v>#NAME?</v>
      </c>
      <c r="AT3" s="7" t="e" cm="1">
        <f t="array" aca="1" ref="AT3" ca="1">_xll.TR(AT4,$D$2)</f>
        <v>#NAME?</v>
      </c>
      <c r="AU3" s="7" t="e" cm="1">
        <f t="array" aca="1" ref="AU3" ca="1">_xll.TR(AU4,$D$2)</f>
        <v>#NAME?</v>
      </c>
      <c r="AV3" s="7" t="e" cm="1">
        <f t="array" aca="1" ref="AV3" ca="1">_xll.TR(AV4,$D$2)</f>
        <v>#NAME?</v>
      </c>
      <c r="AW3" s="7" t="e" cm="1">
        <f t="array" aca="1" ref="AW3" ca="1">_xll.TR(AW4,$D$2)</f>
        <v>#NAME?</v>
      </c>
      <c r="AX3" s="7" t="e" cm="1">
        <f t="array" aca="1" ref="AX3" ca="1">_xll.TR(AX4,$D$2)</f>
        <v>#NAME?</v>
      </c>
      <c r="AY3" s="7" t="e" cm="1">
        <f t="array" aca="1" ref="AY3" ca="1">_xll.TR(AY4,$D$2)</f>
        <v>#NAME?</v>
      </c>
      <c r="AZ3" s="7" t="e" cm="1">
        <f t="array" aca="1" ref="AZ3" ca="1">_xll.TR(AZ4,$D$2)</f>
        <v>#NAME?</v>
      </c>
      <c r="BA3" s="7" t="e" cm="1">
        <f t="array" aca="1" ref="BA3" ca="1">_xll.TR(BA4,$D$2)</f>
        <v>#NAME?</v>
      </c>
      <c r="BB3" s="7" t="e" cm="1">
        <f t="array" aca="1" ref="BB3" ca="1">_xll.TR(BB4,$D$2)</f>
        <v>#NAME?</v>
      </c>
      <c r="BC3" s="7" t="e" cm="1">
        <f t="array" aca="1" ref="BC3" ca="1">_xll.TR(BC4,$D$2)</f>
        <v>#NAME?</v>
      </c>
      <c r="BD3" s="7" t="e" cm="1">
        <f t="array" aca="1" ref="BD3" ca="1">_xll.TR(BD4,$D$2)</f>
        <v>#NAME?</v>
      </c>
      <c r="BE3" s="7" t="e" cm="1">
        <f t="array" aca="1" ref="BE3" ca="1">_xll.TR(BE4,$D$2)</f>
        <v>#NAME?</v>
      </c>
      <c r="BF3" s="7" t="e" cm="1">
        <f t="array" aca="1" ref="BF3" ca="1">_xll.TR(BF4,$D$2)</f>
        <v>#NAME?</v>
      </c>
      <c r="BG3" s="7" t="e" cm="1">
        <f t="array" aca="1" ref="BG3" ca="1">_xll.TR(BG4,$D$2)</f>
        <v>#NAME?</v>
      </c>
      <c r="BH3" s="7" t="e" cm="1">
        <f t="array" aca="1" ref="BH3" ca="1">_xll.TR(BH4,$D$2)</f>
        <v>#NAME?</v>
      </c>
      <c r="BI3" s="7" t="e" cm="1">
        <f t="array" aca="1" ref="BI3" ca="1">_xll.TR(BI4,$D$2)</f>
        <v>#NAME?</v>
      </c>
      <c r="BJ3" s="7" t="e" cm="1">
        <f t="array" aca="1" ref="BJ3" ca="1">_xll.TR(BJ4,$D$2)</f>
        <v>#NAME?</v>
      </c>
      <c r="BK3" s="7" t="e" cm="1">
        <f t="array" aca="1" ref="BK3" ca="1">_xll.TR(BK4,$D$2)</f>
        <v>#NAME?</v>
      </c>
      <c r="BL3" s="7" t="e" cm="1">
        <f t="array" aca="1" ref="BL3" ca="1">_xll.TR(BL4,$D$2)</f>
        <v>#NAME?</v>
      </c>
      <c r="BM3" s="7" t="e" cm="1">
        <f t="array" aca="1" ref="BM3" ca="1">_xll.TR(BM4,$D$2)</f>
        <v>#NAME?</v>
      </c>
      <c r="BN3" s="7" t="e" cm="1">
        <f t="array" aca="1" ref="BN3" ca="1">_xll.TR(BN4,$D$2)</f>
        <v>#NAME?</v>
      </c>
    </row>
    <row r="4" spans="1:66" x14ac:dyDescent="0.3">
      <c r="A4" s="1" t="e" cm="1">
        <f t="array" aca="1" ref="A4" ca="1">_xll.TR(A3,)</f>
        <v>#NAME?</v>
      </c>
      <c r="C4" s="15" t="s">
        <v>210</v>
      </c>
      <c r="D4" s="16"/>
      <c r="E4" s="8" t="s">
        <v>81</v>
      </c>
      <c r="F4" s="8" t="s">
        <v>1</v>
      </c>
      <c r="G4" s="8" t="s">
        <v>2</v>
      </c>
      <c r="H4" s="8" t="s">
        <v>3</v>
      </c>
      <c r="I4" s="8" t="s">
        <v>4</v>
      </c>
      <c r="J4" s="8" t="s">
        <v>5</v>
      </c>
      <c r="K4" s="8" t="s">
        <v>6</v>
      </c>
      <c r="L4" s="8" t="s">
        <v>7</v>
      </c>
      <c r="M4" s="8" t="s">
        <v>8</v>
      </c>
      <c r="N4" s="8" t="s">
        <v>9</v>
      </c>
      <c r="O4" s="8" t="s">
        <v>10</v>
      </c>
      <c r="P4" s="8" t="s">
        <v>11</v>
      </c>
      <c r="Q4" s="8" t="s">
        <v>12</v>
      </c>
      <c r="R4" s="8" t="s">
        <v>13</v>
      </c>
      <c r="S4" s="8" t="s">
        <v>14</v>
      </c>
      <c r="T4" s="8" t="s">
        <v>15</v>
      </c>
      <c r="U4" s="8" t="s">
        <v>16</v>
      </c>
      <c r="V4" s="8" t="s">
        <v>17</v>
      </c>
      <c r="W4" s="8" t="s">
        <v>18</v>
      </c>
      <c r="X4" s="8" t="s">
        <v>19</v>
      </c>
      <c r="Y4" s="8" t="s">
        <v>20</v>
      </c>
      <c r="Z4" s="8" t="s">
        <v>21</v>
      </c>
      <c r="AA4" s="8" t="s">
        <v>22</v>
      </c>
      <c r="AB4" s="8" t="s">
        <v>23</v>
      </c>
      <c r="AC4" s="8" t="s">
        <v>24</v>
      </c>
      <c r="AD4" s="8" t="s">
        <v>25</v>
      </c>
      <c r="AE4" s="8" t="s">
        <v>26</v>
      </c>
      <c r="AF4" s="8" t="s">
        <v>27</v>
      </c>
      <c r="AG4" s="8" t="s">
        <v>28</v>
      </c>
      <c r="AH4" s="8" t="s">
        <v>29</v>
      </c>
      <c r="AI4" s="8" t="s">
        <v>30</v>
      </c>
      <c r="AJ4" s="8" t="s">
        <v>31</v>
      </c>
      <c r="AK4" s="8" t="s">
        <v>32</v>
      </c>
      <c r="AL4" s="8" t="s">
        <v>33</v>
      </c>
      <c r="AM4" s="8" t="s">
        <v>34</v>
      </c>
      <c r="AN4" s="8" t="s">
        <v>35</v>
      </c>
      <c r="AO4" s="8" t="s">
        <v>36</v>
      </c>
      <c r="AP4" s="8" t="s">
        <v>37</v>
      </c>
      <c r="AQ4" s="8" t="s">
        <v>38</v>
      </c>
      <c r="AR4" s="8" t="s">
        <v>39</v>
      </c>
      <c r="AS4" s="8" t="s">
        <v>40</v>
      </c>
      <c r="AT4" s="8" t="s">
        <v>41</v>
      </c>
      <c r="AU4" s="8" t="s">
        <v>42</v>
      </c>
      <c r="AV4" s="8" t="s">
        <v>43</v>
      </c>
      <c r="AW4" s="8" t="s">
        <v>44</v>
      </c>
      <c r="AX4" s="8" t="s">
        <v>45</v>
      </c>
      <c r="AY4" s="8" t="s">
        <v>46</v>
      </c>
      <c r="AZ4" s="8" t="s">
        <v>47</v>
      </c>
      <c r="BA4" s="8" t="s">
        <v>48</v>
      </c>
      <c r="BB4" s="8" t="s">
        <v>49</v>
      </c>
      <c r="BC4" s="8" t="s">
        <v>50</v>
      </c>
      <c r="BD4" s="8" t="s">
        <v>51</v>
      </c>
      <c r="BE4" s="8" t="s">
        <v>52</v>
      </c>
      <c r="BF4" s="8" t="s">
        <v>53</v>
      </c>
      <c r="BG4" s="8" t="s">
        <v>54</v>
      </c>
      <c r="BH4" s="8" t="s">
        <v>55</v>
      </c>
      <c r="BI4" s="8" t="s">
        <v>56</v>
      </c>
      <c r="BJ4" s="8" t="s">
        <v>57</v>
      </c>
      <c r="BK4" s="8" t="s">
        <v>58</v>
      </c>
      <c r="BL4" s="8" t="s">
        <v>59</v>
      </c>
      <c r="BM4" s="8" t="s">
        <v>60</v>
      </c>
      <c r="BN4" s="8" t="s">
        <v>61</v>
      </c>
    </row>
    <row r="5" spans="1:66" x14ac:dyDescent="0.3">
      <c r="A5" s="2" t="s">
        <v>1</v>
      </c>
      <c r="C5" s="14" t="str">
        <f>YEAR(D5)&amp;MONTH(D5)</f>
        <v>20263</v>
      </c>
      <c r="D5" s="3">
        <v>46106</v>
      </c>
      <c r="E5" s="1">
        <v>1862.73</v>
      </c>
      <c r="F5" s="1">
        <v>1881.74</v>
      </c>
      <c r="G5" s="1">
        <v>1846.98</v>
      </c>
      <c r="H5" s="1">
        <v>1776.42</v>
      </c>
      <c r="I5" s="1">
        <v>1775.9</v>
      </c>
      <c r="J5" s="1">
        <v>1824.12</v>
      </c>
      <c r="K5" s="1">
        <v>1744.42</v>
      </c>
      <c r="L5" s="1">
        <v>1713.84</v>
      </c>
      <c r="M5" s="1">
        <v>1571.66</v>
      </c>
      <c r="N5" s="1">
        <v>1659.25</v>
      </c>
      <c r="O5" s="1">
        <v>1797</v>
      </c>
      <c r="P5" s="1">
        <v>1769.1</v>
      </c>
      <c r="Q5" s="1">
        <v>6845.12</v>
      </c>
      <c r="R5" s="1">
        <v>108.37</v>
      </c>
      <c r="S5" s="1">
        <v>98.81</v>
      </c>
      <c r="T5" s="1">
        <v>114.76</v>
      </c>
      <c r="V5" s="1">
        <v>109.79</v>
      </c>
      <c r="W5" s="1">
        <v>116.92</v>
      </c>
      <c r="X5" s="1">
        <v>117.17</v>
      </c>
      <c r="Y5" s="1">
        <v>114.55</v>
      </c>
      <c r="Z5" s="1">
        <v>115.49</v>
      </c>
      <c r="AA5" s="1">
        <v>110.88</v>
      </c>
      <c r="AB5" s="1">
        <v>117.74</v>
      </c>
      <c r="AE5" s="1">
        <v>122.25</v>
      </c>
      <c r="AF5" s="1">
        <v>115.93</v>
      </c>
      <c r="AG5" s="1">
        <v>102.21</v>
      </c>
      <c r="AI5" s="1">
        <v>15</v>
      </c>
      <c r="AN5" s="1">
        <v>4398.84</v>
      </c>
      <c r="AP5" s="1">
        <v>4400.17</v>
      </c>
      <c r="AQ5" s="1">
        <v>4399.7</v>
      </c>
      <c r="AR5" s="1">
        <v>4288.76</v>
      </c>
      <c r="AS5" s="1">
        <v>4351.63</v>
      </c>
      <c r="AT5" s="1">
        <v>4367.82</v>
      </c>
      <c r="AU5" s="1">
        <v>4460.42</v>
      </c>
      <c r="AW5" s="1">
        <v>4473.07</v>
      </c>
      <c r="AY5" s="1">
        <v>4289.8999999999996</v>
      </c>
      <c r="AZ5" s="1">
        <v>4427.53</v>
      </c>
      <c r="BA5" s="1">
        <v>99.75</v>
      </c>
      <c r="BB5" s="1">
        <v>125.6</v>
      </c>
      <c r="BC5" s="1">
        <v>118.27</v>
      </c>
      <c r="BD5" s="1">
        <v>120.06</v>
      </c>
      <c r="BE5" s="1">
        <v>113.54</v>
      </c>
      <c r="BF5" s="1">
        <v>111.38</v>
      </c>
      <c r="BG5" s="1">
        <v>125.36</v>
      </c>
      <c r="BH5" s="1">
        <v>116</v>
      </c>
      <c r="BI5" s="1">
        <v>118.54</v>
      </c>
      <c r="BJ5" s="1">
        <v>121.62</v>
      </c>
      <c r="BK5" s="1">
        <v>108.17</v>
      </c>
      <c r="BL5" s="1">
        <v>108.07</v>
      </c>
      <c r="BN5" s="1">
        <v>108.33</v>
      </c>
    </row>
    <row r="6" spans="1:66" x14ac:dyDescent="0.3">
      <c r="A6" s="2" t="s">
        <v>2</v>
      </c>
      <c r="C6" s="14" t="str">
        <f t="shared" ref="C6:C69" si="1">YEAR(D6)&amp;MONTH(D6)</f>
        <v>20263</v>
      </c>
      <c r="D6" s="3">
        <v>46105</v>
      </c>
      <c r="E6" s="21">
        <v>1879.28</v>
      </c>
      <c r="F6" s="21">
        <v>1881.74</v>
      </c>
      <c r="G6" s="21">
        <v>1846.98</v>
      </c>
      <c r="H6" s="21">
        <v>1772.92</v>
      </c>
      <c r="I6" s="21">
        <v>1756.14</v>
      </c>
      <c r="J6" s="21">
        <v>1789.6</v>
      </c>
      <c r="K6" s="21">
        <v>1744.42</v>
      </c>
      <c r="L6" s="21">
        <v>1721.57</v>
      </c>
      <c r="M6" s="21">
        <v>1570.1</v>
      </c>
      <c r="N6" s="21">
        <v>1688.48</v>
      </c>
      <c r="O6" s="21">
        <v>1769.01</v>
      </c>
      <c r="P6" s="21">
        <v>1775.71</v>
      </c>
      <c r="Q6" s="21">
        <v>6953.38</v>
      </c>
      <c r="R6" s="20">
        <v>108.37</v>
      </c>
      <c r="S6" s="20">
        <v>97.23</v>
      </c>
      <c r="T6" s="21">
        <v>115.76</v>
      </c>
      <c r="V6" s="1">
        <v>109.42</v>
      </c>
      <c r="W6" s="1">
        <v>116.92</v>
      </c>
      <c r="X6" s="1">
        <v>117.74</v>
      </c>
      <c r="Y6" s="1">
        <v>114.02</v>
      </c>
      <c r="Z6" s="1">
        <v>115.69</v>
      </c>
      <c r="AA6" s="1">
        <v>110.42</v>
      </c>
      <c r="AB6" s="1">
        <v>118.17</v>
      </c>
      <c r="AE6" s="1">
        <v>122.39</v>
      </c>
      <c r="AF6" s="1">
        <v>116.36</v>
      </c>
      <c r="AG6" s="1">
        <v>101.92</v>
      </c>
      <c r="AN6" s="1">
        <v>4404.57</v>
      </c>
      <c r="AO6" s="1">
        <v>30</v>
      </c>
      <c r="AP6" s="1">
        <v>4400.17</v>
      </c>
      <c r="AQ6" s="1">
        <v>4399.7</v>
      </c>
      <c r="AR6" s="1">
        <v>4297.99</v>
      </c>
      <c r="AS6" s="1">
        <v>4346.57</v>
      </c>
      <c r="AT6" s="1">
        <v>4450.63</v>
      </c>
      <c r="AU6" s="1">
        <v>4470.82</v>
      </c>
      <c r="AW6" s="1">
        <v>4432.59</v>
      </c>
      <c r="AZ6" s="1">
        <v>4424.8999999999996</v>
      </c>
      <c r="BA6" s="1">
        <v>96.67</v>
      </c>
      <c r="BB6" s="1">
        <v>124.52</v>
      </c>
      <c r="BC6" s="1">
        <v>117.85</v>
      </c>
      <c r="BD6" s="1">
        <v>120.14</v>
      </c>
      <c r="BE6" s="1">
        <v>114.15</v>
      </c>
      <c r="BF6" s="1">
        <v>111.88</v>
      </c>
      <c r="BG6" s="1">
        <v>125.76</v>
      </c>
      <c r="BH6" s="1">
        <v>115.67</v>
      </c>
      <c r="BI6" s="1">
        <v>119.39</v>
      </c>
      <c r="BJ6" s="1">
        <v>121.6</v>
      </c>
      <c r="BK6" s="1">
        <v>108.17</v>
      </c>
      <c r="BL6" s="1">
        <v>108.07</v>
      </c>
      <c r="BN6" s="1">
        <v>108.33</v>
      </c>
    </row>
    <row r="7" spans="1:66" x14ac:dyDescent="0.3">
      <c r="A7" s="2" t="s">
        <v>3</v>
      </c>
      <c r="C7" s="14" t="str">
        <f t="shared" si="1"/>
        <v>20263</v>
      </c>
      <c r="D7" s="3">
        <v>46104</v>
      </c>
      <c r="E7" s="21">
        <v>1902.44</v>
      </c>
      <c r="F7" s="21">
        <v>1881.74</v>
      </c>
      <c r="G7" s="21">
        <v>1832.98</v>
      </c>
      <c r="H7" s="21"/>
      <c r="I7" s="21">
        <v>1760.28</v>
      </c>
      <c r="J7" s="21">
        <v>1772.87</v>
      </c>
      <c r="K7" s="21">
        <v>1740.42</v>
      </c>
      <c r="L7" s="21">
        <v>1718.1</v>
      </c>
      <c r="M7" s="21"/>
      <c r="N7" s="21">
        <v>1688.48</v>
      </c>
      <c r="O7" s="21">
        <v>1785.21</v>
      </c>
      <c r="P7" s="21">
        <v>1770.71</v>
      </c>
      <c r="Q7" s="21">
        <v>6732.24</v>
      </c>
      <c r="R7" s="20">
        <v>108.37</v>
      </c>
      <c r="S7" s="20">
        <v>97.22</v>
      </c>
      <c r="T7" s="21">
        <v>115.63</v>
      </c>
      <c r="V7" s="1">
        <v>110.14</v>
      </c>
      <c r="W7" s="1">
        <v>117.67</v>
      </c>
      <c r="X7" s="1">
        <v>117.67</v>
      </c>
      <c r="Y7" s="1">
        <v>115.26</v>
      </c>
      <c r="Z7" s="1">
        <v>116.29</v>
      </c>
      <c r="AA7" s="1">
        <v>110.17</v>
      </c>
      <c r="AB7" s="1">
        <v>118.32</v>
      </c>
      <c r="AE7" s="1">
        <v>122.39</v>
      </c>
      <c r="AF7" s="1">
        <v>116.74</v>
      </c>
      <c r="AG7" s="1">
        <v>101.92</v>
      </c>
      <c r="AN7" s="1">
        <v>4404.57</v>
      </c>
      <c r="AO7" s="1">
        <v>30</v>
      </c>
      <c r="AP7" s="1">
        <v>4400.17</v>
      </c>
      <c r="AQ7" s="1">
        <v>4399.7</v>
      </c>
      <c r="AR7" s="1">
        <v>4290.91</v>
      </c>
      <c r="AS7" s="1">
        <v>4388.0600000000004</v>
      </c>
      <c r="AT7" s="1">
        <v>4395.5200000000004</v>
      </c>
      <c r="AU7" s="1">
        <v>4416.78</v>
      </c>
      <c r="AW7" s="1">
        <v>4283.84</v>
      </c>
      <c r="AY7" s="1">
        <v>4245.37</v>
      </c>
      <c r="AZ7" s="1">
        <v>4380.9799999999996</v>
      </c>
      <c r="BA7" s="1">
        <v>100.14</v>
      </c>
      <c r="BB7" s="1">
        <v>124.09</v>
      </c>
      <c r="BC7" s="1">
        <v>118.19</v>
      </c>
      <c r="BD7" s="1">
        <v>119.61</v>
      </c>
      <c r="BE7" s="1">
        <v>111.07</v>
      </c>
      <c r="BF7" s="1">
        <v>111.88</v>
      </c>
      <c r="BG7" s="1">
        <v>125.76</v>
      </c>
      <c r="BH7" s="1">
        <v>115.67</v>
      </c>
      <c r="BI7" s="1">
        <v>118.54</v>
      </c>
      <c r="BJ7" s="1">
        <v>121.58</v>
      </c>
      <c r="BK7" s="1">
        <v>108.17</v>
      </c>
      <c r="BL7" s="1">
        <v>108.07</v>
      </c>
      <c r="BN7" s="1">
        <v>108.33</v>
      </c>
    </row>
    <row r="8" spans="1:66" x14ac:dyDescent="0.3">
      <c r="A8" s="2" t="s">
        <v>4</v>
      </c>
      <c r="C8" s="14" t="str">
        <f t="shared" si="1"/>
        <v>20263</v>
      </c>
      <c r="D8" s="3">
        <v>46101</v>
      </c>
      <c r="E8" s="21">
        <v>1869.5</v>
      </c>
      <c r="F8" s="21">
        <v>1845.81</v>
      </c>
      <c r="G8" s="21">
        <v>1807.29</v>
      </c>
      <c r="H8" s="21">
        <v>1700.93</v>
      </c>
      <c r="I8" s="21">
        <v>1736.64</v>
      </c>
      <c r="J8" s="21">
        <v>1789.34</v>
      </c>
      <c r="K8" s="21">
        <v>1740.42</v>
      </c>
      <c r="L8" s="21">
        <v>1705.75</v>
      </c>
      <c r="M8" s="21"/>
      <c r="N8" s="21">
        <v>1719.6</v>
      </c>
      <c r="O8" s="21">
        <v>1785.21</v>
      </c>
      <c r="P8" s="21">
        <v>1775.71</v>
      </c>
      <c r="Q8" s="21">
        <v>6857.24</v>
      </c>
      <c r="R8" s="20">
        <v>108.78</v>
      </c>
      <c r="S8" s="20">
        <v>97.44</v>
      </c>
      <c r="T8" s="21">
        <v>115.24</v>
      </c>
      <c r="V8" s="1">
        <v>109.13</v>
      </c>
      <c r="W8" s="1">
        <v>116.67</v>
      </c>
      <c r="X8" s="1">
        <v>118.19</v>
      </c>
      <c r="Y8" s="1">
        <v>114.14</v>
      </c>
      <c r="Z8" s="1">
        <v>115.69</v>
      </c>
      <c r="AA8" s="1">
        <v>110.85</v>
      </c>
      <c r="AB8" s="1">
        <v>118.42</v>
      </c>
      <c r="AE8" s="1">
        <v>122.82</v>
      </c>
      <c r="AF8" s="1">
        <v>116.74</v>
      </c>
      <c r="AG8" s="1">
        <v>100.37</v>
      </c>
      <c r="AI8" s="1">
        <v>30</v>
      </c>
      <c r="AN8" s="1">
        <v>4434.2700000000004</v>
      </c>
      <c r="AO8" s="1">
        <v>30</v>
      </c>
      <c r="AP8" s="1">
        <v>4400.17</v>
      </c>
      <c r="AQ8" s="1">
        <v>4399.7</v>
      </c>
      <c r="AR8" s="1">
        <v>4290.91</v>
      </c>
      <c r="AS8" s="1">
        <v>4388.0600000000004</v>
      </c>
      <c r="AT8" s="1">
        <v>4375.8</v>
      </c>
      <c r="AU8" s="1">
        <v>4380.9799999999996</v>
      </c>
      <c r="AW8" s="1">
        <v>4251.87</v>
      </c>
      <c r="AY8" s="1">
        <v>4245.37</v>
      </c>
      <c r="AZ8" s="1">
        <v>4380.9799999999996</v>
      </c>
      <c r="BA8" s="1">
        <v>100.74</v>
      </c>
      <c r="BB8" s="1">
        <v>124.53</v>
      </c>
      <c r="BC8" s="1">
        <v>119.1</v>
      </c>
      <c r="BD8" s="1">
        <v>120.88</v>
      </c>
      <c r="BE8" s="1">
        <v>111.4</v>
      </c>
      <c r="BF8" s="1">
        <v>111.09</v>
      </c>
      <c r="BG8" s="1">
        <v>126.16</v>
      </c>
      <c r="BH8" s="1">
        <v>113.33</v>
      </c>
      <c r="BI8" s="1">
        <v>118.54</v>
      </c>
      <c r="BJ8" s="1">
        <v>121.72</v>
      </c>
      <c r="BK8" s="1">
        <v>108.17</v>
      </c>
      <c r="BL8" s="1">
        <v>108.07</v>
      </c>
      <c r="BN8" s="1">
        <v>108.23</v>
      </c>
    </row>
    <row r="9" spans="1:66" x14ac:dyDescent="0.3">
      <c r="A9" s="2" t="s">
        <v>5</v>
      </c>
      <c r="C9" s="14" t="str">
        <f t="shared" si="1"/>
        <v>20263</v>
      </c>
      <c r="D9" s="3">
        <v>46100</v>
      </c>
      <c r="E9" s="21">
        <v>1875.94</v>
      </c>
      <c r="F9" s="21">
        <v>1833.01</v>
      </c>
      <c r="G9" s="21">
        <v>1791.16</v>
      </c>
      <c r="H9" s="21">
        <v>1712.16</v>
      </c>
      <c r="I9" s="21">
        <v>1729.07</v>
      </c>
      <c r="J9" s="21">
        <v>1780.15</v>
      </c>
      <c r="K9" s="21">
        <v>1700.38</v>
      </c>
      <c r="L9" s="21">
        <v>1705.6</v>
      </c>
      <c r="M9" s="21"/>
      <c r="N9" s="21">
        <v>1715.3</v>
      </c>
      <c r="O9" s="21">
        <v>1775.11</v>
      </c>
      <c r="P9" s="21">
        <v>1753.16</v>
      </c>
      <c r="Q9" s="21">
        <v>6706.8</v>
      </c>
      <c r="R9" s="20">
        <v>108.7</v>
      </c>
      <c r="S9" s="20">
        <v>96.03</v>
      </c>
      <c r="T9" s="21">
        <v>114.45</v>
      </c>
      <c r="V9" s="1">
        <v>107.62</v>
      </c>
      <c r="W9" s="1">
        <v>115.42</v>
      </c>
      <c r="X9" s="1">
        <v>117.33</v>
      </c>
      <c r="Y9" s="1">
        <v>113.88</v>
      </c>
      <c r="Z9" s="1">
        <v>114.68</v>
      </c>
      <c r="AA9" s="1">
        <v>110.03</v>
      </c>
      <c r="AB9" s="1">
        <v>117.81</v>
      </c>
      <c r="AE9" s="1">
        <v>122.38</v>
      </c>
      <c r="AF9" s="1">
        <v>116.06</v>
      </c>
      <c r="AG9" s="1">
        <v>99.49</v>
      </c>
      <c r="AI9" s="1">
        <v>30</v>
      </c>
      <c r="AN9" s="1">
        <v>4406.91</v>
      </c>
      <c r="AO9" s="1">
        <v>30</v>
      </c>
      <c r="AP9" s="1">
        <v>4400.17</v>
      </c>
      <c r="AR9" s="1">
        <v>4291.7299999999996</v>
      </c>
      <c r="AS9" s="1">
        <v>4391.26</v>
      </c>
      <c r="AT9" s="1">
        <v>4376.25</v>
      </c>
      <c r="AU9" s="1">
        <v>4381.8100000000004</v>
      </c>
      <c r="AW9" s="1">
        <v>4252.68</v>
      </c>
      <c r="AY9" s="1">
        <v>4246.18</v>
      </c>
      <c r="AZ9" s="1">
        <v>4381.8100000000004</v>
      </c>
      <c r="BA9" s="1">
        <v>100.39</v>
      </c>
      <c r="BB9" s="1">
        <v>123.33</v>
      </c>
      <c r="BC9" s="1">
        <v>118.75</v>
      </c>
      <c r="BD9" s="1">
        <v>120.29</v>
      </c>
      <c r="BE9" s="1">
        <v>111.38</v>
      </c>
      <c r="BF9" s="1">
        <v>111.08</v>
      </c>
      <c r="BG9" s="1">
        <v>125.55</v>
      </c>
      <c r="BH9" s="1">
        <v>114.33</v>
      </c>
      <c r="BI9" s="1">
        <v>118.66</v>
      </c>
      <c r="BJ9" s="1">
        <v>121.67</v>
      </c>
      <c r="BK9" s="1">
        <v>107.17</v>
      </c>
      <c r="BL9" s="1">
        <v>107.4</v>
      </c>
      <c r="BN9" s="1">
        <v>107.33</v>
      </c>
    </row>
    <row r="10" spans="1:66" x14ac:dyDescent="0.3">
      <c r="A10" s="2" t="s">
        <v>6</v>
      </c>
      <c r="C10" s="14" t="str">
        <f t="shared" si="1"/>
        <v>20263</v>
      </c>
      <c r="D10" s="3">
        <v>46099</v>
      </c>
      <c r="E10" s="21">
        <v>1836.23</v>
      </c>
      <c r="F10" s="21">
        <v>1841.99</v>
      </c>
      <c r="G10" s="21">
        <v>1781.28</v>
      </c>
      <c r="H10" s="21">
        <v>1718.15</v>
      </c>
      <c r="I10" s="21">
        <v>1740.92</v>
      </c>
      <c r="J10" s="21">
        <v>1780.15</v>
      </c>
      <c r="K10" s="21">
        <v>1700.38</v>
      </c>
      <c r="L10" s="21">
        <v>1705.6</v>
      </c>
      <c r="M10" s="21"/>
      <c r="N10" s="21">
        <v>1671.95</v>
      </c>
      <c r="O10" s="21">
        <v>1798.09</v>
      </c>
      <c r="P10" s="21">
        <v>1753.16</v>
      </c>
      <c r="Q10" s="21">
        <v>6656.9</v>
      </c>
      <c r="R10" s="20">
        <v>105.72</v>
      </c>
      <c r="S10" s="20">
        <v>94.74</v>
      </c>
      <c r="T10" s="21">
        <v>113.74</v>
      </c>
      <c r="V10" s="1">
        <v>107.11</v>
      </c>
      <c r="W10" s="1">
        <v>114.17</v>
      </c>
      <c r="X10" s="1">
        <v>117.33</v>
      </c>
      <c r="Y10" s="1">
        <v>112.95</v>
      </c>
      <c r="Z10" s="1">
        <v>113.69</v>
      </c>
      <c r="AA10" s="1">
        <v>107.79</v>
      </c>
      <c r="AB10" s="1">
        <v>118.01</v>
      </c>
      <c r="AE10" s="1">
        <v>122.38</v>
      </c>
      <c r="AF10" s="1">
        <v>114.02</v>
      </c>
      <c r="AG10" s="1">
        <v>99.06</v>
      </c>
      <c r="AI10" s="1">
        <v>30</v>
      </c>
      <c r="AN10" s="1">
        <v>4406.91</v>
      </c>
      <c r="AO10" s="1">
        <v>30</v>
      </c>
      <c r="AP10" s="1">
        <v>4412</v>
      </c>
      <c r="AQ10" s="1">
        <v>4448.62</v>
      </c>
      <c r="AR10" s="1">
        <v>4291.7299999999996</v>
      </c>
      <c r="AS10" s="1">
        <v>4362.58</v>
      </c>
      <c r="AT10" s="1">
        <v>4376.25</v>
      </c>
      <c r="AU10" s="1">
        <v>4381.8100000000004</v>
      </c>
      <c r="AW10" s="1">
        <v>4252.68</v>
      </c>
      <c r="AY10" s="1">
        <v>4246.18</v>
      </c>
      <c r="AZ10" s="1">
        <v>4381.8100000000004</v>
      </c>
      <c r="BA10" s="1">
        <v>100.37</v>
      </c>
      <c r="BB10" s="1">
        <v>123.1</v>
      </c>
      <c r="BC10" s="1">
        <v>116.27</v>
      </c>
      <c r="BD10" s="1">
        <v>118.69</v>
      </c>
      <c r="BE10" s="1">
        <v>109.04</v>
      </c>
      <c r="BF10" s="1">
        <v>108.04</v>
      </c>
      <c r="BG10" s="1">
        <v>125.55</v>
      </c>
      <c r="BH10" s="1">
        <v>114.33</v>
      </c>
      <c r="BI10" s="1">
        <v>118.66</v>
      </c>
      <c r="BJ10" s="1">
        <v>121.65</v>
      </c>
      <c r="BK10" s="1">
        <v>106.17</v>
      </c>
      <c r="BL10" s="1">
        <v>106.4</v>
      </c>
      <c r="BN10" s="1">
        <v>106.33</v>
      </c>
    </row>
    <row r="11" spans="1:66" x14ac:dyDescent="0.3">
      <c r="A11" s="2" t="s">
        <v>7</v>
      </c>
      <c r="C11" s="14" t="str">
        <f t="shared" si="1"/>
        <v>20263</v>
      </c>
      <c r="D11" s="3">
        <v>46098</v>
      </c>
      <c r="E11" s="21">
        <v>1832.92</v>
      </c>
      <c r="F11" s="21">
        <v>1831.28</v>
      </c>
      <c r="G11" s="21">
        <v>1775.28</v>
      </c>
      <c r="H11" s="21">
        <v>1736.11</v>
      </c>
      <c r="I11" s="21">
        <v>1744.87</v>
      </c>
      <c r="J11" s="21">
        <v>1788.49</v>
      </c>
      <c r="K11" s="21">
        <v>1712.38</v>
      </c>
      <c r="L11" s="21">
        <v>1705.6</v>
      </c>
      <c r="M11" s="21"/>
      <c r="N11" s="21">
        <v>1674.95</v>
      </c>
      <c r="O11" s="21">
        <v>1808.09</v>
      </c>
      <c r="P11" s="21">
        <v>1753.16</v>
      </c>
      <c r="Q11" s="21">
        <v>6706.9</v>
      </c>
      <c r="R11" s="20">
        <v>105.64</v>
      </c>
      <c r="S11" s="20">
        <v>94.25</v>
      </c>
      <c r="T11" s="21">
        <v>113.96</v>
      </c>
      <c r="V11" s="1">
        <v>108.78</v>
      </c>
      <c r="W11" s="1">
        <v>114.17</v>
      </c>
      <c r="X11" s="1">
        <v>118.29</v>
      </c>
      <c r="Y11" s="1">
        <v>113.35</v>
      </c>
      <c r="Z11" s="1">
        <v>113.88</v>
      </c>
      <c r="AA11" s="1">
        <v>109.51</v>
      </c>
      <c r="AB11" s="1">
        <v>118.66</v>
      </c>
      <c r="AE11" s="1">
        <v>123.52</v>
      </c>
      <c r="AF11" s="1">
        <v>112.81</v>
      </c>
      <c r="AG11" s="1">
        <v>98.4</v>
      </c>
      <c r="AI11" s="1">
        <v>30</v>
      </c>
      <c r="AN11" s="1">
        <v>4373.04</v>
      </c>
      <c r="AO11" s="1">
        <v>30</v>
      </c>
      <c r="AP11" s="1">
        <v>4412</v>
      </c>
      <c r="AQ11" s="1">
        <v>4448.62</v>
      </c>
      <c r="AR11" s="1">
        <v>4212.2700000000004</v>
      </c>
      <c r="AS11" s="1">
        <v>4401.04</v>
      </c>
      <c r="AT11" s="1">
        <v>4323.17</v>
      </c>
      <c r="AU11" s="1">
        <v>4357.42</v>
      </c>
      <c r="AW11" s="1">
        <v>4252.68</v>
      </c>
      <c r="AX11" s="1">
        <v>110.25</v>
      </c>
      <c r="AY11" s="1">
        <v>4246.18</v>
      </c>
      <c r="AZ11" s="1">
        <v>4256.3</v>
      </c>
      <c r="BA11" s="1">
        <v>96.03</v>
      </c>
      <c r="BB11" s="1">
        <v>122.18</v>
      </c>
      <c r="BC11" s="1">
        <v>116.95</v>
      </c>
      <c r="BD11" s="1">
        <v>118.74</v>
      </c>
      <c r="BE11" s="1">
        <v>108.12</v>
      </c>
      <c r="BF11" s="1">
        <v>107.68</v>
      </c>
      <c r="BG11" s="1">
        <v>125.55</v>
      </c>
      <c r="BH11" s="1">
        <v>114.33</v>
      </c>
      <c r="BI11" s="1">
        <v>119.64</v>
      </c>
      <c r="BJ11" s="1">
        <v>121.86</v>
      </c>
      <c r="BK11" s="1">
        <v>106.17</v>
      </c>
      <c r="BL11" s="1">
        <v>106.4</v>
      </c>
      <c r="BN11" s="1">
        <v>106.33</v>
      </c>
    </row>
    <row r="12" spans="1:66" x14ac:dyDescent="0.3">
      <c r="A12" s="2" t="s">
        <v>8</v>
      </c>
      <c r="C12" s="14" t="str">
        <f t="shared" si="1"/>
        <v>20263</v>
      </c>
      <c r="D12" s="3">
        <v>46097</v>
      </c>
      <c r="E12" s="21">
        <v>1856.08</v>
      </c>
      <c r="F12" s="21">
        <v>1841.99</v>
      </c>
      <c r="G12" s="21">
        <v>1775.28</v>
      </c>
      <c r="H12" s="21">
        <v>1723.83</v>
      </c>
      <c r="I12" s="21">
        <v>1764.87</v>
      </c>
      <c r="J12" s="21">
        <v>1803.86</v>
      </c>
      <c r="K12" s="21">
        <v>1720.38</v>
      </c>
      <c r="L12" s="21">
        <v>1725.96</v>
      </c>
      <c r="M12" s="21"/>
      <c r="N12" s="21">
        <v>1637.92</v>
      </c>
      <c r="O12" s="21">
        <v>1790.07</v>
      </c>
      <c r="P12" s="21">
        <v>1766.89</v>
      </c>
      <c r="Q12" s="21">
        <v>6706.9</v>
      </c>
      <c r="R12" s="20">
        <v>106.83</v>
      </c>
      <c r="S12" s="20">
        <v>96.78</v>
      </c>
      <c r="T12" s="21">
        <v>114.74</v>
      </c>
      <c r="V12" s="1">
        <v>110.89</v>
      </c>
      <c r="W12" s="1">
        <v>115.92</v>
      </c>
      <c r="X12" s="1">
        <v>119.22</v>
      </c>
      <c r="Y12" s="1">
        <v>114.74</v>
      </c>
      <c r="Z12" s="1">
        <v>115.08</v>
      </c>
      <c r="AA12" s="1">
        <v>109.93</v>
      </c>
      <c r="AB12" s="1">
        <v>118.86</v>
      </c>
      <c r="AE12" s="1">
        <v>123.36</v>
      </c>
      <c r="AF12" s="1">
        <v>113.96</v>
      </c>
      <c r="AG12" s="1">
        <v>100.31</v>
      </c>
      <c r="AI12" s="1">
        <v>30</v>
      </c>
      <c r="AN12" s="1">
        <v>4373.04</v>
      </c>
      <c r="AP12" s="1">
        <v>4365</v>
      </c>
      <c r="AQ12" s="1">
        <v>4448.62</v>
      </c>
      <c r="AR12" s="1">
        <v>4212.6499999999996</v>
      </c>
      <c r="AS12" s="1">
        <v>4359.21</v>
      </c>
      <c r="AT12" s="1">
        <v>4352.46</v>
      </c>
      <c r="AU12" s="1">
        <v>4304.93</v>
      </c>
      <c r="AV12" s="1">
        <v>36.67</v>
      </c>
      <c r="AW12" s="1">
        <v>4276.4799999999996</v>
      </c>
      <c r="AX12" s="1">
        <v>110.25</v>
      </c>
      <c r="AY12" s="1">
        <v>4322.28</v>
      </c>
      <c r="AZ12" s="1">
        <v>4256.3</v>
      </c>
      <c r="BA12" s="1">
        <v>102.03</v>
      </c>
      <c r="BB12" s="1">
        <v>122.38</v>
      </c>
      <c r="BC12" s="1">
        <v>118.92</v>
      </c>
      <c r="BD12" s="1">
        <v>120.11</v>
      </c>
      <c r="BE12" s="1">
        <v>108.97</v>
      </c>
      <c r="BF12" s="1">
        <v>108.8</v>
      </c>
      <c r="BG12" s="1">
        <v>125.55</v>
      </c>
      <c r="BH12" s="1">
        <v>114.33</v>
      </c>
      <c r="BI12" s="1">
        <v>120.16</v>
      </c>
      <c r="BJ12" s="1">
        <v>121.84</v>
      </c>
      <c r="BK12" s="1">
        <v>107.17</v>
      </c>
      <c r="BL12" s="1">
        <v>107.73</v>
      </c>
      <c r="BN12" s="1">
        <v>107.33</v>
      </c>
    </row>
    <row r="13" spans="1:66" x14ac:dyDescent="0.3">
      <c r="A13" s="2" t="s">
        <v>9</v>
      </c>
      <c r="C13" s="14" t="str">
        <f t="shared" si="1"/>
        <v>20263</v>
      </c>
      <c r="D13" s="3">
        <v>46094</v>
      </c>
      <c r="E13" s="21">
        <v>1864.33</v>
      </c>
      <c r="F13" s="21">
        <v>1833.01</v>
      </c>
      <c r="G13" s="21">
        <v>1775.28</v>
      </c>
      <c r="H13" s="21">
        <v>1723.53</v>
      </c>
      <c r="I13" s="21">
        <v>1746.9</v>
      </c>
      <c r="J13" s="21">
        <v>1808.86</v>
      </c>
      <c r="K13" s="21">
        <v>1720.33</v>
      </c>
      <c r="L13" s="21">
        <v>1725.96</v>
      </c>
      <c r="M13" s="21"/>
      <c r="N13" s="21">
        <v>1652.34</v>
      </c>
      <c r="O13" s="21">
        <v>1810.07</v>
      </c>
      <c r="P13" s="21">
        <v>1771.86</v>
      </c>
      <c r="Q13" s="21">
        <v>6631.9</v>
      </c>
      <c r="R13" s="20">
        <v>109.03</v>
      </c>
      <c r="S13" s="20">
        <v>96.89</v>
      </c>
      <c r="T13" s="21">
        <v>115.99</v>
      </c>
      <c r="V13" s="1">
        <v>110.92</v>
      </c>
      <c r="W13" s="1">
        <v>117.17</v>
      </c>
      <c r="X13" s="1">
        <v>119.77</v>
      </c>
      <c r="Y13" s="1">
        <v>115.75</v>
      </c>
      <c r="Z13" s="1">
        <v>116.68</v>
      </c>
      <c r="AA13" s="1">
        <v>110.88</v>
      </c>
      <c r="AB13" s="1">
        <v>119.66</v>
      </c>
      <c r="AE13" s="1">
        <v>124.28</v>
      </c>
      <c r="AF13" s="1">
        <v>114.94</v>
      </c>
      <c r="AG13" s="1">
        <v>102.29</v>
      </c>
      <c r="AN13" s="1">
        <v>4365.1099999999997</v>
      </c>
      <c r="AP13" s="1">
        <v>4365</v>
      </c>
      <c r="AQ13" s="1">
        <v>4448.62</v>
      </c>
      <c r="AR13" s="1">
        <v>4212.6499999999996</v>
      </c>
      <c r="AS13" s="1">
        <v>4353.09</v>
      </c>
      <c r="AT13" s="1">
        <v>4352.46</v>
      </c>
      <c r="AU13" s="1">
        <v>4321.92</v>
      </c>
      <c r="AV13" s="1">
        <v>36.67</v>
      </c>
      <c r="AW13" s="1">
        <v>4279.1400000000003</v>
      </c>
      <c r="AX13" s="1">
        <v>109.13</v>
      </c>
      <c r="AY13" s="1">
        <v>4322.28</v>
      </c>
      <c r="AZ13" s="1">
        <v>4256.3</v>
      </c>
      <c r="BA13" s="1">
        <v>101.96</v>
      </c>
      <c r="BB13" s="1">
        <v>124.06</v>
      </c>
      <c r="BC13" s="1">
        <v>119.15</v>
      </c>
      <c r="BD13" s="1">
        <v>121.02</v>
      </c>
      <c r="BE13" s="1">
        <v>111.68</v>
      </c>
      <c r="BF13" s="1">
        <v>112.13</v>
      </c>
      <c r="BG13" s="1">
        <v>126.35</v>
      </c>
      <c r="BH13" s="1">
        <v>116</v>
      </c>
      <c r="BI13" s="1">
        <v>120.16</v>
      </c>
      <c r="BJ13" s="1">
        <v>122.57</v>
      </c>
      <c r="BK13" s="1">
        <v>109.16</v>
      </c>
      <c r="BL13" s="1">
        <v>108.73</v>
      </c>
      <c r="BN13" s="1">
        <v>109.33</v>
      </c>
    </row>
    <row r="14" spans="1:66" x14ac:dyDescent="0.3">
      <c r="A14" s="2" t="s">
        <v>10</v>
      </c>
      <c r="C14" s="14" t="str">
        <f t="shared" si="1"/>
        <v>20263</v>
      </c>
      <c r="D14" s="3">
        <v>46093</v>
      </c>
      <c r="E14" s="21">
        <v>1867.64</v>
      </c>
      <c r="F14" s="21">
        <v>1833.01</v>
      </c>
      <c r="G14" s="21">
        <v>1781.21</v>
      </c>
      <c r="H14" s="21">
        <v>1722.61</v>
      </c>
      <c r="I14" s="21">
        <v>1746.9</v>
      </c>
      <c r="J14" s="21">
        <v>1785.53</v>
      </c>
      <c r="K14" s="21">
        <v>1720.33</v>
      </c>
      <c r="L14" s="21">
        <v>1701.26</v>
      </c>
      <c r="M14" s="21"/>
      <c r="N14" s="21">
        <v>1650.52</v>
      </c>
      <c r="O14" s="21">
        <v>1810.07</v>
      </c>
      <c r="P14" s="21">
        <v>1771.86</v>
      </c>
      <c r="Q14" s="21">
        <v>6556.9</v>
      </c>
      <c r="R14" s="20">
        <v>110.02</v>
      </c>
      <c r="S14" s="20">
        <v>97.16</v>
      </c>
      <c r="T14" s="21">
        <v>115.63</v>
      </c>
      <c r="V14" s="1">
        <v>110.77</v>
      </c>
      <c r="W14" s="1">
        <v>115.67</v>
      </c>
      <c r="X14" s="1">
        <v>119.33</v>
      </c>
      <c r="Y14" s="1">
        <v>114.43</v>
      </c>
      <c r="Z14" s="1">
        <v>115.48</v>
      </c>
      <c r="AA14" s="1">
        <v>112.03</v>
      </c>
      <c r="AB14" s="1">
        <v>118.86</v>
      </c>
      <c r="AE14" s="1">
        <v>123.9</v>
      </c>
      <c r="AF14" s="1">
        <v>115.61</v>
      </c>
      <c r="AG14" s="1">
        <v>102.37</v>
      </c>
      <c r="AN14" s="1">
        <v>4330.1899999999996</v>
      </c>
      <c r="AP14" s="1">
        <v>4365</v>
      </c>
      <c r="AQ14" s="1">
        <v>4448.62</v>
      </c>
      <c r="AR14" s="1">
        <v>4212.6499999999996</v>
      </c>
      <c r="AS14" s="1">
        <v>4353.09</v>
      </c>
      <c r="AT14" s="1">
        <v>4352.46</v>
      </c>
      <c r="AU14" s="1">
        <v>4310.26</v>
      </c>
      <c r="AV14" s="1">
        <v>36.67</v>
      </c>
      <c r="AW14" s="1">
        <v>4279.1400000000003</v>
      </c>
      <c r="AX14" s="1">
        <v>107.03</v>
      </c>
      <c r="AY14" s="1">
        <v>4322.28</v>
      </c>
      <c r="AZ14" s="1">
        <v>4256.3</v>
      </c>
      <c r="BA14" s="1">
        <v>104.35</v>
      </c>
      <c r="BB14" s="1">
        <v>122.6</v>
      </c>
      <c r="BC14" s="1">
        <v>119.11</v>
      </c>
      <c r="BD14" s="1">
        <v>120.8</v>
      </c>
      <c r="BE14" s="1">
        <v>113.62</v>
      </c>
      <c r="BF14" s="1">
        <v>112.69</v>
      </c>
      <c r="BG14" s="1">
        <v>125.95</v>
      </c>
      <c r="BH14" s="1">
        <v>117</v>
      </c>
      <c r="BI14" s="1">
        <v>120.16</v>
      </c>
      <c r="BJ14" s="1">
        <v>122.55</v>
      </c>
      <c r="BK14" s="1">
        <v>108.5</v>
      </c>
      <c r="BL14" s="1">
        <v>108.07</v>
      </c>
      <c r="BN14" s="1">
        <v>108.67</v>
      </c>
    </row>
    <row r="15" spans="1:66" x14ac:dyDescent="0.3">
      <c r="A15" s="2" t="s">
        <v>11</v>
      </c>
      <c r="C15" s="14" t="str">
        <f t="shared" si="1"/>
        <v>20263</v>
      </c>
      <c r="D15" s="3">
        <v>46092</v>
      </c>
      <c r="E15" s="21">
        <v>1849.47</v>
      </c>
      <c r="F15" s="21">
        <v>1833.01</v>
      </c>
      <c r="G15" s="21">
        <v>1781.21</v>
      </c>
      <c r="H15" s="21">
        <v>1729.74</v>
      </c>
      <c r="I15" s="21">
        <v>1750.85</v>
      </c>
      <c r="J15" s="21">
        <v>1785.53</v>
      </c>
      <c r="K15" s="21">
        <v>1720.33</v>
      </c>
      <c r="L15" s="21">
        <v>1701.26</v>
      </c>
      <c r="M15" s="21"/>
      <c r="N15" s="21">
        <v>1640.25</v>
      </c>
      <c r="O15" s="21">
        <v>1810.07</v>
      </c>
      <c r="P15" s="21">
        <v>1771.86</v>
      </c>
      <c r="Q15" s="21">
        <v>6556.9</v>
      </c>
      <c r="R15" s="20">
        <v>109.52</v>
      </c>
      <c r="S15" s="20">
        <v>96.86</v>
      </c>
      <c r="T15" s="21">
        <v>114.63</v>
      </c>
      <c r="V15" s="1">
        <v>110.68</v>
      </c>
      <c r="W15" s="1">
        <v>115.67</v>
      </c>
      <c r="X15" s="1">
        <v>118.83</v>
      </c>
      <c r="Y15" s="1">
        <v>113.94</v>
      </c>
      <c r="Z15" s="1">
        <v>114.68</v>
      </c>
      <c r="AA15" s="1">
        <v>111.51</v>
      </c>
      <c r="AB15" s="1">
        <v>118.66</v>
      </c>
      <c r="AE15" s="1">
        <v>123.26</v>
      </c>
      <c r="AF15" s="1">
        <v>115.57</v>
      </c>
      <c r="AG15" s="1">
        <v>100.76</v>
      </c>
      <c r="AN15" s="1">
        <v>4330.1899999999996</v>
      </c>
      <c r="AP15" s="1">
        <v>4309</v>
      </c>
      <c r="AR15" s="1">
        <v>4255.79</v>
      </c>
      <c r="AS15" s="1">
        <v>4353.09</v>
      </c>
      <c r="AT15" s="1">
        <v>4352.46</v>
      </c>
      <c r="AU15" s="1">
        <v>4317.57</v>
      </c>
      <c r="AV15" s="1">
        <v>35</v>
      </c>
      <c r="AW15" s="1">
        <v>4271.04</v>
      </c>
      <c r="AX15" s="1">
        <v>110.28</v>
      </c>
      <c r="AY15" s="1">
        <v>4322.28</v>
      </c>
      <c r="AZ15" s="1">
        <v>4256.3</v>
      </c>
      <c r="BA15" s="1">
        <v>104.33</v>
      </c>
      <c r="BB15" s="1">
        <v>122.6</v>
      </c>
      <c r="BC15" s="1">
        <v>117.95</v>
      </c>
      <c r="BD15" s="1">
        <v>120.39</v>
      </c>
      <c r="BE15" s="1">
        <v>113.59</v>
      </c>
      <c r="BF15" s="1">
        <v>111.47</v>
      </c>
      <c r="BG15" s="1">
        <v>126.14</v>
      </c>
      <c r="BH15" s="1">
        <v>117</v>
      </c>
      <c r="BI15" s="1">
        <v>120.16</v>
      </c>
      <c r="BJ15" s="1">
        <v>122.53</v>
      </c>
      <c r="BK15" s="1">
        <v>107.17</v>
      </c>
      <c r="BL15" s="1">
        <v>107.4</v>
      </c>
      <c r="BN15" s="1">
        <v>107.33</v>
      </c>
    </row>
    <row r="16" spans="1:66" x14ac:dyDescent="0.3">
      <c r="A16" s="2" t="s">
        <v>12</v>
      </c>
      <c r="C16" s="14" t="str">
        <f t="shared" si="1"/>
        <v>20263</v>
      </c>
      <c r="D16" s="3">
        <v>46091</v>
      </c>
      <c r="E16" s="21">
        <v>1872.75</v>
      </c>
      <c r="F16" s="21">
        <v>1842.1</v>
      </c>
      <c r="G16" s="21">
        <v>1801.21</v>
      </c>
      <c r="H16" s="21">
        <v>1729.74</v>
      </c>
      <c r="I16" s="21">
        <v>1750.85</v>
      </c>
      <c r="J16" s="21">
        <v>1819.43</v>
      </c>
      <c r="K16" s="21">
        <v>1724.33</v>
      </c>
      <c r="L16" s="21">
        <v>1711.14</v>
      </c>
      <c r="M16" s="21"/>
      <c r="N16" s="21">
        <v>1652.96</v>
      </c>
      <c r="O16" s="21">
        <v>1826.55</v>
      </c>
      <c r="P16" s="21">
        <v>1764.36</v>
      </c>
      <c r="Q16" s="21">
        <v>6581.6</v>
      </c>
      <c r="R16" s="20">
        <v>109.45</v>
      </c>
      <c r="S16" s="20">
        <v>97.09</v>
      </c>
      <c r="T16" s="21">
        <v>114.62</v>
      </c>
      <c r="V16" s="1">
        <v>110.5</v>
      </c>
      <c r="W16" s="1">
        <v>116.39</v>
      </c>
      <c r="X16" s="1">
        <v>118.89</v>
      </c>
      <c r="Y16" s="1">
        <v>114.01</v>
      </c>
      <c r="Z16" s="1">
        <v>114.68</v>
      </c>
      <c r="AA16" s="1">
        <v>111.51</v>
      </c>
      <c r="AB16" s="1">
        <v>118.96</v>
      </c>
      <c r="AE16" s="1">
        <v>123.2</v>
      </c>
      <c r="AF16" s="1">
        <v>115.45</v>
      </c>
      <c r="AG16" s="1">
        <v>100.79</v>
      </c>
      <c r="AN16" s="1">
        <v>4283.63</v>
      </c>
      <c r="AP16" s="1">
        <v>4300</v>
      </c>
      <c r="AR16" s="1">
        <v>4251.24</v>
      </c>
      <c r="AS16" s="1">
        <v>4324.26</v>
      </c>
      <c r="AT16" s="1">
        <v>4327.1499999999996</v>
      </c>
      <c r="AU16" s="1">
        <v>4303.74</v>
      </c>
      <c r="AV16" s="1">
        <v>35</v>
      </c>
      <c r="AW16" s="1">
        <v>4271.04</v>
      </c>
      <c r="AX16" s="1">
        <v>111.23</v>
      </c>
      <c r="AY16" s="1">
        <v>4322.28</v>
      </c>
      <c r="BA16" s="1">
        <v>105.22</v>
      </c>
      <c r="BB16" s="1">
        <v>123.9</v>
      </c>
      <c r="BC16" s="1">
        <v>118.14</v>
      </c>
      <c r="BD16" s="1">
        <v>119.15</v>
      </c>
      <c r="BE16" s="1">
        <v>113.57</v>
      </c>
      <c r="BF16" s="1">
        <v>111.47</v>
      </c>
      <c r="BG16" s="1">
        <v>125.74</v>
      </c>
      <c r="BH16" s="1">
        <v>115.67</v>
      </c>
      <c r="BI16" s="1">
        <v>119.79</v>
      </c>
      <c r="BJ16" s="1">
        <v>122.51</v>
      </c>
      <c r="BK16" s="1">
        <v>107.17</v>
      </c>
      <c r="BL16" s="1">
        <v>107.4</v>
      </c>
      <c r="BN16" s="1">
        <v>107.33</v>
      </c>
    </row>
    <row r="17" spans="1:66" x14ac:dyDescent="0.3">
      <c r="A17" s="2" t="s">
        <v>13</v>
      </c>
      <c r="C17" s="14" t="str">
        <f t="shared" si="1"/>
        <v>20263</v>
      </c>
      <c r="D17" s="3">
        <v>46090</v>
      </c>
      <c r="E17" s="21">
        <v>1872.75</v>
      </c>
      <c r="F17" s="21">
        <v>1842.1</v>
      </c>
      <c r="G17" s="21">
        <v>1801.21</v>
      </c>
      <c r="H17" s="21">
        <v>1746.47</v>
      </c>
      <c r="I17" s="21">
        <v>1750.85</v>
      </c>
      <c r="J17" s="21">
        <v>1825.6</v>
      </c>
      <c r="K17" s="21">
        <v>1717.66</v>
      </c>
      <c r="L17" s="21">
        <v>1729.86</v>
      </c>
      <c r="M17" s="21"/>
      <c r="N17" s="21">
        <v>1661.7</v>
      </c>
      <c r="O17" s="21">
        <v>1829.84</v>
      </c>
      <c r="P17" s="21">
        <v>1754.9</v>
      </c>
      <c r="Q17" s="21">
        <v>6565.43</v>
      </c>
      <c r="R17" s="20">
        <v>111.26</v>
      </c>
      <c r="S17" s="20">
        <v>98.79</v>
      </c>
      <c r="T17" s="21">
        <v>114.79</v>
      </c>
      <c r="V17" s="1">
        <v>110.62</v>
      </c>
      <c r="W17" s="1">
        <v>116.22</v>
      </c>
      <c r="X17" s="1">
        <v>119.5</v>
      </c>
      <c r="Y17" s="1">
        <v>115.94</v>
      </c>
      <c r="Z17" s="1">
        <v>115.28</v>
      </c>
      <c r="AA17" s="1">
        <v>112.68</v>
      </c>
      <c r="AB17" s="1">
        <v>118.85</v>
      </c>
      <c r="AE17" s="1">
        <v>123.66</v>
      </c>
      <c r="AF17" s="1">
        <v>115.45</v>
      </c>
      <c r="AG17" s="1">
        <v>102.62</v>
      </c>
      <c r="AN17" s="1">
        <v>4306.26</v>
      </c>
      <c r="AP17" s="1">
        <v>4300</v>
      </c>
      <c r="AR17" s="1">
        <v>4251.24</v>
      </c>
      <c r="AS17" s="1">
        <v>4324.26</v>
      </c>
      <c r="AT17" s="1">
        <v>4347.4399999999996</v>
      </c>
      <c r="AU17" s="1">
        <v>4304.88</v>
      </c>
      <c r="AV17" s="1">
        <v>30</v>
      </c>
      <c r="AW17" s="1">
        <v>4278.51</v>
      </c>
      <c r="AX17" s="1">
        <v>111.53</v>
      </c>
      <c r="AY17" s="1">
        <v>4331.58</v>
      </c>
      <c r="AZ17" s="1">
        <v>4268.78</v>
      </c>
      <c r="BA17" s="1">
        <v>105.18</v>
      </c>
      <c r="BB17" s="1">
        <v>123.5</v>
      </c>
      <c r="BC17" s="1">
        <v>119.02</v>
      </c>
      <c r="BD17" s="1">
        <v>120.01</v>
      </c>
      <c r="BE17" s="1">
        <v>114.47</v>
      </c>
      <c r="BF17" s="1">
        <v>111.92</v>
      </c>
      <c r="BG17" s="1">
        <v>126.06</v>
      </c>
      <c r="BH17" s="1">
        <v>110.6</v>
      </c>
      <c r="BI17" s="1">
        <v>118.91</v>
      </c>
      <c r="BJ17" s="1">
        <v>122.49</v>
      </c>
      <c r="BK17" s="1">
        <v>107.17</v>
      </c>
      <c r="BL17" s="1">
        <v>107.4</v>
      </c>
      <c r="BN17" s="1">
        <v>107.33</v>
      </c>
    </row>
    <row r="18" spans="1:66" x14ac:dyDescent="0.3">
      <c r="A18" s="2" t="s">
        <v>14</v>
      </c>
      <c r="C18" s="14" t="str">
        <f t="shared" si="1"/>
        <v>20263</v>
      </c>
      <c r="D18" s="3">
        <v>46087</v>
      </c>
      <c r="E18" s="21">
        <v>1851.24</v>
      </c>
      <c r="F18" s="21">
        <v>1851.08</v>
      </c>
      <c r="G18" s="21">
        <v>1811.21</v>
      </c>
      <c r="H18" s="21">
        <v>1723.05</v>
      </c>
      <c r="I18" s="21">
        <v>1770.75</v>
      </c>
      <c r="J18" s="21">
        <v>1825.6</v>
      </c>
      <c r="K18" s="21">
        <v>1754.18</v>
      </c>
      <c r="L18" s="21">
        <v>1729.86</v>
      </c>
      <c r="M18" s="21"/>
      <c r="N18" s="21">
        <v>1665.02</v>
      </c>
      <c r="O18" s="21">
        <v>1791.45</v>
      </c>
      <c r="P18" s="21">
        <v>1754.38</v>
      </c>
      <c r="Q18" s="21">
        <v>6425.19</v>
      </c>
      <c r="R18" s="20">
        <v>111.66</v>
      </c>
      <c r="S18" s="20">
        <v>97.01</v>
      </c>
      <c r="T18" s="21">
        <v>115.68</v>
      </c>
      <c r="V18" s="1">
        <v>110.45</v>
      </c>
      <c r="W18" s="1">
        <v>117.22</v>
      </c>
      <c r="X18" s="1">
        <v>118.22</v>
      </c>
      <c r="Y18" s="1">
        <v>115.68</v>
      </c>
      <c r="Z18" s="1">
        <v>116.58</v>
      </c>
      <c r="AA18" s="1">
        <v>113.73</v>
      </c>
      <c r="AB18" s="1">
        <v>118.12</v>
      </c>
      <c r="AE18" s="1">
        <v>123.16</v>
      </c>
      <c r="AF18" s="1">
        <v>115.16</v>
      </c>
      <c r="AG18" s="1">
        <v>101.63</v>
      </c>
      <c r="AH18" s="1">
        <v>30</v>
      </c>
      <c r="AN18" s="1">
        <v>4317.04</v>
      </c>
      <c r="AP18" s="1">
        <v>4300</v>
      </c>
      <c r="AQ18" s="1">
        <v>4355.08</v>
      </c>
      <c r="AR18" s="1">
        <v>4251.24</v>
      </c>
      <c r="AT18" s="1">
        <v>4347.4399999999996</v>
      </c>
      <c r="AU18" s="1">
        <v>4301</v>
      </c>
      <c r="AV18" s="1">
        <v>30</v>
      </c>
      <c r="AW18" s="1">
        <v>4278.51</v>
      </c>
      <c r="AX18" s="1">
        <v>111.78</v>
      </c>
      <c r="AY18" s="1">
        <v>4331.58</v>
      </c>
      <c r="AZ18" s="1">
        <v>4308.68</v>
      </c>
      <c r="BA18" s="1">
        <v>105.13</v>
      </c>
      <c r="BB18" s="1">
        <v>124.12</v>
      </c>
      <c r="BC18" s="1">
        <v>118.89</v>
      </c>
      <c r="BD18" s="1">
        <v>120.86</v>
      </c>
      <c r="BE18" s="1">
        <v>114.47</v>
      </c>
      <c r="BF18" s="1">
        <v>114.24</v>
      </c>
      <c r="BG18" s="1">
        <v>125.81</v>
      </c>
      <c r="BH18" s="1">
        <v>114.17</v>
      </c>
      <c r="BI18" s="1">
        <v>118.41</v>
      </c>
      <c r="BJ18" s="1">
        <v>121.84</v>
      </c>
      <c r="BK18" s="1">
        <v>108.83</v>
      </c>
      <c r="BL18" s="1">
        <v>108.4</v>
      </c>
      <c r="BN18" s="1">
        <v>109</v>
      </c>
    </row>
    <row r="19" spans="1:66" x14ac:dyDescent="0.3">
      <c r="A19" s="2" t="s">
        <v>15</v>
      </c>
      <c r="C19" s="14" t="str">
        <f t="shared" si="1"/>
        <v>20263</v>
      </c>
      <c r="D19" s="3">
        <v>46086</v>
      </c>
      <c r="E19" s="21">
        <v>1846.28</v>
      </c>
      <c r="F19" s="21">
        <v>1833.28</v>
      </c>
      <c r="G19" s="21">
        <v>1811.21</v>
      </c>
      <c r="H19" s="21">
        <v>1687.08</v>
      </c>
      <c r="I19" s="21">
        <v>1770.75</v>
      </c>
      <c r="J19" s="21">
        <v>1828.06</v>
      </c>
      <c r="K19" s="21">
        <v>1746.25</v>
      </c>
      <c r="L19" s="21">
        <v>1732.33</v>
      </c>
      <c r="M19" s="21"/>
      <c r="N19" s="21">
        <v>1657.49</v>
      </c>
      <c r="O19" s="21">
        <v>1768.6</v>
      </c>
      <c r="P19" s="21">
        <v>1749.37</v>
      </c>
      <c r="Q19" s="21">
        <v>6445.73</v>
      </c>
      <c r="R19" s="20">
        <v>111.43</v>
      </c>
      <c r="S19" s="20">
        <v>96.63</v>
      </c>
      <c r="T19" s="21">
        <v>112.79</v>
      </c>
      <c r="V19" s="1">
        <v>109.8</v>
      </c>
      <c r="W19" s="1">
        <v>115.56</v>
      </c>
      <c r="X19" s="1">
        <v>117.5</v>
      </c>
      <c r="Y19" s="1">
        <v>114.08</v>
      </c>
      <c r="Z19" s="1">
        <v>114.68</v>
      </c>
      <c r="AA19" s="1">
        <v>112.49</v>
      </c>
      <c r="AB19" s="1">
        <v>116.92</v>
      </c>
      <c r="AE19" s="1">
        <v>122.03</v>
      </c>
      <c r="AF19" s="1">
        <v>114.25</v>
      </c>
      <c r="AG19" s="1">
        <v>101.22</v>
      </c>
      <c r="AH19" s="1">
        <v>30</v>
      </c>
      <c r="AN19" s="1">
        <v>4317.04</v>
      </c>
      <c r="AP19" s="1">
        <v>4302.8599999999997</v>
      </c>
      <c r="AQ19" s="1">
        <v>4355.08</v>
      </c>
      <c r="AR19" s="1">
        <v>4251.24</v>
      </c>
      <c r="AS19" s="1">
        <v>4291.7299999999996</v>
      </c>
      <c r="AT19" s="1">
        <v>4347.4399999999996</v>
      </c>
      <c r="AU19" s="1">
        <v>4301.8500000000004</v>
      </c>
      <c r="AV19" s="1">
        <v>30</v>
      </c>
      <c r="AW19" s="1">
        <v>4278.51</v>
      </c>
      <c r="AX19" s="1">
        <v>107.92</v>
      </c>
      <c r="AY19" s="1">
        <v>4331.5200000000004</v>
      </c>
      <c r="AZ19" s="1">
        <v>4308.68</v>
      </c>
      <c r="BA19" s="1">
        <v>104.51</v>
      </c>
      <c r="BB19" s="1">
        <v>122.6</v>
      </c>
      <c r="BC19" s="1">
        <v>117.63</v>
      </c>
      <c r="BD19" s="1">
        <v>119.23</v>
      </c>
      <c r="BE19" s="1">
        <v>113.46</v>
      </c>
      <c r="BF19" s="1">
        <v>114.45</v>
      </c>
      <c r="BG19" s="1">
        <v>124.35</v>
      </c>
      <c r="BH19" s="1">
        <v>113.67</v>
      </c>
      <c r="BI19" s="1">
        <v>118.29</v>
      </c>
      <c r="BJ19" s="1">
        <v>121.82</v>
      </c>
      <c r="BK19" s="1">
        <v>108.17</v>
      </c>
      <c r="BL19" s="1">
        <v>108.06</v>
      </c>
      <c r="BN19" s="1">
        <v>108.33</v>
      </c>
    </row>
    <row r="20" spans="1:66" x14ac:dyDescent="0.3">
      <c r="A20" s="2" t="s">
        <v>16</v>
      </c>
      <c r="C20" s="14" t="str">
        <f t="shared" si="1"/>
        <v>20263</v>
      </c>
      <c r="D20" s="3">
        <v>46085</v>
      </c>
      <c r="E20" s="21">
        <v>1849.59</v>
      </c>
      <c r="F20" s="21">
        <v>1833.28</v>
      </c>
      <c r="G20" s="21">
        <v>1811.21</v>
      </c>
      <c r="H20" s="21">
        <v>1694.32</v>
      </c>
      <c r="I20" s="21">
        <v>1770.75</v>
      </c>
      <c r="J20" s="21">
        <v>1828.06</v>
      </c>
      <c r="K20" s="21">
        <v>1750.25</v>
      </c>
      <c r="L20" s="21">
        <v>1732.33</v>
      </c>
      <c r="M20" s="21"/>
      <c r="N20" s="21">
        <v>1660.15</v>
      </c>
      <c r="O20" s="21">
        <v>1791.45</v>
      </c>
      <c r="P20" s="21">
        <v>1761.87</v>
      </c>
      <c r="Q20" s="21">
        <v>6434.75</v>
      </c>
      <c r="R20" s="20">
        <v>111.93</v>
      </c>
      <c r="S20" s="20">
        <v>96.87</v>
      </c>
      <c r="T20" s="21">
        <v>114.73</v>
      </c>
      <c r="V20" s="1">
        <v>109.85</v>
      </c>
      <c r="W20" s="1">
        <v>115.89</v>
      </c>
      <c r="X20" s="1">
        <v>117.17</v>
      </c>
      <c r="Y20" s="1">
        <v>115.01</v>
      </c>
      <c r="Z20" s="1">
        <v>115.08</v>
      </c>
      <c r="AA20" s="1">
        <v>113.66</v>
      </c>
      <c r="AB20" s="1">
        <v>116.82</v>
      </c>
      <c r="AC20" s="1">
        <v>110.85</v>
      </c>
      <c r="AE20" s="1">
        <v>122.24</v>
      </c>
      <c r="AF20" s="1">
        <v>114.12</v>
      </c>
      <c r="AG20" s="1">
        <v>101.34</v>
      </c>
      <c r="AH20" s="1">
        <v>30</v>
      </c>
      <c r="AN20" s="1">
        <v>4320.58</v>
      </c>
      <c r="AP20" s="1">
        <v>4300.8</v>
      </c>
      <c r="AQ20" s="1">
        <v>4361.22</v>
      </c>
      <c r="AS20" s="1">
        <v>4291.7299999999996</v>
      </c>
      <c r="AT20" s="1">
        <v>4360.96</v>
      </c>
      <c r="AU20" s="1">
        <v>4301.8500000000004</v>
      </c>
      <c r="AW20" s="1">
        <v>4365.1099999999997</v>
      </c>
      <c r="AX20" s="1">
        <v>108.47</v>
      </c>
      <c r="AY20" s="1">
        <v>4331.5200000000004</v>
      </c>
      <c r="AZ20" s="1">
        <v>4308.68</v>
      </c>
      <c r="BA20" s="1">
        <v>102.7</v>
      </c>
      <c r="BB20" s="1">
        <v>122.07</v>
      </c>
      <c r="BC20" s="1">
        <v>117.42</v>
      </c>
      <c r="BD20" s="1">
        <v>118.71</v>
      </c>
      <c r="BE20" s="1">
        <v>115.3</v>
      </c>
      <c r="BF20" s="1">
        <v>114.09</v>
      </c>
      <c r="BG20" s="1">
        <v>124.35</v>
      </c>
      <c r="BH20" s="1">
        <v>108.72</v>
      </c>
      <c r="BI20" s="1">
        <v>118.29</v>
      </c>
      <c r="BJ20" s="1">
        <v>121.4</v>
      </c>
      <c r="BK20" s="1">
        <v>107.17</v>
      </c>
      <c r="BL20" s="1">
        <v>107.07</v>
      </c>
      <c r="BN20" s="1">
        <v>107.33</v>
      </c>
    </row>
    <row r="21" spans="1:66" x14ac:dyDescent="0.3">
      <c r="A21" s="2" t="s">
        <v>17</v>
      </c>
      <c r="C21" s="14" t="str">
        <f t="shared" si="1"/>
        <v>20263</v>
      </c>
      <c r="D21" s="3">
        <v>46084</v>
      </c>
      <c r="E21" s="21">
        <v>1851.24</v>
      </c>
      <c r="F21" s="21">
        <v>1833.28</v>
      </c>
      <c r="G21" s="21">
        <v>1811.21</v>
      </c>
      <c r="H21" s="21">
        <v>1723.9</v>
      </c>
      <c r="I21" s="21">
        <v>1770.75</v>
      </c>
      <c r="J21" s="21">
        <v>1834.72</v>
      </c>
      <c r="K21" s="21">
        <v>1722.33</v>
      </c>
      <c r="L21" s="21">
        <v>1739.74</v>
      </c>
      <c r="M21" s="21"/>
      <c r="N21" s="21">
        <v>1654.65</v>
      </c>
      <c r="O21" s="21">
        <v>1768.6</v>
      </c>
      <c r="P21" s="21">
        <v>1759.37</v>
      </c>
      <c r="Q21" s="21">
        <v>6397.77</v>
      </c>
      <c r="R21" s="20">
        <v>112.59</v>
      </c>
      <c r="S21" s="20">
        <v>96.97</v>
      </c>
      <c r="T21" s="21">
        <v>115.33</v>
      </c>
      <c r="V21" s="1">
        <v>110.35</v>
      </c>
      <c r="W21" s="1">
        <v>116.19</v>
      </c>
      <c r="X21" s="1">
        <v>116.72</v>
      </c>
      <c r="Y21" s="1">
        <v>114.26</v>
      </c>
      <c r="Z21" s="1">
        <v>115.88</v>
      </c>
      <c r="AA21" s="1">
        <v>113.89</v>
      </c>
      <c r="AB21" s="1">
        <v>116.32</v>
      </c>
      <c r="AC21" s="1">
        <v>110.56</v>
      </c>
      <c r="AE21" s="1">
        <v>121.6</v>
      </c>
      <c r="AF21" s="1">
        <v>114.49</v>
      </c>
      <c r="AG21" s="1">
        <v>101.08</v>
      </c>
      <c r="AH21" s="1">
        <v>30</v>
      </c>
      <c r="AN21" s="1">
        <v>4324.3100000000004</v>
      </c>
      <c r="AP21" s="1">
        <v>4302</v>
      </c>
      <c r="AQ21" s="1">
        <v>4368.4399999999996</v>
      </c>
      <c r="AR21" s="1">
        <v>4287.51</v>
      </c>
      <c r="AS21" s="1">
        <v>4291.7299999999996</v>
      </c>
      <c r="AT21" s="1">
        <v>4314.53</v>
      </c>
      <c r="AU21" s="1">
        <v>4301.8500000000004</v>
      </c>
      <c r="AX21" s="1">
        <v>107.92</v>
      </c>
      <c r="AY21" s="1">
        <v>4331.5200000000004</v>
      </c>
      <c r="AZ21" s="1">
        <v>4308.68</v>
      </c>
      <c r="BA21" s="1">
        <v>104.54</v>
      </c>
      <c r="BB21" s="1">
        <v>122.17</v>
      </c>
      <c r="BC21" s="1">
        <v>117.11</v>
      </c>
      <c r="BD21" s="1">
        <v>119.53</v>
      </c>
      <c r="BE21" s="1">
        <v>115.7</v>
      </c>
      <c r="BF21" s="1">
        <v>114.56</v>
      </c>
      <c r="BG21" s="1">
        <v>123.55</v>
      </c>
      <c r="BH21" s="1">
        <v>113.17</v>
      </c>
      <c r="BI21" s="1">
        <v>118.29</v>
      </c>
      <c r="BJ21" s="1">
        <v>121.58</v>
      </c>
      <c r="BK21" s="1">
        <v>107.83</v>
      </c>
      <c r="BL21" s="1">
        <v>107.73</v>
      </c>
      <c r="BN21" s="1">
        <v>108</v>
      </c>
    </row>
    <row r="22" spans="1:66" x14ac:dyDescent="0.3">
      <c r="A22" s="2" t="s">
        <v>18</v>
      </c>
      <c r="C22" s="14" t="str">
        <f t="shared" si="1"/>
        <v>20263</v>
      </c>
      <c r="D22" s="3">
        <v>46083</v>
      </c>
      <c r="E22" s="21">
        <v>1849.59</v>
      </c>
      <c r="F22" s="21">
        <v>1833.28</v>
      </c>
      <c r="G22" s="21">
        <v>1811.21</v>
      </c>
      <c r="H22" s="21">
        <v>1723.9</v>
      </c>
      <c r="I22" s="21">
        <v>1758.9</v>
      </c>
      <c r="J22" s="21">
        <v>1823.28</v>
      </c>
      <c r="K22" s="21">
        <v>1722.33</v>
      </c>
      <c r="L22" s="21">
        <v>1716.35</v>
      </c>
      <c r="M22" s="21"/>
      <c r="N22" s="21">
        <v>1648.4</v>
      </c>
      <c r="O22" s="21">
        <v>1808.65</v>
      </c>
      <c r="P22" s="21">
        <v>1759.37</v>
      </c>
      <c r="Q22" s="21">
        <v>6393.92</v>
      </c>
      <c r="R22" s="20">
        <v>110.59</v>
      </c>
      <c r="S22" s="20">
        <v>96.46</v>
      </c>
      <c r="T22" s="21">
        <v>114.91</v>
      </c>
      <c r="V22" s="1">
        <v>109.28</v>
      </c>
      <c r="W22" s="1">
        <v>115.51</v>
      </c>
      <c r="X22" s="1">
        <v>116.22</v>
      </c>
      <c r="Y22" s="1">
        <v>113.84</v>
      </c>
      <c r="Z22" s="1">
        <v>114.68</v>
      </c>
      <c r="AA22" s="1">
        <v>112.74</v>
      </c>
      <c r="AB22" s="1">
        <v>116.12</v>
      </c>
      <c r="AC22" s="1">
        <v>110.17</v>
      </c>
      <c r="AE22" s="1">
        <v>121.18</v>
      </c>
      <c r="AF22" s="1">
        <v>113.44</v>
      </c>
      <c r="AG22" s="1">
        <v>99.07</v>
      </c>
      <c r="AN22" s="1">
        <v>4315.87</v>
      </c>
      <c r="AP22" s="1">
        <v>4302</v>
      </c>
      <c r="AQ22" s="1">
        <v>4381.8100000000004</v>
      </c>
      <c r="AR22" s="1">
        <v>4287.51</v>
      </c>
      <c r="AS22" s="1">
        <v>4283.05</v>
      </c>
      <c r="AT22" s="1">
        <v>4261.3599999999997</v>
      </c>
      <c r="AU22" s="1">
        <v>4288.3500000000004</v>
      </c>
      <c r="AW22" s="1">
        <v>4303.87</v>
      </c>
      <c r="AX22" s="1">
        <v>107.24</v>
      </c>
      <c r="AY22" s="1">
        <v>4302.3500000000004</v>
      </c>
      <c r="BA22" s="1">
        <v>103.97</v>
      </c>
      <c r="BB22" s="1">
        <v>121.49</v>
      </c>
      <c r="BC22" s="1">
        <v>117.05</v>
      </c>
      <c r="BD22" s="1">
        <v>118.48</v>
      </c>
      <c r="BE22" s="1">
        <v>115.46</v>
      </c>
      <c r="BF22" s="1">
        <v>112.35</v>
      </c>
      <c r="BG22" s="1">
        <v>123.55</v>
      </c>
      <c r="BH22" s="1">
        <v>107.29</v>
      </c>
      <c r="BI22" s="1">
        <v>118.29</v>
      </c>
      <c r="BJ22" s="1">
        <v>121.56</v>
      </c>
      <c r="BK22" s="1">
        <v>107.17</v>
      </c>
      <c r="BL22" s="1">
        <v>107.4</v>
      </c>
      <c r="BN22" s="1">
        <v>107.33</v>
      </c>
    </row>
    <row r="23" spans="1:66" x14ac:dyDescent="0.3">
      <c r="A23" s="2" t="s">
        <v>19</v>
      </c>
      <c r="C23" s="14" t="str">
        <f t="shared" si="1"/>
        <v>20262</v>
      </c>
      <c r="D23" s="3">
        <v>46080</v>
      </c>
      <c r="E23" s="21">
        <v>1856.71</v>
      </c>
      <c r="F23" s="21">
        <v>1844.65</v>
      </c>
      <c r="G23" s="21">
        <v>1782.48</v>
      </c>
      <c r="H23" s="21">
        <v>1724.52</v>
      </c>
      <c r="I23" s="21">
        <v>1742.41</v>
      </c>
      <c r="J23" s="21">
        <v>1824.36</v>
      </c>
      <c r="K23" s="21">
        <v>1700.06</v>
      </c>
      <c r="L23" s="21">
        <v>1730.52</v>
      </c>
      <c r="M23" s="21"/>
      <c r="N23" s="21">
        <v>1669.62</v>
      </c>
      <c r="O23" s="21">
        <v>1790.35</v>
      </c>
      <c r="P23" s="21">
        <v>1773.54</v>
      </c>
      <c r="Q23" s="21">
        <v>6397.57</v>
      </c>
      <c r="R23" s="20">
        <v>111.46</v>
      </c>
      <c r="S23" s="20">
        <v>97.72</v>
      </c>
      <c r="T23" s="21">
        <v>113.83</v>
      </c>
      <c r="V23" s="1">
        <v>108.89</v>
      </c>
      <c r="W23" s="1">
        <v>114.54</v>
      </c>
      <c r="X23" s="1">
        <v>116.29</v>
      </c>
      <c r="Y23" s="1">
        <v>113.74</v>
      </c>
      <c r="Z23" s="1">
        <v>113.61</v>
      </c>
      <c r="AA23" s="1">
        <v>112.96</v>
      </c>
      <c r="AB23" s="1">
        <v>115.93</v>
      </c>
      <c r="AC23" s="1">
        <v>110</v>
      </c>
      <c r="AE23" s="1">
        <v>121.1</v>
      </c>
      <c r="AF23" s="1">
        <v>113.51</v>
      </c>
      <c r="AG23" s="1">
        <v>99.93</v>
      </c>
      <c r="AN23" s="1">
        <v>4296.58</v>
      </c>
      <c r="AP23" s="1">
        <v>4320</v>
      </c>
      <c r="AQ23" s="1">
        <v>4376.9799999999996</v>
      </c>
      <c r="AR23" s="1">
        <v>4282.78</v>
      </c>
      <c r="AS23" s="1">
        <v>4278.33</v>
      </c>
      <c r="AT23" s="1">
        <v>4256.66</v>
      </c>
      <c r="AU23" s="1">
        <v>4276.8900000000003</v>
      </c>
      <c r="AW23" s="1">
        <v>4299.13</v>
      </c>
      <c r="AX23" s="1">
        <v>104.89</v>
      </c>
      <c r="AY23" s="1">
        <v>4297.6099999999997</v>
      </c>
      <c r="AZ23" s="1">
        <v>4265.26</v>
      </c>
      <c r="BA23" s="1">
        <v>103.27</v>
      </c>
      <c r="BB23" s="1">
        <v>122.39</v>
      </c>
      <c r="BC23" s="1">
        <v>116.82</v>
      </c>
      <c r="BD23" s="1">
        <v>117.84</v>
      </c>
      <c r="BE23" s="1">
        <v>115.56</v>
      </c>
      <c r="BF23" s="1">
        <v>113.35</v>
      </c>
      <c r="BG23" s="1">
        <v>123.21</v>
      </c>
      <c r="BH23" s="1">
        <v>112.75</v>
      </c>
      <c r="BI23" s="1">
        <v>117.76</v>
      </c>
      <c r="BJ23" s="1">
        <v>121.43</v>
      </c>
      <c r="BK23" s="1">
        <v>107.18</v>
      </c>
      <c r="BL23" s="1">
        <v>107.41</v>
      </c>
      <c r="BN23" s="1">
        <v>107.34</v>
      </c>
    </row>
    <row r="24" spans="1:66" x14ac:dyDescent="0.3">
      <c r="A24" s="2" t="s">
        <v>20</v>
      </c>
      <c r="C24" s="14" t="str">
        <f t="shared" si="1"/>
        <v>20262</v>
      </c>
      <c r="D24" s="3">
        <v>46079</v>
      </c>
      <c r="E24" s="21">
        <v>1864.66</v>
      </c>
      <c r="F24" s="21">
        <v>1844.65</v>
      </c>
      <c r="G24" s="21">
        <v>1782.48</v>
      </c>
      <c r="H24" s="21">
        <v>1709.01</v>
      </c>
      <c r="I24" s="21">
        <v>1742.41</v>
      </c>
      <c r="J24" s="21">
        <v>1856.86</v>
      </c>
      <c r="K24" s="21">
        <v>1700.06</v>
      </c>
      <c r="L24" s="21">
        <v>1720.65</v>
      </c>
      <c r="M24" s="21"/>
      <c r="N24" s="21">
        <v>1675.78</v>
      </c>
      <c r="O24" s="21">
        <v>1803.31</v>
      </c>
      <c r="P24" s="21">
        <v>1771.05</v>
      </c>
      <c r="Q24" s="21">
        <v>6437.27</v>
      </c>
      <c r="R24" s="20">
        <v>111.46</v>
      </c>
      <c r="S24" s="20">
        <v>96.26</v>
      </c>
      <c r="T24" s="21">
        <v>113.86</v>
      </c>
      <c r="V24" s="1">
        <v>108.59</v>
      </c>
      <c r="W24" s="1">
        <v>115.34</v>
      </c>
      <c r="X24" s="1">
        <v>116.59</v>
      </c>
      <c r="Y24" s="1">
        <v>112.68</v>
      </c>
      <c r="Z24" s="1">
        <v>113.61</v>
      </c>
      <c r="AA24" s="1">
        <v>112.81</v>
      </c>
      <c r="AB24" s="1">
        <v>115.93</v>
      </c>
      <c r="AC24" s="1">
        <v>110</v>
      </c>
      <c r="AE24" s="1">
        <v>121.31</v>
      </c>
      <c r="AF24" s="1">
        <v>113.54</v>
      </c>
      <c r="AG24" s="1">
        <v>99.69</v>
      </c>
      <c r="AN24" s="1">
        <v>4296.58</v>
      </c>
      <c r="AP24" s="1">
        <v>4320</v>
      </c>
      <c r="AQ24" s="1">
        <v>4376.9799999999996</v>
      </c>
      <c r="AR24" s="1">
        <v>4282.78</v>
      </c>
      <c r="AS24" s="1">
        <v>4298.2299999999996</v>
      </c>
      <c r="AT24" s="1">
        <v>4256.66</v>
      </c>
      <c r="AU24" s="1">
        <v>4291.42</v>
      </c>
      <c r="AW24" s="1">
        <v>4299.13</v>
      </c>
      <c r="AX24" s="1">
        <v>110.89</v>
      </c>
      <c r="AY24" s="1">
        <v>4326.8100000000004</v>
      </c>
      <c r="AZ24" s="1">
        <v>4265.26</v>
      </c>
      <c r="BA24" s="1">
        <v>96.21</v>
      </c>
      <c r="BB24" s="1">
        <v>122.52</v>
      </c>
      <c r="BC24" s="1">
        <v>116.03</v>
      </c>
      <c r="BD24" s="1">
        <v>117.53</v>
      </c>
      <c r="BE24" s="1">
        <v>115.03</v>
      </c>
      <c r="BF24" s="1">
        <v>113.35</v>
      </c>
      <c r="BG24" s="1">
        <v>123.21</v>
      </c>
      <c r="BH24" s="1">
        <v>112.75</v>
      </c>
      <c r="BI24" s="1">
        <v>117.88</v>
      </c>
      <c r="BJ24" s="1">
        <v>121.4</v>
      </c>
      <c r="BK24" s="1">
        <v>105.51</v>
      </c>
      <c r="BL24" s="1">
        <v>106.08</v>
      </c>
      <c r="BN24" s="1">
        <v>105.68</v>
      </c>
    </row>
    <row r="25" spans="1:66" x14ac:dyDescent="0.3">
      <c r="A25" s="2" t="s">
        <v>21</v>
      </c>
      <c r="C25" s="14" t="str">
        <f t="shared" si="1"/>
        <v>20262</v>
      </c>
      <c r="D25" s="3">
        <v>46078</v>
      </c>
      <c r="E25" s="21">
        <v>1848.77</v>
      </c>
      <c r="F25" s="21">
        <v>1844.65</v>
      </c>
      <c r="G25" s="21">
        <v>1794.98</v>
      </c>
      <c r="H25" s="21">
        <v>1678.47</v>
      </c>
      <c r="I25" s="21">
        <v>1752.41</v>
      </c>
      <c r="J25" s="21">
        <v>1856.86</v>
      </c>
      <c r="K25" s="21">
        <v>1725.06</v>
      </c>
      <c r="L25" s="21">
        <v>1730.6</v>
      </c>
      <c r="M25" s="21"/>
      <c r="N25" s="21">
        <v>1689.18</v>
      </c>
      <c r="O25" s="21">
        <v>1812.48</v>
      </c>
      <c r="P25" s="21">
        <v>1786.04</v>
      </c>
      <c r="Q25" s="21">
        <v>6431.09</v>
      </c>
      <c r="R25" s="20">
        <v>109.77</v>
      </c>
      <c r="S25" s="20">
        <v>96.15</v>
      </c>
      <c r="T25" s="21">
        <v>113.86</v>
      </c>
      <c r="V25" s="1">
        <v>108.73</v>
      </c>
      <c r="W25" s="1">
        <v>115.14</v>
      </c>
      <c r="X25" s="1">
        <v>116.79</v>
      </c>
      <c r="Y25" s="1">
        <v>111.85</v>
      </c>
      <c r="Z25" s="1">
        <v>112.72</v>
      </c>
      <c r="AA25" s="1">
        <v>112.27</v>
      </c>
      <c r="AB25" s="1">
        <v>115.83</v>
      </c>
      <c r="AE25" s="1">
        <v>121.6</v>
      </c>
      <c r="AF25" s="1">
        <v>112.49</v>
      </c>
      <c r="AG25" s="1">
        <v>98.93</v>
      </c>
      <c r="AN25" s="1">
        <v>4286.3599999999997</v>
      </c>
      <c r="AP25" s="1">
        <v>4332</v>
      </c>
      <c r="AR25" s="1">
        <v>4266.78</v>
      </c>
      <c r="AS25" s="1">
        <v>4315.08</v>
      </c>
      <c r="AT25" s="1">
        <v>4226.33</v>
      </c>
      <c r="AU25" s="1">
        <v>4300.4799999999996</v>
      </c>
      <c r="AW25" s="1">
        <v>4299.13</v>
      </c>
      <c r="AX25" s="1">
        <v>109.63</v>
      </c>
      <c r="AY25" s="1">
        <v>4299.21</v>
      </c>
      <c r="AZ25" s="1">
        <v>4266.17</v>
      </c>
      <c r="BA25" s="1">
        <v>100.65</v>
      </c>
      <c r="BB25" s="1">
        <v>122.17</v>
      </c>
      <c r="BC25" s="1">
        <v>115.69</v>
      </c>
      <c r="BD25" s="1">
        <v>117.26</v>
      </c>
      <c r="BE25" s="1">
        <v>113.6</v>
      </c>
      <c r="BF25" s="1">
        <v>112.16</v>
      </c>
      <c r="BG25" s="1">
        <v>123.21</v>
      </c>
      <c r="BH25" s="1">
        <v>111.8</v>
      </c>
      <c r="BI25" s="1">
        <v>117.7</v>
      </c>
      <c r="BJ25" s="1">
        <v>121.4</v>
      </c>
      <c r="BK25" s="1">
        <v>105.18</v>
      </c>
      <c r="BL25" s="1">
        <v>105.4</v>
      </c>
      <c r="BN25" s="1">
        <v>105.34</v>
      </c>
    </row>
    <row r="26" spans="1:66" x14ac:dyDescent="0.3">
      <c r="A26" s="2" t="s">
        <v>22</v>
      </c>
      <c r="C26" s="14" t="str">
        <f t="shared" si="1"/>
        <v>20262</v>
      </c>
      <c r="D26" s="3">
        <v>46077</v>
      </c>
      <c r="E26" s="21">
        <v>1870.43</v>
      </c>
      <c r="F26" s="21">
        <v>1858.65</v>
      </c>
      <c r="G26" s="21">
        <v>1835.71</v>
      </c>
      <c r="H26" s="21">
        <v>1678.47</v>
      </c>
      <c r="I26" s="21">
        <v>1756.37</v>
      </c>
      <c r="J26" s="21">
        <v>1885.71</v>
      </c>
      <c r="K26" s="21">
        <v>1725.06</v>
      </c>
      <c r="L26" s="21">
        <v>1760.45</v>
      </c>
      <c r="M26" s="21"/>
      <c r="N26" s="21">
        <v>1696.34</v>
      </c>
      <c r="O26" s="21">
        <v>1822.38</v>
      </c>
      <c r="P26" s="21">
        <v>1786.04</v>
      </c>
      <c r="Q26" s="21">
        <v>6389.26</v>
      </c>
      <c r="R26" s="20">
        <v>109.77</v>
      </c>
      <c r="S26" s="20">
        <v>96.28</v>
      </c>
      <c r="T26" s="21">
        <v>113.73</v>
      </c>
      <c r="V26" s="1">
        <v>109.07</v>
      </c>
      <c r="W26" s="1">
        <v>115.72</v>
      </c>
      <c r="X26" s="1">
        <v>116.79</v>
      </c>
      <c r="Y26" s="1">
        <v>111.39</v>
      </c>
      <c r="Z26" s="1">
        <v>112.72</v>
      </c>
      <c r="AA26" s="1">
        <v>111.86</v>
      </c>
      <c r="AB26" s="1">
        <v>115.93</v>
      </c>
      <c r="AE26" s="1">
        <v>121.6</v>
      </c>
      <c r="AF26" s="1">
        <v>112.7</v>
      </c>
      <c r="AG26" s="1">
        <v>98.93</v>
      </c>
      <c r="AP26" s="1">
        <v>4332</v>
      </c>
      <c r="AR26" s="1">
        <v>4262.9799999999996</v>
      </c>
      <c r="AS26" s="1">
        <v>4319.17</v>
      </c>
      <c r="AU26" s="1">
        <v>4299.8</v>
      </c>
      <c r="AW26" s="1">
        <v>4276.8900000000003</v>
      </c>
      <c r="AX26" s="1">
        <v>107.52</v>
      </c>
      <c r="AY26" s="1">
        <v>4312.09</v>
      </c>
      <c r="AZ26" s="1">
        <v>4266.17</v>
      </c>
      <c r="BA26" s="1">
        <v>103.13</v>
      </c>
      <c r="BB26" s="1">
        <v>121.62</v>
      </c>
      <c r="BC26" s="1">
        <v>115.7</v>
      </c>
      <c r="BD26" s="1">
        <v>118.23</v>
      </c>
      <c r="BE26" s="1">
        <v>113.34</v>
      </c>
      <c r="BF26" s="1">
        <v>112.34</v>
      </c>
      <c r="BG26" s="1">
        <v>123.21</v>
      </c>
      <c r="BH26" s="1">
        <v>112.6</v>
      </c>
      <c r="BI26" s="1">
        <v>117.7</v>
      </c>
      <c r="BJ26" s="1">
        <v>121.38</v>
      </c>
      <c r="BK26" s="1">
        <v>105.39</v>
      </c>
      <c r="BN26" s="1">
        <v>105.45</v>
      </c>
    </row>
    <row r="27" spans="1:66" x14ac:dyDescent="0.3">
      <c r="A27" s="2" t="s">
        <v>23</v>
      </c>
      <c r="C27" s="14" t="str">
        <f t="shared" si="1"/>
        <v>20262</v>
      </c>
      <c r="D27" s="3">
        <v>46076</v>
      </c>
      <c r="E27" s="21">
        <v>1860.49</v>
      </c>
      <c r="F27" s="21">
        <v>1858.65</v>
      </c>
      <c r="G27" s="21">
        <v>1864.63</v>
      </c>
      <c r="H27" s="21">
        <v>1696.79</v>
      </c>
      <c r="I27" s="21">
        <v>1772.37</v>
      </c>
      <c r="J27" s="21">
        <v>1878.33</v>
      </c>
      <c r="K27" s="21">
        <v>1790.06</v>
      </c>
      <c r="L27" s="21">
        <v>1760.45</v>
      </c>
      <c r="M27" s="21"/>
      <c r="N27" s="21">
        <v>1705.27</v>
      </c>
      <c r="O27" s="21"/>
      <c r="P27" s="21">
        <v>1793.54</v>
      </c>
      <c r="Q27" s="21">
        <v>6389.26</v>
      </c>
      <c r="R27" s="20">
        <v>110.14</v>
      </c>
      <c r="S27" s="20">
        <v>98.84</v>
      </c>
      <c r="T27" s="21">
        <v>113.86</v>
      </c>
      <c r="V27" s="1">
        <v>109</v>
      </c>
      <c r="W27" s="1">
        <v>116.11</v>
      </c>
      <c r="X27" s="1">
        <v>116.99</v>
      </c>
      <c r="Y27" s="1">
        <v>110.39</v>
      </c>
      <c r="Z27" s="1">
        <v>112.32</v>
      </c>
      <c r="AA27" s="1">
        <v>111.25</v>
      </c>
      <c r="AB27" s="1">
        <v>116.03</v>
      </c>
      <c r="AE27" s="1">
        <v>121.6</v>
      </c>
      <c r="AF27" s="1">
        <v>112.43</v>
      </c>
      <c r="AG27" s="1">
        <v>100.72</v>
      </c>
      <c r="AP27" s="1">
        <v>4320</v>
      </c>
      <c r="AR27" s="1">
        <v>4262.9799999999996</v>
      </c>
      <c r="AS27" s="1">
        <v>4337.55</v>
      </c>
      <c r="AU27" s="1">
        <v>4315.08</v>
      </c>
      <c r="AX27" s="1">
        <v>107.16</v>
      </c>
      <c r="AY27" s="1">
        <v>4333.0600000000004</v>
      </c>
      <c r="AZ27" s="1">
        <v>4266.78</v>
      </c>
      <c r="BA27" s="1">
        <v>104.56</v>
      </c>
      <c r="BB27" s="1">
        <v>121.83</v>
      </c>
      <c r="BC27" s="1">
        <v>115.73</v>
      </c>
      <c r="BD27" s="1">
        <v>117.67</v>
      </c>
      <c r="BE27" s="1">
        <v>113.37</v>
      </c>
      <c r="BF27" s="1">
        <v>112.16</v>
      </c>
      <c r="BG27" s="1">
        <v>123.21</v>
      </c>
      <c r="BH27" s="1">
        <v>112.6</v>
      </c>
      <c r="BI27" s="1">
        <v>117.32</v>
      </c>
      <c r="BJ27" s="1">
        <v>121.51</v>
      </c>
      <c r="BK27" s="1">
        <v>105.18</v>
      </c>
      <c r="BL27" s="1">
        <v>105.06</v>
      </c>
      <c r="BN27" s="1">
        <v>105.34</v>
      </c>
    </row>
    <row r="28" spans="1:66" x14ac:dyDescent="0.3">
      <c r="A28" s="2" t="s">
        <v>24</v>
      </c>
      <c r="C28" s="14" t="str">
        <f t="shared" si="1"/>
        <v>20262</v>
      </c>
      <c r="D28" s="3">
        <v>46073</v>
      </c>
      <c r="E28" s="21">
        <v>1877.05</v>
      </c>
      <c r="F28" s="21">
        <v>1858.65</v>
      </c>
      <c r="G28" s="21">
        <v>1864.63</v>
      </c>
      <c r="H28" s="21">
        <v>1722.38</v>
      </c>
      <c r="I28" s="21">
        <v>1772.37</v>
      </c>
      <c r="J28" s="21">
        <v>1878.33</v>
      </c>
      <c r="K28" s="21">
        <v>1790.06</v>
      </c>
      <c r="L28" s="21">
        <v>1708.88</v>
      </c>
      <c r="M28" s="21">
        <v>1585.38</v>
      </c>
      <c r="N28" s="21">
        <v>1730.44</v>
      </c>
      <c r="O28" s="21">
        <v>1786.33</v>
      </c>
      <c r="P28" s="21">
        <v>1793.54</v>
      </c>
      <c r="Q28" s="21">
        <v>6432.12</v>
      </c>
      <c r="R28" s="20">
        <v>111.41</v>
      </c>
      <c r="S28" s="20">
        <v>98.85</v>
      </c>
      <c r="T28" s="21">
        <v>113.7</v>
      </c>
      <c r="V28" s="1">
        <v>109.81</v>
      </c>
      <c r="W28" s="1">
        <v>115.85</v>
      </c>
      <c r="X28" s="1">
        <v>117.39</v>
      </c>
      <c r="Y28" s="1">
        <v>112.03</v>
      </c>
      <c r="Z28" s="1">
        <v>112.52</v>
      </c>
      <c r="AA28" s="1">
        <v>112.25</v>
      </c>
      <c r="AB28" s="1">
        <v>116.53</v>
      </c>
      <c r="AC28" s="1">
        <v>109.21</v>
      </c>
      <c r="AE28" s="1">
        <v>121.88</v>
      </c>
      <c r="AF28" s="1">
        <v>114.63</v>
      </c>
      <c r="AG28" s="1">
        <v>99.96</v>
      </c>
      <c r="AH28" s="1">
        <v>30</v>
      </c>
      <c r="AI28" s="1">
        <v>30</v>
      </c>
      <c r="AL28" s="1">
        <v>30</v>
      </c>
      <c r="AN28" s="1">
        <v>4003.89</v>
      </c>
      <c r="AO28" s="1">
        <v>7</v>
      </c>
      <c r="AP28" s="1">
        <v>4320</v>
      </c>
      <c r="AQ28" s="1">
        <v>4428.55</v>
      </c>
      <c r="AR28" s="1">
        <v>4244.03</v>
      </c>
      <c r="AS28" s="1">
        <v>4374.71</v>
      </c>
      <c r="AT28" s="1">
        <v>4305.1899999999996</v>
      </c>
      <c r="AU28" s="1">
        <v>4315.08</v>
      </c>
      <c r="AV28" s="1">
        <v>30</v>
      </c>
      <c r="AW28" s="1">
        <v>4297.1099999999997</v>
      </c>
      <c r="AX28" s="1">
        <v>107.24</v>
      </c>
      <c r="AY28" s="1">
        <v>4300.1400000000003</v>
      </c>
      <c r="AZ28" s="1">
        <v>4266.78</v>
      </c>
      <c r="BA28" s="1">
        <v>103.96</v>
      </c>
      <c r="BB28" s="1">
        <v>122.74</v>
      </c>
      <c r="BC28" s="1">
        <v>116.44</v>
      </c>
      <c r="BD28" s="1">
        <v>118.98</v>
      </c>
      <c r="BE28" s="1">
        <v>114.52</v>
      </c>
      <c r="BF28" s="1">
        <v>114.43</v>
      </c>
      <c r="BG28" s="1">
        <v>123.41</v>
      </c>
      <c r="BH28" s="1">
        <v>113.67</v>
      </c>
      <c r="BI28" s="1">
        <v>117.32</v>
      </c>
      <c r="BJ28" s="1">
        <v>120.9</v>
      </c>
      <c r="BK28" s="1">
        <v>105.18</v>
      </c>
      <c r="BL28" s="1">
        <v>105.73</v>
      </c>
      <c r="BN28" s="1">
        <v>105.34</v>
      </c>
    </row>
    <row r="29" spans="1:66" x14ac:dyDescent="0.3">
      <c r="A29" s="2" t="s">
        <v>25</v>
      </c>
      <c r="C29" s="14" t="str">
        <f t="shared" si="1"/>
        <v>20262</v>
      </c>
      <c r="D29" s="3">
        <v>46072</v>
      </c>
      <c r="E29" s="21">
        <v>1883.6</v>
      </c>
      <c r="F29" s="21">
        <v>1872.21</v>
      </c>
      <c r="G29" s="21">
        <v>1841.6</v>
      </c>
      <c r="H29" s="21"/>
      <c r="I29" s="21">
        <v>1811.93</v>
      </c>
      <c r="J29" s="21">
        <v>1881.66</v>
      </c>
      <c r="K29" s="21">
        <v>1790.06</v>
      </c>
      <c r="L29" s="21"/>
      <c r="M29" s="21"/>
      <c r="N29" s="21">
        <v>1730.44</v>
      </c>
      <c r="O29" s="21"/>
      <c r="P29" s="21">
        <v>1782.3</v>
      </c>
      <c r="Q29" s="21">
        <v>6420.58</v>
      </c>
      <c r="R29" s="20">
        <v>111.41</v>
      </c>
      <c r="S29" s="20">
        <v>98.54</v>
      </c>
      <c r="T29" s="21">
        <v>114.55</v>
      </c>
      <c r="V29" s="1">
        <v>109.47</v>
      </c>
      <c r="W29" s="1">
        <v>116.44</v>
      </c>
      <c r="X29" s="1">
        <v>117.39</v>
      </c>
      <c r="Y29" s="1">
        <v>112.85</v>
      </c>
      <c r="Z29" s="1">
        <v>113.91</v>
      </c>
      <c r="AA29" s="1">
        <v>112.4</v>
      </c>
      <c r="AB29" s="1">
        <v>116.43</v>
      </c>
      <c r="AE29" s="1">
        <v>122.85</v>
      </c>
      <c r="AF29" s="1">
        <v>114.48</v>
      </c>
      <c r="AG29" s="1">
        <v>100.26</v>
      </c>
      <c r="AN29" s="1">
        <v>4003.89</v>
      </c>
      <c r="AP29" s="1">
        <v>4320</v>
      </c>
      <c r="AQ29" s="1">
        <v>4428.55</v>
      </c>
      <c r="AR29" s="1">
        <v>4244.03</v>
      </c>
      <c r="AS29" s="1">
        <v>4374.71</v>
      </c>
      <c r="AU29" s="1">
        <v>4309.3900000000003</v>
      </c>
      <c r="AW29" s="1">
        <v>4297.1099999999997</v>
      </c>
      <c r="AX29" s="1">
        <v>108.91</v>
      </c>
      <c r="AY29" s="1">
        <v>4300.1400000000003</v>
      </c>
      <c r="AZ29" s="1">
        <v>4266.78</v>
      </c>
      <c r="BA29" s="1">
        <v>104.52</v>
      </c>
      <c r="BB29" s="1">
        <v>122.42</v>
      </c>
      <c r="BC29" s="1">
        <v>116</v>
      </c>
      <c r="BD29" s="1">
        <v>118.7</v>
      </c>
      <c r="BE29" s="1">
        <v>114.35</v>
      </c>
      <c r="BF29" s="1">
        <v>114.73</v>
      </c>
      <c r="BG29" s="1">
        <v>124.61</v>
      </c>
      <c r="BH29" s="1">
        <v>113.33</v>
      </c>
      <c r="BI29" s="1">
        <v>117.2</v>
      </c>
      <c r="BJ29" s="1">
        <v>120.88</v>
      </c>
      <c r="BK29" s="1">
        <v>106.84</v>
      </c>
      <c r="BL29" s="1">
        <v>107.06</v>
      </c>
      <c r="BN29" s="1">
        <v>107.01</v>
      </c>
    </row>
    <row r="30" spans="1:66" x14ac:dyDescent="0.3">
      <c r="A30" s="2" t="s">
        <v>26</v>
      </c>
      <c r="C30" s="14" t="str">
        <f t="shared" si="1"/>
        <v>20262</v>
      </c>
      <c r="D30" s="3">
        <v>46071</v>
      </c>
      <c r="E30" s="21">
        <v>1886.91</v>
      </c>
      <c r="F30" s="21">
        <v>1872.21</v>
      </c>
      <c r="G30" s="21">
        <v>1861.38</v>
      </c>
      <c r="H30" s="21"/>
      <c r="I30" s="21">
        <v>1837.64</v>
      </c>
      <c r="J30" s="21">
        <v>1831.25</v>
      </c>
      <c r="K30" s="21">
        <v>1740.06</v>
      </c>
      <c r="L30" s="21"/>
      <c r="M30" s="21"/>
      <c r="N30" s="21">
        <v>1712.31</v>
      </c>
      <c r="O30" s="21"/>
      <c r="P30" s="21">
        <v>1757.3</v>
      </c>
      <c r="Q30" s="21">
        <v>6433.86</v>
      </c>
      <c r="R30" s="20">
        <v>111.77</v>
      </c>
      <c r="S30" s="20">
        <v>98.53</v>
      </c>
      <c r="T30" s="21">
        <v>114.55</v>
      </c>
      <c r="V30" s="1">
        <v>109.4</v>
      </c>
      <c r="W30" s="1">
        <v>116.42</v>
      </c>
      <c r="X30" s="1">
        <v>117.39</v>
      </c>
      <c r="Y30" s="1">
        <v>112.38</v>
      </c>
      <c r="Z30" s="1">
        <v>113.91</v>
      </c>
      <c r="AA30" s="1">
        <v>112.55</v>
      </c>
      <c r="AB30" s="1">
        <v>116.33</v>
      </c>
      <c r="AE30" s="1">
        <v>122.98</v>
      </c>
      <c r="AF30" s="1">
        <v>114.89</v>
      </c>
      <c r="AG30" s="1">
        <v>100.32</v>
      </c>
      <c r="AO30" s="1">
        <v>7</v>
      </c>
      <c r="AP30" s="1">
        <v>4250</v>
      </c>
      <c r="AR30" s="1">
        <v>4203.1099999999997</v>
      </c>
      <c r="AS30" s="1">
        <v>4387.09</v>
      </c>
      <c r="AT30" s="1">
        <v>4305.1899999999996</v>
      </c>
      <c r="AU30" s="1">
        <v>4297.1099999999997</v>
      </c>
      <c r="AW30" s="1">
        <v>4297.1099999999997</v>
      </c>
      <c r="AX30" s="1">
        <v>111.53</v>
      </c>
      <c r="AY30" s="1">
        <v>4254.3100000000004</v>
      </c>
      <c r="BA30" s="1">
        <v>104.95</v>
      </c>
      <c r="BB30" s="1">
        <v>122.07</v>
      </c>
      <c r="BC30" s="1">
        <v>116.95</v>
      </c>
      <c r="BD30" s="1">
        <v>118.8</v>
      </c>
      <c r="BE30" s="1">
        <v>113.57</v>
      </c>
      <c r="BF30" s="1">
        <v>114.68</v>
      </c>
      <c r="BG30" s="1">
        <v>124.81</v>
      </c>
      <c r="BH30" s="1">
        <v>112.2</v>
      </c>
      <c r="BI30" s="1">
        <v>117.2</v>
      </c>
      <c r="BJ30" s="1">
        <v>120.86</v>
      </c>
      <c r="BK30" s="1">
        <v>106.84</v>
      </c>
      <c r="BL30" s="1">
        <v>107.06</v>
      </c>
      <c r="BN30" s="1">
        <v>107.01</v>
      </c>
    </row>
    <row r="31" spans="1:66" x14ac:dyDescent="0.3">
      <c r="A31" s="2" t="s">
        <v>27</v>
      </c>
      <c r="C31" s="14" t="str">
        <f t="shared" si="1"/>
        <v>20262</v>
      </c>
      <c r="D31" s="3">
        <v>46066</v>
      </c>
      <c r="E31" s="21">
        <v>1873.67</v>
      </c>
      <c r="F31" s="21">
        <v>1881.4</v>
      </c>
      <c r="G31" s="21">
        <v>1881.36</v>
      </c>
      <c r="H31" s="21"/>
      <c r="I31" s="21">
        <v>1837.64</v>
      </c>
      <c r="J31" s="21">
        <v>1831.25</v>
      </c>
      <c r="K31" s="21">
        <v>1727.62</v>
      </c>
      <c r="L31" s="21"/>
      <c r="M31" s="21"/>
      <c r="N31" s="21">
        <v>1724.23</v>
      </c>
      <c r="O31" s="21"/>
      <c r="P31" s="21">
        <v>1751.08</v>
      </c>
      <c r="Q31" s="21">
        <v>6382.52</v>
      </c>
      <c r="R31" s="20">
        <v>111.77</v>
      </c>
      <c r="S31" s="20">
        <v>97.99</v>
      </c>
      <c r="T31" s="21">
        <v>114.1</v>
      </c>
      <c r="V31" s="1">
        <v>109.2</v>
      </c>
      <c r="W31" s="1">
        <v>115.93</v>
      </c>
      <c r="X31" s="1">
        <v>117.49</v>
      </c>
      <c r="Y31" s="1">
        <v>112.79</v>
      </c>
      <c r="Z31" s="1">
        <v>113.21</v>
      </c>
      <c r="AA31" s="1">
        <v>113.01</v>
      </c>
      <c r="AB31" s="1">
        <v>116.43</v>
      </c>
      <c r="AE31" s="1">
        <v>122.92</v>
      </c>
      <c r="AF31" s="1">
        <v>115.03</v>
      </c>
      <c r="AG31" s="1">
        <v>100.01</v>
      </c>
      <c r="AN31" s="1">
        <v>4292.8599999999997</v>
      </c>
      <c r="AO31" s="1">
        <v>7</v>
      </c>
      <c r="AP31" s="1">
        <v>4241.2299999999996</v>
      </c>
      <c r="AQ31" s="1">
        <v>4295.09</v>
      </c>
      <c r="AR31" s="1">
        <v>4217.95</v>
      </c>
      <c r="AS31" s="1">
        <v>4281.9399999999996</v>
      </c>
      <c r="AT31" s="1">
        <v>4305.1899999999996</v>
      </c>
      <c r="AU31" s="1">
        <v>4303.68</v>
      </c>
      <c r="AV31" s="1">
        <v>30</v>
      </c>
      <c r="AW31" s="1">
        <v>4241.68</v>
      </c>
      <c r="AX31" s="1">
        <v>112.56</v>
      </c>
      <c r="AY31" s="1">
        <v>4206.1099999999997</v>
      </c>
      <c r="AZ31" s="1">
        <v>4206.1099999999997</v>
      </c>
      <c r="BA31" s="1">
        <v>101.32</v>
      </c>
      <c r="BB31" s="1">
        <v>122.34</v>
      </c>
      <c r="BC31" s="1">
        <v>116.39</v>
      </c>
      <c r="BD31" s="1">
        <v>118.45</v>
      </c>
      <c r="BE31" s="1">
        <v>114.22</v>
      </c>
      <c r="BF31" s="1">
        <v>113.81</v>
      </c>
      <c r="BG31" s="1">
        <v>124.01</v>
      </c>
      <c r="BH31" s="1">
        <v>112.8</v>
      </c>
      <c r="BI31" s="1">
        <v>117.2</v>
      </c>
      <c r="BJ31" s="1">
        <v>121.72</v>
      </c>
      <c r="BK31" s="1">
        <v>107.18</v>
      </c>
      <c r="BL31" s="1">
        <v>107.39</v>
      </c>
      <c r="BN31" s="1">
        <v>107.34</v>
      </c>
    </row>
    <row r="32" spans="1:66" x14ac:dyDescent="0.3">
      <c r="A32" s="2" t="s">
        <v>28</v>
      </c>
      <c r="C32" s="14" t="str">
        <f t="shared" si="1"/>
        <v>20262</v>
      </c>
      <c r="D32" s="3">
        <v>46065</v>
      </c>
      <c r="E32" s="21">
        <v>1890.15</v>
      </c>
      <c r="F32" s="21">
        <v>1931.2</v>
      </c>
      <c r="G32" s="21">
        <v>1891.25</v>
      </c>
      <c r="H32" s="21"/>
      <c r="I32" s="21">
        <v>1837.64</v>
      </c>
      <c r="J32" s="21">
        <v>1841.14</v>
      </c>
      <c r="K32" s="21">
        <v>1727.62</v>
      </c>
      <c r="L32" s="21"/>
      <c r="M32" s="21"/>
      <c r="N32" s="21">
        <v>1738.26</v>
      </c>
      <c r="O32" s="21"/>
      <c r="P32" s="21">
        <v>1758.57</v>
      </c>
      <c r="Q32" s="21">
        <v>6471.4</v>
      </c>
      <c r="R32" s="20">
        <v>110.63</v>
      </c>
      <c r="S32" s="20">
        <v>97.98</v>
      </c>
      <c r="T32" s="21">
        <v>113.29</v>
      </c>
      <c r="V32" s="1">
        <v>108.75</v>
      </c>
      <c r="W32" s="1">
        <v>115.52</v>
      </c>
      <c r="X32" s="1">
        <v>117.09</v>
      </c>
      <c r="Y32" s="1">
        <v>112.68</v>
      </c>
      <c r="Z32" s="1">
        <v>113.02</v>
      </c>
      <c r="AA32" s="1">
        <v>112.79</v>
      </c>
      <c r="AB32" s="1">
        <v>116.13</v>
      </c>
      <c r="AC32" s="1">
        <v>109.21</v>
      </c>
      <c r="AE32" s="1">
        <v>122.17</v>
      </c>
      <c r="AF32" s="1">
        <v>115.01</v>
      </c>
      <c r="AG32" s="1">
        <v>100.01</v>
      </c>
      <c r="AN32" s="1">
        <v>4292.8599999999997</v>
      </c>
      <c r="AO32" s="1">
        <v>7</v>
      </c>
      <c r="AP32" s="1">
        <v>4241.2299999999996</v>
      </c>
      <c r="AQ32" s="1">
        <v>4295.09</v>
      </c>
      <c r="AR32" s="1">
        <v>4217.95</v>
      </c>
      <c r="AS32" s="1">
        <v>4281.9399999999996</v>
      </c>
      <c r="AT32" s="1">
        <v>4281.05</v>
      </c>
      <c r="AU32" s="1">
        <v>4303.68</v>
      </c>
      <c r="AV32" s="1">
        <v>30</v>
      </c>
      <c r="AW32" s="1">
        <v>4255.7</v>
      </c>
      <c r="AX32" s="1">
        <v>111.09</v>
      </c>
      <c r="AY32" s="1">
        <v>4206.1099999999997</v>
      </c>
      <c r="AZ32" s="1">
        <v>4206.1099999999997</v>
      </c>
      <c r="BA32" s="1">
        <v>101.3</v>
      </c>
      <c r="BB32" s="1">
        <v>122.24</v>
      </c>
      <c r="BC32" s="1">
        <v>115.38</v>
      </c>
      <c r="BD32" s="1">
        <v>118.07</v>
      </c>
      <c r="BE32" s="1">
        <v>113.98</v>
      </c>
      <c r="BF32" s="1">
        <v>113.24</v>
      </c>
      <c r="BG32" s="1">
        <v>123.61</v>
      </c>
      <c r="BH32" s="1">
        <v>113.04</v>
      </c>
      <c r="BI32" s="1">
        <v>117.2</v>
      </c>
      <c r="BJ32" s="1">
        <v>121.69</v>
      </c>
      <c r="BK32" s="1">
        <v>107.18</v>
      </c>
      <c r="BL32" s="1">
        <v>107.39</v>
      </c>
      <c r="BN32" s="1">
        <v>107.34</v>
      </c>
    </row>
    <row r="33" spans="1:66" x14ac:dyDescent="0.3">
      <c r="A33" s="2" t="s">
        <v>29</v>
      </c>
      <c r="C33" s="14" t="str">
        <f t="shared" si="1"/>
        <v>20262</v>
      </c>
      <c r="D33" s="3">
        <v>46064</v>
      </c>
      <c r="E33" s="21">
        <v>1890.15</v>
      </c>
      <c r="F33" s="21">
        <v>1931.2</v>
      </c>
      <c r="G33" s="21">
        <v>1926.45</v>
      </c>
      <c r="H33" s="21"/>
      <c r="I33" s="21">
        <v>1831.71</v>
      </c>
      <c r="J33" s="21">
        <v>1841.14</v>
      </c>
      <c r="K33" s="21">
        <v>1727.62</v>
      </c>
      <c r="L33" s="21"/>
      <c r="M33" s="21"/>
      <c r="N33" s="21">
        <v>1716.02</v>
      </c>
      <c r="O33" s="21"/>
      <c r="P33" s="21">
        <v>1758.57</v>
      </c>
      <c r="Q33" s="21">
        <v>6471.4</v>
      </c>
      <c r="R33" s="20">
        <v>109.63</v>
      </c>
      <c r="S33" s="20">
        <v>96.6</v>
      </c>
      <c r="T33" s="21">
        <v>112.46</v>
      </c>
      <c r="V33" s="1">
        <v>108.55</v>
      </c>
      <c r="W33" s="1">
        <v>115.5</v>
      </c>
      <c r="X33" s="1">
        <v>116.59</v>
      </c>
      <c r="Y33" s="1">
        <v>112.38</v>
      </c>
      <c r="Z33" s="1">
        <v>112.62</v>
      </c>
      <c r="AA33" s="1">
        <v>112.39</v>
      </c>
      <c r="AB33" s="1">
        <v>115.63</v>
      </c>
      <c r="AC33" s="1">
        <v>109.03</v>
      </c>
      <c r="AE33" s="1">
        <v>121.8</v>
      </c>
      <c r="AF33" s="1">
        <v>114.04</v>
      </c>
      <c r="AG33" s="1">
        <v>99.17</v>
      </c>
      <c r="AN33" s="1">
        <v>4292.8599999999997</v>
      </c>
      <c r="AP33" s="1">
        <v>4263.28</v>
      </c>
      <c r="AQ33" s="1">
        <v>4295.09</v>
      </c>
      <c r="AR33" s="1">
        <v>4234.42</v>
      </c>
      <c r="AS33" s="1">
        <v>4281.9399999999996</v>
      </c>
      <c r="AT33" s="1">
        <v>4208.6400000000003</v>
      </c>
      <c r="AU33" s="1">
        <v>4313.3599999999997</v>
      </c>
      <c r="AV33" s="1">
        <v>30</v>
      </c>
      <c r="AW33" s="1">
        <v>4255.7</v>
      </c>
      <c r="AX33" s="1">
        <v>111.48</v>
      </c>
      <c r="AY33" s="1">
        <v>4243.5200000000004</v>
      </c>
      <c r="AZ33" s="1">
        <v>4206.1099999999997</v>
      </c>
      <c r="BA33" s="1">
        <v>107.23</v>
      </c>
      <c r="BB33" s="1">
        <v>120.98</v>
      </c>
      <c r="BC33" s="1">
        <v>114.03</v>
      </c>
      <c r="BD33" s="1">
        <v>116.68</v>
      </c>
      <c r="BE33" s="1">
        <v>114.25</v>
      </c>
      <c r="BF33" s="1">
        <v>113.05</v>
      </c>
      <c r="BG33" s="1">
        <v>123.61</v>
      </c>
      <c r="BH33" s="1">
        <v>113.04</v>
      </c>
      <c r="BI33" s="1">
        <v>117.2</v>
      </c>
      <c r="BJ33" s="1">
        <v>121.49</v>
      </c>
      <c r="BK33" s="1">
        <v>105.84</v>
      </c>
      <c r="BL33" s="1">
        <v>106.23</v>
      </c>
      <c r="BN33" s="1">
        <v>106.01</v>
      </c>
    </row>
    <row r="34" spans="1:66" x14ac:dyDescent="0.3">
      <c r="A34" s="2" t="s">
        <v>30</v>
      </c>
      <c r="C34" s="14" t="str">
        <f t="shared" si="1"/>
        <v>20262</v>
      </c>
      <c r="D34" s="3">
        <v>46063</v>
      </c>
      <c r="E34" s="21">
        <v>1903.39</v>
      </c>
      <c r="F34" s="21">
        <v>1931.2</v>
      </c>
      <c r="G34" s="21">
        <v>1938.81</v>
      </c>
      <c r="H34" s="21"/>
      <c r="I34" s="21">
        <v>1831.71</v>
      </c>
      <c r="J34" s="21">
        <v>1834.47</v>
      </c>
      <c r="K34" s="21">
        <v>1727.62</v>
      </c>
      <c r="L34" s="21"/>
      <c r="M34" s="21"/>
      <c r="N34" s="21">
        <v>1681.79</v>
      </c>
      <c r="O34" s="21"/>
      <c r="P34" s="21">
        <v>1758.57</v>
      </c>
      <c r="Q34" s="21">
        <v>6496.4</v>
      </c>
      <c r="R34" s="20">
        <v>110.49</v>
      </c>
      <c r="S34" s="20">
        <v>96.71</v>
      </c>
      <c r="T34" s="21">
        <v>113.28</v>
      </c>
      <c r="V34" s="1">
        <v>108.54</v>
      </c>
      <c r="W34" s="1">
        <v>115.29</v>
      </c>
      <c r="X34" s="1">
        <v>116.39</v>
      </c>
      <c r="Y34" s="1">
        <v>112.33</v>
      </c>
      <c r="Z34" s="1">
        <v>112.82</v>
      </c>
      <c r="AA34" s="1">
        <v>113.78</v>
      </c>
      <c r="AB34" s="1">
        <v>115.53</v>
      </c>
      <c r="AC34" s="1">
        <v>108.72</v>
      </c>
      <c r="AE34" s="1">
        <v>121.55</v>
      </c>
      <c r="AF34" s="1">
        <v>113.8</v>
      </c>
      <c r="AG34" s="1">
        <v>99.24</v>
      </c>
      <c r="AN34" s="1">
        <v>4165.67</v>
      </c>
      <c r="AP34" s="1">
        <v>4261.72</v>
      </c>
      <c r="AQ34" s="1">
        <v>4295.09</v>
      </c>
      <c r="AR34" s="1">
        <v>4128.59</v>
      </c>
      <c r="AS34" s="1">
        <v>4230.67</v>
      </c>
      <c r="AT34" s="1">
        <v>4208.6400000000003</v>
      </c>
      <c r="AU34" s="1">
        <v>4332.7299999999996</v>
      </c>
      <c r="AW34" s="1">
        <v>4279.16</v>
      </c>
      <c r="AX34" s="1">
        <v>112.06</v>
      </c>
      <c r="AY34" s="1">
        <v>4173.25</v>
      </c>
      <c r="BA34" s="1">
        <v>109.68</v>
      </c>
      <c r="BB34" s="1">
        <v>121.03</v>
      </c>
      <c r="BC34" s="1">
        <v>115.14</v>
      </c>
      <c r="BD34" s="1">
        <v>116.3</v>
      </c>
      <c r="BE34" s="1">
        <v>114.25</v>
      </c>
      <c r="BF34" s="1">
        <v>113.05</v>
      </c>
      <c r="BG34" s="1">
        <v>123.41</v>
      </c>
      <c r="BH34" s="1">
        <v>112.4</v>
      </c>
      <c r="BI34" s="1">
        <v>117.2</v>
      </c>
      <c r="BJ34" s="1">
        <v>121.27</v>
      </c>
      <c r="BK34" s="1">
        <v>106.51</v>
      </c>
      <c r="BL34" s="1">
        <v>107.06</v>
      </c>
      <c r="BN34" s="1">
        <v>106.67</v>
      </c>
    </row>
    <row r="35" spans="1:66" x14ac:dyDescent="0.3">
      <c r="A35" s="2" t="s">
        <v>31</v>
      </c>
      <c r="C35" s="14" t="str">
        <f t="shared" si="1"/>
        <v>20262</v>
      </c>
      <c r="D35" s="3">
        <v>46062</v>
      </c>
      <c r="E35" s="21">
        <v>1903.39</v>
      </c>
      <c r="F35" s="21">
        <v>1931.2</v>
      </c>
      <c r="G35" s="21">
        <v>1938.81</v>
      </c>
      <c r="H35" s="21"/>
      <c r="I35" s="21">
        <v>1831.71</v>
      </c>
      <c r="J35" s="21">
        <v>1820.32</v>
      </c>
      <c r="K35" s="21">
        <v>1707.7</v>
      </c>
      <c r="L35" s="21"/>
      <c r="M35" s="21"/>
      <c r="N35" s="21">
        <v>1701.74</v>
      </c>
      <c r="O35" s="21"/>
      <c r="P35" s="21">
        <v>1748.61</v>
      </c>
      <c r="Q35" s="21">
        <v>6449.38</v>
      </c>
      <c r="R35" s="20">
        <v>110.49</v>
      </c>
      <c r="S35" s="20">
        <v>96.46</v>
      </c>
      <c r="T35" s="21">
        <v>112.45</v>
      </c>
      <c r="V35" s="1">
        <v>108.54</v>
      </c>
      <c r="W35" s="1">
        <v>115.27</v>
      </c>
      <c r="X35" s="1">
        <v>116.54</v>
      </c>
      <c r="Y35" s="1">
        <v>112.57</v>
      </c>
      <c r="Z35" s="1">
        <v>112.22</v>
      </c>
      <c r="AA35" s="1">
        <v>113.78</v>
      </c>
      <c r="AB35" s="1">
        <v>116.23</v>
      </c>
      <c r="AC35" s="1">
        <v>109.17</v>
      </c>
      <c r="AE35" s="1">
        <v>122.23</v>
      </c>
      <c r="AF35" s="1">
        <v>112.94</v>
      </c>
      <c r="AG35" s="1">
        <v>98.8</v>
      </c>
      <c r="AN35" s="1">
        <v>4071.3</v>
      </c>
      <c r="AP35" s="1">
        <v>4252.8999999999996</v>
      </c>
      <c r="AR35" s="1">
        <v>4128.59</v>
      </c>
      <c r="AS35" s="1">
        <v>4230.67</v>
      </c>
      <c r="AT35" s="1">
        <v>4208.6400000000003</v>
      </c>
      <c r="AU35" s="1">
        <v>4356.93</v>
      </c>
      <c r="AW35" s="1">
        <v>4279.16</v>
      </c>
      <c r="AX35" s="1">
        <v>112.05</v>
      </c>
      <c r="AY35" s="1">
        <v>4173.25</v>
      </c>
      <c r="AZ35" s="1">
        <v>4335.0200000000004</v>
      </c>
      <c r="BA35" s="1">
        <v>110.28</v>
      </c>
      <c r="BB35" s="1">
        <v>121.28</v>
      </c>
      <c r="BC35" s="1">
        <v>115.32</v>
      </c>
      <c r="BD35" s="1">
        <v>116.68</v>
      </c>
      <c r="BE35" s="1">
        <v>113.85</v>
      </c>
      <c r="BF35" s="1">
        <v>112.38</v>
      </c>
      <c r="BG35" s="1">
        <v>124.2</v>
      </c>
      <c r="BH35" s="1">
        <v>112.7</v>
      </c>
      <c r="BI35" s="1">
        <v>117.2</v>
      </c>
      <c r="BJ35" s="1">
        <v>121.25</v>
      </c>
      <c r="BK35" s="1">
        <v>106.18</v>
      </c>
      <c r="BL35" s="1">
        <v>106.73</v>
      </c>
      <c r="BN35" s="1">
        <v>106.34</v>
      </c>
    </row>
    <row r="36" spans="1:66" x14ac:dyDescent="0.3">
      <c r="A36" s="2" t="s">
        <v>32</v>
      </c>
      <c r="C36" s="14" t="str">
        <f t="shared" si="1"/>
        <v>20262</v>
      </c>
      <c r="D36" s="3">
        <v>46059</v>
      </c>
      <c r="E36" s="21">
        <v>1929.81</v>
      </c>
      <c r="F36" s="21">
        <v>1921.73</v>
      </c>
      <c r="G36" s="21">
        <v>1951.17</v>
      </c>
      <c r="H36" s="21"/>
      <c r="I36" s="21">
        <v>1831.71</v>
      </c>
      <c r="J36" s="21">
        <v>1818.65</v>
      </c>
      <c r="K36" s="21">
        <v>1683.06</v>
      </c>
      <c r="L36" s="21"/>
      <c r="M36" s="21"/>
      <c r="N36" s="21">
        <v>1696.28</v>
      </c>
      <c r="O36" s="21"/>
      <c r="P36" s="21">
        <v>1720.59</v>
      </c>
      <c r="Q36" s="21">
        <v>6461.6</v>
      </c>
      <c r="R36" s="20">
        <v>111.13</v>
      </c>
      <c r="S36" s="20">
        <v>96.43</v>
      </c>
      <c r="T36" s="21">
        <v>113.98</v>
      </c>
      <c r="V36" s="1">
        <v>109.3</v>
      </c>
      <c r="W36" s="1">
        <v>116.14</v>
      </c>
      <c r="X36" s="1">
        <v>117.41</v>
      </c>
      <c r="Y36" s="1">
        <v>113.15</v>
      </c>
      <c r="Z36" s="1">
        <v>113.61</v>
      </c>
      <c r="AA36" s="1">
        <v>113.08</v>
      </c>
      <c r="AB36" s="1">
        <v>116.66</v>
      </c>
      <c r="AC36" s="1">
        <v>110.83</v>
      </c>
      <c r="AE36" s="1">
        <v>123.03</v>
      </c>
      <c r="AF36" s="1">
        <v>115.32</v>
      </c>
      <c r="AG36" s="1">
        <v>99.52</v>
      </c>
      <c r="AN36" s="1">
        <v>4071.3</v>
      </c>
      <c r="AP36" s="1">
        <v>4263</v>
      </c>
      <c r="AQ36" s="1">
        <v>4307.22</v>
      </c>
      <c r="AR36" s="1">
        <v>4132.3</v>
      </c>
      <c r="AS36" s="1">
        <v>4208.13</v>
      </c>
      <c r="AT36" s="1">
        <v>4207.37</v>
      </c>
      <c r="AU36" s="1">
        <v>4319.5</v>
      </c>
      <c r="AW36" s="1">
        <v>4299.6400000000003</v>
      </c>
      <c r="AX36" s="1">
        <v>113.43</v>
      </c>
      <c r="AY36" s="1">
        <v>4191.79</v>
      </c>
      <c r="AZ36" s="1">
        <v>4335.0200000000004</v>
      </c>
      <c r="BA36" s="1">
        <v>110.23</v>
      </c>
      <c r="BB36" s="1">
        <v>121.86</v>
      </c>
      <c r="BC36" s="1">
        <v>116.3</v>
      </c>
      <c r="BD36" s="1">
        <v>119.14</v>
      </c>
      <c r="BE36" s="1">
        <v>115.62</v>
      </c>
      <c r="BF36" s="1">
        <v>114.26</v>
      </c>
      <c r="BG36" s="1">
        <v>124.34</v>
      </c>
      <c r="BH36" s="1">
        <v>113.3</v>
      </c>
      <c r="BI36" s="1">
        <v>117.2</v>
      </c>
      <c r="BJ36" s="1">
        <v>121.4</v>
      </c>
      <c r="BK36" s="1">
        <v>108.17</v>
      </c>
      <c r="BL36" s="1">
        <v>108.39</v>
      </c>
      <c r="BN36" s="1">
        <v>108.34</v>
      </c>
    </row>
    <row r="37" spans="1:66" x14ac:dyDescent="0.3">
      <c r="A37" s="2" t="s">
        <v>33</v>
      </c>
      <c r="C37" s="14" t="str">
        <f t="shared" si="1"/>
        <v>20262</v>
      </c>
      <c r="D37" s="3">
        <v>46058</v>
      </c>
      <c r="E37" s="21">
        <v>1926.5</v>
      </c>
      <c r="F37" s="21">
        <v>1921.73</v>
      </c>
      <c r="G37" s="21">
        <v>1951.17</v>
      </c>
      <c r="H37" s="21"/>
      <c r="I37" s="21">
        <v>1831.71</v>
      </c>
      <c r="J37" s="21">
        <v>1796.66</v>
      </c>
      <c r="K37" s="21">
        <v>1661.51</v>
      </c>
      <c r="L37" s="21"/>
      <c r="M37" s="21"/>
      <c r="N37" s="21">
        <v>1668.68</v>
      </c>
      <c r="O37" s="21"/>
      <c r="P37" s="21">
        <v>1739.21</v>
      </c>
      <c r="Q37" s="21">
        <v>6520.11</v>
      </c>
      <c r="R37" s="20">
        <v>110.77</v>
      </c>
      <c r="S37" s="20">
        <v>96.11</v>
      </c>
      <c r="T37" s="21">
        <v>111.95</v>
      </c>
      <c r="V37" s="1">
        <v>109.13</v>
      </c>
      <c r="W37" s="1">
        <v>114.92</v>
      </c>
      <c r="X37" s="1">
        <v>117.41</v>
      </c>
      <c r="Y37" s="1">
        <v>112.15</v>
      </c>
      <c r="Z37" s="1">
        <v>111.88</v>
      </c>
      <c r="AA37" s="1">
        <v>113.18</v>
      </c>
      <c r="AB37" s="1">
        <v>116.61</v>
      </c>
      <c r="AC37" s="1">
        <v>110.83</v>
      </c>
      <c r="AE37" s="1">
        <v>121.82</v>
      </c>
      <c r="AF37" s="1">
        <v>113.05</v>
      </c>
      <c r="AG37" s="1">
        <v>99.79</v>
      </c>
      <c r="AN37" s="1">
        <v>4071.3</v>
      </c>
      <c r="AP37" s="1">
        <v>4263</v>
      </c>
      <c r="AQ37" s="1">
        <v>4307.22</v>
      </c>
      <c r="AR37" s="1">
        <v>4155.92</v>
      </c>
      <c r="AS37" s="1">
        <v>4175.78</v>
      </c>
      <c r="AT37" s="1">
        <v>4152.1899999999996</v>
      </c>
      <c r="AU37" s="1">
        <v>4321.75</v>
      </c>
      <c r="AW37" s="1">
        <v>4299.6400000000003</v>
      </c>
      <c r="AX37" s="1">
        <v>113.41</v>
      </c>
      <c r="AY37" s="1">
        <v>4191.79</v>
      </c>
      <c r="AZ37" s="1">
        <v>4335.0200000000004</v>
      </c>
      <c r="BA37" s="1">
        <v>104.71</v>
      </c>
      <c r="BB37" s="1">
        <v>121.41</v>
      </c>
      <c r="BC37" s="1">
        <v>115.1</v>
      </c>
      <c r="BD37" s="1">
        <v>117.55</v>
      </c>
      <c r="BE37" s="1">
        <v>113.97</v>
      </c>
      <c r="BF37" s="1">
        <v>113.98</v>
      </c>
      <c r="BG37" s="1">
        <v>123.75</v>
      </c>
      <c r="BH37" s="1">
        <v>113.3</v>
      </c>
      <c r="BI37" s="1">
        <v>117.2</v>
      </c>
      <c r="BJ37" s="1">
        <v>121.38</v>
      </c>
      <c r="BK37" s="1">
        <v>107.18</v>
      </c>
      <c r="BL37" s="1">
        <v>107.39</v>
      </c>
      <c r="BN37" s="1">
        <v>107.34</v>
      </c>
    </row>
    <row r="38" spans="1:66" x14ac:dyDescent="0.3">
      <c r="A38" s="2" t="s">
        <v>34</v>
      </c>
      <c r="C38" s="14" t="str">
        <f t="shared" si="1"/>
        <v>20262</v>
      </c>
      <c r="D38" s="3">
        <v>46057</v>
      </c>
      <c r="E38" s="21">
        <v>1906.63</v>
      </c>
      <c r="F38" s="21">
        <v>1930.72</v>
      </c>
      <c r="G38" s="21">
        <v>1951.17</v>
      </c>
      <c r="H38" s="21"/>
      <c r="I38" s="21">
        <v>1831.71</v>
      </c>
      <c r="J38" s="21">
        <v>1831.39</v>
      </c>
      <c r="K38" s="21">
        <v>1694.84</v>
      </c>
      <c r="L38" s="21"/>
      <c r="M38" s="21"/>
      <c r="N38" s="21">
        <v>1681.16</v>
      </c>
      <c r="O38" s="21"/>
      <c r="P38" s="21">
        <v>1784.68</v>
      </c>
      <c r="Q38" s="21">
        <v>6528.55</v>
      </c>
      <c r="R38" s="20">
        <v>108.63</v>
      </c>
      <c r="S38" s="20">
        <v>95.48</v>
      </c>
      <c r="T38" s="21">
        <v>111.91</v>
      </c>
      <c r="V38" s="1">
        <v>108.68</v>
      </c>
      <c r="W38" s="1">
        <v>115.24</v>
      </c>
      <c r="X38" s="1">
        <v>116.94</v>
      </c>
      <c r="Y38" s="1">
        <v>111.27</v>
      </c>
      <c r="Z38" s="1">
        <v>111.52</v>
      </c>
      <c r="AA38" s="1">
        <v>111.51</v>
      </c>
      <c r="AB38" s="1">
        <v>116.59</v>
      </c>
      <c r="AE38" s="1">
        <v>121.49</v>
      </c>
      <c r="AF38" s="1">
        <v>112.95</v>
      </c>
      <c r="AG38" s="1">
        <v>97.4</v>
      </c>
      <c r="AN38" s="1">
        <v>4071.3</v>
      </c>
      <c r="AO38" s="1">
        <v>7</v>
      </c>
      <c r="AP38" s="1">
        <v>4200</v>
      </c>
      <c r="AQ38" s="1">
        <v>4307.22</v>
      </c>
      <c r="AR38" s="1">
        <v>4158.5</v>
      </c>
      <c r="AS38" s="1">
        <v>4175.78</v>
      </c>
      <c r="AT38" s="1">
        <v>4148.96</v>
      </c>
      <c r="AU38" s="1">
        <v>4316.49</v>
      </c>
      <c r="AW38" s="1">
        <v>4276.84</v>
      </c>
      <c r="AX38" s="1">
        <v>112.15</v>
      </c>
      <c r="AY38" s="1">
        <v>4210.32</v>
      </c>
      <c r="AZ38" s="1">
        <v>4335.0200000000004</v>
      </c>
      <c r="BA38" s="1">
        <v>102.64</v>
      </c>
      <c r="BB38" s="1">
        <v>120.98</v>
      </c>
      <c r="BC38" s="1">
        <v>114.4</v>
      </c>
      <c r="BD38" s="1">
        <v>115.67</v>
      </c>
      <c r="BE38" s="1">
        <v>112.91</v>
      </c>
      <c r="BF38" s="1">
        <v>110.96</v>
      </c>
      <c r="BG38" s="1">
        <v>124.85</v>
      </c>
      <c r="BH38" s="1">
        <v>113.17</v>
      </c>
      <c r="BI38" s="1">
        <v>117.07</v>
      </c>
      <c r="BJ38" s="1">
        <v>120.77</v>
      </c>
      <c r="BK38" s="1">
        <v>105.51</v>
      </c>
      <c r="BL38" s="1">
        <v>106.06</v>
      </c>
      <c r="BN38" s="1">
        <v>105.68</v>
      </c>
    </row>
    <row r="39" spans="1:66" x14ac:dyDescent="0.3">
      <c r="A39" s="2" t="s">
        <v>35</v>
      </c>
      <c r="C39" s="14" t="str">
        <f t="shared" si="1"/>
        <v>20262</v>
      </c>
      <c r="D39" s="3">
        <v>46056</v>
      </c>
      <c r="E39" s="21">
        <v>1913.26</v>
      </c>
      <c r="F39" s="21">
        <v>1930.72</v>
      </c>
      <c r="G39" s="21">
        <v>1946.23</v>
      </c>
      <c r="H39" s="21"/>
      <c r="I39" s="21">
        <v>1831.71</v>
      </c>
      <c r="J39" s="21">
        <v>1839.72</v>
      </c>
      <c r="K39" s="21">
        <v>1694.84</v>
      </c>
      <c r="L39" s="21"/>
      <c r="M39" s="21"/>
      <c r="N39" s="21">
        <v>1682.82</v>
      </c>
      <c r="O39" s="21"/>
      <c r="P39" s="21">
        <v>1765.19</v>
      </c>
      <c r="Q39" s="21">
        <v>6702.34</v>
      </c>
      <c r="R39" s="20">
        <v>109.64</v>
      </c>
      <c r="S39" s="20">
        <v>96.09</v>
      </c>
      <c r="T39" s="21">
        <v>111.63</v>
      </c>
      <c r="V39" s="1">
        <v>108.4</v>
      </c>
      <c r="W39" s="1">
        <v>114.81</v>
      </c>
      <c r="X39" s="1">
        <v>116.24</v>
      </c>
      <c r="Y39" s="1">
        <v>111.44</v>
      </c>
      <c r="Z39" s="1">
        <v>111.12</v>
      </c>
      <c r="AA39" s="1">
        <v>112.37</v>
      </c>
      <c r="AB39" s="1">
        <v>116.14</v>
      </c>
      <c r="AE39" s="1">
        <v>121.49</v>
      </c>
      <c r="AF39" s="1">
        <v>111.9</v>
      </c>
      <c r="AG39" s="1">
        <v>97.78</v>
      </c>
      <c r="AO39" s="1">
        <v>7</v>
      </c>
      <c r="AP39" s="1">
        <v>4200</v>
      </c>
      <c r="AQ39" s="1">
        <v>4307.22</v>
      </c>
      <c r="AR39" s="1">
        <v>4176.41</v>
      </c>
      <c r="AS39" s="1">
        <v>4128.59</v>
      </c>
      <c r="AT39" s="1">
        <v>4148.96</v>
      </c>
      <c r="AU39" s="1">
        <v>4216.22</v>
      </c>
      <c r="AW39" s="1">
        <v>4284.9399999999996</v>
      </c>
      <c r="AX39" s="1">
        <v>111.8</v>
      </c>
      <c r="AY39" s="1">
        <v>4210.32</v>
      </c>
      <c r="AZ39" s="1">
        <v>4335.0200000000004</v>
      </c>
      <c r="BA39" s="1">
        <v>102.81</v>
      </c>
      <c r="BB39" s="1">
        <v>120.48</v>
      </c>
      <c r="BC39" s="1">
        <v>114.55</v>
      </c>
      <c r="BD39" s="1">
        <v>116.02</v>
      </c>
      <c r="BE39" s="1">
        <v>113.23</v>
      </c>
      <c r="BF39" s="1">
        <v>112.28</v>
      </c>
      <c r="BG39" s="1">
        <v>124.85</v>
      </c>
      <c r="BH39" s="1">
        <v>113.17</v>
      </c>
      <c r="BI39" s="1">
        <v>117.07</v>
      </c>
      <c r="BJ39" s="1">
        <v>121.15</v>
      </c>
      <c r="BK39" s="1">
        <v>105.18</v>
      </c>
      <c r="BL39" s="1">
        <v>105.4</v>
      </c>
      <c r="BN39" s="1">
        <v>105.34</v>
      </c>
    </row>
    <row r="40" spans="1:66" x14ac:dyDescent="0.3">
      <c r="A40" s="2" t="s">
        <v>36</v>
      </c>
      <c r="C40" s="14" t="str">
        <f t="shared" si="1"/>
        <v>20262</v>
      </c>
      <c r="D40" s="3">
        <v>46055</v>
      </c>
      <c r="E40" s="21">
        <v>1896.68</v>
      </c>
      <c r="F40" s="21">
        <v>1921.68</v>
      </c>
      <c r="G40" s="21">
        <v>1896.64</v>
      </c>
      <c r="H40" s="21"/>
      <c r="I40" s="21">
        <v>1831.71</v>
      </c>
      <c r="J40" s="21">
        <v>1833.26</v>
      </c>
      <c r="K40" s="21">
        <v>1694.8</v>
      </c>
      <c r="L40" s="21"/>
      <c r="M40" s="21"/>
      <c r="N40" s="21">
        <v>1697.24</v>
      </c>
      <c r="O40" s="21"/>
      <c r="P40" s="21">
        <v>1784.68</v>
      </c>
      <c r="Q40" s="21">
        <v>6516.99</v>
      </c>
      <c r="R40" s="20">
        <v>110.63</v>
      </c>
      <c r="S40" s="20">
        <v>95.28</v>
      </c>
      <c r="T40" s="21">
        <v>112.47</v>
      </c>
      <c r="V40" s="1">
        <v>108.77</v>
      </c>
      <c r="W40" s="1">
        <v>115.21</v>
      </c>
      <c r="X40" s="1">
        <v>116.34</v>
      </c>
      <c r="Y40" s="1">
        <v>110.8</v>
      </c>
      <c r="Z40" s="1">
        <v>110.92</v>
      </c>
      <c r="AA40" s="1">
        <v>115.08</v>
      </c>
      <c r="AB40" s="1">
        <v>116.14</v>
      </c>
      <c r="AE40" s="1">
        <v>122.67</v>
      </c>
      <c r="AF40" s="1">
        <v>112.31</v>
      </c>
      <c r="AG40" s="1">
        <v>99.53</v>
      </c>
      <c r="AI40" s="1">
        <v>30</v>
      </c>
      <c r="AN40" s="1">
        <v>4338.78</v>
      </c>
      <c r="AO40" s="1">
        <v>7</v>
      </c>
      <c r="AP40" s="1">
        <v>4200</v>
      </c>
      <c r="AQ40" s="1">
        <v>4307.22</v>
      </c>
      <c r="AR40" s="1">
        <v>4176.41</v>
      </c>
      <c r="AS40" s="1">
        <v>4111.07</v>
      </c>
      <c r="AT40" s="1">
        <v>4148.96</v>
      </c>
      <c r="AU40" s="1">
        <v>4292.05</v>
      </c>
      <c r="AW40" s="1">
        <v>4284.9399999999996</v>
      </c>
      <c r="AX40" s="1">
        <v>108.13</v>
      </c>
      <c r="AY40" s="1">
        <v>4210.32</v>
      </c>
      <c r="AZ40" s="1">
        <v>4305.53</v>
      </c>
      <c r="BA40" s="1">
        <v>101.26</v>
      </c>
      <c r="BB40" s="1">
        <v>121.83</v>
      </c>
      <c r="BC40" s="1">
        <v>115.19</v>
      </c>
      <c r="BD40" s="1">
        <v>116.84</v>
      </c>
      <c r="BE40" s="1">
        <v>113.25</v>
      </c>
      <c r="BF40" s="1">
        <v>112.67</v>
      </c>
      <c r="BG40" s="1">
        <v>124.85</v>
      </c>
      <c r="BH40" s="1">
        <v>113.57</v>
      </c>
      <c r="BI40" s="1">
        <v>117.45</v>
      </c>
      <c r="BJ40" s="1">
        <v>122.94</v>
      </c>
      <c r="BK40" s="1">
        <v>105.18</v>
      </c>
      <c r="BL40" s="1">
        <v>105.4</v>
      </c>
      <c r="BN40" s="1">
        <v>105.34</v>
      </c>
    </row>
    <row r="41" spans="1:66" x14ac:dyDescent="0.3">
      <c r="A41" s="2" t="s">
        <v>37</v>
      </c>
      <c r="C41" s="14" t="str">
        <f t="shared" si="1"/>
        <v>20261</v>
      </c>
      <c r="D41" s="3">
        <v>46052</v>
      </c>
      <c r="E41" s="21">
        <v>1924.73</v>
      </c>
      <c r="F41" s="21">
        <v>1920.08</v>
      </c>
      <c r="G41" s="21">
        <v>1919.8</v>
      </c>
      <c r="H41" s="21"/>
      <c r="I41" s="21">
        <v>1830.13</v>
      </c>
      <c r="J41" s="21">
        <v>1832.34</v>
      </c>
      <c r="K41" s="21">
        <v>1694.66</v>
      </c>
      <c r="L41" s="21"/>
      <c r="M41" s="21"/>
      <c r="N41" s="21">
        <v>1712.68</v>
      </c>
      <c r="O41" s="21"/>
      <c r="P41" s="21">
        <v>1784.38</v>
      </c>
      <c r="Q41" s="21">
        <v>6527.23</v>
      </c>
      <c r="R41" s="20">
        <v>110.66</v>
      </c>
      <c r="S41" s="20">
        <v>95.2</v>
      </c>
      <c r="T41" s="21">
        <v>112.74</v>
      </c>
      <c r="V41" s="1">
        <v>109.67</v>
      </c>
      <c r="W41" s="1">
        <v>115.14</v>
      </c>
      <c r="X41" s="1">
        <v>117.12</v>
      </c>
      <c r="Y41" s="1">
        <v>110.37</v>
      </c>
      <c r="Z41" s="1">
        <v>110.69</v>
      </c>
      <c r="AA41" s="1">
        <v>115.67</v>
      </c>
      <c r="AB41" s="1">
        <v>116.68</v>
      </c>
      <c r="AE41" s="1">
        <v>122.3</v>
      </c>
      <c r="AF41" s="1">
        <v>113.88</v>
      </c>
      <c r="AG41" s="1">
        <v>99.48</v>
      </c>
      <c r="AI41" s="1">
        <v>30</v>
      </c>
      <c r="AN41" s="1">
        <v>4341.5</v>
      </c>
      <c r="AO41" s="1">
        <v>7</v>
      </c>
      <c r="AP41" s="1">
        <v>4200</v>
      </c>
      <c r="AQ41" s="1">
        <v>4353.47</v>
      </c>
      <c r="AR41" s="1">
        <v>4181.3</v>
      </c>
      <c r="AS41" s="1">
        <v>4137.25</v>
      </c>
      <c r="AT41" s="1">
        <v>4162.25</v>
      </c>
      <c r="AU41" s="1">
        <v>4374.3900000000003</v>
      </c>
      <c r="AW41" s="1">
        <v>4272.71</v>
      </c>
      <c r="AX41" s="1">
        <v>106.41</v>
      </c>
      <c r="AY41" s="1">
        <v>4207.71</v>
      </c>
      <c r="AZ41" s="1">
        <v>4310.28</v>
      </c>
      <c r="BA41" s="1">
        <v>101.09</v>
      </c>
      <c r="BB41" s="1">
        <v>122.03</v>
      </c>
      <c r="BC41" s="1">
        <v>115.17</v>
      </c>
      <c r="BD41" s="1">
        <v>116.58</v>
      </c>
      <c r="BE41" s="1">
        <v>113.55</v>
      </c>
      <c r="BF41" s="1">
        <v>113.71</v>
      </c>
      <c r="BG41" s="1">
        <v>128.81</v>
      </c>
      <c r="BH41" s="1">
        <v>113.57</v>
      </c>
      <c r="BI41" s="1">
        <v>117.54</v>
      </c>
      <c r="BJ41" s="1">
        <v>123.32</v>
      </c>
      <c r="BK41" s="1">
        <v>105.17</v>
      </c>
      <c r="BL41" s="1">
        <v>105.39</v>
      </c>
      <c r="BN41" s="1">
        <v>105.33</v>
      </c>
    </row>
    <row r="42" spans="1:66" x14ac:dyDescent="0.3">
      <c r="A42" s="2" t="s">
        <v>38</v>
      </c>
      <c r="C42" s="14" t="str">
        <f t="shared" si="1"/>
        <v>20261</v>
      </c>
      <c r="D42" s="3">
        <v>46051</v>
      </c>
      <c r="E42" s="21">
        <v>1924.73</v>
      </c>
      <c r="F42" s="21">
        <v>1929.06</v>
      </c>
      <c r="G42" s="21">
        <v>1919.8</v>
      </c>
      <c r="H42" s="21"/>
      <c r="I42" s="21">
        <v>1830.13</v>
      </c>
      <c r="J42" s="21">
        <v>1864.81</v>
      </c>
      <c r="K42" s="21">
        <v>1795.4</v>
      </c>
      <c r="L42" s="21"/>
      <c r="M42" s="21"/>
      <c r="N42" s="21">
        <v>1706.11</v>
      </c>
      <c r="O42" s="21"/>
      <c r="P42" s="21">
        <v>1784.38</v>
      </c>
      <c r="Q42" s="21">
        <v>6527.23</v>
      </c>
      <c r="R42" s="20">
        <v>110.6</v>
      </c>
      <c r="S42" s="20">
        <v>94.82</v>
      </c>
      <c r="T42" s="21">
        <v>112.73</v>
      </c>
      <c r="V42" s="1">
        <v>109.69</v>
      </c>
      <c r="W42" s="1">
        <v>115.12</v>
      </c>
      <c r="X42" s="1">
        <v>117.91</v>
      </c>
      <c r="Y42" s="1">
        <v>110.9</v>
      </c>
      <c r="Z42" s="1">
        <v>110.89</v>
      </c>
      <c r="AA42" s="1">
        <v>115.05</v>
      </c>
      <c r="AB42" s="1">
        <v>117.79</v>
      </c>
      <c r="AE42" s="1">
        <v>123.79</v>
      </c>
      <c r="AF42" s="1">
        <v>113.87</v>
      </c>
      <c r="AG42" s="1">
        <v>98.07</v>
      </c>
      <c r="AI42" s="1">
        <v>30</v>
      </c>
      <c r="AN42" s="1">
        <v>4324.78</v>
      </c>
      <c r="AO42" s="1">
        <v>7</v>
      </c>
      <c r="AP42" s="1">
        <v>4200</v>
      </c>
      <c r="AQ42" s="1">
        <v>4353.47</v>
      </c>
      <c r="AR42" s="1">
        <v>4159.42</v>
      </c>
      <c r="AS42" s="1">
        <v>4157.05</v>
      </c>
      <c r="AT42" s="1">
        <v>4179.49</v>
      </c>
      <c r="AU42" s="1">
        <v>4390.41</v>
      </c>
      <c r="AW42" s="1">
        <v>4272.71</v>
      </c>
      <c r="AX42" s="1">
        <v>104.35</v>
      </c>
      <c r="AY42" s="1">
        <v>4207.71</v>
      </c>
      <c r="AZ42" s="1">
        <v>4262.2</v>
      </c>
      <c r="BA42" s="1">
        <v>101.06</v>
      </c>
      <c r="BB42" s="1">
        <v>121.81</v>
      </c>
      <c r="BC42" s="1">
        <v>115.82</v>
      </c>
      <c r="BD42" s="1">
        <v>116.94</v>
      </c>
      <c r="BE42" s="1">
        <v>113.81</v>
      </c>
      <c r="BF42" s="1">
        <v>113.4</v>
      </c>
      <c r="BG42" s="1">
        <v>128.81</v>
      </c>
      <c r="BH42" s="1">
        <v>113.57</v>
      </c>
      <c r="BI42" s="1">
        <v>117.54</v>
      </c>
      <c r="BJ42" s="1">
        <v>123.3</v>
      </c>
      <c r="BK42" s="1">
        <v>105.17</v>
      </c>
      <c r="BL42" s="1">
        <v>105.39</v>
      </c>
      <c r="BN42" s="1">
        <v>105.33</v>
      </c>
    </row>
    <row r="43" spans="1:66" x14ac:dyDescent="0.3">
      <c r="A43" s="2" t="s">
        <v>39</v>
      </c>
      <c r="C43" s="14" t="str">
        <f t="shared" si="1"/>
        <v>20261</v>
      </c>
      <c r="D43" s="3">
        <v>46050</v>
      </c>
      <c r="E43" s="21">
        <v>1924.73</v>
      </c>
      <c r="F43" s="21">
        <v>1929.06</v>
      </c>
      <c r="G43" s="21">
        <v>1919.8</v>
      </c>
      <c r="H43" s="21"/>
      <c r="I43" s="21">
        <v>1832.66</v>
      </c>
      <c r="J43" s="21">
        <v>1864.81</v>
      </c>
      <c r="K43" s="21">
        <v>1786.21</v>
      </c>
      <c r="L43" s="21">
        <v>1752.26</v>
      </c>
      <c r="M43" s="21"/>
      <c r="N43" s="21">
        <v>1680.11</v>
      </c>
      <c r="O43" s="21"/>
      <c r="P43" s="21">
        <v>1802.38</v>
      </c>
      <c r="Q43" s="21">
        <v>6531.49</v>
      </c>
      <c r="R43" s="20">
        <v>110.88</v>
      </c>
      <c r="S43" s="20">
        <v>94.95</v>
      </c>
      <c r="T43" s="21">
        <v>113.84</v>
      </c>
      <c r="V43" s="1">
        <v>110.19</v>
      </c>
      <c r="W43" s="1">
        <v>115.4</v>
      </c>
      <c r="X43" s="1">
        <v>118.81</v>
      </c>
      <c r="Y43" s="1">
        <v>111.19</v>
      </c>
      <c r="Z43" s="1">
        <v>111.16</v>
      </c>
      <c r="AA43" s="1">
        <v>115.65</v>
      </c>
      <c r="AB43" s="1">
        <v>118.39</v>
      </c>
      <c r="AE43" s="1">
        <v>126.78</v>
      </c>
      <c r="AF43" s="1">
        <v>114.96</v>
      </c>
      <c r="AG43" s="1">
        <v>99.65</v>
      </c>
      <c r="AI43" s="1">
        <v>25</v>
      </c>
      <c r="AN43" s="1">
        <v>4281.95</v>
      </c>
      <c r="AP43" s="1">
        <v>4200</v>
      </c>
      <c r="AQ43" s="1">
        <v>4353.47</v>
      </c>
      <c r="AR43" s="1">
        <v>4162.4399999999996</v>
      </c>
      <c r="AS43" s="1">
        <v>4148.8100000000004</v>
      </c>
      <c r="AT43" s="1">
        <v>4244.29</v>
      </c>
      <c r="AU43" s="1">
        <v>4390.41</v>
      </c>
      <c r="AW43" s="1">
        <v>4284.9799999999996</v>
      </c>
      <c r="AX43" s="1">
        <v>111.01</v>
      </c>
      <c r="AY43" s="1">
        <v>4207.71</v>
      </c>
      <c r="AZ43" s="1">
        <v>4262.2</v>
      </c>
      <c r="BA43" s="1">
        <v>104.23</v>
      </c>
      <c r="BB43" s="1">
        <v>122.38</v>
      </c>
      <c r="BC43" s="1">
        <v>113.89</v>
      </c>
      <c r="BD43" s="1">
        <v>116.01</v>
      </c>
      <c r="BE43" s="1">
        <v>114.28</v>
      </c>
      <c r="BF43" s="1">
        <v>113.45</v>
      </c>
      <c r="BG43" s="1">
        <v>128.81</v>
      </c>
      <c r="BH43" s="1">
        <v>113.57</v>
      </c>
      <c r="BI43" s="1">
        <v>117.67</v>
      </c>
      <c r="BJ43" s="1">
        <v>123.28</v>
      </c>
      <c r="BK43" s="1">
        <v>105.17</v>
      </c>
      <c r="BL43" s="1">
        <v>105.39</v>
      </c>
      <c r="BN43" s="1">
        <v>105.33</v>
      </c>
    </row>
    <row r="44" spans="1:66" x14ac:dyDescent="0.3">
      <c r="A44" s="2" t="s">
        <v>40</v>
      </c>
      <c r="C44" s="14" t="str">
        <f t="shared" si="1"/>
        <v>20261</v>
      </c>
      <c r="D44" s="3">
        <v>46049</v>
      </c>
      <c r="E44" s="21">
        <v>1900.04</v>
      </c>
      <c r="F44" s="21">
        <v>1925.09</v>
      </c>
      <c r="G44" s="21">
        <v>1907.45</v>
      </c>
      <c r="H44" s="21"/>
      <c r="I44" s="21">
        <v>1818.22</v>
      </c>
      <c r="J44" s="21">
        <v>1845.67</v>
      </c>
      <c r="K44" s="21">
        <v>1786.21</v>
      </c>
      <c r="L44" s="21">
        <v>1748.22</v>
      </c>
      <c r="M44" s="21"/>
      <c r="N44" s="21">
        <v>1680.11</v>
      </c>
      <c r="O44" s="21">
        <v>1785.92</v>
      </c>
      <c r="P44" s="21">
        <v>1764.92</v>
      </c>
      <c r="Q44" s="21">
        <v>6672.16</v>
      </c>
      <c r="R44" s="20">
        <v>111.08</v>
      </c>
      <c r="S44" s="20">
        <v>96.18</v>
      </c>
      <c r="T44" s="21">
        <v>114.59</v>
      </c>
      <c r="V44" s="1">
        <v>110.29</v>
      </c>
      <c r="W44" s="1">
        <v>116.88</v>
      </c>
      <c r="X44" s="1">
        <v>119.46</v>
      </c>
      <c r="Y44" s="1">
        <v>112.66</v>
      </c>
      <c r="Z44" s="1">
        <v>112.16</v>
      </c>
      <c r="AA44" s="1">
        <v>116.28</v>
      </c>
      <c r="AB44" s="1">
        <v>118.76</v>
      </c>
      <c r="AE44" s="1">
        <v>126.21</v>
      </c>
      <c r="AF44" s="1">
        <v>115.45</v>
      </c>
      <c r="AG44" s="1">
        <v>98.78</v>
      </c>
      <c r="AI44" s="1">
        <v>25</v>
      </c>
      <c r="AN44" s="1">
        <v>4264.49</v>
      </c>
      <c r="AP44" s="1">
        <v>4200</v>
      </c>
      <c r="AQ44" s="1">
        <v>4315.13</v>
      </c>
      <c r="AR44" s="1">
        <v>4144.96</v>
      </c>
      <c r="AS44" s="1">
        <v>4159.3</v>
      </c>
      <c r="AT44" s="1">
        <v>4208.21</v>
      </c>
      <c r="AU44" s="1">
        <v>4314.5</v>
      </c>
      <c r="AV44" s="1">
        <v>30</v>
      </c>
      <c r="AW44" s="1">
        <v>4309.09</v>
      </c>
      <c r="AX44" s="1">
        <v>111.27</v>
      </c>
      <c r="AY44" s="1">
        <v>4207.71</v>
      </c>
      <c r="AZ44" s="1">
        <v>4245.97</v>
      </c>
      <c r="BA44" s="1">
        <v>104.21</v>
      </c>
      <c r="BB44" s="1">
        <v>123.58</v>
      </c>
      <c r="BC44" s="1">
        <v>115.58</v>
      </c>
      <c r="BD44" s="1">
        <v>116.5</v>
      </c>
      <c r="BE44" s="1">
        <v>115.85</v>
      </c>
      <c r="BF44" s="1">
        <v>113.86</v>
      </c>
      <c r="BG44" s="1">
        <v>129.05000000000001</v>
      </c>
      <c r="BH44" s="1">
        <v>113.33</v>
      </c>
      <c r="BI44" s="1">
        <v>119.16</v>
      </c>
      <c r="BJ44" s="1">
        <v>123.26</v>
      </c>
      <c r="BK44" s="1">
        <v>106.83</v>
      </c>
      <c r="BL44" s="1">
        <v>107.05</v>
      </c>
      <c r="BN44" s="1">
        <v>107</v>
      </c>
    </row>
    <row r="45" spans="1:66" x14ac:dyDescent="0.3">
      <c r="A45" s="2" t="s">
        <v>41</v>
      </c>
      <c r="C45" s="14" t="str">
        <f t="shared" si="1"/>
        <v>20261</v>
      </c>
      <c r="D45" s="3">
        <v>46048</v>
      </c>
      <c r="E45" s="21">
        <v>1900.04</v>
      </c>
      <c r="F45" s="21">
        <v>1902.12</v>
      </c>
      <c r="G45" s="21">
        <v>1907.45</v>
      </c>
      <c r="H45" s="21"/>
      <c r="I45" s="21">
        <v>1806.37</v>
      </c>
      <c r="J45" s="21">
        <v>1867.64</v>
      </c>
      <c r="K45" s="21">
        <v>1758.64</v>
      </c>
      <c r="L45" s="21">
        <v>1736.09</v>
      </c>
      <c r="M45" s="21"/>
      <c r="N45" s="21">
        <v>1664.88</v>
      </c>
      <c r="O45" s="21">
        <v>1803</v>
      </c>
      <c r="P45" s="21">
        <v>1789.37</v>
      </c>
      <c r="Q45" s="21">
        <v>6603.58</v>
      </c>
      <c r="R45" s="20">
        <v>111.08</v>
      </c>
      <c r="S45" s="20">
        <v>95.67</v>
      </c>
      <c r="T45" s="21">
        <v>115.24</v>
      </c>
      <c r="V45" s="1">
        <v>110.51</v>
      </c>
      <c r="W45" s="1">
        <v>117.46</v>
      </c>
      <c r="X45" s="1">
        <v>120.44</v>
      </c>
      <c r="Y45" s="1">
        <v>113.64</v>
      </c>
      <c r="Z45" s="1">
        <v>113.36</v>
      </c>
      <c r="AA45" s="1">
        <v>116.28</v>
      </c>
      <c r="AB45" s="1">
        <v>119.14</v>
      </c>
      <c r="AE45" s="1">
        <v>128.44999999999999</v>
      </c>
      <c r="AF45" s="1">
        <v>115.95</v>
      </c>
      <c r="AG45" s="1">
        <v>99.99</v>
      </c>
      <c r="AI45" s="1">
        <v>10</v>
      </c>
      <c r="AN45" s="1">
        <v>4198.58</v>
      </c>
      <c r="AP45" s="1">
        <v>4209.79</v>
      </c>
      <c r="AQ45" s="1">
        <v>4315.13</v>
      </c>
      <c r="AR45" s="1">
        <v>4144.96</v>
      </c>
      <c r="AS45" s="1">
        <v>4198.54</v>
      </c>
      <c r="AT45" s="1">
        <v>4208.21</v>
      </c>
      <c r="AU45" s="1">
        <v>4314.5</v>
      </c>
      <c r="AV45" s="1">
        <v>30</v>
      </c>
      <c r="AW45" s="1">
        <v>4309.09</v>
      </c>
      <c r="AX45" s="1">
        <v>109.79</v>
      </c>
      <c r="AY45" s="1">
        <v>4227.74</v>
      </c>
      <c r="AZ45" s="1">
        <v>4218.41</v>
      </c>
      <c r="BA45" s="1">
        <v>108.3</v>
      </c>
      <c r="BB45" s="1">
        <v>123.48</v>
      </c>
      <c r="BC45" s="1">
        <v>117.12</v>
      </c>
      <c r="BD45" s="1">
        <v>117.74</v>
      </c>
      <c r="BE45" s="1">
        <v>118.41</v>
      </c>
      <c r="BF45" s="1">
        <v>114.65</v>
      </c>
      <c r="BG45" s="1">
        <v>129.05000000000001</v>
      </c>
      <c r="BH45" s="1">
        <v>113.83</v>
      </c>
      <c r="BI45" s="1">
        <v>119.79</v>
      </c>
      <c r="BJ45" s="1">
        <v>126.2</v>
      </c>
      <c r="BK45" s="1">
        <v>107.17</v>
      </c>
      <c r="BL45" s="1">
        <v>107.72</v>
      </c>
      <c r="BN45" s="1">
        <v>107.33</v>
      </c>
    </row>
    <row r="46" spans="1:66" x14ac:dyDescent="0.3">
      <c r="A46" s="2" t="s">
        <v>42</v>
      </c>
      <c r="C46" s="14" t="str">
        <f t="shared" si="1"/>
        <v>20261</v>
      </c>
      <c r="D46" s="3">
        <v>46045</v>
      </c>
      <c r="E46" s="21">
        <v>1875.34</v>
      </c>
      <c r="F46" s="21">
        <v>1884.15</v>
      </c>
      <c r="G46" s="21">
        <v>1895.1</v>
      </c>
      <c r="H46" s="21">
        <v>1665.92</v>
      </c>
      <c r="I46" s="21">
        <v>1806.37</v>
      </c>
      <c r="J46" s="21">
        <v>1863.34</v>
      </c>
      <c r="K46" s="21">
        <v>1775.91</v>
      </c>
      <c r="L46" s="21">
        <v>1699.72</v>
      </c>
      <c r="M46" s="21"/>
      <c r="N46" s="21">
        <v>1681.88</v>
      </c>
      <c r="O46" s="21">
        <v>1794.93</v>
      </c>
      <c r="P46" s="21">
        <v>1789.37</v>
      </c>
      <c r="Q46" s="21">
        <v>6665.58</v>
      </c>
      <c r="R46" s="20">
        <v>111.83</v>
      </c>
      <c r="S46" s="20">
        <v>96.29</v>
      </c>
      <c r="T46" s="21">
        <v>115.6</v>
      </c>
      <c r="V46" s="1">
        <v>112.14</v>
      </c>
      <c r="W46" s="1">
        <v>118.2</v>
      </c>
      <c r="X46" s="1">
        <v>121.04</v>
      </c>
      <c r="Y46" s="1">
        <v>114.01</v>
      </c>
      <c r="Z46" s="1">
        <v>114.29</v>
      </c>
      <c r="AA46" s="1">
        <v>116.74</v>
      </c>
      <c r="AB46" s="1">
        <v>119.51</v>
      </c>
      <c r="AE46" s="1">
        <v>127.38</v>
      </c>
      <c r="AF46" s="1">
        <v>123.34</v>
      </c>
      <c r="AG46" s="1">
        <v>101.34</v>
      </c>
      <c r="AI46" s="1">
        <v>10</v>
      </c>
      <c r="AN46" s="1">
        <v>4198.58</v>
      </c>
      <c r="AP46" s="1">
        <v>4197.9399999999996</v>
      </c>
      <c r="AQ46" s="1">
        <v>4281.6000000000004</v>
      </c>
      <c r="AR46" s="1">
        <v>4134.83</v>
      </c>
      <c r="AS46" s="1">
        <v>4178.3599999999997</v>
      </c>
      <c r="AT46" s="1">
        <v>4187.55</v>
      </c>
      <c r="AU46" s="1">
        <v>4238.58</v>
      </c>
      <c r="AV46" s="1">
        <v>30</v>
      </c>
      <c r="AW46" s="1">
        <v>4298.38</v>
      </c>
      <c r="AX46" s="1">
        <v>114.8</v>
      </c>
      <c r="AY46" s="1">
        <v>4277.8100000000004</v>
      </c>
      <c r="AZ46" s="1">
        <v>4218.41</v>
      </c>
      <c r="BA46" s="1">
        <v>108.07</v>
      </c>
      <c r="BB46" s="1">
        <v>124.22</v>
      </c>
      <c r="BC46" s="1">
        <v>119.05</v>
      </c>
      <c r="BD46" s="1">
        <v>120.09</v>
      </c>
      <c r="BE46" s="1">
        <v>120.74</v>
      </c>
      <c r="BF46" s="1">
        <v>114.98</v>
      </c>
      <c r="BG46" s="1">
        <v>131.03</v>
      </c>
      <c r="BH46" s="1">
        <v>115.33</v>
      </c>
      <c r="BI46" s="1">
        <v>121.78</v>
      </c>
      <c r="BJ46" s="1">
        <v>127.72</v>
      </c>
      <c r="BK46" s="1">
        <v>108.5</v>
      </c>
      <c r="BL46" s="1">
        <v>108.72</v>
      </c>
      <c r="BN46" s="1">
        <v>108.66</v>
      </c>
    </row>
    <row r="47" spans="1:66" x14ac:dyDescent="0.3">
      <c r="A47" s="2" t="s">
        <v>43</v>
      </c>
      <c r="C47" s="14" t="str">
        <f t="shared" si="1"/>
        <v>20261</v>
      </c>
      <c r="D47" s="3">
        <v>46044</v>
      </c>
      <c r="E47" s="21">
        <v>1900.04</v>
      </c>
      <c r="F47" s="21">
        <v>1902.12</v>
      </c>
      <c r="G47" s="21">
        <v>1895.1</v>
      </c>
      <c r="H47" s="21">
        <v>1678.23</v>
      </c>
      <c r="I47" s="21">
        <v>1806.37</v>
      </c>
      <c r="J47" s="21">
        <v>1835.22</v>
      </c>
      <c r="K47" s="21">
        <v>1661.33</v>
      </c>
      <c r="L47" s="21">
        <v>1699.72</v>
      </c>
      <c r="M47" s="21"/>
      <c r="N47" s="21">
        <v>1637.78</v>
      </c>
      <c r="O47" s="21">
        <v>1770.72</v>
      </c>
      <c r="P47" s="21">
        <v>1789.37</v>
      </c>
      <c r="Q47" s="21">
        <v>6667.58</v>
      </c>
      <c r="R47" s="20">
        <v>112.87</v>
      </c>
      <c r="S47" s="20">
        <v>96.28</v>
      </c>
      <c r="T47" s="21">
        <v>116.21</v>
      </c>
      <c r="V47" s="1">
        <v>112.03</v>
      </c>
      <c r="W47" s="1">
        <v>117.89</v>
      </c>
      <c r="X47" s="1">
        <v>120.81</v>
      </c>
      <c r="Y47" s="1">
        <v>114.9</v>
      </c>
      <c r="Z47" s="1">
        <v>114.88</v>
      </c>
      <c r="AA47" s="1">
        <v>116.92</v>
      </c>
      <c r="AB47" s="1">
        <v>119.75</v>
      </c>
      <c r="AE47" s="1">
        <v>127.27</v>
      </c>
      <c r="AF47" s="1">
        <v>125.07</v>
      </c>
      <c r="AG47" s="1">
        <v>101.33</v>
      </c>
      <c r="AI47" s="1">
        <v>10</v>
      </c>
      <c r="AN47" s="1">
        <v>4226.24</v>
      </c>
      <c r="AP47" s="1">
        <v>4197.9399999999996</v>
      </c>
      <c r="AQ47" s="1">
        <v>4297.25</v>
      </c>
      <c r="AR47" s="1">
        <v>4171.18</v>
      </c>
      <c r="AS47" s="1">
        <v>4178.3599999999997</v>
      </c>
      <c r="AT47" s="1">
        <v>4118.01</v>
      </c>
      <c r="AU47" s="1">
        <v>4238.58</v>
      </c>
      <c r="AV47" s="1">
        <v>30</v>
      </c>
      <c r="AW47" s="1">
        <v>4298.38</v>
      </c>
      <c r="AX47" s="1">
        <v>113.55</v>
      </c>
      <c r="AY47" s="1">
        <v>4251.66</v>
      </c>
      <c r="AZ47" s="1">
        <v>4261.0200000000004</v>
      </c>
      <c r="BA47" s="1">
        <v>109.4</v>
      </c>
      <c r="BB47" s="1">
        <v>124.46</v>
      </c>
      <c r="BC47" s="1">
        <v>119.94</v>
      </c>
      <c r="BD47" s="1">
        <v>120.41</v>
      </c>
      <c r="BE47" s="1">
        <v>121.07</v>
      </c>
      <c r="BF47" s="1">
        <v>115.64</v>
      </c>
      <c r="BG47" s="1">
        <v>131.53</v>
      </c>
      <c r="BH47" s="1">
        <v>115.15</v>
      </c>
      <c r="BI47" s="1">
        <v>121.78</v>
      </c>
      <c r="BJ47" s="1">
        <v>127.7</v>
      </c>
      <c r="BK47" s="1">
        <v>109.7</v>
      </c>
      <c r="BL47" s="1">
        <v>109.66</v>
      </c>
      <c r="BN47" s="1">
        <v>109.8</v>
      </c>
    </row>
    <row r="48" spans="1:66" x14ac:dyDescent="0.3">
      <c r="A48" s="2" t="s">
        <v>44</v>
      </c>
      <c r="C48" s="14" t="str">
        <f t="shared" si="1"/>
        <v>20261</v>
      </c>
      <c r="D48" s="3">
        <v>46043</v>
      </c>
      <c r="E48" s="21">
        <v>1900.04</v>
      </c>
      <c r="F48" s="21">
        <v>1902.12</v>
      </c>
      <c r="G48" s="21">
        <v>1895.1</v>
      </c>
      <c r="H48" s="21">
        <v>1715.16</v>
      </c>
      <c r="I48" s="21">
        <v>1807.96</v>
      </c>
      <c r="J48" s="21">
        <v>1835.22</v>
      </c>
      <c r="K48" s="21">
        <v>1782.07</v>
      </c>
      <c r="L48" s="21">
        <v>1699.72</v>
      </c>
      <c r="M48" s="21">
        <v>1476</v>
      </c>
      <c r="N48" s="21">
        <v>1628.91</v>
      </c>
      <c r="O48" s="21">
        <v>1771.58</v>
      </c>
      <c r="P48" s="21">
        <v>1835.05</v>
      </c>
      <c r="Q48" s="21">
        <v>6632.7</v>
      </c>
      <c r="R48" s="20">
        <v>112.87</v>
      </c>
      <c r="S48" s="20">
        <v>98.26</v>
      </c>
      <c r="T48" s="21">
        <v>116.07</v>
      </c>
      <c r="V48" s="1">
        <v>113.43</v>
      </c>
      <c r="W48" s="1">
        <v>119.4</v>
      </c>
      <c r="X48" s="1">
        <v>121.32</v>
      </c>
      <c r="Y48" s="1">
        <v>115.23</v>
      </c>
      <c r="Z48" s="1">
        <v>115.18</v>
      </c>
      <c r="AA48" s="1">
        <v>117.06</v>
      </c>
      <c r="AB48" s="1">
        <v>119.79</v>
      </c>
      <c r="AE48" s="1">
        <v>128.65</v>
      </c>
      <c r="AF48" s="1">
        <v>124.32</v>
      </c>
      <c r="AG48" s="1">
        <v>102.77</v>
      </c>
      <c r="AN48" s="1">
        <v>4266.18</v>
      </c>
      <c r="AP48" s="1">
        <v>4199.68</v>
      </c>
      <c r="AQ48" s="1">
        <v>4297.25</v>
      </c>
      <c r="AR48" s="1">
        <v>4132.9399999999996</v>
      </c>
      <c r="AS48" s="1">
        <v>4226.49</v>
      </c>
      <c r="AT48" s="1">
        <v>4128.68</v>
      </c>
      <c r="AU48" s="1">
        <v>4238.58</v>
      </c>
      <c r="AV48" s="1">
        <v>30</v>
      </c>
      <c r="AW48" s="1">
        <v>4316.95</v>
      </c>
      <c r="AX48" s="1">
        <v>111.98</v>
      </c>
      <c r="AY48" s="1">
        <v>4251.66</v>
      </c>
      <c r="AZ48" s="1">
        <v>4261.0200000000004</v>
      </c>
      <c r="BA48" s="1">
        <v>109.33</v>
      </c>
      <c r="BB48" s="1">
        <v>126.44</v>
      </c>
      <c r="BC48" s="1">
        <v>121.03</v>
      </c>
      <c r="BD48" s="1">
        <v>121.23</v>
      </c>
      <c r="BE48" s="1">
        <v>120.25</v>
      </c>
      <c r="BF48" s="1">
        <v>115.64</v>
      </c>
      <c r="BG48" s="1">
        <v>132.53</v>
      </c>
      <c r="BH48" s="1">
        <v>118.83</v>
      </c>
      <c r="BI48" s="1">
        <v>121.91</v>
      </c>
      <c r="BJ48" s="1">
        <v>128.07</v>
      </c>
      <c r="BK48" s="1">
        <v>109.7</v>
      </c>
      <c r="BL48" s="1">
        <v>109.91</v>
      </c>
      <c r="BN48" s="1">
        <v>109.8</v>
      </c>
    </row>
    <row r="49" spans="1:66" x14ac:dyDescent="0.3">
      <c r="A49" s="2" t="s">
        <v>45</v>
      </c>
      <c r="C49" s="14" t="str">
        <f t="shared" si="1"/>
        <v>20261</v>
      </c>
      <c r="D49" s="3">
        <v>46042</v>
      </c>
      <c r="E49" s="21">
        <v>1871.76</v>
      </c>
      <c r="F49" s="21">
        <v>1902.12</v>
      </c>
      <c r="G49" s="21">
        <v>1892.63</v>
      </c>
      <c r="H49" s="21">
        <v>1756.8</v>
      </c>
      <c r="I49" s="21">
        <v>1810.37</v>
      </c>
      <c r="J49" s="21">
        <v>1835.22</v>
      </c>
      <c r="K49" s="21">
        <v>1782.07</v>
      </c>
      <c r="L49" s="21">
        <v>1689.84</v>
      </c>
      <c r="M49" s="21">
        <v>1463.62</v>
      </c>
      <c r="N49" s="21">
        <v>1638.63</v>
      </c>
      <c r="O49" s="21">
        <v>1773.29</v>
      </c>
      <c r="P49" s="21">
        <v>1800.04</v>
      </c>
      <c r="Q49" s="21">
        <v>6634.73</v>
      </c>
      <c r="R49" s="20">
        <v>112.87</v>
      </c>
      <c r="S49" s="20">
        <v>98.66</v>
      </c>
      <c r="T49" s="21">
        <v>117.06</v>
      </c>
      <c r="V49" s="1">
        <v>112.06</v>
      </c>
      <c r="W49" s="1">
        <v>118.22</v>
      </c>
      <c r="X49" s="1">
        <v>121.32</v>
      </c>
      <c r="Y49" s="1">
        <v>114.84</v>
      </c>
      <c r="Z49" s="1">
        <v>114.98</v>
      </c>
      <c r="AA49" s="1">
        <v>117.01</v>
      </c>
      <c r="AB49" s="1">
        <v>119.9</v>
      </c>
      <c r="AE49" s="1">
        <v>128.31</v>
      </c>
      <c r="AF49" s="1">
        <v>124.53</v>
      </c>
      <c r="AG49" s="1">
        <v>105.27</v>
      </c>
      <c r="AN49" s="1">
        <v>4249.25</v>
      </c>
      <c r="AO49" s="1">
        <v>7</v>
      </c>
      <c r="AP49" s="1">
        <v>4199.68</v>
      </c>
      <c r="AQ49" s="1">
        <v>4314.5</v>
      </c>
      <c r="AR49" s="1">
        <v>4140.32</v>
      </c>
      <c r="AS49" s="1">
        <v>4244.1499999999996</v>
      </c>
      <c r="AT49" s="1">
        <v>4139.2</v>
      </c>
      <c r="AU49" s="1">
        <v>4238.58</v>
      </c>
      <c r="AW49" s="1">
        <v>4308.53</v>
      </c>
      <c r="AX49" s="1">
        <v>114.21</v>
      </c>
      <c r="AY49" s="1">
        <v>4212.7700000000004</v>
      </c>
      <c r="AZ49" s="1">
        <v>4339.8</v>
      </c>
      <c r="BA49" s="1">
        <v>109.36</v>
      </c>
      <c r="BB49" s="1">
        <v>125.85</v>
      </c>
      <c r="BC49" s="1">
        <v>120.03</v>
      </c>
      <c r="BD49" s="1">
        <v>119.95</v>
      </c>
      <c r="BE49" s="1">
        <v>116.55</v>
      </c>
      <c r="BF49" s="1">
        <v>116.45</v>
      </c>
      <c r="BG49" s="1">
        <v>133.03</v>
      </c>
      <c r="BH49" s="1">
        <v>118.83</v>
      </c>
      <c r="BI49" s="1">
        <v>122.28</v>
      </c>
      <c r="BJ49" s="1">
        <v>128.44999999999999</v>
      </c>
      <c r="BK49" s="1">
        <v>109.16</v>
      </c>
      <c r="BL49" s="1">
        <v>109.38</v>
      </c>
      <c r="BN49" s="1">
        <v>109.33</v>
      </c>
    </row>
    <row r="50" spans="1:66" x14ac:dyDescent="0.3">
      <c r="A50" s="2" t="s">
        <v>46</v>
      </c>
      <c r="C50" s="14" t="str">
        <f t="shared" si="1"/>
        <v>20261</v>
      </c>
      <c r="D50" s="3">
        <v>46041</v>
      </c>
      <c r="E50" s="21">
        <v>1868.16</v>
      </c>
      <c r="F50" s="21">
        <v>1902.12</v>
      </c>
      <c r="G50" s="21">
        <v>1892.63</v>
      </c>
      <c r="H50" s="21">
        <v>1752.85</v>
      </c>
      <c r="I50" s="21">
        <v>1810.37</v>
      </c>
      <c r="J50" s="21">
        <v>1832.87</v>
      </c>
      <c r="K50" s="21">
        <v>1786.2</v>
      </c>
      <c r="L50" s="21">
        <v>1689.84</v>
      </c>
      <c r="M50" s="21">
        <v>1438.87</v>
      </c>
      <c r="N50" s="21">
        <v>1673.56</v>
      </c>
      <c r="O50" s="21">
        <v>1788.95</v>
      </c>
      <c r="P50" s="21">
        <v>1800.04</v>
      </c>
      <c r="Q50" s="21">
        <v>6646.97</v>
      </c>
      <c r="R50" s="20">
        <v>112.83</v>
      </c>
      <c r="S50" s="20">
        <v>98.65</v>
      </c>
      <c r="T50" s="21">
        <v>117.62</v>
      </c>
      <c r="V50" s="1">
        <v>112.49</v>
      </c>
      <c r="W50" s="1">
        <v>119.95</v>
      </c>
      <c r="X50" s="1">
        <v>122.21</v>
      </c>
      <c r="Y50" s="1">
        <v>114.84</v>
      </c>
      <c r="Z50" s="1">
        <v>114.98</v>
      </c>
      <c r="AA50" s="1">
        <v>117.91</v>
      </c>
      <c r="AB50" s="1">
        <v>120.45</v>
      </c>
      <c r="AE50" s="1">
        <v>129.5</v>
      </c>
      <c r="AF50" s="1">
        <v>124.63</v>
      </c>
      <c r="AG50" s="1">
        <v>103.88</v>
      </c>
      <c r="AN50" s="1">
        <v>4274.9799999999996</v>
      </c>
      <c r="AO50" s="1">
        <v>7</v>
      </c>
      <c r="AP50" s="1">
        <v>4203</v>
      </c>
      <c r="AQ50" s="1">
        <v>4314.5</v>
      </c>
      <c r="AR50" s="1">
        <v>4140.32</v>
      </c>
      <c r="AS50" s="1">
        <v>4244.1499999999996</v>
      </c>
      <c r="AT50" s="1">
        <v>4139.2</v>
      </c>
      <c r="AU50" s="1">
        <v>4238.58</v>
      </c>
      <c r="AW50" s="1">
        <v>4313.6099999999997</v>
      </c>
      <c r="AX50" s="1">
        <v>114.43</v>
      </c>
      <c r="AY50" s="1">
        <v>4212.7700000000004</v>
      </c>
      <c r="AZ50" s="1">
        <v>4339.8</v>
      </c>
      <c r="BA50" s="1">
        <v>109.77</v>
      </c>
      <c r="BB50" s="1">
        <v>128.11000000000001</v>
      </c>
      <c r="BC50" s="1">
        <v>121.96</v>
      </c>
      <c r="BD50" s="1">
        <v>120.96</v>
      </c>
      <c r="BE50" s="1">
        <v>118.23</v>
      </c>
      <c r="BF50" s="1">
        <v>116.45</v>
      </c>
      <c r="BG50" s="1">
        <v>133.03</v>
      </c>
      <c r="BH50" s="1">
        <v>118.99</v>
      </c>
      <c r="BI50" s="1">
        <v>122.78</v>
      </c>
      <c r="BJ50" s="1">
        <v>128.43</v>
      </c>
      <c r="BK50" s="1">
        <v>109.16</v>
      </c>
      <c r="BL50" s="1">
        <v>109.38</v>
      </c>
      <c r="BN50" s="1">
        <v>109.33</v>
      </c>
    </row>
    <row r="51" spans="1:66" x14ac:dyDescent="0.3">
      <c r="A51" s="2" t="s">
        <v>47</v>
      </c>
      <c r="C51" s="14" t="str">
        <f t="shared" si="1"/>
        <v>20261</v>
      </c>
      <c r="D51" s="3">
        <v>46038</v>
      </c>
      <c r="E51" s="21">
        <v>1857.36</v>
      </c>
      <c r="F51" s="21">
        <v>1902.12</v>
      </c>
      <c r="G51" s="21">
        <v>1892.63</v>
      </c>
      <c r="H51" s="21">
        <v>1752.85</v>
      </c>
      <c r="I51" s="21">
        <v>1810.37</v>
      </c>
      <c r="J51" s="21">
        <v>1831.45</v>
      </c>
      <c r="K51" s="21">
        <v>1798.6</v>
      </c>
      <c r="L51" s="21">
        <v>1666.62</v>
      </c>
      <c r="M51" s="21">
        <v>1443.72</v>
      </c>
      <c r="N51" s="21">
        <v>1675.93</v>
      </c>
      <c r="O51" s="21">
        <v>1788.95</v>
      </c>
      <c r="P51" s="21">
        <v>1776.13</v>
      </c>
      <c r="Q51" s="21">
        <v>6625.55</v>
      </c>
      <c r="R51" s="20">
        <v>112.83</v>
      </c>
      <c r="S51" s="20">
        <v>98.61</v>
      </c>
      <c r="T51" s="21">
        <v>118.49</v>
      </c>
      <c r="V51" s="1">
        <v>112.18</v>
      </c>
      <c r="W51" s="1">
        <v>119.9</v>
      </c>
      <c r="X51" s="1">
        <v>121.91</v>
      </c>
      <c r="Y51" s="1">
        <v>114.84</v>
      </c>
      <c r="Z51" s="1">
        <v>115.26</v>
      </c>
      <c r="AA51" s="1">
        <v>117.91</v>
      </c>
      <c r="AB51" s="1">
        <v>120.16</v>
      </c>
      <c r="AE51" s="1">
        <v>129.13999999999999</v>
      </c>
      <c r="AF51" s="1">
        <v>124.63</v>
      </c>
      <c r="AG51" s="1">
        <v>103.86</v>
      </c>
      <c r="AN51" s="1">
        <v>4274.9799999999996</v>
      </c>
      <c r="AO51" s="1">
        <v>7</v>
      </c>
      <c r="AP51" s="1">
        <v>4173.75</v>
      </c>
      <c r="AQ51" s="1">
        <v>4316.0200000000004</v>
      </c>
      <c r="AR51" s="1">
        <v>4125.49</v>
      </c>
      <c r="AS51" s="1">
        <v>4273.7</v>
      </c>
      <c r="AT51" s="1">
        <v>4180.08</v>
      </c>
      <c r="AU51" s="1">
        <v>4285.6499999999996</v>
      </c>
      <c r="AW51" s="1">
        <v>4348.66</v>
      </c>
      <c r="AX51" s="1">
        <v>114.43</v>
      </c>
      <c r="AY51" s="1">
        <v>4212.7700000000004</v>
      </c>
      <c r="AZ51" s="1">
        <v>4284.72</v>
      </c>
      <c r="BA51" s="1">
        <v>109.71</v>
      </c>
      <c r="BB51" s="1">
        <v>128.07</v>
      </c>
      <c r="BC51" s="1">
        <v>121.65</v>
      </c>
      <c r="BD51" s="1">
        <v>120.35</v>
      </c>
      <c r="BE51" s="1">
        <v>118.23</v>
      </c>
      <c r="BF51" s="1">
        <v>116.45</v>
      </c>
      <c r="BG51" s="1">
        <v>131.69999999999999</v>
      </c>
      <c r="BH51" s="1">
        <v>118.99</v>
      </c>
      <c r="BI51" s="1">
        <v>122.78</v>
      </c>
      <c r="BJ51" s="1">
        <v>128.37</v>
      </c>
      <c r="BK51" s="1">
        <v>109.16</v>
      </c>
      <c r="BL51" s="1">
        <v>109.38</v>
      </c>
      <c r="BN51" s="1">
        <v>109.33</v>
      </c>
    </row>
    <row r="52" spans="1:66" x14ac:dyDescent="0.3">
      <c r="A52" s="2" t="s">
        <v>48</v>
      </c>
      <c r="C52" s="14" t="str">
        <f t="shared" si="1"/>
        <v>20261</v>
      </c>
      <c r="D52" s="3">
        <v>46037</v>
      </c>
      <c r="E52" s="21">
        <v>1857.36</v>
      </c>
      <c r="F52" s="21">
        <v>1902.12</v>
      </c>
      <c r="G52" s="21">
        <v>1892.63</v>
      </c>
      <c r="H52" s="21">
        <v>1752.85</v>
      </c>
      <c r="I52" s="21">
        <v>1812.34</v>
      </c>
      <c r="J52" s="21">
        <v>1821.45</v>
      </c>
      <c r="K52" s="21">
        <v>1798.6</v>
      </c>
      <c r="L52" s="21">
        <v>1696.43</v>
      </c>
      <c r="M52" s="21">
        <v>1454.43</v>
      </c>
      <c r="N52" s="21">
        <v>1664.81</v>
      </c>
      <c r="O52" s="21">
        <v>1788.95</v>
      </c>
      <c r="P52" s="21">
        <v>1776.13</v>
      </c>
      <c r="Q52" s="21">
        <v>6419.28</v>
      </c>
      <c r="R52" s="20">
        <v>112.83</v>
      </c>
      <c r="S52" s="20">
        <v>98.53</v>
      </c>
      <c r="T52" s="21">
        <v>119.26</v>
      </c>
      <c r="V52" s="1">
        <v>112.17</v>
      </c>
      <c r="W52" s="1">
        <v>119.88</v>
      </c>
      <c r="X52" s="1">
        <v>122.01</v>
      </c>
      <c r="Y52" s="1">
        <v>114.84</v>
      </c>
      <c r="Z52" s="1">
        <v>115.26</v>
      </c>
      <c r="AA52" s="1">
        <v>117.08</v>
      </c>
      <c r="AB52" s="1">
        <v>120.39</v>
      </c>
      <c r="AE52" s="1">
        <v>129.47</v>
      </c>
      <c r="AF52" s="1">
        <v>123.86</v>
      </c>
      <c r="AG52" s="1">
        <v>103.72</v>
      </c>
      <c r="AN52" s="1">
        <v>4239.09</v>
      </c>
      <c r="AO52" s="1">
        <v>7</v>
      </c>
      <c r="AP52" s="1">
        <v>4173.75</v>
      </c>
      <c r="AR52" s="1">
        <v>4103.38</v>
      </c>
      <c r="AS52" s="1">
        <v>4273.7</v>
      </c>
      <c r="AT52" s="1">
        <v>4180.08</v>
      </c>
      <c r="AU52" s="1">
        <v>4285.6499999999996</v>
      </c>
      <c r="AW52" s="1">
        <v>4348.66</v>
      </c>
      <c r="AX52" s="1">
        <v>114.43</v>
      </c>
      <c r="AY52" s="1">
        <v>4195.57</v>
      </c>
      <c r="AZ52" s="1">
        <v>4274.7</v>
      </c>
      <c r="BA52" s="1">
        <v>109.69</v>
      </c>
      <c r="BB52" s="1">
        <v>128.24</v>
      </c>
      <c r="BC52" s="1">
        <v>120.84</v>
      </c>
      <c r="BD52" s="1">
        <v>119.83</v>
      </c>
      <c r="BE52" s="1">
        <v>118.23</v>
      </c>
      <c r="BF52" s="1">
        <v>116.45</v>
      </c>
      <c r="BG52" s="1">
        <v>132.1</v>
      </c>
      <c r="BH52" s="1">
        <v>118.49</v>
      </c>
      <c r="BI52" s="1">
        <v>122.78</v>
      </c>
      <c r="BJ52" s="1">
        <v>128.35</v>
      </c>
      <c r="BK52" s="1">
        <v>109.23</v>
      </c>
      <c r="BL52" s="1">
        <v>109.22</v>
      </c>
      <c r="BN52" s="1">
        <v>109.23</v>
      </c>
    </row>
    <row r="53" spans="1:66" x14ac:dyDescent="0.3">
      <c r="A53" s="2" t="s">
        <v>49</v>
      </c>
      <c r="C53" s="14" t="str">
        <f t="shared" si="1"/>
        <v>20261</v>
      </c>
      <c r="D53" s="3">
        <v>46036</v>
      </c>
      <c r="E53" s="21">
        <v>1857.36</v>
      </c>
      <c r="F53" s="21">
        <v>1902.12</v>
      </c>
      <c r="G53" s="21">
        <v>1892.63</v>
      </c>
      <c r="H53" s="21">
        <v>1758.56</v>
      </c>
      <c r="I53" s="21">
        <v>1812.34</v>
      </c>
      <c r="J53" s="21">
        <v>1803.35</v>
      </c>
      <c r="K53" s="21">
        <v>1812.89</v>
      </c>
      <c r="L53" s="21">
        <v>1696.43</v>
      </c>
      <c r="M53" s="21">
        <v>1474.84</v>
      </c>
      <c r="N53" s="21">
        <v>1657.01</v>
      </c>
      <c r="O53" s="21">
        <v>1755.05</v>
      </c>
      <c r="P53" s="21">
        <v>1790.42</v>
      </c>
      <c r="Q53" s="21">
        <v>6406.46</v>
      </c>
      <c r="R53" s="20">
        <v>112.08</v>
      </c>
      <c r="S53" s="20">
        <v>98.83</v>
      </c>
      <c r="T53" s="21">
        <v>119.83</v>
      </c>
      <c r="V53" s="1">
        <v>114.03</v>
      </c>
      <c r="W53" s="1">
        <v>119.46</v>
      </c>
      <c r="X53" s="1">
        <v>122.01</v>
      </c>
      <c r="Y53" s="1">
        <v>114.84</v>
      </c>
      <c r="Z53" s="1">
        <v>115.36</v>
      </c>
      <c r="AA53" s="1">
        <v>117.73</v>
      </c>
      <c r="AB53" s="1">
        <v>120.39</v>
      </c>
      <c r="AE53" s="1">
        <v>129.55000000000001</v>
      </c>
      <c r="AF53" s="1">
        <v>121.16</v>
      </c>
      <c r="AG53" s="1">
        <v>104.61</v>
      </c>
      <c r="AN53" s="1">
        <v>4239.09</v>
      </c>
      <c r="AO53" s="1">
        <v>7</v>
      </c>
      <c r="AP53" s="1">
        <v>4162.5</v>
      </c>
      <c r="AR53" s="1">
        <v>4132.3</v>
      </c>
      <c r="AS53" s="1">
        <v>4284.82</v>
      </c>
      <c r="AT53" s="1">
        <v>4230.58</v>
      </c>
      <c r="AU53" s="1">
        <v>4285.6499999999996</v>
      </c>
      <c r="AW53" s="1">
        <v>4322.09</v>
      </c>
      <c r="AY53" s="1">
        <v>4195.57</v>
      </c>
      <c r="AZ53" s="1">
        <v>4274.7</v>
      </c>
      <c r="BA53" s="1">
        <v>109.68</v>
      </c>
      <c r="BB53" s="1">
        <v>128.88</v>
      </c>
      <c r="BC53" s="1">
        <v>119.47</v>
      </c>
      <c r="BD53" s="1">
        <v>120.64</v>
      </c>
      <c r="BE53" s="1">
        <v>115.85</v>
      </c>
      <c r="BF53" s="1">
        <v>115.31</v>
      </c>
      <c r="BG53" s="1">
        <v>132.1</v>
      </c>
      <c r="BH53" s="1">
        <v>118.49</v>
      </c>
      <c r="BI53" s="1">
        <v>122.78</v>
      </c>
      <c r="BJ53" s="1">
        <v>127.14</v>
      </c>
      <c r="BK53" s="1">
        <v>109.76</v>
      </c>
      <c r="BL53" s="1">
        <v>109.62</v>
      </c>
      <c r="BN53" s="1">
        <v>109.78</v>
      </c>
    </row>
    <row r="54" spans="1:66" x14ac:dyDescent="0.3">
      <c r="A54" s="2" t="s">
        <v>50</v>
      </c>
      <c r="C54" s="14" t="str">
        <f t="shared" si="1"/>
        <v>20261</v>
      </c>
      <c r="D54" s="3">
        <v>46035</v>
      </c>
      <c r="E54" s="21">
        <v>1854.88</v>
      </c>
      <c r="F54" s="21">
        <v>1911.1</v>
      </c>
      <c r="G54" s="21">
        <v>1892.63</v>
      </c>
      <c r="H54" s="21">
        <v>1761.85</v>
      </c>
      <c r="I54" s="21">
        <v>1812.34</v>
      </c>
      <c r="J54" s="21">
        <v>1832.05</v>
      </c>
      <c r="K54" s="21">
        <v>1812.89</v>
      </c>
      <c r="L54" s="21">
        <v>1716.19</v>
      </c>
      <c r="M54" s="21">
        <v>1502.91</v>
      </c>
      <c r="N54" s="21">
        <v>1657.25</v>
      </c>
      <c r="O54" s="21">
        <v>1771.16</v>
      </c>
      <c r="P54" s="21">
        <v>1732.39</v>
      </c>
      <c r="Q54" s="21">
        <v>6406.46</v>
      </c>
      <c r="R54" s="20">
        <v>111.08</v>
      </c>
      <c r="S54" s="20">
        <v>101</v>
      </c>
      <c r="T54" s="21">
        <v>120.74</v>
      </c>
      <c r="V54" s="1">
        <v>114.86</v>
      </c>
      <c r="W54" s="1">
        <v>119.64</v>
      </c>
      <c r="X54" s="1">
        <v>122.31</v>
      </c>
      <c r="Y54" s="1">
        <v>115.01</v>
      </c>
      <c r="Z54" s="1">
        <v>115.36</v>
      </c>
      <c r="AA54" s="1">
        <v>116.11</v>
      </c>
      <c r="AB54" s="1">
        <v>120.8</v>
      </c>
      <c r="AE54" s="1">
        <v>130.13</v>
      </c>
      <c r="AF54" s="1">
        <v>122.99</v>
      </c>
      <c r="AG54" s="1">
        <v>105.01</v>
      </c>
      <c r="AN54" s="1">
        <v>4250.22</v>
      </c>
      <c r="AP54" s="1">
        <v>4217.7299999999996</v>
      </c>
      <c r="AQ54" s="1">
        <v>4401.55</v>
      </c>
      <c r="AR54" s="1">
        <v>4118.3900000000003</v>
      </c>
      <c r="AS54" s="1">
        <v>4311.25</v>
      </c>
      <c r="AT54" s="1">
        <v>4210.75</v>
      </c>
      <c r="AU54" s="1">
        <v>4317.03</v>
      </c>
      <c r="AW54" s="1">
        <v>4387.88</v>
      </c>
      <c r="AY54" s="1">
        <v>4223.3999999999996</v>
      </c>
      <c r="AZ54" s="1">
        <v>4274.7</v>
      </c>
      <c r="BA54" s="1">
        <v>110.48</v>
      </c>
      <c r="BB54" s="1">
        <v>129.28</v>
      </c>
      <c r="BC54" s="1">
        <v>122.28</v>
      </c>
      <c r="BD54" s="1">
        <v>120.39</v>
      </c>
      <c r="BE54" s="1">
        <v>116.87</v>
      </c>
      <c r="BF54" s="1">
        <v>114.65</v>
      </c>
      <c r="BG54" s="1">
        <v>132.69999999999999</v>
      </c>
      <c r="BH54" s="1">
        <v>120.63</v>
      </c>
      <c r="BI54" s="1">
        <v>122.65</v>
      </c>
      <c r="BJ54" s="1">
        <v>128.31</v>
      </c>
      <c r="BK54" s="1">
        <v>110.28</v>
      </c>
      <c r="BL54" s="1">
        <v>109.89</v>
      </c>
      <c r="BN54" s="1">
        <v>110.33</v>
      </c>
    </row>
    <row r="55" spans="1:66" x14ac:dyDescent="0.3">
      <c r="A55" s="2" t="s">
        <v>51</v>
      </c>
      <c r="C55" s="14" t="str">
        <f t="shared" si="1"/>
        <v>20261</v>
      </c>
      <c r="D55" s="3">
        <v>46034</v>
      </c>
      <c r="E55" s="21">
        <v>1864.81</v>
      </c>
      <c r="F55" s="21">
        <v>1942.61</v>
      </c>
      <c r="G55" s="21">
        <v>1900.04</v>
      </c>
      <c r="H55" s="21">
        <v>1737.55</v>
      </c>
      <c r="I55" s="21">
        <v>1812.34</v>
      </c>
      <c r="J55" s="21">
        <v>1822.87</v>
      </c>
      <c r="K55" s="21">
        <v>1793.98</v>
      </c>
      <c r="L55" s="21">
        <v>1712.9</v>
      </c>
      <c r="M55" s="21">
        <v>1493.85</v>
      </c>
      <c r="N55" s="21">
        <v>1675.04</v>
      </c>
      <c r="O55" s="21">
        <v>1768.53</v>
      </c>
      <c r="P55" s="21">
        <v>1735.14</v>
      </c>
      <c r="Q55" s="21">
        <v>6348.23</v>
      </c>
      <c r="R55" s="20">
        <v>113.33</v>
      </c>
      <c r="S55" s="20">
        <v>101.28</v>
      </c>
      <c r="T55" s="21">
        <v>120.73</v>
      </c>
      <c r="V55" s="1">
        <v>116.35</v>
      </c>
      <c r="W55" s="1">
        <v>120.82</v>
      </c>
      <c r="X55" s="1">
        <v>123.88</v>
      </c>
      <c r="Y55" s="1">
        <v>115.31</v>
      </c>
      <c r="Z55" s="1">
        <v>116.76</v>
      </c>
      <c r="AA55" s="1">
        <v>117.91</v>
      </c>
      <c r="AB55" s="1">
        <v>121.88</v>
      </c>
      <c r="AE55" s="1">
        <v>130.84</v>
      </c>
      <c r="AF55" s="1">
        <v>123.96</v>
      </c>
      <c r="AG55" s="1">
        <v>104.77</v>
      </c>
      <c r="AN55" s="1">
        <v>4250.22</v>
      </c>
      <c r="AP55" s="1">
        <v>4224.38</v>
      </c>
      <c r="AQ55" s="1">
        <v>4401.55</v>
      </c>
      <c r="AR55" s="1">
        <v>4192.91</v>
      </c>
      <c r="AS55" s="1">
        <v>4311.25</v>
      </c>
      <c r="AT55" s="1">
        <v>4210.75</v>
      </c>
      <c r="AU55" s="1">
        <v>4207.59</v>
      </c>
      <c r="AW55" s="1">
        <v>4372.7</v>
      </c>
      <c r="AY55" s="1">
        <v>4227.38</v>
      </c>
      <c r="AZ55" s="1">
        <v>4274.7</v>
      </c>
      <c r="BA55" s="1">
        <v>111.04</v>
      </c>
      <c r="BB55" s="1">
        <v>132.61000000000001</v>
      </c>
      <c r="BC55" s="1">
        <v>123.01</v>
      </c>
      <c r="BD55" s="1">
        <v>124.06</v>
      </c>
      <c r="BE55" s="1">
        <v>117.53</v>
      </c>
      <c r="BF55" s="1">
        <v>115.31</v>
      </c>
      <c r="BG55" s="1">
        <v>133.27000000000001</v>
      </c>
      <c r="BH55" s="1">
        <v>120.6</v>
      </c>
      <c r="BI55" s="1">
        <v>123.65</v>
      </c>
      <c r="BJ55" s="1">
        <v>128.29</v>
      </c>
      <c r="BK55" s="1">
        <v>109.83</v>
      </c>
      <c r="BL55" s="1">
        <v>109.72</v>
      </c>
      <c r="BN55" s="1">
        <v>110</v>
      </c>
    </row>
    <row r="56" spans="1:66" x14ac:dyDescent="0.3">
      <c r="A56" s="2" t="s">
        <v>52</v>
      </c>
      <c r="C56" s="14" t="str">
        <f t="shared" si="1"/>
        <v>20261</v>
      </c>
      <c r="D56" s="3">
        <v>46031</v>
      </c>
      <c r="E56" s="21">
        <v>1864.81</v>
      </c>
      <c r="F56" s="21">
        <v>1942.61</v>
      </c>
      <c r="G56" s="21">
        <v>1900.04</v>
      </c>
      <c r="H56" s="21">
        <v>1744.94</v>
      </c>
      <c r="I56" s="21">
        <v>1812.34</v>
      </c>
      <c r="J56" s="21">
        <v>1822.87</v>
      </c>
      <c r="K56" s="21">
        <v>1801.93</v>
      </c>
      <c r="L56" s="21">
        <v>1712.9</v>
      </c>
      <c r="M56" s="21">
        <v>1468.51</v>
      </c>
      <c r="N56" s="21">
        <v>1679.57</v>
      </c>
      <c r="O56" s="21">
        <v>1769.78</v>
      </c>
      <c r="P56" s="21">
        <v>1754.82</v>
      </c>
      <c r="Q56" s="21">
        <v>6348.23</v>
      </c>
      <c r="R56" s="20">
        <v>113.33</v>
      </c>
      <c r="S56" s="20">
        <v>101.24</v>
      </c>
      <c r="T56" s="21">
        <v>120.71</v>
      </c>
      <c r="V56" s="1">
        <v>115.52</v>
      </c>
      <c r="W56" s="1">
        <v>121.16</v>
      </c>
      <c r="X56" s="1">
        <v>123.99</v>
      </c>
      <c r="Y56" s="1">
        <v>114.94</v>
      </c>
      <c r="Z56" s="1">
        <v>115.98</v>
      </c>
      <c r="AA56" s="1">
        <v>117.46</v>
      </c>
      <c r="AB56" s="1">
        <v>123</v>
      </c>
      <c r="AE56" s="1">
        <v>131.32</v>
      </c>
      <c r="AF56" s="1">
        <v>125.65</v>
      </c>
      <c r="AG56" s="1">
        <v>104.76</v>
      </c>
      <c r="AN56" s="1">
        <v>4250.22</v>
      </c>
      <c r="AP56" s="1">
        <v>4278.33</v>
      </c>
      <c r="AQ56" s="1">
        <v>4347.1899999999996</v>
      </c>
      <c r="AR56" s="1">
        <v>4222.47</v>
      </c>
      <c r="AT56" s="1">
        <v>4190.51</v>
      </c>
      <c r="AU56" s="1">
        <v>4186.46</v>
      </c>
      <c r="AW56" s="1">
        <v>4372.7</v>
      </c>
      <c r="AY56" s="1">
        <v>4227.38</v>
      </c>
      <c r="AZ56" s="1">
        <v>4225.93</v>
      </c>
      <c r="BA56" s="1">
        <v>110.98</v>
      </c>
      <c r="BB56" s="1">
        <v>133.63999999999999</v>
      </c>
      <c r="BC56" s="1">
        <v>125.14</v>
      </c>
      <c r="BD56" s="1">
        <v>126.06</v>
      </c>
      <c r="BE56" s="1">
        <v>119.74</v>
      </c>
      <c r="BF56" s="1">
        <v>115.31</v>
      </c>
      <c r="BG56" s="1">
        <v>134.49</v>
      </c>
      <c r="BH56" s="1">
        <v>122.24</v>
      </c>
      <c r="BI56" s="1">
        <v>123.77</v>
      </c>
      <c r="BK56" s="1">
        <v>109.16</v>
      </c>
      <c r="BL56" s="1">
        <v>109.38</v>
      </c>
      <c r="BN56" s="1">
        <v>109.33</v>
      </c>
    </row>
    <row r="57" spans="1:66" x14ac:dyDescent="0.3">
      <c r="A57" s="2" t="s">
        <v>53</v>
      </c>
      <c r="C57" s="14" t="str">
        <f t="shared" si="1"/>
        <v>20261</v>
      </c>
      <c r="D57" s="3">
        <v>46030</v>
      </c>
      <c r="E57" s="21">
        <v>1859.84</v>
      </c>
      <c r="F57" s="21">
        <v>1933.63</v>
      </c>
      <c r="G57" s="21">
        <v>1900.04</v>
      </c>
      <c r="H57" s="21">
        <v>1732.1</v>
      </c>
      <c r="I57" s="21">
        <v>1832.1</v>
      </c>
      <c r="J57" s="21">
        <v>1820.05</v>
      </c>
      <c r="K57" s="21">
        <v>1801.93</v>
      </c>
      <c r="L57" s="21">
        <v>1709.6</v>
      </c>
      <c r="M57" s="21">
        <v>1468.51</v>
      </c>
      <c r="N57" s="21">
        <v>1679.08</v>
      </c>
      <c r="O57" s="21">
        <v>1762.44</v>
      </c>
      <c r="P57" s="21">
        <v>1730.57</v>
      </c>
      <c r="Q57" s="21">
        <v>6403.96</v>
      </c>
      <c r="R57" s="20">
        <v>113.33</v>
      </c>
      <c r="S57" s="20">
        <v>101.23</v>
      </c>
      <c r="T57" s="21">
        <v>120.71</v>
      </c>
      <c r="V57" s="1">
        <v>116.27</v>
      </c>
      <c r="W57" s="1">
        <v>120.64</v>
      </c>
      <c r="X57" s="1">
        <v>124.21</v>
      </c>
      <c r="Y57" s="1">
        <v>114.6</v>
      </c>
      <c r="Z57" s="1">
        <v>115.73</v>
      </c>
      <c r="AA57" s="1">
        <v>118.73</v>
      </c>
      <c r="AB57" s="1">
        <v>123.22</v>
      </c>
      <c r="AE57" s="1">
        <v>131.81</v>
      </c>
      <c r="AF57" s="1">
        <v>127.23</v>
      </c>
      <c r="AG57" s="1">
        <v>106.14</v>
      </c>
      <c r="AN57" s="1">
        <v>4250.22</v>
      </c>
      <c r="AP57" s="1">
        <v>4270.75</v>
      </c>
      <c r="AQ57" s="1">
        <v>4347.1899999999996</v>
      </c>
      <c r="AR57" s="1">
        <v>4222.47</v>
      </c>
      <c r="AT57" s="1">
        <v>4190.51</v>
      </c>
      <c r="AU57" s="1">
        <v>4207.45</v>
      </c>
      <c r="AW57" s="1">
        <v>4372.7</v>
      </c>
      <c r="AY57" s="1">
        <v>4227.38</v>
      </c>
      <c r="AZ57" s="1">
        <v>4225.93</v>
      </c>
      <c r="BA57" s="1">
        <v>110.96</v>
      </c>
      <c r="BB57" s="1">
        <v>131.83000000000001</v>
      </c>
      <c r="BC57" s="1">
        <v>122.85</v>
      </c>
      <c r="BD57" s="1">
        <v>124.89</v>
      </c>
      <c r="BE57" s="1">
        <v>115.35</v>
      </c>
      <c r="BF57" s="1">
        <v>117.94</v>
      </c>
      <c r="BG57" s="1">
        <v>135.09</v>
      </c>
      <c r="BH57" s="1">
        <v>122.24</v>
      </c>
      <c r="BI57" s="1">
        <v>123.77</v>
      </c>
      <c r="BK57" s="1">
        <v>108.5</v>
      </c>
      <c r="BL57" s="1">
        <v>108.72</v>
      </c>
      <c r="BN57" s="1">
        <v>108.66</v>
      </c>
    </row>
    <row r="58" spans="1:66" x14ac:dyDescent="0.3">
      <c r="A58" s="2" t="s">
        <v>54</v>
      </c>
      <c r="C58" s="14" t="str">
        <f t="shared" si="1"/>
        <v>20261</v>
      </c>
      <c r="D58" s="3">
        <v>46029</v>
      </c>
      <c r="E58" s="21">
        <v>1854.88</v>
      </c>
      <c r="F58" s="21">
        <v>1920.08</v>
      </c>
      <c r="G58" s="21">
        <v>1900.04</v>
      </c>
      <c r="H58" s="21">
        <v>1732.1</v>
      </c>
      <c r="I58" s="21">
        <v>1819.26</v>
      </c>
      <c r="J58" s="21">
        <v>1799.78</v>
      </c>
      <c r="K58" s="21">
        <v>1801.93</v>
      </c>
      <c r="L58" s="21">
        <v>1709.6</v>
      </c>
      <c r="M58" s="21">
        <v>1513.24</v>
      </c>
      <c r="N58" s="21">
        <v>1677.79</v>
      </c>
      <c r="O58" s="21">
        <v>1753.43</v>
      </c>
      <c r="P58" s="21">
        <v>1730.57</v>
      </c>
      <c r="Q58" s="21">
        <v>6398.04</v>
      </c>
      <c r="R58" s="20">
        <v>113.33</v>
      </c>
      <c r="S58" s="20">
        <v>101.01</v>
      </c>
      <c r="T58" s="21">
        <v>121.4</v>
      </c>
      <c r="V58" s="1">
        <v>116.4</v>
      </c>
      <c r="W58" s="1">
        <v>122.76</v>
      </c>
      <c r="X58" s="1">
        <v>124.21</v>
      </c>
      <c r="Y58" s="1">
        <v>113.95</v>
      </c>
      <c r="Z58" s="1">
        <v>118.07</v>
      </c>
      <c r="AA58" s="1">
        <v>118.02</v>
      </c>
      <c r="AB58" s="1">
        <v>123.34</v>
      </c>
      <c r="AE58" s="1">
        <v>131.81</v>
      </c>
      <c r="AF58" s="1">
        <v>126.8</v>
      </c>
      <c r="AG58" s="1">
        <v>104.7</v>
      </c>
      <c r="AN58" s="1">
        <v>4250.22</v>
      </c>
      <c r="AP58" s="1">
        <v>4270.75</v>
      </c>
      <c r="AQ58" s="1">
        <v>4347.1899999999996</v>
      </c>
      <c r="AR58" s="1">
        <v>4238.1899999999996</v>
      </c>
      <c r="AT58" s="1">
        <v>4190.51</v>
      </c>
      <c r="AU58" s="1">
        <v>4207.45</v>
      </c>
      <c r="AW58" s="1">
        <v>4372.7</v>
      </c>
      <c r="AY58" s="1">
        <v>4227.38</v>
      </c>
      <c r="AZ58" s="1">
        <v>4225.93</v>
      </c>
      <c r="BA58" s="1">
        <v>111.43</v>
      </c>
      <c r="BB58" s="1">
        <v>133.03</v>
      </c>
      <c r="BC58" s="1">
        <v>124.39</v>
      </c>
      <c r="BD58" s="1">
        <v>128.13999999999999</v>
      </c>
      <c r="BE58" s="1">
        <v>119.31</v>
      </c>
      <c r="BF58" s="1">
        <v>116.23</v>
      </c>
      <c r="BG58" s="1">
        <v>135.09</v>
      </c>
      <c r="BH58" s="1">
        <v>122.53</v>
      </c>
      <c r="BI58" s="1">
        <v>123.77</v>
      </c>
      <c r="BJ58" s="1">
        <v>128.53</v>
      </c>
      <c r="BK58" s="1">
        <v>108.5</v>
      </c>
      <c r="BL58" s="1">
        <v>108.72</v>
      </c>
      <c r="BN58" s="1">
        <v>108.66</v>
      </c>
    </row>
    <row r="59" spans="1:66" x14ac:dyDescent="0.3">
      <c r="A59" s="2" t="s">
        <v>55</v>
      </c>
      <c r="C59" s="14" t="str">
        <f t="shared" si="1"/>
        <v>20261</v>
      </c>
      <c r="D59" s="3">
        <v>46028</v>
      </c>
      <c r="E59" s="21">
        <v>1854.88</v>
      </c>
      <c r="F59" s="21">
        <v>1920.08</v>
      </c>
      <c r="G59" s="21">
        <v>1900.04</v>
      </c>
      <c r="H59" s="21">
        <v>1734.02</v>
      </c>
      <c r="I59" s="21">
        <v>1819.07</v>
      </c>
      <c r="J59" s="21">
        <v>1803.12</v>
      </c>
      <c r="K59" s="21">
        <v>1841.93</v>
      </c>
      <c r="L59" s="21">
        <v>1709.6</v>
      </c>
      <c r="M59" s="21">
        <v>1540.13</v>
      </c>
      <c r="N59" s="21">
        <v>1676.24</v>
      </c>
      <c r="O59" s="21">
        <v>1776.01</v>
      </c>
      <c r="P59" s="21">
        <v>1635.27</v>
      </c>
      <c r="Q59" s="21">
        <v>6547.86</v>
      </c>
      <c r="R59" s="20"/>
      <c r="S59" s="20">
        <v>101.47</v>
      </c>
      <c r="T59" s="21">
        <v>122.18</v>
      </c>
      <c r="V59" s="1">
        <v>116.78</v>
      </c>
      <c r="W59" s="1">
        <v>120.55</v>
      </c>
      <c r="X59" s="1">
        <v>124.98</v>
      </c>
      <c r="Y59" s="1">
        <v>113.95</v>
      </c>
      <c r="Z59" s="1">
        <v>117.82</v>
      </c>
      <c r="AA59" s="1">
        <v>117.64</v>
      </c>
      <c r="AB59" s="1">
        <v>124</v>
      </c>
      <c r="AE59" s="1">
        <v>133.31</v>
      </c>
      <c r="AF59" s="1">
        <v>128.04</v>
      </c>
      <c r="AG59" s="1">
        <v>105.62</v>
      </c>
      <c r="AP59" s="1">
        <v>4261.29</v>
      </c>
      <c r="AQ59" s="1">
        <v>4310.96</v>
      </c>
      <c r="AR59" s="1">
        <v>4238.1899999999996</v>
      </c>
      <c r="AT59" s="1">
        <v>4190.51</v>
      </c>
      <c r="AU59" s="1">
        <v>4207.45</v>
      </c>
      <c r="AY59" s="1">
        <v>4251.24</v>
      </c>
      <c r="AZ59" s="1">
        <v>4225.93</v>
      </c>
      <c r="BA59" s="1">
        <v>115.54</v>
      </c>
      <c r="BB59" s="1">
        <v>133.21</v>
      </c>
      <c r="BC59" s="1">
        <v>125.67</v>
      </c>
      <c r="BD59" s="1">
        <v>129.87</v>
      </c>
      <c r="BE59" s="1">
        <v>125.2</v>
      </c>
      <c r="BF59" s="1">
        <v>115.56</v>
      </c>
      <c r="BG59" s="1">
        <v>134.71</v>
      </c>
      <c r="BH59" s="1">
        <v>119.53</v>
      </c>
      <c r="BI59" s="1">
        <v>123.77</v>
      </c>
      <c r="BJ59" s="1">
        <v>128.82</v>
      </c>
      <c r="BK59" s="1">
        <v>108.17</v>
      </c>
      <c r="BL59" s="1">
        <v>108.38</v>
      </c>
      <c r="BN59" s="1">
        <v>108.62</v>
      </c>
    </row>
    <row r="60" spans="1:66" x14ac:dyDescent="0.3">
      <c r="A60" s="2" t="s">
        <v>56</v>
      </c>
      <c r="C60" s="14" t="str">
        <f t="shared" si="1"/>
        <v>20261</v>
      </c>
      <c r="D60" s="3">
        <v>46027</v>
      </c>
      <c r="E60" s="21">
        <v>1859.84</v>
      </c>
      <c r="F60" s="21">
        <v>1920.08</v>
      </c>
      <c r="G60" s="21">
        <v>1907.68</v>
      </c>
      <c r="H60" s="21">
        <v>1757.79</v>
      </c>
      <c r="I60" s="21">
        <v>1819.07</v>
      </c>
      <c r="J60" s="21">
        <v>1815.95</v>
      </c>
      <c r="K60" s="21">
        <v>1841.93</v>
      </c>
      <c r="L60" s="21">
        <v>1705.27</v>
      </c>
      <c r="M60" s="21">
        <v>1582.41</v>
      </c>
      <c r="N60" s="21">
        <v>1657.88</v>
      </c>
      <c r="O60" s="21">
        <v>1776.01</v>
      </c>
      <c r="P60" s="21">
        <v>1694.8</v>
      </c>
      <c r="Q60" s="21">
        <v>6531.37</v>
      </c>
      <c r="R60" s="20"/>
      <c r="S60" s="20">
        <v>104.18</v>
      </c>
      <c r="T60" s="21">
        <v>122.18</v>
      </c>
      <c r="V60" s="1">
        <v>116.56</v>
      </c>
      <c r="W60" s="1">
        <v>121.71</v>
      </c>
      <c r="X60" s="1">
        <v>125.28</v>
      </c>
      <c r="Y60" s="1">
        <v>113.33</v>
      </c>
      <c r="Z60" s="1">
        <v>118.23</v>
      </c>
      <c r="AA60" s="1">
        <v>120.35</v>
      </c>
      <c r="AB60" s="1">
        <v>124.93</v>
      </c>
      <c r="AE60" s="1">
        <v>132.38999999999999</v>
      </c>
      <c r="AF60" s="1">
        <v>132.87</v>
      </c>
      <c r="AG60" s="1">
        <v>113.12</v>
      </c>
      <c r="AI60" s="1">
        <v>30</v>
      </c>
      <c r="AN60" s="1">
        <v>4347.68</v>
      </c>
      <c r="AP60" s="1">
        <v>4257.8999999999996</v>
      </c>
      <c r="AQ60" s="1">
        <v>4310.96</v>
      </c>
      <c r="AR60" s="1">
        <v>4238.1899999999996</v>
      </c>
      <c r="AS60" s="1">
        <v>4187.13</v>
      </c>
      <c r="AT60" s="1">
        <v>4190.51</v>
      </c>
      <c r="AU60" s="1">
        <v>4230.8500000000004</v>
      </c>
      <c r="AW60" s="1">
        <v>4309.4399999999996</v>
      </c>
      <c r="AY60" s="1">
        <v>4190.51</v>
      </c>
      <c r="AZ60" s="1">
        <v>4225.93</v>
      </c>
      <c r="BA60" s="1">
        <v>115.56</v>
      </c>
      <c r="BB60" s="1">
        <v>136</v>
      </c>
      <c r="BC60" s="1">
        <v>122.04</v>
      </c>
      <c r="BD60" s="1">
        <v>125.51</v>
      </c>
      <c r="BE60" s="1">
        <v>126.78</v>
      </c>
      <c r="BF60" s="1">
        <v>121.93</v>
      </c>
      <c r="BG60" s="1">
        <v>135.91</v>
      </c>
      <c r="BH60" s="1">
        <v>119.53</v>
      </c>
      <c r="BI60" s="1">
        <v>124.77</v>
      </c>
      <c r="BJ60" s="1">
        <v>129.96</v>
      </c>
      <c r="BK60" s="1">
        <v>108.94</v>
      </c>
      <c r="BL60" s="1">
        <v>109.82</v>
      </c>
      <c r="BN60" s="1">
        <v>108.86</v>
      </c>
    </row>
    <row r="61" spans="1:66" x14ac:dyDescent="0.3">
      <c r="A61" s="2" t="s">
        <v>57</v>
      </c>
      <c r="C61" s="14" t="str">
        <f t="shared" si="1"/>
        <v>20261</v>
      </c>
      <c r="D61" s="3">
        <v>46024</v>
      </c>
      <c r="E61" s="21">
        <v>1869.77</v>
      </c>
      <c r="F61" s="21">
        <v>1911.1</v>
      </c>
      <c r="G61" s="21">
        <v>1887.69</v>
      </c>
      <c r="H61" s="21">
        <v>1722.38</v>
      </c>
      <c r="I61" s="21">
        <v>1794.44</v>
      </c>
      <c r="J61" s="21">
        <v>1853.14</v>
      </c>
      <c r="K61" s="21">
        <v>1841.93</v>
      </c>
      <c r="L61" s="21">
        <v>1708.88</v>
      </c>
      <c r="M61" s="21">
        <v>1585.38</v>
      </c>
      <c r="N61" s="21">
        <v>1685.99</v>
      </c>
      <c r="O61" s="21">
        <v>1786.33</v>
      </c>
      <c r="P61" s="21">
        <v>1733.61</v>
      </c>
      <c r="Q61" s="21">
        <v>6437.74</v>
      </c>
      <c r="R61" s="20">
        <v>114.92</v>
      </c>
      <c r="S61" s="20">
        <v>106.96</v>
      </c>
      <c r="T61" s="21">
        <v>123.32</v>
      </c>
      <c r="V61" s="1">
        <v>118.72</v>
      </c>
      <c r="W61" s="1">
        <v>124.51</v>
      </c>
      <c r="X61" s="1">
        <v>126.4</v>
      </c>
      <c r="Y61" s="1">
        <v>116.13</v>
      </c>
      <c r="Z61" s="1">
        <v>118.57</v>
      </c>
      <c r="AA61" s="1">
        <v>118.24</v>
      </c>
      <c r="AB61" s="1">
        <v>125.01</v>
      </c>
      <c r="AE61" s="1">
        <v>134.13999999999999</v>
      </c>
      <c r="AF61" s="1">
        <v>132.37</v>
      </c>
      <c r="AG61" s="1">
        <v>114.23</v>
      </c>
      <c r="AI61" s="1">
        <v>30</v>
      </c>
      <c r="AN61" s="1">
        <v>4347.68</v>
      </c>
      <c r="AP61" s="1">
        <v>4249</v>
      </c>
      <c r="AR61" s="1">
        <v>4238.1899999999996</v>
      </c>
      <c r="AS61" s="1">
        <v>4187.13</v>
      </c>
      <c r="AT61" s="1">
        <v>4190.51</v>
      </c>
      <c r="AU61" s="1">
        <v>4247.97</v>
      </c>
      <c r="AW61" s="1">
        <v>4272.0200000000004</v>
      </c>
      <c r="AX61" s="1">
        <v>115.15</v>
      </c>
      <c r="AY61" s="1">
        <v>4190.51</v>
      </c>
      <c r="BA61" s="1">
        <v>120.65</v>
      </c>
      <c r="BB61" s="1">
        <v>136.56</v>
      </c>
      <c r="BC61" s="1">
        <v>131.27000000000001</v>
      </c>
      <c r="BD61" s="1">
        <v>134.13999999999999</v>
      </c>
      <c r="BE61" s="1">
        <v>125.45</v>
      </c>
      <c r="BF61" s="1">
        <v>124.68</v>
      </c>
      <c r="BG61" s="1">
        <v>134.88999999999999</v>
      </c>
      <c r="BH61" s="1">
        <v>126.23</v>
      </c>
      <c r="BI61" s="1">
        <v>126.14</v>
      </c>
      <c r="BJ61" s="1">
        <v>134.54</v>
      </c>
      <c r="BK61" s="1">
        <v>109.82</v>
      </c>
      <c r="BL61" s="1">
        <v>111.14</v>
      </c>
      <c r="BN61" s="1">
        <v>109.58</v>
      </c>
    </row>
    <row r="62" spans="1:66" x14ac:dyDescent="0.3">
      <c r="A62" s="2" t="s">
        <v>58</v>
      </c>
      <c r="C62" s="14" t="str">
        <f t="shared" si="1"/>
        <v>202512</v>
      </c>
      <c r="D62" s="3">
        <v>46021</v>
      </c>
      <c r="E62" s="21">
        <v>1869.17</v>
      </c>
      <c r="F62" s="21">
        <v>1910.26</v>
      </c>
      <c r="G62" s="21">
        <v>1886.88</v>
      </c>
      <c r="H62" s="21">
        <v>1721.39</v>
      </c>
      <c r="I62" s="21">
        <v>1793.6</v>
      </c>
      <c r="J62" s="21">
        <v>1852.57</v>
      </c>
      <c r="K62" s="21">
        <v>1841.67</v>
      </c>
      <c r="L62" s="21">
        <v>1708.18</v>
      </c>
      <c r="M62" s="21">
        <v>1584.66</v>
      </c>
      <c r="N62" s="21">
        <v>1685.61</v>
      </c>
      <c r="O62" s="21">
        <v>1786.06</v>
      </c>
      <c r="P62" s="21">
        <v>1733.37</v>
      </c>
      <c r="Q62" s="21">
        <v>6437.13</v>
      </c>
      <c r="R62" s="20">
        <v>114.9</v>
      </c>
      <c r="S62" s="20">
        <v>106.94</v>
      </c>
      <c r="T62" s="21">
        <v>123.3</v>
      </c>
      <c r="V62" s="1">
        <v>118.84</v>
      </c>
      <c r="W62" s="1">
        <v>124.5</v>
      </c>
      <c r="X62" s="1">
        <v>126.39</v>
      </c>
      <c r="Y62" s="1">
        <v>115.98</v>
      </c>
      <c r="Z62" s="1">
        <v>118.94</v>
      </c>
      <c r="AA62" s="1">
        <v>118.22</v>
      </c>
      <c r="AB62" s="1">
        <v>125.01</v>
      </c>
      <c r="AE62" s="1">
        <v>134.11000000000001</v>
      </c>
      <c r="AF62" s="1">
        <v>132.31</v>
      </c>
      <c r="AG62" s="1">
        <v>114.22</v>
      </c>
      <c r="AI62" s="1">
        <v>30</v>
      </c>
      <c r="AN62" s="1">
        <v>4348.6400000000003</v>
      </c>
      <c r="AP62" s="1">
        <v>4248.51</v>
      </c>
      <c r="AQ62" s="1">
        <v>4314.3500000000004</v>
      </c>
      <c r="AR62" s="1">
        <v>4240.53</v>
      </c>
      <c r="AS62" s="1">
        <v>4189.4399999999996</v>
      </c>
      <c r="AT62" s="1">
        <v>4192.82</v>
      </c>
      <c r="AU62" s="1">
        <v>4289.03</v>
      </c>
      <c r="AW62" s="1">
        <v>4274.37</v>
      </c>
      <c r="AX62" s="1">
        <v>115.1</v>
      </c>
      <c r="AY62" s="1">
        <v>4221.68</v>
      </c>
      <c r="BA62" s="1">
        <v>120.62</v>
      </c>
      <c r="BB62" s="1">
        <v>136.77000000000001</v>
      </c>
      <c r="BC62" s="1">
        <v>131.72999999999999</v>
      </c>
      <c r="BD62" s="1">
        <v>134.05000000000001</v>
      </c>
      <c r="BE62" s="1">
        <v>125.4</v>
      </c>
      <c r="BF62" s="1">
        <v>124.67</v>
      </c>
      <c r="BG62" s="1">
        <v>134.86000000000001</v>
      </c>
      <c r="BH62" s="1">
        <v>126.22</v>
      </c>
      <c r="BI62" s="1">
        <v>126.13</v>
      </c>
      <c r="BJ62" s="1">
        <v>134.47</v>
      </c>
      <c r="BK62" s="1">
        <v>111.15</v>
      </c>
      <c r="BL62" s="1">
        <v>111.8</v>
      </c>
      <c r="BN62" s="1">
        <v>110.92</v>
      </c>
    </row>
    <row r="63" spans="1:66" x14ac:dyDescent="0.3">
      <c r="A63" s="2" t="s">
        <v>59</v>
      </c>
      <c r="C63" s="14" t="str">
        <f t="shared" si="1"/>
        <v>202512</v>
      </c>
      <c r="D63" s="3">
        <v>46020</v>
      </c>
      <c r="E63" s="21">
        <v>1869.17</v>
      </c>
      <c r="F63" s="21">
        <v>1910.26</v>
      </c>
      <c r="G63" s="21">
        <v>1886.88</v>
      </c>
      <c r="H63" s="21">
        <v>1721.39</v>
      </c>
      <c r="I63" s="21">
        <v>1793.6</v>
      </c>
      <c r="J63" s="21">
        <v>1852.57</v>
      </c>
      <c r="K63" s="21">
        <v>1841.67</v>
      </c>
      <c r="L63" s="21">
        <v>1708.18</v>
      </c>
      <c r="M63" s="21">
        <v>1584.66</v>
      </c>
      <c r="N63" s="21">
        <v>1683.35</v>
      </c>
      <c r="O63" s="21">
        <v>1786.06</v>
      </c>
      <c r="P63" s="21">
        <v>1733.37</v>
      </c>
      <c r="Q63" s="21">
        <v>6437.13</v>
      </c>
      <c r="R63" s="20">
        <v>114.9</v>
      </c>
      <c r="S63" s="20">
        <v>108.54</v>
      </c>
      <c r="T63" s="21">
        <v>123.3</v>
      </c>
      <c r="V63" s="1">
        <v>118.84</v>
      </c>
      <c r="W63" s="1">
        <v>123.56</v>
      </c>
      <c r="X63" s="1">
        <v>126.26</v>
      </c>
      <c r="Y63" s="1">
        <v>116.18</v>
      </c>
      <c r="Z63" s="1">
        <v>119.07</v>
      </c>
      <c r="AA63" s="1">
        <v>118.22</v>
      </c>
      <c r="AB63" s="1">
        <v>125.01</v>
      </c>
      <c r="AE63" s="1">
        <v>134.11000000000001</v>
      </c>
      <c r="AF63" s="1">
        <v>132.31</v>
      </c>
      <c r="AG63" s="1">
        <v>115.22</v>
      </c>
      <c r="AO63" s="1">
        <v>11</v>
      </c>
      <c r="AP63" s="1">
        <v>4248.51</v>
      </c>
      <c r="AQ63" s="1">
        <v>4314.3500000000004</v>
      </c>
      <c r="AR63" s="1">
        <v>4260.33</v>
      </c>
      <c r="AS63" s="1">
        <v>4186.0600000000004</v>
      </c>
      <c r="AT63" s="1">
        <v>4213.25</v>
      </c>
      <c r="AU63" s="1">
        <v>4265.16</v>
      </c>
      <c r="AW63" s="1">
        <v>4224.82</v>
      </c>
      <c r="AX63" s="1">
        <v>115.07</v>
      </c>
      <c r="AY63" s="1">
        <v>4240.92</v>
      </c>
      <c r="AZ63" s="1">
        <v>4224.46</v>
      </c>
      <c r="BA63" s="1">
        <v>120.62</v>
      </c>
      <c r="BB63" s="1">
        <v>137.85</v>
      </c>
      <c r="BC63" s="1">
        <v>131.93</v>
      </c>
      <c r="BD63" s="1">
        <v>134.08000000000001</v>
      </c>
      <c r="BE63" s="1">
        <v>125.4</v>
      </c>
      <c r="BF63" s="1">
        <v>124.67</v>
      </c>
      <c r="BG63" s="1">
        <v>134.86000000000001</v>
      </c>
      <c r="BH63" s="1">
        <v>126.22</v>
      </c>
      <c r="BI63" s="1">
        <v>126.13</v>
      </c>
      <c r="BJ63" s="1">
        <v>134.47</v>
      </c>
      <c r="BK63" s="1">
        <v>111.82</v>
      </c>
      <c r="BL63" s="1">
        <v>112.13</v>
      </c>
      <c r="BN63" s="1">
        <v>111.58</v>
      </c>
    </row>
    <row r="64" spans="1:66" x14ac:dyDescent="0.3">
      <c r="A64" s="2" t="s">
        <v>60</v>
      </c>
      <c r="C64" s="14" t="str">
        <f t="shared" si="1"/>
        <v>202512</v>
      </c>
      <c r="D64" s="3">
        <v>46017</v>
      </c>
      <c r="E64" s="21">
        <v>1869.17</v>
      </c>
      <c r="F64" s="21">
        <v>1906.67</v>
      </c>
      <c r="G64" s="21">
        <v>1886.88</v>
      </c>
      <c r="H64" s="21">
        <v>1721.39</v>
      </c>
      <c r="I64" s="21">
        <v>1793.6</v>
      </c>
      <c r="J64" s="21">
        <v>1852.57</v>
      </c>
      <c r="K64" s="21">
        <v>1841.67</v>
      </c>
      <c r="L64" s="21">
        <v>1708.18</v>
      </c>
      <c r="M64" s="21">
        <v>1584.66</v>
      </c>
      <c r="N64" s="21">
        <v>1683.35</v>
      </c>
      <c r="O64" s="21">
        <v>1786.06</v>
      </c>
      <c r="P64" s="21">
        <v>1733.37</v>
      </c>
      <c r="Q64" s="21">
        <v>6437.13</v>
      </c>
      <c r="R64" s="20">
        <v>114.9</v>
      </c>
      <c r="S64" s="20">
        <v>108.54</v>
      </c>
      <c r="T64" s="21">
        <v>123.3</v>
      </c>
      <c r="V64" s="1">
        <v>118.84</v>
      </c>
      <c r="W64" s="1">
        <v>123.56</v>
      </c>
      <c r="X64" s="1">
        <v>126.01</v>
      </c>
      <c r="Y64" s="1">
        <v>116.83</v>
      </c>
      <c r="Z64" s="1">
        <v>119.19</v>
      </c>
      <c r="AA64" s="1">
        <v>118.32</v>
      </c>
      <c r="AB64" s="1">
        <v>125.01</v>
      </c>
      <c r="AE64" s="1">
        <v>133.77000000000001</v>
      </c>
      <c r="AF64" s="1">
        <v>132.31</v>
      </c>
      <c r="AG64" s="1">
        <v>115.22</v>
      </c>
      <c r="AO64" s="1">
        <v>11</v>
      </c>
      <c r="AP64" s="1">
        <v>4248.51</v>
      </c>
      <c r="AQ64" s="1">
        <v>4314.3500000000004</v>
      </c>
      <c r="AS64" s="1">
        <v>4186.0600000000004</v>
      </c>
      <c r="AT64" s="1">
        <v>4233.6899999999996</v>
      </c>
      <c r="AU64" s="1">
        <v>4233.33</v>
      </c>
      <c r="AW64" s="1">
        <v>4196.1899999999996</v>
      </c>
      <c r="AX64" s="1">
        <v>115.01</v>
      </c>
      <c r="AY64" s="1">
        <v>4240.92</v>
      </c>
      <c r="AZ64" s="1">
        <v>4224.46</v>
      </c>
      <c r="BA64" s="1">
        <v>120.62</v>
      </c>
      <c r="BB64" s="1">
        <v>137.94</v>
      </c>
      <c r="BC64" s="1">
        <v>131.93</v>
      </c>
      <c r="BD64" s="1">
        <v>134.08000000000001</v>
      </c>
      <c r="BE64" s="1">
        <v>125.73</v>
      </c>
      <c r="BF64" s="1">
        <v>124.67</v>
      </c>
      <c r="BG64" s="1">
        <v>134.86000000000001</v>
      </c>
      <c r="BH64" s="1">
        <v>126.22</v>
      </c>
      <c r="BI64" s="1">
        <v>126.13</v>
      </c>
      <c r="BJ64" s="1">
        <v>134.47</v>
      </c>
      <c r="BK64" s="1">
        <v>113.15</v>
      </c>
      <c r="BL64" s="1">
        <v>112.8</v>
      </c>
      <c r="BN64" s="1">
        <v>112.92</v>
      </c>
    </row>
    <row r="65" spans="1:66" x14ac:dyDescent="0.3">
      <c r="A65" s="2" t="s">
        <v>61</v>
      </c>
      <c r="C65" s="14" t="str">
        <f t="shared" si="1"/>
        <v>202512</v>
      </c>
      <c r="D65" s="3">
        <v>46014</v>
      </c>
      <c r="E65" s="21">
        <v>1869.17</v>
      </c>
      <c r="F65" s="21">
        <v>1906.67</v>
      </c>
      <c r="G65" s="21">
        <v>1886.88</v>
      </c>
      <c r="H65" s="21">
        <v>1721.39</v>
      </c>
      <c r="I65" s="21">
        <v>1793.6</v>
      </c>
      <c r="J65" s="21">
        <v>1852.57</v>
      </c>
      <c r="K65" s="21">
        <v>1841.67</v>
      </c>
      <c r="L65" s="21">
        <v>1708.18</v>
      </c>
      <c r="M65" s="21">
        <v>1584.66</v>
      </c>
      <c r="N65" s="21">
        <v>1683.35</v>
      </c>
      <c r="O65" s="21">
        <v>1786.06</v>
      </c>
      <c r="P65" s="21">
        <v>1733.37</v>
      </c>
      <c r="Q65" s="21">
        <v>6437.13</v>
      </c>
      <c r="R65" s="20">
        <v>114.9</v>
      </c>
      <c r="S65" s="20">
        <v>106.94</v>
      </c>
      <c r="T65" s="21">
        <v>123.3</v>
      </c>
      <c r="V65" s="1">
        <v>118.84</v>
      </c>
      <c r="W65" s="1">
        <v>123.7</v>
      </c>
      <c r="X65" s="1">
        <v>126.01</v>
      </c>
      <c r="Y65" s="1">
        <v>116.83</v>
      </c>
      <c r="Z65" s="1">
        <v>119.19</v>
      </c>
      <c r="AA65" s="1">
        <v>118.32</v>
      </c>
      <c r="AB65" s="1">
        <v>125.01</v>
      </c>
      <c r="AE65" s="1">
        <v>133.77000000000001</v>
      </c>
      <c r="AF65" s="1">
        <v>132.31</v>
      </c>
      <c r="AG65" s="1">
        <v>114.22</v>
      </c>
      <c r="AN65" s="1">
        <v>4206.1099999999997</v>
      </c>
      <c r="AO65" s="1">
        <v>9.67</v>
      </c>
      <c r="AP65" s="1">
        <v>4260</v>
      </c>
      <c r="AQ65" s="1">
        <v>4397.7299999999996</v>
      </c>
      <c r="AR65" s="1">
        <v>4281.01</v>
      </c>
      <c r="AS65" s="1">
        <v>4186.0600000000004</v>
      </c>
      <c r="AT65" s="1">
        <v>4185.6499999999996</v>
      </c>
      <c r="AU65" s="1">
        <v>4233.33</v>
      </c>
      <c r="AV65" s="1">
        <v>30</v>
      </c>
      <c r="AW65" s="1">
        <v>4181.46</v>
      </c>
      <c r="AX65" s="1">
        <v>114.89</v>
      </c>
      <c r="AY65" s="1">
        <v>4240.92</v>
      </c>
      <c r="AZ65" s="1">
        <v>4303.09</v>
      </c>
      <c r="BA65" s="1">
        <v>120.62</v>
      </c>
      <c r="BB65" s="1">
        <v>137.59</v>
      </c>
      <c r="BC65" s="1">
        <v>131.99</v>
      </c>
      <c r="BD65" s="1">
        <v>134.19</v>
      </c>
      <c r="BE65" s="1">
        <v>125.73</v>
      </c>
      <c r="BF65" s="1">
        <v>124.67</v>
      </c>
      <c r="BG65" s="1">
        <v>134.86000000000001</v>
      </c>
      <c r="BH65" s="1">
        <v>126.22</v>
      </c>
      <c r="BI65" s="1">
        <v>126.13</v>
      </c>
      <c r="BJ65" s="1">
        <v>134.47</v>
      </c>
      <c r="BK65" s="1">
        <v>113.15</v>
      </c>
      <c r="BL65" s="1">
        <v>112.8</v>
      </c>
      <c r="BN65" s="1">
        <v>112.92</v>
      </c>
    </row>
    <row r="66" spans="1:66" x14ac:dyDescent="0.3">
      <c r="A66" s="2" t="s">
        <v>62</v>
      </c>
      <c r="C66" s="14" t="str">
        <f t="shared" si="1"/>
        <v>202512</v>
      </c>
      <c r="D66" s="3">
        <v>46013</v>
      </c>
      <c r="E66" s="21">
        <v>1869.17</v>
      </c>
      <c r="F66" s="21">
        <v>1910.26</v>
      </c>
      <c r="G66" s="21">
        <v>1886.88</v>
      </c>
      <c r="H66" s="21">
        <v>1721.39</v>
      </c>
      <c r="I66" s="21">
        <v>1803.47</v>
      </c>
      <c r="J66" s="21">
        <v>1833.87</v>
      </c>
      <c r="K66" s="21">
        <v>1841.67</v>
      </c>
      <c r="L66" s="21">
        <v>1708.18</v>
      </c>
      <c r="M66" s="21">
        <v>1584.66</v>
      </c>
      <c r="N66" s="21">
        <v>1685.53</v>
      </c>
      <c r="O66" s="21">
        <v>1781.12</v>
      </c>
      <c r="P66" s="21">
        <v>1733.37</v>
      </c>
      <c r="Q66" s="21">
        <v>6437.13</v>
      </c>
      <c r="R66" s="20">
        <v>114.9</v>
      </c>
      <c r="S66" s="20">
        <v>108.94</v>
      </c>
      <c r="T66" s="21">
        <v>123.3</v>
      </c>
      <c r="V66" s="1">
        <v>118.84</v>
      </c>
      <c r="W66" s="1">
        <v>123.7</v>
      </c>
      <c r="X66" s="1">
        <v>125.76</v>
      </c>
      <c r="Y66" s="1">
        <v>116.52</v>
      </c>
      <c r="Z66" s="1">
        <v>119.07</v>
      </c>
      <c r="AA66" s="1">
        <v>118.32</v>
      </c>
      <c r="AB66" s="1">
        <v>125.01</v>
      </c>
      <c r="AE66" s="1">
        <v>133.77000000000001</v>
      </c>
      <c r="AF66" s="1">
        <v>132.31</v>
      </c>
      <c r="AG66" s="1">
        <v>115.47</v>
      </c>
      <c r="AN66" s="1">
        <v>4237.9399999999996</v>
      </c>
      <c r="AO66" s="1">
        <v>7</v>
      </c>
      <c r="AP66" s="1">
        <v>4246.1099999999997</v>
      </c>
      <c r="AQ66" s="1">
        <v>4397.7299999999996</v>
      </c>
      <c r="AR66" s="1">
        <v>4281.01</v>
      </c>
      <c r="AS66" s="1">
        <v>4219.82</v>
      </c>
      <c r="AT66" s="1">
        <v>4089.55</v>
      </c>
      <c r="AU66" s="1">
        <v>4151.58</v>
      </c>
      <c r="AV66" s="1">
        <v>30</v>
      </c>
      <c r="AW66" s="1">
        <v>4220.3900000000003</v>
      </c>
      <c r="AX66" s="1">
        <v>114.65</v>
      </c>
      <c r="AY66" s="1">
        <v>4268.05</v>
      </c>
      <c r="AZ66" s="1">
        <v>4303.09</v>
      </c>
      <c r="BA66" s="1">
        <v>120.62</v>
      </c>
      <c r="BB66" s="1">
        <v>137.41999999999999</v>
      </c>
      <c r="BC66" s="1">
        <v>131.99</v>
      </c>
      <c r="BD66" s="1">
        <v>134.19</v>
      </c>
      <c r="BE66" s="1">
        <v>125.73</v>
      </c>
      <c r="BF66" s="1">
        <v>124.67</v>
      </c>
      <c r="BG66" s="1">
        <v>134.86000000000001</v>
      </c>
      <c r="BH66" s="1">
        <v>126.16</v>
      </c>
      <c r="BI66" s="1">
        <v>126.13</v>
      </c>
      <c r="BJ66" s="1">
        <v>134.47</v>
      </c>
      <c r="BK66" s="1">
        <v>112.48</v>
      </c>
      <c r="BL66" s="1">
        <v>112.8</v>
      </c>
      <c r="BN66" s="1">
        <v>112.25</v>
      </c>
    </row>
    <row r="67" spans="1:66" x14ac:dyDescent="0.3">
      <c r="A67" s="2" t="s">
        <v>63</v>
      </c>
      <c r="C67" s="14" t="str">
        <f t="shared" si="1"/>
        <v>202512</v>
      </c>
      <c r="D67" s="3">
        <v>46010</v>
      </c>
      <c r="E67" s="21">
        <v>1844.33</v>
      </c>
      <c r="F67" s="21">
        <v>1901.22</v>
      </c>
      <c r="G67" s="21">
        <v>1862.03</v>
      </c>
      <c r="H67" s="21">
        <v>1782.3</v>
      </c>
      <c r="I67" s="21">
        <v>1803.47</v>
      </c>
      <c r="J67" s="21">
        <v>1833.87</v>
      </c>
      <c r="K67" s="21">
        <v>1841.67</v>
      </c>
      <c r="L67" s="21">
        <v>1691.62</v>
      </c>
      <c r="M67" s="21">
        <v>1584.66</v>
      </c>
      <c r="N67" s="21">
        <v>1685.53</v>
      </c>
      <c r="O67" s="21">
        <v>1781.12</v>
      </c>
      <c r="P67" s="21">
        <v>1733.37</v>
      </c>
      <c r="Q67" s="21">
        <v>6437.13</v>
      </c>
      <c r="R67" s="20">
        <v>114.9</v>
      </c>
      <c r="S67" s="20">
        <v>108.54</v>
      </c>
      <c r="T67" s="21">
        <v>122.97</v>
      </c>
      <c r="V67" s="1">
        <v>118.84</v>
      </c>
      <c r="W67" s="1">
        <v>123.51</v>
      </c>
      <c r="X67" s="1">
        <v>125.76</v>
      </c>
      <c r="Y67" s="1">
        <v>116.83</v>
      </c>
      <c r="Z67" s="1">
        <v>119.19</v>
      </c>
      <c r="AA67" s="1">
        <v>118.32</v>
      </c>
      <c r="AB67" s="1">
        <v>124.94</v>
      </c>
      <c r="AE67" s="1">
        <v>133.77000000000001</v>
      </c>
      <c r="AF67" s="1">
        <v>132.31</v>
      </c>
      <c r="AG67" s="1">
        <v>115.22</v>
      </c>
      <c r="AL67" s="1">
        <v>30</v>
      </c>
      <c r="AN67" s="1">
        <v>4237.9399999999996</v>
      </c>
      <c r="AO67" s="1">
        <v>7</v>
      </c>
      <c r="AP67" s="1">
        <v>4246.1099999999997</v>
      </c>
      <c r="AQ67" s="1">
        <v>4367.5200000000004</v>
      </c>
      <c r="AR67" s="1">
        <v>4199.78</v>
      </c>
      <c r="AS67" s="1">
        <v>4219.82</v>
      </c>
      <c r="AT67" s="1">
        <v>4089.55</v>
      </c>
      <c r="AU67" s="1">
        <v>4150.28</v>
      </c>
      <c r="AV67" s="1">
        <v>30</v>
      </c>
      <c r="AW67" s="1">
        <v>4257.29</v>
      </c>
      <c r="AX67" s="1">
        <v>114.6</v>
      </c>
      <c r="AY67" s="1">
        <v>4268.05</v>
      </c>
      <c r="AZ67" s="1">
        <v>4296.99</v>
      </c>
      <c r="BA67" s="1">
        <v>120.62</v>
      </c>
      <c r="BB67" s="1">
        <v>137.12</v>
      </c>
      <c r="BC67" s="1">
        <v>132.13</v>
      </c>
      <c r="BD67" s="1">
        <v>134.08000000000001</v>
      </c>
      <c r="BE67" s="1">
        <v>125.73</v>
      </c>
      <c r="BF67" s="1">
        <v>124.67</v>
      </c>
      <c r="BG67" s="1">
        <v>134.86000000000001</v>
      </c>
      <c r="BH67" s="1">
        <v>126.16</v>
      </c>
      <c r="BI67" s="1">
        <v>126.13</v>
      </c>
      <c r="BJ67" s="1">
        <v>134.47</v>
      </c>
      <c r="BK67" s="1">
        <v>113.15</v>
      </c>
      <c r="BL67" s="1">
        <v>112.8</v>
      </c>
      <c r="BN67" s="1">
        <v>112.92</v>
      </c>
    </row>
    <row r="68" spans="1:66" x14ac:dyDescent="0.3">
      <c r="A68" s="2" t="s">
        <v>64</v>
      </c>
      <c r="C68" s="14" t="str">
        <f t="shared" si="1"/>
        <v>202512</v>
      </c>
      <c r="D68" s="3">
        <v>46009</v>
      </c>
      <c r="E68" s="21">
        <v>1849.29</v>
      </c>
      <c r="F68" s="21">
        <v>1901.22</v>
      </c>
      <c r="G68" s="21">
        <v>1854.63</v>
      </c>
      <c r="H68" s="21">
        <v>1757.57</v>
      </c>
      <c r="I68" s="21">
        <v>1803.47</v>
      </c>
      <c r="J68" s="21">
        <v>1853.79</v>
      </c>
      <c r="K68" s="21">
        <v>1770.08</v>
      </c>
      <c r="L68" s="21">
        <v>1686.68</v>
      </c>
      <c r="M68" s="21">
        <v>1604.82</v>
      </c>
      <c r="N68" s="21">
        <v>1686.35</v>
      </c>
      <c r="O68" s="21">
        <v>1772.82</v>
      </c>
      <c r="P68" s="21">
        <v>1733.37</v>
      </c>
      <c r="Q68" s="21">
        <v>6542.44</v>
      </c>
      <c r="R68" s="20">
        <v>114.9</v>
      </c>
      <c r="S68" s="20">
        <v>108.52</v>
      </c>
      <c r="T68" s="21">
        <v>123</v>
      </c>
      <c r="V68" s="1">
        <v>118.84</v>
      </c>
      <c r="W68" s="1">
        <v>123.35</v>
      </c>
      <c r="X68" s="1">
        <v>125.76</v>
      </c>
      <c r="Y68" s="1">
        <v>117</v>
      </c>
      <c r="Z68" s="1">
        <v>119.57</v>
      </c>
      <c r="AA68" s="1">
        <v>118.32</v>
      </c>
      <c r="AB68" s="1">
        <v>124.81</v>
      </c>
      <c r="AE68" s="1">
        <v>133.77000000000001</v>
      </c>
      <c r="AF68" s="1">
        <v>131.32</v>
      </c>
      <c r="AG68" s="1">
        <v>115.2</v>
      </c>
      <c r="AL68" s="1">
        <v>30</v>
      </c>
      <c r="AN68" s="1">
        <v>4250.3100000000004</v>
      </c>
      <c r="AO68" s="1">
        <v>7</v>
      </c>
      <c r="AP68" s="1">
        <v>4245</v>
      </c>
      <c r="AQ68" s="1">
        <v>4367.5200000000004</v>
      </c>
      <c r="AR68" s="1">
        <v>4199.78</v>
      </c>
      <c r="AS68" s="1">
        <v>4219.82</v>
      </c>
      <c r="AT68" s="1">
        <v>4089.55</v>
      </c>
      <c r="AU68" s="1">
        <v>4150.28</v>
      </c>
      <c r="AV68" s="1">
        <v>30</v>
      </c>
      <c r="AW68" s="1">
        <v>4257.29</v>
      </c>
      <c r="AX68" s="1">
        <v>114.51</v>
      </c>
      <c r="AY68" s="1">
        <v>4268.05</v>
      </c>
      <c r="AZ68" s="1">
        <v>4296.99</v>
      </c>
      <c r="BA68" s="1">
        <v>119.68</v>
      </c>
      <c r="BB68" s="1">
        <v>137.37</v>
      </c>
      <c r="BC68" s="1">
        <v>132.52000000000001</v>
      </c>
      <c r="BD68" s="1">
        <v>134.29</v>
      </c>
      <c r="BE68" s="1">
        <v>125.4</v>
      </c>
      <c r="BF68" s="1">
        <v>124.67</v>
      </c>
      <c r="BG68" s="1">
        <v>134.46</v>
      </c>
      <c r="BH68" s="1">
        <v>126.32</v>
      </c>
      <c r="BI68" s="1">
        <v>126.13</v>
      </c>
      <c r="BJ68" s="1">
        <v>134.46</v>
      </c>
      <c r="BK68" s="1">
        <v>113.15</v>
      </c>
      <c r="BL68" s="1">
        <v>112.8</v>
      </c>
      <c r="BN68" s="1">
        <v>112.92</v>
      </c>
    </row>
    <row r="69" spans="1:66" x14ac:dyDescent="0.3">
      <c r="A69" s="2" t="s">
        <v>65</v>
      </c>
      <c r="C69" s="14" t="str">
        <f t="shared" si="1"/>
        <v>202512</v>
      </c>
      <c r="D69" s="3">
        <v>46008</v>
      </c>
      <c r="E69" s="21">
        <v>1857.98</v>
      </c>
      <c r="F69" s="21">
        <v>1901.22</v>
      </c>
      <c r="G69" s="21">
        <v>1854.63</v>
      </c>
      <c r="H69" s="21">
        <v>1810.3</v>
      </c>
      <c r="I69" s="21">
        <v>1811.7</v>
      </c>
      <c r="J69" s="21">
        <v>1863.25</v>
      </c>
      <c r="K69" s="21">
        <v>1704.33</v>
      </c>
      <c r="L69" s="21">
        <v>1674.94</v>
      </c>
      <c r="M69" s="21">
        <v>1602.54</v>
      </c>
      <c r="N69" s="21">
        <v>1694.01</v>
      </c>
      <c r="O69" s="21">
        <v>1778.65</v>
      </c>
      <c r="P69" s="21">
        <v>1703.4</v>
      </c>
      <c r="Q69" s="21">
        <v>6481.3</v>
      </c>
      <c r="R69" s="20">
        <v>114.9</v>
      </c>
      <c r="S69" s="20">
        <v>108.5</v>
      </c>
      <c r="T69" s="21">
        <v>123.56</v>
      </c>
      <c r="V69" s="1">
        <v>118.84</v>
      </c>
      <c r="W69" s="1">
        <v>123.2</v>
      </c>
      <c r="X69" s="1">
        <v>124.89</v>
      </c>
      <c r="Y69" s="1">
        <v>116.89</v>
      </c>
      <c r="Z69" s="1">
        <v>119.57</v>
      </c>
      <c r="AA69" s="1">
        <v>118.32</v>
      </c>
      <c r="AB69" s="1">
        <v>124.05</v>
      </c>
      <c r="AE69" s="1">
        <v>133.11000000000001</v>
      </c>
      <c r="AF69" s="1">
        <v>131.32</v>
      </c>
      <c r="AG69" s="1">
        <v>119.15</v>
      </c>
      <c r="AL69" s="1">
        <v>30</v>
      </c>
      <c r="AN69" s="1">
        <v>4264.54</v>
      </c>
      <c r="AO69" s="1">
        <v>7</v>
      </c>
      <c r="AP69" s="1">
        <v>4245</v>
      </c>
      <c r="AQ69" s="1">
        <v>4367.5200000000004</v>
      </c>
      <c r="AR69" s="1">
        <v>4188</v>
      </c>
      <c r="AS69" s="1">
        <v>4209.0200000000004</v>
      </c>
      <c r="AT69" s="1">
        <v>4089.55</v>
      </c>
      <c r="AU69" s="1">
        <v>4150.28</v>
      </c>
      <c r="AW69" s="1">
        <v>4285.99</v>
      </c>
      <c r="AX69" s="1">
        <v>115.2</v>
      </c>
      <c r="AY69" s="1">
        <v>4251.3</v>
      </c>
      <c r="AZ69" s="1">
        <v>4330.7299999999996</v>
      </c>
      <c r="BA69" s="1">
        <v>119.66</v>
      </c>
      <c r="BB69" s="1">
        <v>137.08000000000001</v>
      </c>
      <c r="BC69" s="1">
        <v>132.47999999999999</v>
      </c>
      <c r="BD69" s="1">
        <v>133.87</v>
      </c>
      <c r="BE69" s="1">
        <v>125.07</v>
      </c>
      <c r="BF69" s="1">
        <v>123.28</v>
      </c>
      <c r="BG69" s="1">
        <v>134.75</v>
      </c>
      <c r="BH69" s="1">
        <v>126.17</v>
      </c>
      <c r="BI69" s="1">
        <v>126.64</v>
      </c>
      <c r="BJ69" s="1">
        <v>134.44999999999999</v>
      </c>
      <c r="BK69" s="1">
        <v>113.15</v>
      </c>
      <c r="BL69" s="1">
        <v>112.47</v>
      </c>
      <c r="BN69" s="1">
        <v>112.48</v>
      </c>
    </row>
    <row r="70" spans="1:66" x14ac:dyDescent="0.3">
      <c r="A70" s="2" t="s">
        <v>66</v>
      </c>
      <c r="C70" s="14" t="str">
        <f t="shared" ref="C70:C133" si="2">YEAR(D70)&amp;MONTH(D70)</f>
        <v>202512</v>
      </c>
      <c r="D70" s="3">
        <v>46007</v>
      </c>
      <c r="E70" s="21">
        <v>1851.77</v>
      </c>
      <c r="F70" s="21">
        <v>1874.69</v>
      </c>
      <c r="G70" s="21">
        <v>1842.29</v>
      </c>
      <c r="H70" s="21">
        <v>1784.77</v>
      </c>
      <c r="I70" s="21">
        <v>1778.29</v>
      </c>
      <c r="J70" s="21">
        <v>1824.43</v>
      </c>
      <c r="K70" s="21">
        <v>1593.59</v>
      </c>
      <c r="L70" s="21">
        <v>1696.7</v>
      </c>
      <c r="M70" s="21">
        <v>1602.54</v>
      </c>
      <c r="N70" s="21">
        <v>1675.18</v>
      </c>
      <c r="O70" s="21">
        <v>1768.41</v>
      </c>
      <c r="P70" s="21">
        <v>1655.09</v>
      </c>
      <c r="Q70" s="21">
        <v>6497.82</v>
      </c>
      <c r="R70" s="20">
        <v>114.9</v>
      </c>
      <c r="S70" s="20">
        <v>108.48</v>
      </c>
      <c r="T70" s="21">
        <v>123.55</v>
      </c>
      <c r="V70" s="1">
        <v>118.84</v>
      </c>
      <c r="W70" s="1">
        <v>123.18</v>
      </c>
      <c r="X70" s="1">
        <v>124.64</v>
      </c>
      <c r="Y70" s="1">
        <v>116.87</v>
      </c>
      <c r="Z70" s="1">
        <v>119.44</v>
      </c>
      <c r="AA70" s="1">
        <v>118.32</v>
      </c>
      <c r="AB70" s="1">
        <v>124</v>
      </c>
      <c r="AE70" s="1">
        <v>133.52000000000001</v>
      </c>
      <c r="AF70" s="1">
        <v>131.82</v>
      </c>
      <c r="AG70" s="1">
        <v>118.54</v>
      </c>
      <c r="AL70" s="1">
        <v>30</v>
      </c>
      <c r="AN70" s="1">
        <v>4314.3500000000004</v>
      </c>
      <c r="AO70" s="1">
        <v>7</v>
      </c>
      <c r="AP70" s="1">
        <v>4241.25</v>
      </c>
      <c r="AQ70" s="1">
        <v>4349.3900000000003</v>
      </c>
      <c r="AR70" s="1">
        <v>4234.68</v>
      </c>
      <c r="AS70" s="1">
        <v>4215.32</v>
      </c>
      <c r="AT70" s="1">
        <v>4182.03</v>
      </c>
      <c r="AU70" s="1">
        <v>4150.28</v>
      </c>
      <c r="AW70" s="1">
        <v>4285.99</v>
      </c>
      <c r="AX70" s="1">
        <v>116.57</v>
      </c>
      <c r="AY70" s="1">
        <v>4253.8999999999996</v>
      </c>
      <c r="AZ70" s="1">
        <v>4290.88</v>
      </c>
      <c r="BA70" s="1">
        <v>119.65</v>
      </c>
      <c r="BB70" s="1">
        <v>135.47</v>
      </c>
      <c r="BC70" s="1">
        <v>131.34</v>
      </c>
      <c r="BD70" s="1">
        <v>132.5</v>
      </c>
      <c r="BE70" s="1">
        <v>123.92</v>
      </c>
      <c r="BF70" s="1">
        <v>123.28</v>
      </c>
      <c r="BG70" s="1">
        <v>134.86000000000001</v>
      </c>
      <c r="BH70" s="1">
        <v>126.17</v>
      </c>
      <c r="BI70" s="1">
        <v>126</v>
      </c>
      <c r="BJ70" s="1">
        <v>134.52000000000001</v>
      </c>
      <c r="BK70" s="1">
        <v>112.48</v>
      </c>
      <c r="BL70" s="1">
        <v>112.47</v>
      </c>
      <c r="BN70" s="1">
        <v>112.25</v>
      </c>
    </row>
    <row r="71" spans="1:66" x14ac:dyDescent="0.3">
      <c r="A71" s="2" t="s">
        <v>67</v>
      </c>
      <c r="C71" s="14" t="str">
        <f t="shared" si="2"/>
        <v>202512</v>
      </c>
      <c r="D71" s="3">
        <v>46006</v>
      </c>
      <c r="E71" s="21">
        <v>1839.37</v>
      </c>
      <c r="F71" s="21">
        <v>1874.69</v>
      </c>
      <c r="G71" s="21">
        <v>1842.29</v>
      </c>
      <c r="H71" s="21">
        <v>1755.15</v>
      </c>
      <c r="I71" s="21">
        <v>1778.29</v>
      </c>
      <c r="J71" s="21">
        <v>1815.89</v>
      </c>
      <c r="K71" s="21">
        <v>1703.46</v>
      </c>
      <c r="L71" s="21">
        <v>1698.51</v>
      </c>
      <c r="M71" s="21">
        <v>1575.38</v>
      </c>
      <c r="N71" s="21">
        <v>1674.44</v>
      </c>
      <c r="O71" s="21">
        <v>1754.61</v>
      </c>
      <c r="P71" s="21">
        <v>1707.84</v>
      </c>
      <c r="Q71" s="21">
        <v>6418.97</v>
      </c>
      <c r="R71" s="20">
        <v>114.9</v>
      </c>
      <c r="S71" s="20">
        <v>109.06</v>
      </c>
      <c r="T71" s="21">
        <v>123.44</v>
      </c>
      <c r="V71" s="1">
        <v>118.96</v>
      </c>
      <c r="W71" s="1">
        <v>123.31</v>
      </c>
      <c r="X71" s="1">
        <v>124.64</v>
      </c>
      <c r="Y71" s="1">
        <v>116.68</v>
      </c>
      <c r="Z71" s="1">
        <v>119.32</v>
      </c>
      <c r="AA71" s="1">
        <v>118.62</v>
      </c>
      <c r="AB71" s="1">
        <v>124.16</v>
      </c>
      <c r="AE71" s="1">
        <v>133.94999999999999</v>
      </c>
      <c r="AF71" s="1">
        <v>132.33000000000001</v>
      </c>
      <c r="AG71" s="1">
        <v>119.63</v>
      </c>
      <c r="AL71" s="1">
        <v>30</v>
      </c>
      <c r="AO71" s="1">
        <v>7</v>
      </c>
      <c r="AP71" s="1">
        <v>4289</v>
      </c>
      <c r="AQ71" s="1">
        <v>4349.3900000000003</v>
      </c>
      <c r="AR71" s="1">
        <v>4234.68</v>
      </c>
      <c r="AS71" s="1">
        <v>4200.41</v>
      </c>
      <c r="AT71" s="1">
        <v>4127.6000000000004</v>
      </c>
      <c r="AU71" s="1">
        <v>4147.24</v>
      </c>
      <c r="AW71" s="1">
        <v>4285.99</v>
      </c>
      <c r="AX71" s="1">
        <v>119.31</v>
      </c>
      <c r="AY71" s="1">
        <v>4256.1099999999997</v>
      </c>
      <c r="AZ71" s="1">
        <v>4290.88</v>
      </c>
      <c r="BA71" s="1">
        <v>117.87</v>
      </c>
      <c r="BB71" s="1">
        <v>136.12</v>
      </c>
      <c r="BC71" s="1">
        <v>131.69999999999999</v>
      </c>
      <c r="BD71" s="1">
        <v>131.82</v>
      </c>
      <c r="BE71" s="1">
        <v>126.69</v>
      </c>
      <c r="BF71" s="1">
        <v>123.28</v>
      </c>
      <c r="BG71" s="1">
        <v>134.6</v>
      </c>
      <c r="BH71" s="1">
        <v>126.3</v>
      </c>
      <c r="BI71" s="1">
        <v>126.38</v>
      </c>
      <c r="BJ71" s="1">
        <v>135.09</v>
      </c>
      <c r="BK71" s="1">
        <v>112.48</v>
      </c>
      <c r="BL71" s="1">
        <v>113.47</v>
      </c>
      <c r="BN71" s="1">
        <v>112.25</v>
      </c>
    </row>
    <row r="72" spans="1:66" x14ac:dyDescent="0.3">
      <c r="A72" s="2" t="s">
        <v>68</v>
      </c>
      <c r="C72" s="14" t="str">
        <f t="shared" si="2"/>
        <v>202512</v>
      </c>
      <c r="D72" s="3">
        <v>46003</v>
      </c>
      <c r="E72" s="21">
        <v>1824.53</v>
      </c>
      <c r="F72" s="21">
        <v>1842.76</v>
      </c>
      <c r="G72" s="21">
        <v>1837.35</v>
      </c>
      <c r="H72" s="21">
        <v>1783.97</v>
      </c>
      <c r="I72" s="21">
        <v>1765.5</v>
      </c>
      <c r="J72" s="21">
        <v>1815.89</v>
      </c>
      <c r="K72" s="21">
        <v>1742.08</v>
      </c>
      <c r="L72" s="21">
        <v>1699.25</v>
      </c>
      <c r="M72" s="21">
        <v>1552.79</v>
      </c>
      <c r="N72" s="21">
        <v>1646.83</v>
      </c>
      <c r="O72" s="21">
        <v>1746.77</v>
      </c>
      <c r="P72" s="21">
        <v>1720.88</v>
      </c>
      <c r="Q72" s="21">
        <v>6480.35</v>
      </c>
      <c r="R72" s="20">
        <v>114.9</v>
      </c>
      <c r="S72" s="20">
        <v>109.6</v>
      </c>
      <c r="T72" s="21">
        <v>124.38</v>
      </c>
      <c r="V72" s="1">
        <v>119.4</v>
      </c>
      <c r="W72" s="1">
        <v>123.41</v>
      </c>
      <c r="X72" s="1">
        <v>125.39</v>
      </c>
      <c r="Y72" s="1">
        <v>118.07</v>
      </c>
      <c r="Z72" s="1">
        <v>120.07</v>
      </c>
      <c r="AA72" s="1">
        <v>118.62</v>
      </c>
      <c r="AB72" s="1">
        <v>124.63</v>
      </c>
      <c r="AE72" s="1">
        <v>134.22999999999999</v>
      </c>
      <c r="AF72" s="1">
        <v>133.86000000000001</v>
      </c>
      <c r="AG72" s="1">
        <v>118.66</v>
      </c>
      <c r="AO72" s="1">
        <v>7</v>
      </c>
      <c r="AP72" s="1">
        <v>4308.5</v>
      </c>
      <c r="AQ72" s="1">
        <v>4404.2299999999996</v>
      </c>
      <c r="AR72" s="1">
        <v>4234.68</v>
      </c>
      <c r="AS72" s="1">
        <v>4219.82</v>
      </c>
      <c r="AT72" s="1">
        <v>4127.6000000000004</v>
      </c>
      <c r="AW72" s="1">
        <v>4225.7299999999996</v>
      </c>
      <c r="AX72" s="1">
        <v>123.92</v>
      </c>
      <c r="AY72" s="1">
        <v>4256.1099999999997</v>
      </c>
      <c r="BA72" s="1">
        <v>119.65</v>
      </c>
      <c r="BB72" s="1">
        <v>135.79</v>
      </c>
      <c r="BC72" s="1">
        <v>132.36000000000001</v>
      </c>
      <c r="BD72" s="1">
        <v>133.29</v>
      </c>
      <c r="BE72" s="1">
        <v>127.63</v>
      </c>
      <c r="BF72" s="1">
        <v>123.28</v>
      </c>
      <c r="BG72" s="1">
        <v>135.07</v>
      </c>
      <c r="BH72" s="1">
        <v>127.58</v>
      </c>
      <c r="BI72" s="1">
        <v>126.5</v>
      </c>
      <c r="BJ72" s="1">
        <v>135.22</v>
      </c>
      <c r="BK72" s="1">
        <v>113.82</v>
      </c>
      <c r="BL72" s="1">
        <v>114.47</v>
      </c>
      <c r="BN72" s="1">
        <v>113.92</v>
      </c>
    </row>
    <row r="73" spans="1:66" x14ac:dyDescent="0.3">
      <c r="A73" s="2" t="s">
        <v>69</v>
      </c>
      <c r="C73" s="14" t="str">
        <f t="shared" si="2"/>
        <v>202512</v>
      </c>
      <c r="D73" s="3">
        <v>46002</v>
      </c>
      <c r="E73" s="21">
        <v>1831.93</v>
      </c>
      <c r="F73" s="21">
        <v>1852.91</v>
      </c>
      <c r="G73" s="21">
        <v>1837.35</v>
      </c>
      <c r="H73" s="21">
        <v>1762.56</v>
      </c>
      <c r="I73" s="21">
        <v>1744.78</v>
      </c>
      <c r="J73" s="21">
        <v>1808.85</v>
      </c>
      <c r="K73" s="21">
        <v>1742.08</v>
      </c>
      <c r="L73" s="21">
        <v>1666.03</v>
      </c>
      <c r="M73" s="21">
        <v>1517.96</v>
      </c>
      <c r="N73" s="21">
        <v>1645.7</v>
      </c>
      <c r="O73" s="21">
        <v>1747.49</v>
      </c>
      <c r="P73" s="21">
        <v>1713.4</v>
      </c>
      <c r="Q73" s="21">
        <v>6629.09</v>
      </c>
      <c r="R73" s="20">
        <v>115.23</v>
      </c>
      <c r="S73" s="20">
        <v>110.37</v>
      </c>
      <c r="T73" s="21">
        <v>125.2</v>
      </c>
      <c r="V73" s="1">
        <v>119.4</v>
      </c>
      <c r="W73" s="1">
        <v>125.67</v>
      </c>
      <c r="X73" s="1">
        <v>126.08</v>
      </c>
      <c r="Y73" s="1">
        <v>119.37</v>
      </c>
      <c r="Z73" s="1">
        <v>120.13</v>
      </c>
      <c r="AA73" s="1">
        <v>119.32</v>
      </c>
      <c r="AB73" s="1">
        <v>125.27</v>
      </c>
      <c r="AE73" s="1">
        <v>133.94</v>
      </c>
      <c r="AF73" s="1">
        <v>133.49</v>
      </c>
      <c r="AG73" s="1">
        <v>118.93</v>
      </c>
      <c r="AI73" s="1">
        <v>5</v>
      </c>
      <c r="AN73" s="1">
        <v>4194.07</v>
      </c>
      <c r="AO73" s="1">
        <v>7</v>
      </c>
      <c r="AP73" s="1">
        <v>4308.5</v>
      </c>
      <c r="AQ73" s="1">
        <v>4404.2299999999996</v>
      </c>
      <c r="AR73" s="1">
        <v>4321.4399999999996</v>
      </c>
      <c r="AS73" s="1">
        <v>4219.82</v>
      </c>
      <c r="AT73" s="1">
        <v>4161.9399999999996</v>
      </c>
      <c r="AW73" s="1">
        <v>4225.7299999999996</v>
      </c>
      <c r="AX73" s="1">
        <v>123.76</v>
      </c>
      <c r="AY73" s="1">
        <v>4256.1099999999997</v>
      </c>
      <c r="BA73" s="1">
        <v>119.9</v>
      </c>
      <c r="BB73" s="1">
        <v>136.88</v>
      </c>
      <c r="BC73" s="1">
        <v>132.75</v>
      </c>
      <c r="BD73" s="1">
        <v>133.41</v>
      </c>
      <c r="BE73" s="1">
        <v>127.38</v>
      </c>
      <c r="BF73" s="1">
        <v>123.28</v>
      </c>
      <c r="BG73" s="1">
        <v>134.66</v>
      </c>
      <c r="BH73" s="1">
        <v>127.46</v>
      </c>
      <c r="BI73" s="1">
        <v>126.5</v>
      </c>
      <c r="BJ73" s="1">
        <v>135.19</v>
      </c>
      <c r="BK73" s="1">
        <v>114.48</v>
      </c>
      <c r="BL73" s="1">
        <v>114.8</v>
      </c>
      <c r="BN73" s="1">
        <v>114.58</v>
      </c>
    </row>
    <row r="74" spans="1:66" x14ac:dyDescent="0.3">
      <c r="A74" s="2" t="s">
        <v>70</v>
      </c>
      <c r="C74" s="14" t="str">
        <f t="shared" si="2"/>
        <v>202512</v>
      </c>
      <c r="D74" s="3">
        <v>46001</v>
      </c>
      <c r="E74" s="21">
        <v>1824.47</v>
      </c>
      <c r="F74" s="21">
        <v>1829.24</v>
      </c>
      <c r="G74" s="21">
        <v>1829.94</v>
      </c>
      <c r="H74" s="21">
        <v>1762.56</v>
      </c>
      <c r="I74" s="21">
        <v>1778.66</v>
      </c>
      <c r="J74" s="21">
        <v>1803.14</v>
      </c>
      <c r="K74" s="21">
        <v>1701.48</v>
      </c>
      <c r="L74" s="21">
        <v>1666.03</v>
      </c>
      <c r="M74" s="21">
        <v>1517.96</v>
      </c>
      <c r="N74" s="21">
        <v>1672.12</v>
      </c>
      <c r="O74" s="21">
        <v>1742.97</v>
      </c>
      <c r="P74" s="21">
        <v>1680.09</v>
      </c>
      <c r="Q74" s="21">
        <v>6782.05</v>
      </c>
      <c r="R74" s="20">
        <v>115.23</v>
      </c>
      <c r="S74" s="20">
        <v>110.65</v>
      </c>
      <c r="T74" s="21">
        <v>126.11</v>
      </c>
      <c r="V74" s="1">
        <v>119.4</v>
      </c>
      <c r="W74" s="1">
        <v>125.29</v>
      </c>
      <c r="X74" s="1">
        <v>125.89</v>
      </c>
      <c r="Y74" s="1">
        <v>119.15</v>
      </c>
      <c r="Z74" s="1">
        <v>120.88</v>
      </c>
      <c r="AA74" s="1">
        <v>119.32</v>
      </c>
      <c r="AB74" s="1">
        <v>125.18</v>
      </c>
      <c r="AE74" s="1">
        <v>134.07</v>
      </c>
      <c r="AF74" s="1">
        <v>132.47999999999999</v>
      </c>
      <c r="AG74" s="1">
        <v>118.8</v>
      </c>
      <c r="AI74" s="1">
        <v>5</v>
      </c>
      <c r="AN74" s="1">
        <v>4231.3500000000004</v>
      </c>
      <c r="AO74" s="1">
        <v>7</v>
      </c>
      <c r="AP74" s="1">
        <v>4308.5</v>
      </c>
      <c r="AQ74" s="1">
        <v>4404.2299999999996</v>
      </c>
      <c r="AR74" s="1">
        <v>4386.51</v>
      </c>
      <c r="AS74" s="1">
        <v>4234.25</v>
      </c>
      <c r="AT74" s="1">
        <v>4188.26</v>
      </c>
      <c r="AW74" s="1">
        <v>4267.46</v>
      </c>
      <c r="AX74" s="1">
        <v>123.72</v>
      </c>
      <c r="AY74" s="1">
        <v>4305.91</v>
      </c>
      <c r="BA74" s="1">
        <v>120.14</v>
      </c>
      <c r="BB74" s="1">
        <v>135.65</v>
      </c>
      <c r="BC74" s="1">
        <v>132.86000000000001</v>
      </c>
      <c r="BD74" s="1">
        <v>133.59</v>
      </c>
      <c r="BE74" s="1">
        <v>127.18</v>
      </c>
      <c r="BF74" s="1">
        <v>123.28</v>
      </c>
      <c r="BG74" s="1">
        <v>134.51</v>
      </c>
      <c r="BH74" s="1">
        <v>127.6</v>
      </c>
      <c r="BI74" s="1">
        <v>126.5</v>
      </c>
      <c r="BJ74" s="1">
        <v>135.16999999999999</v>
      </c>
      <c r="BK74" s="1">
        <v>115.72</v>
      </c>
      <c r="BL74" s="1">
        <v>115.13</v>
      </c>
      <c r="BN74" s="1">
        <v>115.58</v>
      </c>
    </row>
    <row r="75" spans="1:66" x14ac:dyDescent="0.3">
      <c r="A75" s="2" t="s">
        <v>71</v>
      </c>
      <c r="C75" s="14" t="str">
        <f t="shared" si="2"/>
        <v>202512</v>
      </c>
      <c r="D75" s="3">
        <v>46000</v>
      </c>
      <c r="E75" s="21">
        <v>1837.81</v>
      </c>
      <c r="F75" s="21">
        <v>1829.24</v>
      </c>
      <c r="G75" s="21">
        <v>1835.78</v>
      </c>
      <c r="H75" s="21">
        <v>1764.18</v>
      </c>
      <c r="I75" s="21">
        <v>1778.66</v>
      </c>
      <c r="J75" s="21">
        <v>1773.57</v>
      </c>
      <c r="K75" s="21">
        <v>1722.2</v>
      </c>
      <c r="L75" s="21">
        <v>1669.07</v>
      </c>
      <c r="M75" s="21">
        <v>1512.51</v>
      </c>
      <c r="N75" s="21">
        <v>1644.47</v>
      </c>
      <c r="O75" s="21">
        <v>1742.16</v>
      </c>
      <c r="P75" s="21">
        <v>1752.44</v>
      </c>
      <c r="Q75" s="21">
        <v>6678.55</v>
      </c>
      <c r="R75" s="20">
        <v>115.56</v>
      </c>
      <c r="S75" s="20">
        <v>110.83</v>
      </c>
      <c r="T75" s="21">
        <v>126.13</v>
      </c>
      <c r="V75" s="1">
        <v>119.21</v>
      </c>
      <c r="W75" s="1">
        <v>124.66</v>
      </c>
      <c r="X75" s="1">
        <v>125.93</v>
      </c>
      <c r="Y75" s="1">
        <v>120.06</v>
      </c>
      <c r="Z75" s="1">
        <v>121.13</v>
      </c>
      <c r="AA75" s="1">
        <v>119.32</v>
      </c>
      <c r="AB75" s="1">
        <v>124.92</v>
      </c>
      <c r="AE75" s="1">
        <v>134.47</v>
      </c>
      <c r="AF75" s="1">
        <v>133.13999999999999</v>
      </c>
      <c r="AG75" s="1">
        <v>117.1</v>
      </c>
      <c r="AI75" s="1">
        <v>5</v>
      </c>
      <c r="AN75" s="1">
        <v>4231.3500000000004</v>
      </c>
      <c r="AP75" s="1">
        <v>4279.1099999999997</v>
      </c>
      <c r="AQ75" s="1">
        <v>4404.2299999999996</v>
      </c>
      <c r="AR75" s="1">
        <v>4316.88</v>
      </c>
      <c r="AS75" s="1">
        <v>4208.16</v>
      </c>
      <c r="AT75" s="1">
        <v>4190.28</v>
      </c>
      <c r="AW75" s="1">
        <v>4267.46</v>
      </c>
      <c r="AX75" s="1">
        <v>123.41</v>
      </c>
      <c r="AY75" s="1">
        <v>4305.91</v>
      </c>
      <c r="BA75" s="1">
        <v>118.84</v>
      </c>
      <c r="BB75" s="1">
        <v>135.6</v>
      </c>
      <c r="BC75" s="1">
        <v>132.68</v>
      </c>
      <c r="BD75" s="1">
        <v>133.41</v>
      </c>
      <c r="BE75" s="1">
        <v>127.18</v>
      </c>
      <c r="BF75" s="1">
        <v>126.17</v>
      </c>
      <c r="BG75" s="1">
        <v>133.94</v>
      </c>
      <c r="BH75" s="1">
        <v>125.17</v>
      </c>
      <c r="BI75" s="1">
        <v>126.5</v>
      </c>
      <c r="BJ75" s="1">
        <v>134.35</v>
      </c>
      <c r="BK75" s="1">
        <v>116.05</v>
      </c>
      <c r="BL75" s="1">
        <v>115.47</v>
      </c>
      <c r="BN75" s="1">
        <v>115.92</v>
      </c>
    </row>
    <row r="76" spans="1:66" x14ac:dyDescent="0.3">
      <c r="A76" s="2" t="s">
        <v>72</v>
      </c>
      <c r="C76" s="14" t="str">
        <f t="shared" si="2"/>
        <v>202512</v>
      </c>
      <c r="D76" s="3">
        <v>45999</v>
      </c>
      <c r="E76" s="21">
        <v>1837.81</v>
      </c>
      <c r="F76" s="21">
        <v>1829.5</v>
      </c>
      <c r="G76" s="21">
        <v>1830.84</v>
      </c>
      <c r="H76" s="21">
        <v>1780.68</v>
      </c>
      <c r="I76" s="21">
        <v>1777.84</v>
      </c>
      <c r="J76" s="21">
        <v>1782.16</v>
      </c>
      <c r="K76" s="21">
        <v>1722.2</v>
      </c>
      <c r="L76" s="21">
        <v>1676.01</v>
      </c>
      <c r="M76" s="21">
        <v>1518.54</v>
      </c>
      <c r="N76" s="21">
        <v>1654.21</v>
      </c>
      <c r="O76" s="21">
        <v>1742.97</v>
      </c>
      <c r="P76" s="21">
        <v>1759.82</v>
      </c>
      <c r="Q76" s="21">
        <v>6617.11</v>
      </c>
      <c r="R76" s="20"/>
      <c r="S76" s="20">
        <v>110.93</v>
      </c>
      <c r="T76" s="21">
        <v>126.98</v>
      </c>
      <c r="V76" s="1">
        <v>119.15</v>
      </c>
      <c r="W76" s="1">
        <v>124.64</v>
      </c>
      <c r="X76" s="1">
        <v>125.93</v>
      </c>
      <c r="Y76" s="1">
        <v>120.58</v>
      </c>
      <c r="Z76" s="1">
        <v>121.88</v>
      </c>
      <c r="AA76" s="1">
        <v>119.95</v>
      </c>
      <c r="AB76" s="1">
        <v>124.49</v>
      </c>
      <c r="AE76" s="1">
        <v>133.66999999999999</v>
      </c>
      <c r="AF76" s="1">
        <v>133.13999999999999</v>
      </c>
      <c r="AG76" s="1">
        <v>117.68</v>
      </c>
      <c r="AI76" s="1">
        <v>5</v>
      </c>
      <c r="AN76" s="1">
        <v>4231.3500000000004</v>
      </c>
      <c r="AP76" s="1">
        <v>4316</v>
      </c>
      <c r="AR76" s="1">
        <v>4339.1000000000004</v>
      </c>
      <c r="AS76" s="1">
        <v>4198.33</v>
      </c>
      <c r="AT76" s="1">
        <v>4219.82</v>
      </c>
      <c r="AU76" s="1">
        <v>4204.46</v>
      </c>
      <c r="AW76" s="1">
        <v>4309.18</v>
      </c>
      <c r="AX76" s="1">
        <v>123.25</v>
      </c>
      <c r="AY76" s="1">
        <v>4323.21</v>
      </c>
      <c r="AZ76" s="1">
        <v>4404.08</v>
      </c>
      <c r="BA76" s="1">
        <v>119.7</v>
      </c>
      <c r="BB76" s="1">
        <v>135.93</v>
      </c>
      <c r="BC76" s="1">
        <v>132.80000000000001</v>
      </c>
      <c r="BD76" s="1">
        <v>133.56</v>
      </c>
      <c r="BE76" s="1">
        <v>127.18</v>
      </c>
      <c r="BF76" s="1">
        <v>126.67</v>
      </c>
      <c r="BG76" s="1">
        <v>133.93</v>
      </c>
      <c r="BH76" s="1">
        <v>125.17</v>
      </c>
      <c r="BI76" s="1">
        <v>126.13</v>
      </c>
      <c r="BJ76" s="1">
        <v>133.13999999999999</v>
      </c>
      <c r="BK76" s="1">
        <v>116.05</v>
      </c>
      <c r="BL76" s="1">
        <v>115.8</v>
      </c>
      <c r="BN76" s="1">
        <v>115.92</v>
      </c>
    </row>
    <row r="77" spans="1:66" x14ac:dyDescent="0.3">
      <c r="A77" s="2" t="s">
        <v>73</v>
      </c>
      <c r="C77" s="14" t="str">
        <f t="shared" si="2"/>
        <v>202512</v>
      </c>
      <c r="D77" s="3">
        <v>45996</v>
      </c>
      <c r="E77" s="21">
        <v>1840.24</v>
      </c>
      <c r="F77" s="21">
        <v>1827.77</v>
      </c>
      <c r="G77" s="21">
        <v>1830.84</v>
      </c>
      <c r="H77" s="21">
        <v>1780.68</v>
      </c>
      <c r="I77" s="21">
        <v>1774.67</v>
      </c>
      <c r="J77" s="21">
        <v>1793.85</v>
      </c>
      <c r="K77" s="21">
        <v>1710.2</v>
      </c>
      <c r="L77" s="21">
        <v>1676.01</v>
      </c>
      <c r="M77" s="21">
        <v>1518.54</v>
      </c>
      <c r="N77" s="21">
        <v>1645.43</v>
      </c>
      <c r="O77" s="21">
        <v>1744.79</v>
      </c>
      <c r="P77" s="21">
        <v>1755.82</v>
      </c>
      <c r="Q77" s="21">
        <v>6796</v>
      </c>
      <c r="R77" s="20"/>
      <c r="S77" s="20">
        <v>110.83</v>
      </c>
      <c r="T77" s="21">
        <v>126.2</v>
      </c>
      <c r="V77" s="1">
        <v>119.55</v>
      </c>
      <c r="W77" s="1">
        <v>123.85</v>
      </c>
      <c r="X77" s="1">
        <v>125.17</v>
      </c>
      <c r="Y77" s="1">
        <v>119.96</v>
      </c>
      <c r="Z77" s="1">
        <v>120.86</v>
      </c>
      <c r="AA77" s="1">
        <v>119.95</v>
      </c>
      <c r="AB77" s="1">
        <v>124.24</v>
      </c>
      <c r="AE77" s="1">
        <v>133.22</v>
      </c>
      <c r="AF77" s="1">
        <v>131.82</v>
      </c>
      <c r="AG77" s="1">
        <v>117.46</v>
      </c>
      <c r="AI77" s="1">
        <v>5</v>
      </c>
      <c r="AN77" s="1">
        <v>4231.3500000000004</v>
      </c>
      <c r="AP77" s="1">
        <v>4313.8</v>
      </c>
      <c r="AR77" s="1">
        <v>4339.1000000000004</v>
      </c>
      <c r="AS77" s="1">
        <v>4198.33</v>
      </c>
      <c r="AT77" s="1">
        <v>4176.16</v>
      </c>
      <c r="AU77" s="1">
        <v>4204.46</v>
      </c>
      <c r="AW77" s="1">
        <v>4309.18</v>
      </c>
      <c r="AX77" s="1">
        <v>118.74</v>
      </c>
      <c r="AY77" s="1">
        <v>4323.21</v>
      </c>
      <c r="AZ77" s="1">
        <v>4404.08</v>
      </c>
      <c r="BA77" s="1">
        <v>122.46</v>
      </c>
      <c r="BB77" s="1">
        <v>135.86000000000001</v>
      </c>
      <c r="BC77" s="1">
        <v>132.9</v>
      </c>
      <c r="BD77" s="1">
        <v>133.38999999999999</v>
      </c>
      <c r="BE77" s="1">
        <v>127.87</v>
      </c>
      <c r="BF77" s="1">
        <v>126.67</v>
      </c>
      <c r="BG77" s="1">
        <v>133.9</v>
      </c>
      <c r="BH77" s="1">
        <v>126.41</v>
      </c>
      <c r="BI77" s="1">
        <v>126.13</v>
      </c>
      <c r="BJ77" s="1">
        <v>133.66999999999999</v>
      </c>
      <c r="BK77" s="1">
        <v>116.05</v>
      </c>
      <c r="BL77" s="1">
        <v>115.8</v>
      </c>
      <c r="BN77" s="1">
        <v>115.92</v>
      </c>
    </row>
    <row r="78" spans="1:66" x14ac:dyDescent="0.3">
      <c r="A78" s="2" t="s">
        <v>74</v>
      </c>
      <c r="C78" s="14" t="str">
        <f t="shared" si="2"/>
        <v>202512</v>
      </c>
      <c r="D78" s="3">
        <v>45995</v>
      </c>
      <c r="E78" s="21">
        <v>1815.43</v>
      </c>
      <c r="F78" s="21">
        <v>1825.97</v>
      </c>
      <c r="G78" s="21">
        <v>1830.84</v>
      </c>
      <c r="H78" s="21">
        <v>1746.54</v>
      </c>
      <c r="I78" s="21">
        <v>1771.38</v>
      </c>
      <c r="J78" s="21">
        <v>1760.04</v>
      </c>
      <c r="K78" s="21">
        <v>1674.57</v>
      </c>
      <c r="L78" s="21">
        <v>1639.15</v>
      </c>
      <c r="M78" s="21">
        <v>1563.29</v>
      </c>
      <c r="N78" s="21">
        <v>1643.79</v>
      </c>
      <c r="O78" s="21">
        <v>1734.77</v>
      </c>
      <c r="P78" s="21">
        <v>1750.6</v>
      </c>
      <c r="Q78" s="21">
        <v>6796</v>
      </c>
      <c r="R78" s="20"/>
      <c r="S78" s="20">
        <v>110.14</v>
      </c>
      <c r="T78" s="21">
        <v>125.74</v>
      </c>
      <c r="V78" s="1">
        <v>119.94</v>
      </c>
      <c r="W78" s="1">
        <v>123.09</v>
      </c>
      <c r="X78" s="1">
        <v>125.07</v>
      </c>
      <c r="Y78" s="1">
        <v>119.93</v>
      </c>
      <c r="Z78" s="1">
        <v>120.86</v>
      </c>
      <c r="AA78" s="1">
        <v>119.95</v>
      </c>
      <c r="AB78" s="1">
        <v>123.98</v>
      </c>
      <c r="AE78" s="1">
        <v>133.47</v>
      </c>
      <c r="AF78" s="1">
        <v>131.57</v>
      </c>
      <c r="AG78" s="1">
        <v>117.42</v>
      </c>
      <c r="AN78" s="1">
        <v>4240.67</v>
      </c>
      <c r="AP78" s="1">
        <v>4313.8</v>
      </c>
      <c r="AR78" s="1">
        <v>4301.18</v>
      </c>
      <c r="AT78" s="1">
        <v>4176.16</v>
      </c>
      <c r="AU78" s="1">
        <v>4204.46</v>
      </c>
      <c r="AW78" s="1">
        <v>4309.18</v>
      </c>
      <c r="AX78" s="1">
        <v>120.46</v>
      </c>
      <c r="AY78" s="1">
        <v>4323.21</v>
      </c>
      <c r="AZ78" s="1">
        <v>4380.9399999999996</v>
      </c>
      <c r="BA78" s="1">
        <v>125.21</v>
      </c>
      <c r="BB78" s="1">
        <v>136.61000000000001</v>
      </c>
      <c r="BC78" s="1">
        <v>131.84</v>
      </c>
      <c r="BD78" s="1">
        <v>132.91999999999999</v>
      </c>
      <c r="BE78" s="1">
        <v>127.93</v>
      </c>
      <c r="BF78" s="1">
        <v>126.67</v>
      </c>
      <c r="BG78" s="1">
        <v>134.08000000000001</v>
      </c>
      <c r="BH78" s="1">
        <v>126.41</v>
      </c>
      <c r="BI78" s="1">
        <v>126.13</v>
      </c>
      <c r="BJ78" s="1">
        <v>132.30000000000001</v>
      </c>
      <c r="BK78" s="1">
        <v>116.05</v>
      </c>
      <c r="BL78" s="1">
        <v>115.8</v>
      </c>
      <c r="BN78" s="1">
        <v>115.92</v>
      </c>
    </row>
    <row r="79" spans="1:66" x14ac:dyDescent="0.3">
      <c r="A79" s="2" t="s">
        <v>75</v>
      </c>
      <c r="C79" s="14" t="str">
        <f t="shared" si="2"/>
        <v>202512</v>
      </c>
      <c r="D79" s="3">
        <v>45994</v>
      </c>
      <c r="E79" s="21">
        <v>1780.43</v>
      </c>
      <c r="F79" s="21">
        <v>1819.57</v>
      </c>
      <c r="G79" s="21">
        <v>1795.84</v>
      </c>
      <c r="H79" s="21">
        <v>1755.15</v>
      </c>
      <c r="I79" s="21">
        <v>1771.38</v>
      </c>
      <c r="J79" s="21">
        <v>1765.33</v>
      </c>
      <c r="K79" s="21">
        <v>1674.57</v>
      </c>
      <c r="L79" s="21">
        <v>1643.29</v>
      </c>
      <c r="M79" s="21">
        <v>1563.29</v>
      </c>
      <c r="N79" s="21">
        <v>1643.79</v>
      </c>
      <c r="O79" s="21">
        <v>1734.77</v>
      </c>
      <c r="P79" s="21">
        <v>1685.9</v>
      </c>
      <c r="Q79" s="21">
        <v>6805.22</v>
      </c>
      <c r="R79" s="20"/>
      <c r="S79" s="20">
        <v>110.45</v>
      </c>
      <c r="T79" s="21">
        <v>125.73</v>
      </c>
      <c r="V79" s="1">
        <v>119.94</v>
      </c>
      <c r="W79" s="1">
        <v>124</v>
      </c>
      <c r="X79" s="1">
        <v>125.89</v>
      </c>
      <c r="Y79" s="1">
        <v>120.8</v>
      </c>
      <c r="Z79" s="1">
        <v>120.86</v>
      </c>
      <c r="AA79" s="1">
        <v>120.44</v>
      </c>
      <c r="AB79" s="1">
        <v>125.18</v>
      </c>
      <c r="AE79" s="1">
        <v>133.77000000000001</v>
      </c>
      <c r="AF79" s="1">
        <v>131.44999999999999</v>
      </c>
      <c r="AG79" s="1">
        <v>117.82</v>
      </c>
      <c r="AN79" s="1">
        <v>4203.6000000000004</v>
      </c>
      <c r="AP79" s="1">
        <v>4313.8</v>
      </c>
      <c r="AR79" s="1">
        <v>4383.55</v>
      </c>
      <c r="AS79" s="1">
        <v>4324.47</v>
      </c>
      <c r="AT79" s="1">
        <v>4132.9799999999996</v>
      </c>
      <c r="AU79" s="1">
        <v>4204.46</v>
      </c>
      <c r="AW79" s="1">
        <v>4305.2299999999996</v>
      </c>
      <c r="AX79" s="1">
        <v>120.46</v>
      </c>
      <c r="AY79" s="1">
        <v>4288.01</v>
      </c>
      <c r="AZ79" s="1">
        <v>4380.9399999999996</v>
      </c>
      <c r="BA79" s="1">
        <v>125.99</v>
      </c>
      <c r="BB79" s="1">
        <v>137.15</v>
      </c>
      <c r="BC79" s="1">
        <v>132.72999999999999</v>
      </c>
      <c r="BD79" s="1">
        <v>133.78</v>
      </c>
      <c r="BE79" s="1">
        <v>128.19999999999999</v>
      </c>
      <c r="BF79" s="1">
        <v>126.17</v>
      </c>
      <c r="BG79" s="1">
        <v>135</v>
      </c>
      <c r="BH79" s="1">
        <v>126.41</v>
      </c>
      <c r="BI79" s="1">
        <v>126.13</v>
      </c>
      <c r="BJ79" s="1">
        <v>132.28</v>
      </c>
      <c r="BK79" s="1">
        <v>116.05</v>
      </c>
      <c r="BL79" s="1">
        <v>116.13</v>
      </c>
      <c r="BN79" s="1">
        <v>115.92</v>
      </c>
    </row>
    <row r="80" spans="1:66" x14ac:dyDescent="0.3">
      <c r="A80" s="2" t="s">
        <v>76</v>
      </c>
      <c r="C80" s="14" t="str">
        <f t="shared" si="2"/>
        <v>202512</v>
      </c>
      <c r="D80" s="3">
        <v>45993</v>
      </c>
      <c r="E80" s="21">
        <v>1792.84</v>
      </c>
      <c r="F80" s="21">
        <v>1821.55</v>
      </c>
      <c r="G80" s="21">
        <v>1795.84</v>
      </c>
      <c r="H80" s="21">
        <v>1752.68</v>
      </c>
      <c r="I80" s="21">
        <v>1761.34</v>
      </c>
      <c r="J80" s="21">
        <v>1798.13</v>
      </c>
      <c r="K80" s="21">
        <v>1686.33</v>
      </c>
      <c r="L80" s="21">
        <v>1655.93</v>
      </c>
      <c r="M80" s="21">
        <v>1542.84</v>
      </c>
      <c r="N80" s="21">
        <v>1645.9</v>
      </c>
      <c r="O80" s="21">
        <v>1740</v>
      </c>
      <c r="P80" s="21">
        <v>1685.42</v>
      </c>
      <c r="Q80" s="21">
        <v>6794.65</v>
      </c>
      <c r="R80" s="20"/>
      <c r="S80" s="20">
        <v>109.81</v>
      </c>
      <c r="T80" s="21">
        <v>125.93</v>
      </c>
      <c r="V80" s="1">
        <v>119.91</v>
      </c>
      <c r="W80" s="1">
        <v>123.34</v>
      </c>
      <c r="X80" s="1">
        <v>125.89</v>
      </c>
      <c r="Y80" s="1">
        <v>120.93</v>
      </c>
      <c r="Z80" s="1">
        <v>121.11</v>
      </c>
      <c r="AA80" s="1">
        <v>120.94</v>
      </c>
      <c r="AB80" s="1">
        <v>125.18</v>
      </c>
      <c r="AE80" s="1">
        <v>133.61000000000001</v>
      </c>
      <c r="AF80" s="1">
        <v>132.93</v>
      </c>
      <c r="AG80" s="1">
        <v>116.47</v>
      </c>
      <c r="AN80" s="1">
        <v>4221.95</v>
      </c>
      <c r="AO80" s="1">
        <v>30</v>
      </c>
      <c r="AP80" s="1">
        <v>4375</v>
      </c>
      <c r="AQ80" s="1">
        <v>4466.26</v>
      </c>
      <c r="AR80" s="1">
        <v>4349.4799999999996</v>
      </c>
      <c r="AS80" s="1">
        <v>4226.09</v>
      </c>
      <c r="AT80" s="1">
        <v>4163.7700000000004</v>
      </c>
      <c r="AU80" s="1">
        <v>4211.96</v>
      </c>
      <c r="AW80" s="1">
        <v>4292.7</v>
      </c>
      <c r="AX80" s="1">
        <v>121.78</v>
      </c>
      <c r="AY80" s="1">
        <v>4240.92</v>
      </c>
      <c r="AZ80" s="1">
        <v>4380.9399999999996</v>
      </c>
      <c r="BA80" s="1">
        <v>126.96</v>
      </c>
      <c r="BB80" s="1">
        <v>136.85</v>
      </c>
      <c r="BC80" s="1">
        <v>132.99</v>
      </c>
      <c r="BD80" s="1">
        <v>134.02000000000001</v>
      </c>
      <c r="BE80" s="1">
        <v>128.34</v>
      </c>
      <c r="BF80" s="1">
        <v>126.17</v>
      </c>
      <c r="BG80" s="1">
        <v>134.66</v>
      </c>
      <c r="BH80" s="1">
        <v>128.33000000000001</v>
      </c>
      <c r="BI80" s="1">
        <v>126.13</v>
      </c>
      <c r="BJ80" s="1">
        <v>132.34</v>
      </c>
      <c r="BK80" s="1">
        <v>116.72</v>
      </c>
      <c r="BL80" s="1">
        <v>116.47</v>
      </c>
      <c r="BN80" s="1">
        <v>116.48</v>
      </c>
    </row>
    <row r="81" spans="1:66" x14ac:dyDescent="0.3">
      <c r="A81" s="2" t="s">
        <v>77</v>
      </c>
      <c r="C81" s="14" t="str">
        <f t="shared" si="2"/>
        <v>202512</v>
      </c>
      <c r="D81" s="3">
        <v>45992</v>
      </c>
      <c r="E81" s="21">
        <v>1797.8</v>
      </c>
      <c r="F81" s="21">
        <v>1786.89</v>
      </c>
      <c r="G81" s="21">
        <v>1783.5</v>
      </c>
      <c r="H81" s="21">
        <v>1761.56</v>
      </c>
      <c r="I81" s="21">
        <v>1753.61</v>
      </c>
      <c r="J81" s="21">
        <v>1777.78</v>
      </c>
      <c r="K81" s="21">
        <v>1637.22</v>
      </c>
      <c r="L81" s="21">
        <v>1655.98</v>
      </c>
      <c r="M81" s="21">
        <v>1565.56</v>
      </c>
      <c r="N81" s="21">
        <v>1651.27</v>
      </c>
      <c r="O81" s="21">
        <v>1741.65</v>
      </c>
      <c r="P81" s="21">
        <v>1672.56</v>
      </c>
      <c r="Q81" s="21">
        <v>7006.28</v>
      </c>
      <c r="R81" s="20"/>
      <c r="S81" s="20">
        <v>109.79</v>
      </c>
      <c r="T81" s="21">
        <v>125.47</v>
      </c>
      <c r="V81" s="1">
        <v>119.51</v>
      </c>
      <c r="W81" s="1">
        <v>123.32</v>
      </c>
      <c r="X81" s="1">
        <v>125.89</v>
      </c>
      <c r="Y81" s="1">
        <v>120.93</v>
      </c>
      <c r="Z81" s="1">
        <v>121.11</v>
      </c>
      <c r="AA81" s="1">
        <v>120.94</v>
      </c>
      <c r="AB81" s="1">
        <v>125.16</v>
      </c>
      <c r="AE81" s="1">
        <v>133.61000000000001</v>
      </c>
      <c r="AF81" s="1">
        <v>132.74</v>
      </c>
      <c r="AG81" s="1">
        <v>116.44</v>
      </c>
      <c r="AN81" s="1">
        <v>4237.8100000000004</v>
      </c>
      <c r="AO81" s="1">
        <v>30</v>
      </c>
      <c r="AP81" s="1">
        <v>4375</v>
      </c>
      <c r="AQ81" s="1">
        <v>4466.26</v>
      </c>
      <c r="AR81" s="1">
        <v>4291.88</v>
      </c>
      <c r="AS81" s="1">
        <v>4224.21</v>
      </c>
      <c r="AT81" s="1">
        <v>4163.7700000000004</v>
      </c>
      <c r="AU81" s="1">
        <v>4226.96</v>
      </c>
      <c r="AW81" s="1">
        <v>4228.7700000000004</v>
      </c>
      <c r="AX81" s="1">
        <v>121.45</v>
      </c>
      <c r="AY81" s="1">
        <v>4240.92</v>
      </c>
      <c r="AZ81" s="1">
        <v>4382.3500000000004</v>
      </c>
      <c r="BA81" s="1">
        <v>127.16</v>
      </c>
      <c r="BB81" s="1">
        <v>136.09</v>
      </c>
      <c r="BC81" s="1">
        <v>132.38999999999999</v>
      </c>
      <c r="BD81" s="1">
        <v>133.19999999999999</v>
      </c>
      <c r="BE81" s="1">
        <v>124.62</v>
      </c>
      <c r="BF81" s="1">
        <v>126.17</v>
      </c>
      <c r="BG81" s="1">
        <v>134.66</v>
      </c>
      <c r="BH81" s="1">
        <v>128.33000000000001</v>
      </c>
      <c r="BI81" s="1">
        <v>126.13</v>
      </c>
      <c r="BJ81" s="1">
        <v>131.83000000000001</v>
      </c>
      <c r="BK81" s="1">
        <v>117.38</v>
      </c>
      <c r="BL81" s="1">
        <v>116.8</v>
      </c>
      <c r="BN81" s="1">
        <v>117.15</v>
      </c>
    </row>
    <row r="82" spans="1:66" x14ac:dyDescent="0.3">
      <c r="A82" s="2" t="s">
        <v>78</v>
      </c>
      <c r="C82" s="14" t="str">
        <f t="shared" si="2"/>
        <v>202511</v>
      </c>
      <c r="D82" s="3">
        <v>45989</v>
      </c>
      <c r="E82" s="21">
        <v>1788.8</v>
      </c>
      <c r="F82" s="21">
        <v>1783.17</v>
      </c>
      <c r="G82" s="21">
        <v>1784.98</v>
      </c>
      <c r="H82" s="21">
        <v>1740.75</v>
      </c>
      <c r="I82" s="21">
        <v>1748.59</v>
      </c>
      <c r="J82" s="21">
        <v>1779.07</v>
      </c>
      <c r="K82" s="21">
        <v>1638.44</v>
      </c>
      <c r="L82" s="21">
        <v>1668.62</v>
      </c>
      <c r="M82" s="21">
        <v>1567.6</v>
      </c>
      <c r="N82" s="21">
        <v>1632.43</v>
      </c>
      <c r="O82" s="21">
        <v>1753.23</v>
      </c>
      <c r="P82" s="21">
        <v>1731.08</v>
      </c>
      <c r="Q82" s="21">
        <v>6959.35</v>
      </c>
      <c r="R82" s="20"/>
      <c r="S82" s="20">
        <v>109.83</v>
      </c>
      <c r="T82" s="21">
        <v>125.5</v>
      </c>
      <c r="V82" s="1">
        <v>119.27</v>
      </c>
      <c r="W82" s="1">
        <v>123.3</v>
      </c>
      <c r="X82" s="1">
        <v>125.95</v>
      </c>
      <c r="Y82" s="1">
        <v>120.94</v>
      </c>
      <c r="Z82" s="1">
        <v>121.11</v>
      </c>
      <c r="AA82" s="1">
        <v>121</v>
      </c>
      <c r="AB82" s="1">
        <v>124.65</v>
      </c>
      <c r="AE82" s="1">
        <v>133.74</v>
      </c>
      <c r="AF82" s="1">
        <v>132.88</v>
      </c>
      <c r="AG82" s="1">
        <v>115.96</v>
      </c>
      <c r="AL82" s="1">
        <v>30</v>
      </c>
      <c r="AN82" s="1">
        <v>4228.3</v>
      </c>
      <c r="AO82" s="1">
        <v>30</v>
      </c>
      <c r="AQ82" s="1">
        <v>4458.88</v>
      </c>
      <c r="AR82" s="1">
        <v>4280.54</v>
      </c>
      <c r="AS82" s="1">
        <v>4217.2299999999996</v>
      </c>
      <c r="AT82" s="1">
        <v>4238.3</v>
      </c>
      <c r="AU82" s="1">
        <v>4197.09</v>
      </c>
      <c r="AW82" s="1">
        <v>4221.78</v>
      </c>
      <c r="AX82" s="1">
        <v>122.96</v>
      </c>
      <c r="AY82" s="1">
        <v>4233.91</v>
      </c>
      <c r="AZ82" s="1">
        <v>4339.1899999999996</v>
      </c>
      <c r="BA82" s="1">
        <v>123.8</v>
      </c>
      <c r="BB82" s="1">
        <v>136.83000000000001</v>
      </c>
      <c r="BC82" s="1">
        <v>132.79</v>
      </c>
      <c r="BD82" s="1">
        <v>134.25</v>
      </c>
      <c r="BE82" s="1">
        <v>126.59</v>
      </c>
      <c r="BF82" s="1">
        <v>126.96</v>
      </c>
      <c r="BG82" s="1">
        <v>134.59</v>
      </c>
      <c r="BH82" s="1">
        <v>127.42</v>
      </c>
      <c r="BI82" s="1">
        <v>126.17</v>
      </c>
      <c r="BJ82" s="1">
        <v>133.19999999999999</v>
      </c>
      <c r="BK82" s="1">
        <v>116.92</v>
      </c>
      <c r="BL82" s="1">
        <v>116.8</v>
      </c>
      <c r="BN82" s="1">
        <v>117.05</v>
      </c>
    </row>
    <row r="83" spans="1:66" x14ac:dyDescent="0.3">
      <c r="A83" s="2"/>
      <c r="C83" s="14" t="str">
        <f t="shared" si="2"/>
        <v>202511</v>
      </c>
      <c r="D83" s="3">
        <v>45988</v>
      </c>
      <c r="E83" s="21">
        <v>1781.35</v>
      </c>
      <c r="F83" s="21">
        <v>1783.17</v>
      </c>
      <c r="G83" s="21">
        <v>1784.98</v>
      </c>
      <c r="H83" s="21">
        <v>1754.59</v>
      </c>
      <c r="I83" s="21">
        <v>1748.59</v>
      </c>
      <c r="J83" s="21">
        <v>1754.57</v>
      </c>
      <c r="K83" s="21">
        <v>1638.44</v>
      </c>
      <c r="L83" s="21">
        <v>1671.91</v>
      </c>
      <c r="M83" s="21">
        <v>1572.55</v>
      </c>
      <c r="N83" s="21">
        <v>1636.29</v>
      </c>
      <c r="O83" s="21">
        <v>1755.5</v>
      </c>
      <c r="P83" s="21">
        <v>1706.39</v>
      </c>
      <c r="Q83" s="21">
        <v>6984.34</v>
      </c>
      <c r="R83" s="20">
        <v>116.57</v>
      </c>
      <c r="S83" s="20">
        <v>112.04</v>
      </c>
      <c r="T83" s="21">
        <v>125.49</v>
      </c>
      <c r="V83" s="1">
        <v>119.14</v>
      </c>
      <c r="W83" s="1">
        <v>123.95</v>
      </c>
      <c r="X83" s="1">
        <v>125.81</v>
      </c>
      <c r="Y83" s="1">
        <v>120.94</v>
      </c>
      <c r="Z83" s="1">
        <v>121.11</v>
      </c>
      <c r="AA83" s="1">
        <v>120.75</v>
      </c>
      <c r="AB83" s="1">
        <v>124.65</v>
      </c>
      <c r="AE83" s="1">
        <v>133.74</v>
      </c>
      <c r="AF83" s="1">
        <v>132.47999999999999</v>
      </c>
      <c r="AG83" s="1">
        <v>118.58</v>
      </c>
      <c r="AI83" s="1">
        <v>15</v>
      </c>
      <c r="AL83" s="1">
        <v>30</v>
      </c>
      <c r="AN83" s="1">
        <v>4226.4799999999996</v>
      </c>
      <c r="AO83" s="1">
        <v>30</v>
      </c>
      <c r="AP83" s="1">
        <v>4312.5</v>
      </c>
      <c r="AQ83" s="1">
        <v>4458.88</v>
      </c>
      <c r="AR83" s="1">
        <v>4280.54</v>
      </c>
      <c r="AS83" s="1">
        <v>4217.2299999999996</v>
      </c>
      <c r="AT83" s="1">
        <v>4238.3</v>
      </c>
      <c r="AU83" s="1">
        <v>4197.09</v>
      </c>
      <c r="AW83" s="1">
        <v>4221.78</v>
      </c>
      <c r="AX83" s="1">
        <v>122.88</v>
      </c>
      <c r="AY83" s="1">
        <v>4224.53</v>
      </c>
      <c r="AZ83" s="1">
        <v>4339.1899999999996</v>
      </c>
      <c r="BA83" s="1">
        <v>124.27</v>
      </c>
      <c r="BB83" s="1">
        <v>137.91999999999999</v>
      </c>
      <c r="BC83" s="1">
        <v>132.36000000000001</v>
      </c>
      <c r="BD83" s="1">
        <v>133.31</v>
      </c>
      <c r="BE83" s="1">
        <v>126.86</v>
      </c>
      <c r="BF83" s="1">
        <v>126.96</v>
      </c>
      <c r="BG83" s="1">
        <v>134.26</v>
      </c>
      <c r="BH83" s="1">
        <v>126.5</v>
      </c>
      <c r="BI83" s="1">
        <v>126.17</v>
      </c>
      <c r="BJ83" s="1">
        <v>133.18</v>
      </c>
      <c r="BK83" s="1">
        <v>116.92</v>
      </c>
      <c r="BL83" s="1">
        <v>116.8</v>
      </c>
      <c r="BN83" s="1">
        <v>117.05</v>
      </c>
    </row>
    <row r="84" spans="1:66" x14ac:dyDescent="0.3">
      <c r="A84" s="2"/>
      <c r="C84" s="14" t="str">
        <f t="shared" si="2"/>
        <v>202511</v>
      </c>
      <c r="D84" s="3">
        <v>45987</v>
      </c>
      <c r="E84" s="21">
        <v>1796.25</v>
      </c>
      <c r="F84" s="21">
        <v>1783.17</v>
      </c>
      <c r="G84" s="21">
        <v>1784.98</v>
      </c>
      <c r="H84" s="21">
        <v>1697.86</v>
      </c>
      <c r="I84" s="21">
        <v>1748.59</v>
      </c>
      <c r="J84" s="21">
        <v>1753.93</v>
      </c>
      <c r="K84" s="21">
        <v>1671.59</v>
      </c>
      <c r="L84" s="21">
        <v>1671.91</v>
      </c>
      <c r="M84" s="21">
        <v>1561.22</v>
      </c>
      <c r="N84" s="21">
        <v>1651.9</v>
      </c>
      <c r="O84" s="21">
        <v>1759.41</v>
      </c>
      <c r="P84" s="21">
        <v>1688.37</v>
      </c>
      <c r="Q84" s="21">
        <v>6984.34</v>
      </c>
      <c r="R84" s="20">
        <v>116.59</v>
      </c>
      <c r="S84" s="20">
        <v>112.01</v>
      </c>
      <c r="T84" s="21">
        <v>125.49</v>
      </c>
      <c r="V84" s="1">
        <v>119.1</v>
      </c>
      <c r="W84" s="1">
        <v>123.38</v>
      </c>
      <c r="X84" s="1">
        <v>124.8</v>
      </c>
      <c r="Y84" s="1">
        <v>120.94</v>
      </c>
      <c r="Z84" s="1">
        <v>121.11</v>
      </c>
      <c r="AA84" s="1">
        <v>120.75</v>
      </c>
      <c r="AB84" s="1">
        <v>123.95</v>
      </c>
      <c r="AE84" s="1">
        <v>132.87</v>
      </c>
      <c r="AF84" s="1">
        <v>132.69999999999999</v>
      </c>
      <c r="AG84" s="1">
        <v>118.55</v>
      </c>
      <c r="AI84" s="1">
        <v>15</v>
      </c>
      <c r="AL84" s="1">
        <v>30</v>
      </c>
      <c r="AN84" s="1">
        <v>4248.84</v>
      </c>
      <c r="AO84" s="1">
        <v>30</v>
      </c>
      <c r="AP84" s="1">
        <v>4312.5</v>
      </c>
      <c r="AQ84" s="1">
        <v>4458.88</v>
      </c>
      <c r="AR84" s="1">
        <v>4280.54</v>
      </c>
      <c r="AS84" s="1">
        <v>4238.97</v>
      </c>
      <c r="AT84" s="1">
        <v>4238.3</v>
      </c>
      <c r="AU84" s="1">
        <v>4197.09</v>
      </c>
      <c r="AW84" s="1">
        <v>4199.97</v>
      </c>
      <c r="AX84" s="1">
        <v>123.66</v>
      </c>
      <c r="AY84" s="1">
        <v>4220.7700000000004</v>
      </c>
      <c r="AZ84" s="1">
        <v>4339.1899999999996</v>
      </c>
      <c r="BA84" s="1">
        <v>123.86</v>
      </c>
      <c r="BB84" s="1">
        <v>137.30000000000001</v>
      </c>
      <c r="BC84" s="1">
        <v>132.44</v>
      </c>
      <c r="BD84" s="1">
        <v>133.33000000000001</v>
      </c>
      <c r="BE84" s="1">
        <v>126.84</v>
      </c>
      <c r="BF84" s="1">
        <v>126.96</v>
      </c>
      <c r="BG84" s="1">
        <v>133.96</v>
      </c>
      <c r="BH84" s="1">
        <v>126.5</v>
      </c>
      <c r="BI84" s="1">
        <v>126.17</v>
      </c>
      <c r="BJ84" s="1">
        <v>133.16</v>
      </c>
      <c r="BK84" s="1">
        <v>117.25</v>
      </c>
      <c r="BL84" s="1">
        <v>117.47</v>
      </c>
      <c r="BN84" s="1">
        <v>117.39</v>
      </c>
    </row>
    <row r="85" spans="1:66" x14ac:dyDescent="0.3">
      <c r="A85" s="2"/>
      <c r="C85" s="14" t="str">
        <f t="shared" si="2"/>
        <v>202511</v>
      </c>
      <c r="D85" s="3">
        <v>45986</v>
      </c>
      <c r="E85" s="21">
        <v>1798.73</v>
      </c>
      <c r="F85" s="21">
        <v>1783.17</v>
      </c>
      <c r="G85" s="21">
        <v>1772.62</v>
      </c>
      <c r="H85" s="21">
        <v>1691.28</v>
      </c>
      <c r="I85" s="21">
        <v>1744.64</v>
      </c>
      <c r="J85" s="21">
        <v>1751.46</v>
      </c>
      <c r="K85" s="21">
        <v>1673.3</v>
      </c>
      <c r="L85" s="21">
        <v>1662.54</v>
      </c>
      <c r="M85" s="21">
        <v>1523.18</v>
      </c>
      <c r="N85" s="21">
        <v>1668.69</v>
      </c>
      <c r="O85" s="21">
        <v>1764.34</v>
      </c>
      <c r="P85" s="21">
        <v>1688.37</v>
      </c>
      <c r="Q85" s="21">
        <v>6984.34</v>
      </c>
      <c r="R85" s="20">
        <v>116.65</v>
      </c>
      <c r="S85" s="20">
        <v>111.99</v>
      </c>
      <c r="T85" s="21">
        <v>125.45</v>
      </c>
      <c r="V85" s="1">
        <v>119.1</v>
      </c>
      <c r="W85" s="1">
        <v>123.36</v>
      </c>
      <c r="X85" s="1">
        <v>124.67</v>
      </c>
      <c r="Y85" s="1">
        <v>120.94</v>
      </c>
      <c r="Z85" s="1">
        <v>121.11</v>
      </c>
      <c r="AA85" s="1">
        <v>120.75</v>
      </c>
      <c r="AB85" s="1">
        <v>123.95</v>
      </c>
      <c r="AE85" s="1">
        <v>132.21</v>
      </c>
      <c r="AF85" s="1">
        <v>132.43</v>
      </c>
      <c r="AG85" s="1">
        <v>118.52</v>
      </c>
      <c r="AI85" s="1">
        <v>15</v>
      </c>
      <c r="AL85" s="1">
        <v>30</v>
      </c>
      <c r="AN85" s="1">
        <v>4264.97</v>
      </c>
      <c r="AO85" s="1">
        <v>30</v>
      </c>
      <c r="AP85" s="1">
        <v>4312.5</v>
      </c>
      <c r="AR85" s="1">
        <v>4228.8599999999997</v>
      </c>
      <c r="AS85" s="1">
        <v>4212.8500000000004</v>
      </c>
      <c r="AT85" s="1">
        <v>4270.92</v>
      </c>
      <c r="AU85" s="1">
        <v>4237.71</v>
      </c>
      <c r="AW85" s="1">
        <v>4170.72</v>
      </c>
      <c r="AX85" s="1">
        <v>121.55</v>
      </c>
      <c r="AY85" s="1">
        <v>4212.01</v>
      </c>
      <c r="AZ85" s="1">
        <v>4339.1899999999996</v>
      </c>
      <c r="BA85" s="1">
        <v>123.85</v>
      </c>
      <c r="BB85" s="1">
        <v>137.19</v>
      </c>
      <c r="BC85" s="1">
        <v>131.77000000000001</v>
      </c>
      <c r="BD85" s="1">
        <v>133.96</v>
      </c>
      <c r="BE85" s="1">
        <v>127.32</v>
      </c>
      <c r="BF85" s="1">
        <v>126.96</v>
      </c>
      <c r="BG85" s="1">
        <v>133.16</v>
      </c>
      <c r="BH85" s="1">
        <v>126.67</v>
      </c>
      <c r="BI85" s="1">
        <v>126.17</v>
      </c>
      <c r="BJ85" s="1">
        <v>133.05000000000001</v>
      </c>
      <c r="BK85" s="1">
        <v>117.25</v>
      </c>
      <c r="BL85" s="1">
        <v>117.47</v>
      </c>
      <c r="BN85" s="1">
        <v>117.39</v>
      </c>
    </row>
    <row r="86" spans="1:66" x14ac:dyDescent="0.3">
      <c r="A86" s="2"/>
      <c r="C86" s="14" t="str">
        <f t="shared" si="2"/>
        <v>202511</v>
      </c>
      <c r="D86" s="3">
        <v>45985</v>
      </c>
      <c r="E86" s="21">
        <v>1781.35</v>
      </c>
      <c r="F86" s="21">
        <v>1693.41</v>
      </c>
      <c r="G86" s="21">
        <v>1755.31</v>
      </c>
      <c r="H86" s="21">
        <v>1678.06</v>
      </c>
      <c r="I86" s="21">
        <v>1740.68</v>
      </c>
      <c r="J86" s="21">
        <v>1765.48</v>
      </c>
      <c r="K86" s="21">
        <v>1678.43</v>
      </c>
      <c r="L86" s="21">
        <v>1679.9</v>
      </c>
      <c r="M86" s="21">
        <v>1549.14</v>
      </c>
      <c r="N86" s="21">
        <v>1655.37</v>
      </c>
      <c r="O86" s="21">
        <v>1761.28</v>
      </c>
      <c r="P86" s="21">
        <v>1675.57</v>
      </c>
      <c r="Q86" s="21">
        <v>6984.34</v>
      </c>
      <c r="R86" s="20">
        <v>116.95</v>
      </c>
      <c r="S86" s="20">
        <v>112.23</v>
      </c>
      <c r="T86" s="21">
        <v>125.01</v>
      </c>
      <c r="V86" s="1">
        <v>119.61</v>
      </c>
      <c r="W86" s="1">
        <v>123.85</v>
      </c>
      <c r="X86" s="1">
        <v>124.8</v>
      </c>
      <c r="Y86" s="1">
        <v>120.83</v>
      </c>
      <c r="Z86" s="1">
        <v>121.84</v>
      </c>
      <c r="AA86" s="1">
        <v>121.62</v>
      </c>
      <c r="AB86" s="1">
        <v>123.84</v>
      </c>
      <c r="AE86" s="1">
        <v>132.21</v>
      </c>
      <c r="AF86" s="1">
        <v>132.12</v>
      </c>
      <c r="AG86" s="1">
        <v>121.88</v>
      </c>
      <c r="AH86" s="1">
        <v>30</v>
      </c>
      <c r="AI86" s="1">
        <v>15</v>
      </c>
      <c r="AN86" s="1">
        <v>4195.53</v>
      </c>
      <c r="AO86" s="1">
        <v>30</v>
      </c>
      <c r="AP86" s="1">
        <v>4255</v>
      </c>
      <c r="AQ86" s="1">
        <v>4251.6000000000004</v>
      </c>
      <c r="AR86" s="1">
        <v>4175.78</v>
      </c>
      <c r="AT86" s="1">
        <v>4270.92</v>
      </c>
      <c r="AU86" s="1">
        <v>4237.71</v>
      </c>
      <c r="AW86" s="1">
        <v>4170.72</v>
      </c>
      <c r="AX86" s="1">
        <v>119.35</v>
      </c>
      <c r="AY86" s="1">
        <v>4212.01</v>
      </c>
      <c r="AZ86" s="1">
        <v>4213.1899999999996</v>
      </c>
      <c r="BA86" s="1">
        <v>118.13</v>
      </c>
      <c r="BB86" s="1">
        <v>135.86000000000001</v>
      </c>
      <c r="BC86" s="1">
        <v>131.22</v>
      </c>
      <c r="BD86" s="1">
        <v>132.44</v>
      </c>
      <c r="BE86" s="1">
        <v>127.1</v>
      </c>
      <c r="BF86" s="1">
        <v>123.99</v>
      </c>
      <c r="BG86" s="1">
        <v>133.16</v>
      </c>
      <c r="BH86" s="1">
        <v>126.67</v>
      </c>
      <c r="BI86" s="1">
        <v>126.05</v>
      </c>
      <c r="BJ86" s="1">
        <v>133.83000000000001</v>
      </c>
      <c r="BK86" s="1">
        <v>117.52</v>
      </c>
      <c r="BL86" s="1">
        <v>117.8</v>
      </c>
      <c r="BN86" s="1">
        <v>117.72</v>
      </c>
    </row>
    <row r="87" spans="1:66" x14ac:dyDescent="0.3">
      <c r="A87" s="2"/>
      <c r="C87" s="14" t="str">
        <f t="shared" si="2"/>
        <v>202511</v>
      </c>
      <c r="D87" s="3">
        <v>45982</v>
      </c>
      <c r="E87" s="21">
        <v>1763.97</v>
      </c>
      <c r="F87" s="21">
        <v>1722.33</v>
      </c>
      <c r="G87" s="21">
        <v>1755.31</v>
      </c>
      <c r="H87" s="21">
        <v>1750.62</v>
      </c>
      <c r="I87" s="21">
        <v>1736.72</v>
      </c>
      <c r="J87" s="21">
        <v>1760.59</v>
      </c>
      <c r="K87" s="21">
        <v>1698.95</v>
      </c>
      <c r="L87" s="21">
        <v>1706.98</v>
      </c>
      <c r="M87" s="21">
        <v>1562.27</v>
      </c>
      <c r="N87" s="21">
        <v>1666.44</v>
      </c>
      <c r="O87" s="21">
        <v>1767.71</v>
      </c>
      <c r="P87" s="21">
        <v>1681.68</v>
      </c>
      <c r="Q87" s="21">
        <v>7034.32</v>
      </c>
      <c r="R87" s="20">
        <v>116.95</v>
      </c>
      <c r="S87" s="20">
        <v>113.51</v>
      </c>
      <c r="T87" s="21">
        <v>124.75</v>
      </c>
      <c r="V87" s="1">
        <v>119.4</v>
      </c>
      <c r="W87" s="1">
        <v>124.24</v>
      </c>
      <c r="X87" s="1">
        <v>124.17</v>
      </c>
      <c r="Y87" s="1">
        <v>120.78</v>
      </c>
      <c r="Z87" s="1">
        <v>122.07</v>
      </c>
      <c r="AA87" s="1">
        <v>121.62</v>
      </c>
      <c r="AB87" s="1">
        <v>123.39</v>
      </c>
      <c r="AE87" s="1">
        <v>132.04</v>
      </c>
      <c r="AF87" s="1">
        <v>131.78</v>
      </c>
      <c r="AG87" s="1">
        <v>121.16</v>
      </c>
      <c r="AH87" s="1">
        <v>30</v>
      </c>
      <c r="AI87" s="1">
        <v>15</v>
      </c>
      <c r="AN87" s="1">
        <v>4190.96</v>
      </c>
      <c r="AO87" s="1">
        <v>7</v>
      </c>
      <c r="AP87" s="1">
        <v>4255</v>
      </c>
      <c r="AQ87" s="1">
        <v>4248.72</v>
      </c>
      <c r="AR87" s="1">
        <v>4140.3900000000003</v>
      </c>
      <c r="AS87" s="1">
        <v>4317.33</v>
      </c>
      <c r="AT87" s="1">
        <v>4276.55</v>
      </c>
      <c r="AU87" s="1">
        <v>4304.6899999999996</v>
      </c>
      <c r="AW87" s="1">
        <v>4154.18</v>
      </c>
      <c r="AX87" s="1">
        <v>118.19</v>
      </c>
      <c r="AY87" s="1">
        <v>4194.1499999999996</v>
      </c>
      <c r="AZ87" s="1">
        <v>4237.29</v>
      </c>
      <c r="BA87" s="1">
        <v>127.47</v>
      </c>
      <c r="BB87" s="1">
        <v>136.06</v>
      </c>
      <c r="BC87" s="1">
        <v>131.09</v>
      </c>
      <c r="BD87" s="1">
        <v>134.26</v>
      </c>
      <c r="BE87" s="1">
        <v>127.83</v>
      </c>
      <c r="BF87" s="1">
        <v>120.37</v>
      </c>
      <c r="BG87" s="1">
        <v>133.16</v>
      </c>
      <c r="BH87" s="1">
        <v>126.08</v>
      </c>
      <c r="BI87" s="1">
        <v>126.17</v>
      </c>
      <c r="BJ87" s="1">
        <v>132.35</v>
      </c>
      <c r="BK87" s="1">
        <v>117.59</v>
      </c>
      <c r="BL87" s="1">
        <v>118.14</v>
      </c>
      <c r="BN87" s="1">
        <v>117.72</v>
      </c>
    </row>
    <row r="88" spans="1:66" x14ac:dyDescent="0.3">
      <c r="A88" s="2"/>
      <c r="C88" s="14" t="str">
        <f t="shared" si="2"/>
        <v>202511</v>
      </c>
      <c r="D88" s="3">
        <v>45980</v>
      </c>
      <c r="E88" s="21">
        <v>1791.28</v>
      </c>
      <c r="F88" s="21">
        <v>1722.33</v>
      </c>
      <c r="G88" s="21">
        <v>1755.31</v>
      </c>
      <c r="H88" s="21">
        <v>1750.62</v>
      </c>
      <c r="I88" s="21">
        <v>1736.72</v>
      </c>
      <c r="J88" s="21">
        <v>1760.59</v>
      </c>
      <c r="K88" s="21">
        <v>1698.95</v>
      </c>
      <c r="L88" s="21">
        <v>1706.98</v>
      </c>
      <c r="M88" s="21">
        <v>1530.05</v>
      </c>
      <c r="N88" s="21">
        <v>1679.96</v>
      </c>
      <c r="O88" s="21">
        <v>1767.71</v>
      </c>
      <c r="P88" s="21">
        <v>1681.68</v>
      </c>
      <c r="Q88" s="21">
        <v>7034.32</v>
      </c>
      <c r="R88" s="20">
        <v>116.95</v>
      </c>
      <c r="S88" s="20">
        <v>113.51</v>
      </c>
      <c r="T88" s="21">
        <v>124.75</v>
      </c>
      <c r="V88" s="1">
        <v>119.4</v>
      </c>
      <c r="W88" s="1">
        <v>123.45</v>
      </c>
      <c r="X88" s="1">
        <v>124.67</v>
      </c>
      <c r="Y88" s="1">
        <v>121.94</v>
      </c>
      <c r="Z88" s="1">
        <v>122.11</v>
      </c>
      <c r="AA88" s="1">
        <v>121.62</v>
      </c>
      <c r="AB88" s="1">
        <v>123.95</v>
      </c>
      <c r="AE88" s="1">
        <v>132.21</v>
      </c>
      <c r="AF88" s="1">
        <v>133.24</v>
      </c>
      <c r="AG88" s="1">
        <v>120.02</v>
      </c>
      <c r="AH88" s="1">
        <v>30</v>
      </c>
      <c r="AN88" s="1">
        <v>4268.91</v>
      </c>
      <c r="AO88" s="1">
        <v>7</v>
      </c>
      <c r="AP88" s="1">
        <v>4226.25</v>
      </c>
      <c r="AQ88" s="1">
        <v>4248.72</v>
      </c>
      <c r="AR88" s="1">
        <v>4147.97</v>
      </c>
      <c r="AS88" s="1">
        <v>4317.33</v>
      </c>
      <c r="AT88" s="1">
        <v>4291.28</v>
      </c>
      <c r="AU88" s="1">
        <v>4304.6899999999996</v>
      </c>
      <c r="AW88" s="1">
        <v>4147.97</v>
      </c>
      <c r="AX88" s="1">
        <v>118.19</v>
      </c>
      <c r="AY88" s="1">
        <v>4176.28</v>
      </c>
      <c r="AZ88" s="1">
        <v>4237.29</v>
      </c>
      <c r="BA88" s="1">
        <v>127.47</v>
      </c>
      <c r="BB88" s="1">
        <v>136.09</v>
      </c>
      <c r="BC88" s="1">
        <v>132.09</v>
      </c>
      <c r="BD88" s="1">
        <v>134.81</v>
      </c>
      <c r="BE88" s="1">
        <v>127.37</v>
      </c>
      <c r="BF88" s="1">
        <v>120.37</v>
      </c>
      <c r="BG88" s="1">
        <v>133.16</v>
      </c>
      <c r="BH88" s="1">
        <v>128.16999999999999</v>
      </c>
      <c r="BI88" s="1">
        <v>126.17</v>
      </c>
      <c r="BJ88" s="1">
        <v>132.33000000000001</v>
      </c>
      <c r="BK88" s="1">
        <v>118.25</v>
      </c>
      <c r="BL88" s="1">
        <v>118.47</v>
      </c>
      <c r="BN88" s="1">
        <v>118.39</v>
      </c>
    </row>
    <row r="89" spans="1:66" x14ac:dyDescent="0.3">
      <c r="A89" s="2"/>
      <c r="C89" s="14" t="str">
        <f t="shared" si="2"/>
        <v>202511</v>
      </c>
      <c r="D89" s="3">
        <v>45979</v>
      </c>
      <c r="E89" s="21">
        <v>1788.7</v>
      </c>
      <c r="F89" s="21">
        <v>1718.16</v>
      </c>
      <c r="G89" s="21">
        <v>1735.37</v>
      </c>
      <c r="H89" s="21">
        <v>1750.62</v>
      </c>
      <c r="I89" s="21">
        <v>1729.03</v>
      </c>
      <c r="J89" s="21">
        <v>1739.34</v>
      </c>
      <c r="K89" s="21">
        <v>1698.95</v>
      </c>
      <c r="L89" s="21">
        <v>1653.52</v>
      </c>
      <c r="M89" s="21">
        <v>1433.39</v>
      </c>
      <c r="N89" s="21">
        <v>1683.47</v>
      </c>
      <c r="O89" s="21">
        <v>1729.65</v>
      </c>
      <c r="P89" s="21">
        <v>1682.53</v>
      </c>
      <c r="Q89" s="21">
        <v>7009.05</v>
      </c>
      <c r="R89" s="20">
        <v>116.95</v>
      </c>
      <c r="S89" s="20">
        <v>112.53</v>
      </c>
      <c r="T89" s="21">
        <v>124.75</v>
      </c>
      <c r="V89" s="1">
        <v>118.83</v>
      </c>
      <c r="W89" s="1">
        <v>123.44</v>
      </c>
      <c r="X89" s="1">
        <v>124.8</v>
      </c>
      <c r="Y89" s="1">
        <v>121.82</v>
      </c>
      <c r="Z89" s="1">
        <v>122.23</v>
      </c>
      <c r="AA89" s="1">
        <v>122.16</v>
      </c>
      <c r="AB89" s="1">
        <v>123.84</v>
      </c>
      <c r="AE89" s="1">
        <v>132.71</v>
      </c>
      <c r="AF89" s="1">
        <v>132.99</v>
      </c>
      <c r="AG89" s="1">
        <v>115.66</v>
      </c>
      <c r="AH89" s="1">
        <v>30</v>
      </c>
      <c r="AN89" s="1">
        <v>4284.34</v>
      </c>
      <c r="AO89" s="1">
        <v>7</v>
      </c>
      <c r="AP89" s="1">
        <v>4215</v>
      </c>
      <c r="AQ89" s="1">
        <v>4248.72</v>
      </c>
      <c r="AR89" s="1">
        <v>4100.96</v>
      </c>
      <c r="AS89" s="1">
        <v>4317.33</v>
      </c>
      <c r="AT89" s="1">
        <v>4265.74</v>
      </c>
      <c r="AW89" s="1">
        <v>4139.2700000000004</v>
      </c>
      <c r="AX89" s="1">
        <v>117.9</v>
      </c>
      <c r="AY89" s="1">
        <v>4176.28</v>
      </c>
      <c r="AZ89" s="1">
        <v>4251.6099999999997</v>
      </c>
      <c r="BA89" s="1">
        <v>127.45</v>
      </c>
      <c r="BB89" s="1">
        <v>135.66999999999999</v>
      </c>
      <c r="BC89" s="1">
        <v>130.97</v>
      </c>
      <c r="BD89" s="1">
        <v>134.76</v>
      </c>
      <c r="BE89" s="1">
        <v>127.62</v>
      </c>
      <c r="BF89" s="1">
        <v>124.79</v>
      </c>
      <c r="BG89" s="1">
        <v>133.16</v>
      </c>
      <c r="BH89" s="1">
        <v>128.33000000000001</v>
      </c>
      <c r="BI89" s="1">
        <v>126.05</v>
      </c>
      <c r="BJ89" s="1">
        <v>132.35</v>
      </c>
      <c r="BK89" s="1">
        <v>117.59</v>
      </c>
      <c r="BL89" s="1">
        <v>118.14</v>
      </c>
      <c r="BN89" s="1">
        <v>117.72</v>
      </c>
    </row>
    <row r="90" spans="1:66" x14ac:dyDescent="0.3">
      <c r="A90" s="2"/>
      <c r="C90" s="14" t="str">
        <f t="shared" si="2"/>
        <v>202511</v>
      </c>
      <c r="D90" s="3">
        <v>45978</v>
      </c>
      <c r="E90" s="21">
        <v>1788.7</v>
      </c>
      <c r="F90" s="21">
        <v>1710.71</v>
      </c>
      <c r="G90" s="21">
        <v>1735.37</v>
      </c>
      <c r="H90" s="21">
        <v>1750.62</v>
      </c>
      <c r="I90" s="21">
        <v>1719.1</v>
      </c>
      <c r="J90" s="21">
        <v>1734.34</v>
      </c>
      <c r="K90" s="21">
        <v>1682.95</v>
      </c>
      <c r="L90" s="21">
        <v>1640.43</v>
      </c>
      <c r="M90" s="21">
        <v>1476.64</v>
      </c>
      <c r="N90" s="21">
        <v>1683.47</v>
      </c>
      <c r="O90" s="21">
        <v>1740.05</v>
      </c>
      <c r="P90" s="21">
        <v>1681.28</v>
      </c>
      <c r="Q90" s="21">
        <v>6959.07</v>
      </c>
      <c r="R90" s="20">
        <v>116.95</v>
      </c>
      <c r="S90" s="20">
        <v>109.69</v>
      </c>
      <c r="T90" s="21">
        <v>124.94</v>
      </c>
      <c r="V90" s="1">
        <v>119.14</v>
      </c>
      <c r="W90" s="1">
        <v>123.82</v>
      </c>
      <c r="X90" s="1">
        <v>123.92</v>
      </c>
      <c r="Y90" s="1">
        <v>121.07</v>
      </c>
      <c r="Z90" s="1">
        <v>122.23</v>
      </c>
      <c r="AA90" s="1">
        <v>122.16</v>
      </c>
      <c r="AB90" s="1">
        <v>123.13</v>
      </c>
      <c r="AE90" s="1">
        <v>131.88</v>
      </c>
      <c r="AF90" s="1">
        <v>132.31</v>
      </c>
      <c r="AG90" s="1">
        <v>112.6</v>
      </c>
      <c r="AN90" s="1">
        <v>4284.34</v>
      </c>
      <c r="AO90" s="1">
        <v>7</v>
      </c>
      <c r="AP90" s="1">
        <v>4184.0600000000004</v>
      </c>
      <c r="AQ90" s="1">
        <v>4246.55</v>
      </c>
      <c r="AR90" s="1">
        <v>4074.67</v>
      </c>
      <c r="AS90" s="1">
        <v>4329.97</v>
      </c>
      <c r="AT90" s="1">
        <v>4286.22</v>
      </c>
      <c r="AW90" s="1">
        <v>4139.2700000000004</v>
      </c>
      <c r="AX90" s="1">
        <v>117.55</v>
      </c>
      <c r="AY90" s="1">
        <v>4176.28</v>
      </c>
      <c r="AZ90" s="1">
        <v>4278.78</v>
      </c>
      <c r="BA90" s="1">
        <v>123.98</v>
      </c>
      <c r="BB90" s="1">
        <v>135.74</v>
      </c>
      <c r="BC90" s="1">
        <v>130.21</v>
      </c>
      <c r="BD90" s="1">
        <v>134.02000000000001</v>
      </c>
      <c r="BE90" s="1">
        <v>126.03</v>
      </c>
      <c r="BF90" s="1">
        <v>124.79</v>
      </c>
      <c r="BG90" s="1">
        <v>133.16</v>
      </c>
      <c r="BH90" s="1">
        <v>128</v>
      </c>
      <c r="BI90" s="1">
        <v>126.05</v>
      </c>
      <c r="BJ90" s="1">
        <v>132.33000000000001</v>
      </c>
      <c r="BK90" s="1">
        <v>117.59</v>
      </c>
      <c r="BL90" s="1">
        <v>117.8</v>
      </c>
      <c r="BN90" s="1">
        <v>117.72</v>
      </c>
    </row>
    <row r="91" spans="1:66" x14ac:dyDescent="0.3">
      <c r="A91" s="2"/>
      <c r="C91" s="14" t="str">
        <f t="shared" si="2"/>
        <v>202511</v>
      </c>
      <c r="D91" s="3">
        <v>45975</v>
      </c>
      <c r="E91" s="21">
        <v>1793.66</v>
      </c>
      <c r="F91" s="21">
        <v>1710.71</v>
      </c>
      <c r="G91" s="21">
        <v>1735.37</v>
      </c>
      <c r="H91" s="21">
        <v>1707.75</v>
      </c>
      <c r="I91" s="21">
        <v>1719.1</v>
      </c>
      <c r="J91" s="21">
        <v>1730.73</v>
      </c>
      <c r="K91" s="21">
        <v>1707.7</v>
      </c>
      <c r="L91" s="21">
        <v>1640.43</v>
      </c>
      <c r="M91" s="21">
        <v>1533.08</v>
      </c>
      <c r="N91" s="21">
        <v>1654.82</v>
      </c>
      <c r="O91" s="21">
        <v>1736.24</v>
      </c>
      <c r="P91" s="21">
        <v>1668.85</v>
      </c>
      <c r="Q91" s="21">
        <v>6949.03</v>
      </c>
      <c r="R91" s="20">
        <v>116.95</v>
      </c>
      <c r="S91" s="20">
        <v>113.21</v>
      </c>
      <c r="T91" s="21">
        <v>124.94</v>
      </c>
      <c r="V91" s="1">
        <v>118.85</v>
      </c>
      <c r="W91" s="1">
        <v>123.44</v>
      </c>
      <c r="X91" s="1">
        <v>123.42</v>
      </c>
      <c r="Y91" s="1">
        <v>121.35</v>
      </c>
      <c r="Z91" s="1">
        <v>122.23</v>
      </c>
      <c r="AA91" s="1">
        <v>122.16</v>
      </c>
      <c r="AB91" s="1">
        <v>122.36</v>
      </c>
      <c r="AE91" s="1">
        <v>131.88</v>
      </c>
      <c r="AF91" s="1">
        <v>132.26</v>
      </c>
      <c r="AG91" s="1">
        <v>117.22</v>
      </c>
      <c r="AJ91" s="1">
        <v>30</v>
      </c>
      <c r="AL91" s="1">
        <v>30</v>
      </c>
      <c r="AN91" s="1">
        <v>4313.96</v>
      </c>
      <c r="AP91" s="1">
        <v>4184.0600000000004</v>
      </c>
      <c r="AQ91" s="1">
        <v>4186.6099999999997</v>
      </c>
      <c r="AR91" s="1">
        <v>4127.33</v>
      </c>
      <c r="AS91" s="1">
        <v>4342.6099999999997</v>
      </c>
      <c r="AT91" s="1">
        <v>4319.8900000000003</v>
      </c>
      <c r="AU91" s="1">
        <v>4170.72</v>
      </c>
      <c r="AW91" s="1">
        <v>4145.45</v>
      </c>
      <c r="AX91" s="1">
        <v>120.24</v>
      </c>
      <c r="AY91" s="1">
        <v>4101.21</v>
      </c>
      <c r="AZ91" s="1">
        <v>4289.3900000000003</v>
      </c>
      <c r="BA91" s="1">
        <v>124.47</v>
      </c>
      <c r="BB91" s="1">
        <v>135.62</v>
      </c>
      <c r="BC91" s="1">
        <v>130.78</v>
      </c>
      <c r="BD91" s="1">
        <v>133.16</v>
      </c>
      <c r="BE91" s="1">
        <v>127.78</v>
      </c>
      <c r="BF91" s="1">
        <v>124.72</v>
      </c>
      <c r="BG91" s="1">
        <v>132.56</v>
      </c>
      <c r="BH91" s="1">
        <v>124.41</v>
      </c>
      <c r="BI91" s="1">
        <v>126.05</v>
      </c>
      <c r="BJ91" s="1">
        <v>132.35</v>
      </c>
      <c r="BK91" s="1">
        <v>118.25</v>
      </c>
      <c r="BL91" s="1">
        <v>118.47</v>
      </c>
      <c r="BN91" s="1">
        <v>118.39</v>
      </c>
    </row>
    <row r="92" spans="1:66" x14ac:dyDescent="0.3">
      <c r="A92" s="2"/>
      <c r="C92" s="14" t="str">
        <f t="shared" si="2"/>
        <v>202511</v>
      </c>
      <c r="D92" s="3">
        <v>45974</v>
      </c>
      <c r="E92" s="21">
        <v>1773.8</v>
      </c>
      <c r="F92" s="21">
        <v>1682.87</v>
      </c>
      <c r="G92" s="21">
        <v>1723</v>
      </c>
      <c r="H92" s="21">
        <v>1693.76</v>
      </c>
      <c r="I92" s="21">
        <v>1730.77</v>
      </c>
      <c r="J92" s="21">
        <v>1722</v>
      </c>
      <c r="K92" s="21">
        <v>1683.06</v>
      </c>
      <c r="L92" s="21">
        <v>1630.54</v>
      </c>
      <c r="M92" s="21">
        <v>1533.08</v>
      </c>
      <c r="N92" s="21">
        <v>1641.32</v>
      </c>
      <c r="O92" s="21">
        <v>1718.44</v>
      </c>
      <c r="P92" s="21">
        <v>1676.35</v>
      </c>
      <c r="Q92" s="21">
        <v>7215.76</v>
      </c>
      <c r="R92" s="20">
        <v>116.95</v>
      </c>
      <c r="S92" s="20">
        <v>112.81</v>
      </c>
      <c r="T92" s="21">
        <v>124.62</v>
      </c>
      <c r="V92" s="1">
        <v>119.1</v>
      </c>
      <c r="W92" s="1">
        <v>122.94</v>
      </c>
      <c r="X92" s="1">
        <v>122.8</v>
      </c>
      <c r="Y92" s="1">
        <v>120.37</v>
      </c>
      <c r="Z92" s="1">
        <v>120.61</v>
      </c>
      <c r="AA92" s="1">
        <v>122.16</v>
      </c>
      <c r="AB92" s="1">
        <v>121.95</v>
      </c>
      <c r="AE92" s="1">
        <v>131.05000000000001</v>
      </c>
      <c r="AF92" s="1">
        <v>131.33000000000001</v>
      </c>
      <c r="AG92" s="1">
        <v>119.01</v>
      </c>
      <c r="AJ92" s="1">
        <v>30</v>
      </c>
      <c r="AL92" s="1">
        <v>30</v>
      </c>
      <c r="AN92" s="1">
        <v>4291.04</v>
      </c>
      <c r="AP92" s="1">
        <v>4184.0600000000004</v>
      </c>
      <c r="AQ92" s="1">
        <v>4186.6099999999997</v>
      </c>
      <c r="AR92" s="1">
        <v>4127.33</v>
      </c>
      <c r="AS92" s="1">
        <v>4342.6099999999997</v>
      </c>
      <c r="AT92" s="1">
        <v>4347.66</v>
      </c>
      <c r="AU92" s="1">
        <v>4170.72</v>
      </c>
      <c r="AW92" s="1">
        <v>4145.45</v>
      </c>
      <c r="AX92" s="1">
        <v>120.23</v>
      </c>
      <c r="AY92" s="1">
        <v>4135.33</v>
      </c>
      <c r="AZ92" s="1">
        <v>4289.3900000000003</v>
      </c>
      <c r="BA92" s="1">
        <v>124.47</v>
      </c>
      <c r="BB92" s="1">
        <v>135.12</v>
      </c>
      <c r="BC92" s="1">
        <v>130.35</v>
      </c>
      <c r="BD92" s="1">
        <v>132.94999999999999</v>
      </c>
      <c r="BE92" s="1">
        <v>127.77</v>
      </c>
      <c r="BF92" s="1">
        <v>124.15</v>
      </c>
      <c r="BG92" s="1">
        <v>132.56</v>
      </c>
      <c r="BH92" s="1">
        <v>127.02</v>
      </c>
      <c r="BI92" s="1">
        <v>125.68</v>
      </c>
      <c r="BJ92" s="1">
        <v>132.41</v>
      </c>
      <c r="BK92" s="1">
        <v>116.92</v>
      </c>
      <c r="BL92" s="1">
        <v>117.14</v>
      </c>
      <c r="BN92" s="1">
        <v>117.05</v>
      </c>
    </row>
    <row r="93" spans="1:66" x14ac:dyDescent="0.3">
      <c r="A93" s="2"/>
      <c r="C93" s="14" t="str">
        <f t="shared" si="2"/>
        <v>202511</v>
      </c>
      <c r="D93" s="3">
        <v>45973</v>
      </c>
      <c r="E93" s="21">
        <v>1758.9</v>
      </c>
      <c r="F93" s="21">
        <v>1682.87</v>
      </c>
      <c r="G93" s="21">
        <v>1723</v>
      </c>
      <c r="H93" s="21">
        <v>1683.87</v>
      </c>
      <c r="I93" s="21">
        <v>1694.19</v>
      </c>
      <c r="J93" s="21">
        <v>1712.28</v>
      </c>
      <c r="K93" s="21">
        <v>1651.06</v>
      </c>
      <c r="L93" s="21">
        <v>1618.96</v>
      </c>
      <c r="M93" s="21">
        <v>1481.68</v>
      </c>
      <c r="N93" s="21">
        <v>1619.44</v>
      </c>
      <c r="O93" s="21">
        <v>1691.84</v>
      </c>
      <c r="P93" s="21">
        <v>1663.85</v>
      </c>
      <c r="Q93" s="21">
        <v>7115.8</v>
      </c>
      <c r="R93" s="20">
        <v>116.28</v>
      </c>
      <c r="S93" s="20">
        <v>113.81</v>
      </c>
      <c r="T93" s="21">
        <v>124.69</v>
      </c>
      <c r="V93" s="1">
        <v>118.6</v>
      </c>
      <c r="W93" s="1">
        <v>122.82</v>
      </c>
      <c r="X93" s="1">
        <v>122.8</v>
      </c>
      <c r="Y93" s="1">
        <v>119.94</v>
      </c>
      <c r="Z93" s="1">
        <v>120.11</v>
      </c>
      <c r="AA93" s="1">
        <v>121.98</v>
      </c>
      <c r="AB93" s="1">
        <v>121.95</v>
      </c>
      <c r="AE93" s="1">
        <v>130.38</v>
      </c>
      <c r="AF93" s="1">
        <v>130.6</v>
      </c>
      <c r="AG93" s="1">
        <v>119.62</v>
      </c>
      <c r="AJ93" s="1">
        <v>30</v>
      </c>
      <c r="AL93" s="1">
        <v>30</v>
      </c>
      <c r="AN93" s="1">
        <v>4246.55</v>
      </c>
      <c r="AP93" s="1">
        <v>4184.0600000000004</v>
      </c>
      <c r="AQ93" s="1">
        <v>4186.6099999999997</v>
      </c>
      <c r="AR93" s="1">
        <v>4159.3500000000004</v>
      </c>
      <c r="AS93" s="1">
        <v>4351.03</v>
      </c>
      <c r="AT93" s="1">
        <v>4263.3999999999996</v>
      </c>
      <c r="AU93" s="1">
        <v>4229.87</v>
      </c>
      <c r="AW93" s="1">
        <v>4164.82</v>
      </c>
      <c r="AX93" s="1">
        <v>118.52</v>
      </c>
      <c r="AY93" s="1">
        <v>4135.33</v>
      </c>
      <c r="AZ93" s="1">
        <v>4313.28</v>
      </c>
      <c r="BA93" s="1">
        <v>124.47</v>
      </c>
      <c r="BB93" s="1">
        <v>135.22999999999999</v>
      </c>
      <c r="BC93" s="1">
        <v>130.04</v>
      </c>
      <c r="BD93" s="1">
        <v>132.04</v>
      </c>
      <c r="BE93" s="1">
        <v>126.26</v>
      </c>
      <c r="BF93" s="1">
        <v>123.58</v>
      </c>
      <c r="BG93" s="1">
        <v>132.56</v>
      </c>
      <c r="BH93" s="1">
        <v>127.27</v>
      </c>
      <c r="BI93" s="1">
        <v>125.68</v>
      </c>
      <c r="BJ93" s="1">
        <v>132.47999999999999</v>
      </c>
      <c r="BK93" s="1">
        <v>116.25</v>
      </c>
      <c r="BL93" s="1">
        <v>116.47</v>
      </c>
      <c r="BN93" s="1">
        <v>116.39</v>
      </c>
    </row>
    <row r="94" spans="1:66" x14ac:dyDescent="0.3">
      <c r="A94" s="2"/>
      <c r="C94" s="14" t="str">
        <f t="shared" si="2"/>
        <v>202511</v>
      </c>
      <c r="D94" s="3">
        <v>45972</v>
      </c>
      <c r="E94" s="21">
        <v>1756.42</v>
      </c>
      <c r="F94" s="21">
        <v>1682.87</v>
      </c>
      <c r="G94" s="21">
        <v>1723</v>
      </c>
      <c r="H94" s="21">
        <v>1693.76</v>
      </c>
      <c r="I94" s="21">
        <v>1698.81</v>
      </c>
      <c r="J94" s="21">
        <v>1709.43</v>
      </c>
      <c r="K94" s="21">
        <v>1643.06</v>
      </c>
      <c r="L94" s="21">
        <v>1615</v>
      </c>
      <c r="M94" s="21">
        <v>1481.68</v>
      </c>
      <c r="N94" s="21">
        <v>1604.29</v>
      </c>
      <c r="O94" s="21">
        <v>1697.88</v>
      </c>
      <c r="P94" s="21">
        <v>1656.35</v>
      </c>
      <c r="Q94" s="21">
        <v>7233.79</v>
      </c>
      <c r="R94" s="20">
        <v>116.28</v>
      </c>
      <c r="S94" s="20">
        <v>111.81</v>
      </c>
      <c r="T94" s="21">
        <v>124.41</v>
      </c>
      <c r="V94" s="1">
        <v>118.6</v>
      </c>
      <c r="W94" s="1">
        <v>122.57</v>
      </c>
      <c r="X94" s="1">
        <v>122.92</v>
      </c>
      <c r="Y94" s="1">
        <v>119.94</v>
      </c>
      <c r="Z94" s="1">
        <v>120.11</v>
      </c>
      <c r="AA94" s="1">
        <v>121.98</v>
      </c>
      <c r="AB94" s="1">
        <v>122.03</v>
      </c>
      <c r="AE94" s="1">
        <v>130.55000000000001</v>
      </c>
      <c r="AF94" s="1">
        <v>129.04</v>
      </c>
      <c r="AG94" s="1">
        <v>118.23</v>
      </c>
      <c r="AJ94" s="1">
        <v>30</v>
      </c>
      <c r="AL94" s="1">
        <v>30</v>
      </c>
      <c r="AN94" s="1">
        <v>4307.22</v>
      </c>
      <c r="AO94" s="1">
        <v>7</v>
      </c>
      <c r="AP94" s="1">
        <v>4140</v>
      </c>
      <c r="AQ94" s="1">
        <v>4127.25</v>
      </c>
      <c r="AR94" s="1">
        <v>4166.51</v>
      </c>
      <c r="AS94" s="1">
        <v>4367.88</v>
      </c>
      <c r="AT94" s="1">
        <v>4233.3599999999997</v>
      </c>
      <c r="AU94" s="1">
        <v>4229.87</v>
      </c>
      <c r="AW94" s="1">
        <v>4183.87</v>
      </c>
      <c r="AX94" s="1">
        <v>121.38</v>
      </c>
      <c r="AY94" s="1">
        <v>4135.33</v>
      </c>
      <c r="AZ94" s="1">
        <v>4299.8</v>
      </c>
      <c r="BA94" s="1">
        <v>124.13</v>
      </c>
      <c r="BB94" s="1">
        <v>135.24</v>
      </c>
      <c r="BC94" s="1">
        <v>130.94</v>
      </c>
      <c r="BD94" s="1">
        <v>132.32</v>
      </c>
      <c r="BE94" s="1">
        <v>126.75</v>
      </c>
      <c r="BF94" s="1">
        <v>124.63</v>
      </c>
      <c r="BG94" s="1">
        <v>132.96</v>
      </c>
      <c r="BH94" s="1">
        <v>125.25</v>
      </c>
      <c r="BI94" s="1">
        <v>125.68</v>
      </c>
      <c r="BJ94" s="1">
        <v>132.4</v>
      </c>
      <c r="BK94" s="1">
        <v>116.25</v>
      </c>
      <c r="BL94" s="1">
        <v>116.8</v>
      </c>
      <c r="BN94" s="1">
        <v>116.39</v>
      </c>
    </row>
    <row r="95" spans="1:66" x14ac:dyDescent="0.3">
      <c r="A95" s="2"/>
      <c r="C95" s="14" t="str">
        <f t="shared" si="2"/>
        <v>202511</v>
      </c>
      <c r="D95" s="3">
        <v>45971</v>
      </c>
      <c r="E95" s="21">
        <v>1761.38</v>
      </c>
      <c r="F95" s="21">
        <v>1682.87</v>
      </c>
      <c r="G95" s="21">
        <v>1723</v>
      </c>
      <c r="H95" s="21">
        <v>1753.1</v>
      </c>
      <c r="I95" s="21">
        <v>1702.43</v>
      </c>
      <c r="J95" s="21">
        <v>1704.78</v>
      </c>
      <c r="K95" s="21">
        <v>1651.06</v>
      </c>
      <c r="L95" s="21">
        <v>1615</v>
      </c>
      <c r="M95" s="21">
        <v>1528.89</v>
      </c>
      <c r="N95" s="21">
        <v>1598.72</v>
      </c>
      <c r="O95" s="21">
        <v>1748.29</v>
      </c>
      <c r="P95" s="21">
        <v>1663.85</v>
      </c>
      <c r="Q95" s="21">
        <v>7209.01</v>
      </c>
      <c r="R95" s="20">
        <v>116.28</v>
      </c>
      <c r="S95" s="20">
        <v>111.41</v>
      </c>
      <c r="T95" s="21">
        <v>124.41</v>
      </c>
      <c r="V95" s="1">
        <v>118.6</v>
      </c>
      <c r="W95" s="1">
        <v>122.57</v>
      </c>
      <c r="X95" s="1">
        <v>122.92</v>
      </c>
      <c r="Y95" s="1">
        <v>120.14</v>
      </c>
      <c r="Z95" s="1">
        <v>120.29</v>
      </c>
      <c r="AA95" s="1">
        <v>121.89</v>
      </c>
      <c r="AB95" s="1">
        <v>122.13</v>
      </c>
      <c r="AE95" s="1">
        <v>130.22</v>
      </c>
      <c r="AF95" s="1">
        <v>128.35</v>
      </c>
      <c r="AG95" s="1">
        <v>119.57</v>
      </c>
      <c r="AJ95" s="1">
        <v>30</v>
      </c>
      <c r="AL95" s="1">
        <v>30</v>
      </c>
      <c r="AN95" s="1">
        <v>4224.3100000000004</v>
      </c>
      <c r="AO95" s="1">
        <v>7</v>
      </c>
      <c r="AP95" s="1">
        <v>4140.67</v>
      </c>
      <c r="AQ95" s="1">
        <v>4127.25</v>
      </c>
      <c r="AR95" s="1">
        <v>4153.66</v>
      </c>
      <c r="AT95" s="1">
        <v>4161.25</v>
      </c>
      <c r="AU95" s="1">
        <v>4229.87</v>
      </c>
      <c r="AW95" s="1">
        <v>4164.82</v>
      </c>
      <c r="AX95" s="1">
        <v>122.81</v>
      </c>
      <c r="AY95" s="1">
        <v>4107.53</v>
      </c>
      <c r="AZ95" s="1">
        <v>4291.8999999999996</v>
      </c>
      <c r="BA95" s="1">
        <v>125.73</v>
      </c>
      <c r="BB95" s="1">
        <v>135.07</v>
      </c>
      <c r="BC95" s="1">
        <v>130.81</v>
      </c>
      <c r="BD95" s="1">
        <v>132.07</v>
      </c>
      <c r="BE95" s="1">
        <v>125.59</v>
      </c>
      <c r="BF95" s="1">
        <v>126.46</v>
      </c>
      <c r="BG95" s="1">
        <v>132.96</v>
      </c>
      <c r="BH95" s="1">
        <v>125.44</v>
      </c>
      <c r="BI95" s="1">
        <v>126.05</v>
      </c>
      <c r="BJ95" s="1">
        <v>132.38</v>
      </c>
      <c r="BK95" s="1">
        <v>116.25</v>
      </c>
      <c r="BL95" s="1">
        <v>116.8</v>
      </c>
      <c r="BN95" s="1">
        <v>116.39</v>
      </c>
    </row>
    <row r="96" spans="1:66" x14ac:dyDescent="0.3">
      <c r="A96" s="2"/>
      <c r="C96" s="14" t="str">
        <f t="shared" si="2"/>
        <v>202511</v>
      </c>
      <c r="D96" s="3">
        <v>45968</v>
      </c>
      <c r="E96" s="21">
        <v>1758.9</v>
      </c>
      <c r="F96" s="21">
        <v>1682.87</v>
      </c>
      <c r="G96" s="21">
        <v>1723</v>
      </c>
      <c r="H96" s="21">
        <v>1775.35</v>
      </c>
      <c r="I96" s="21">
        <v>1702.43</v>
      </c>
      <c r="J96" s="21">
        <v>1704.78</v>
      </c>
      <c r="K96" s="21">
        <v>1651.06</v>
      </c>
      <c r="L96" s="21">
        <v>1631.3</v>
      </c>
      <c r="M96" s="21">
        <v>1550.3</v>
      </c>
      <c r="N96" s="21">
        <v>1603.11</v>
      </c>
      <c r="O96" s="21">
        <v>1748.29</v>
      </c>
      <c r="P96" s="21">
        <v>1663.85</v>
      </c>
      <c r="Q96" s="21">
        <v>7259.01</v>
      </c>
      <c r="R96" s="20">
        <v>116.28</v>
      </c>
      <c r="S96" s="20">
        <v>111.61</v>
      </c>
      <c r="T96" s="21">
        <v>124.41</v>
      </c>
      <c r="V96" s="1">
        <v>119.1</v>
      </c>
      <c r="W96" s="1">
        <v>122.57</v>
      </c>
      <c r="X96" s="1">
        <v>122.05</v>
      </c>
      <c r="Y96" s="1">
        <v>119.94</v>
      </c>
      <c r="Z96" s="1">
        <v>120.07</v>
      </c>
      <c r="AA96" s="1">
        <v>122.21</v>
      </c>
      <c r="AB96" s="1">
        <v>121.25</v>
      </c>
      <c r="AE96" s="1">
        <v>130.21</v>
      </c>
      <c r="AF96" s="1">
        <v>130.44999999999999</v>
      </c>
      <c r="AG96" s="1">
        <v>118.64</v>
      </c>
      <c r="AN96" s="1">
        <v>4224.3100000000004</v>
      </c>
      <c r="AO96" s="1">
        <v>7</v>
      </c>
      <c r="AP96" s="1">
        <v>4140.67</v>
      </c>
      <c r="AQ96" s="1">
        <v>4127.75</v>
      </c>
      <c r="AR96" s="1">
        <v>4147.58</v>
      </c>
      <c r="AT96" s="1">
        <v>4161.25</v>
      </c>
      <c r="AU96" s="1">
        <v>4269.3</v>
      </c>
      <c r="AW96" s="1">
        <v>4185.8900000000003</v>
      </c>
      <c r="AX96" s="1">
        <v>123.09</v>
      </c>
      <c r="AY96" s="1">
        <v>4162.3</v>
      </c>
      <c r="AZ96" s="1">
        <v>4362.83</v>
      </c>
      <c r="BA96" s="1">
        <v>125.73</v>
      </c>
      <c r="BB96" s="1">
        <v>134.76</v>
      </c>
      <c r="BC96" s="1">
        <v>130.68</v>
      </c>
      <c r="BD96" s="1">
        <v>132.02000000000001</v>
      </c>
      <c r="BE96" s="1">
        <v>125.99</v>
      </c>
      <c r="BF96" s="1">
        <v>127.41</v>
      </c>
      <c r="BG96" s="1">
        <v>132.96</v>
      </c>
      <c r="BH96" s="1">
        <v>126.73</v>
      </c>
      <c r="BI96" s="1">
        <v>126.26</v>
      </c>
      <c r="BJ96" s="1">
        <v>130.78</v>
      </c>
      <c r="BK96" s="1">
        <v>116.25</v>
      </c>
      <c r="BL96" s="1">
        <v>116.47</v>
      </c>
      <c r="BN96" s="1">
        <v>116.39</v>
      </c>
    </row>
    <row r="97" spans="1:66" x14ac:dyDescent="0.3">
      <c r="A97" s="2"/>
      <c r="C97" s="14" t="str">
        <f t="shared" si="2"/>
        <v>202511</v>
      </c>
      <c r="D97" s="3">
        <v>45967</v>
      </c>
      <c r="E97" s="21">
        <v>1763.8</v>
      </c>
      <c r="F97" s="21">
        <v>1685.13</v>
      </c>
      <c r="G97" s="21">
        <v>1713</v>
      </c>
      <c r="H97" s="21">
        <v>1772.88</v>
      </c>
      <c r="I97" s="21">
        <v>1672.13</v>
      </c>
      <c r="J97" s="21">
        <v>1684.78</v>
      </c>
      <c r="K97" s="21">
        <v>1609.41</v>
      </c>
      <c r="L97" s="21">
        <v>1632.88</v>
      </c>
      <c r="M97" s="21">
        <v>1561.67</v>
      </c>
      <c r="N97" s="21">
        <v>1602.55</v>
      </c>
      <c r="O97" s="21">
        <v>1698.08</v>
      </c>
      <c r="P97" s="21">
        <v>1613.13</v>
      </c>
      <c r="Q97" s="21">
        <v>7231.4</v>
      </c>
      <c r="R97" s="20">
        <v>115.85</v>
      </c>
      <c r="S97" s="20">
        <v>112.21</v>
      </c>
      <c r="T97" s="21">
        <v>124.41</v>
      </c>
      <c r="V97" s="1">
        <v>119.15</v>
      </c>
      <c r="W97" s="1">
        <v>122.65</v>
      </c>
      <c r="X97" s="1">
        <v>123.64</v>
      </c>
      <c r="Y97" s="1">
        <v>120.74</v>
      </c>
      <c r="Z97" s="1">
        <v>120.18</v>
      </c>
      <c r="AA97" s="1">
        <v>120.77</v>
      </c>
      <c r="AB97" s="1">
        <v>123.02</v>
      </c>
      <c r="AE97" s="1">
        <v>131.82</v>
      </c>
      <c r="AF97" s="1">
        <v>128.74</v>
      </c>
      <c r="AG97" s="1">
        <v>118.76</v>
      </c>
      <c r="AN97" s="1">
        <v>4224.3100000000004</v>
      </c>
      <c r="AO97" s="1">
        <v>7</v>
      </c>
      <c r="AP97" s="1">
        <v>4140.67</v>
      </c>
      <c r="AQ97" s="1">
        <v>4127.75</v>
      </c>
      <c r="AR97" s="1">
        <v>4147.58</v>
      </c>
      <c r="AT97" s="1">
        <v>4161.25</v>
      </c>
      <c r="AU97" s="1">
        <v>4269.3</v>
      </c>
      <c r="AW97" s="1">
        <v>4185.8900000000003</v>
      </c>
      <c r="AX97" s="1">
        <v>123.08</v>
      </c>
      <c r="AY97" s="1">
        <v>4107.53</v>
      </c>
      <c r="AZ97" s="1">
        <v>4362.83</v>
      </c>
      <c r="BA97" s="1">
        <v>126.16</v>
      </c>
      <c r="BB97" s="1">
        <v>135.13</v>
      </c>
      <c r="BC97" s="1">
        <v>131.11000000000001</v>
      </c>
      <c r="BD97" s="1">
        <v>131.1</v>
      </c>
      <c r="BE97" s="1">
        <v>125.52</v>
      </c>
      <c r="BF97" s="1">
        <v>126.73</v>
      </c>
      <c r="BG97" s="1">
        <v>133.36000000000001</v>
      </c>
      <c r="BH97" s="1">
        <v>125.44</v>
      </c>
      <c r="BI97" s="1">
        <v>125.68</v>
      </c>
      <c r="BJ97" s="1">
        <v>132.07</v>
      </c>
      <c r="BK97" s="1">
        <v>116.92</v>
      </c>
      <c r="BL97" s="1">
        <v>117.14</v>
      </c>
      <c r="BN97" s="1">
        <v>117.05</v>
      </c>
    </row>
    <row r="98" spans="1:66" x14ac:dyDescent="0.3">
      <c r="A98" s="2"/>
      <c r="C98" s="14" t="str">
        <f t="shared" si="2"/>
        <v>202511</v>
      </c>
      <c r="D98" s="3">
        <v>45966</v>
      </c>
      <c r="E98" s="21">
        <v>1776.21</v>
      </c>
      <c r="F98" s="21">
        <v>1685.13</v>
      </c>
      <c r="G98" s="21">
        <v>1713</v>
      </c>
      <c r="H98" s="21">
        <v>1772.88</v>
      </c>
      <c r="I98" s="21">
        <v>1682.13</v>
      </c>
      <c r="J98" s="21">
        <v>1674.79</v>
      </c>
      <c r="K98" s="21">
        <v>1603.7</v>
      </c>
      <c r="L98" s="21">
        <v>1632.88</v>
      </c>
      <c r="M98" s="21">
        <v>1601.26</v>
      </c>
      <c r="N98" s="21">
        <v>1592.15</v>
      </c>
      <c r="O98" s="21">
        <v>1723.69</v>
      </c>
      <c r="P98" s="21">
        <v>1588.76</v>
      </c>
      <c r="Q98" s="21">
        <v>7231.4</v>
      </c>
      <c r="R98" s="20">
        <v>116.95</v>
      </c>
      <c r="S98" s="20">
        <v>111.41</v>
      </c>
      <c r="T98" s="21">
        <v>124.83</v>
      </c>
      <c r="V98" s="1">
        <v>119.64</v>
      </c>
      <c r="W98" s="1">
        <v>122.69</v>
      </c>
      <c r="X98" s="1">
        <v>124.17</v>
      </c>
      <c r="Y98" s="1">
        <v>120.78</v>
      </c>
      <c r="Z98" s="1">
        <v>120.24</v>
      </c>
      <c r="AA98" s="1">
        <v>122.39</v>
      </c>
      <c r="AB98" s="1">
        <v>123.12</v>
      </c>
      <c r="AE98" s="1">
        <v>132.21</v>
      </c>
      <c r="AF98" s="1">
        <v>131.38999999999999</v>
      </c>
      <c r="AG98" s="1">
        <v>118.26</v>
      </c>
      <c r="AH98" s="1">
        <v>30</v>
      </c>
      <c r="AN98" s="1">
        <v>4216.7299999999996</v>
      </c>
      <c r="AO98" s="1">
        <v>7</v>
      </c>
      <c r="AP98" s="1">
        <v>4140.67</v>
      </c>
      <c r="AQ98" s="1">
        <v>4181.29</v>
      </c>
      <c r="AR98" s="1">
        <v>4146.2</v>
      </c>
      <c r="AS98" s="1">
        <v>4145.45</v>
      </c>
      <c r="AT98" s="1">
        <v>4101.21</v>
      </c>
      <c r="AW98" s="1">
        <v>4174.09</v>
      </c>
      <c r="AX98" s="1">
        <v>123.39</v>
      </c>
      <c r="AY98" s="1">
        <v>4107.53</v>
      </c>
      <c r="AZ98" s="1">
        <v>4362.83</v>
      </c>
      <c r="BA98" s="1">
        <v>126.16</v>
      </c>
      <c r="BB98" s="1">
        <v>135.32</v>
      </c>
      <c r="BC98" s="1">
        <v>131.13999999999999</v>
      </c>
      <c r="BD98" s="1">
        <v>132.06</v>
      </c>
      <c r="BE98" s="1">
        <v>127.31</v>
      </c>
      <c r="BF98" s="1">
        <v>127.28</v>
      </c>
      <c r="BG98" s="1">
        <v>133.36000000000001</v>
      </c>
      <c r="BH98" s="1">
        <v>125.94</v>
      </c>
      <c r="BI98" s="1">
        <v>125.68</v>
      </c>
      <c r="BJ98" s="1">
        <v>132.43</v>
      </c>
      <c r="BK98" s="1">
        <v>116.92</v>
      </c>
      <c r="BL98" s="1">
        <v>117.14</v>
      </c>
      <c r="BN98" s="1">
        <v>117.05</v>
      </c>
    </row>
    <row r="99" spans="1:66" x14ac:dyDescent="0.3">
      <c r="A99" s="2"/>
      <c r="C99" s="14" t="str">
        <f t="shared" si="2"/>
        <v>202511</v>
      </c>
      <c r="D99" s="3">
        <v>45965</v>
      </c>
      <c r="E99" s="21">
        <v>1763.8</v>
      </c>
      <c r="F99" s="21">
        <v>1685.13</v>
      </c>
      <c r="G99" s="21">
        <v>1713</v>
      </c>
      <c r="H99" s="21">
        <v>1762.99</v>
      </c>
      <c r="I99" s="21">
        <v>1670.94</v>
      </c>
      <c r="J99" s="21">
        <v>1715.59</v>
      </c>
      <c r="K99" s="21">
        <v>1603.7</v>
      </c>
      <c r="L99" s="21">
        <v>1638.54</v>
      </c>
      <c r="M99" s="21">
        <v>1573.17</v>
      </c>
      <c r="N99" s="21">
        <v>1577.12</v>
      </c>
      <c r="O99" s="21">
        <v>1690.58</v>
      </c>
      <c r="P99" s="21">
        <v>1588.76</v>
      </c>
      <c r="Q99" s="21">
        <v>7279</v>
      </c>
      <c r="R99" s="20">
        <v>116.95</v>
      </c>
      <c r="S99" s="20">
        <v>111.64</v>
      </c>
      <c r="T99" s="21">
        <v>124.19</v>
      </c>
      <c r="V99" s="1">
        <v>119.52</v>
      </c>
      <c r="W99" s="1">
        <v>124.25</v>
      </c>
      <c r="X99" s="1">
        <v>123.55</v>
      </c>
      <c r="Y99" s="1">
        <v>120.61</v>
      </c>
      <c r="Z99" s="1">
        <v>119.99</v>
      </c>
      <c r="AA99" s="1">
        <v>121.98</v>
      </c>
      <c r="AB99" s="1">
        <v>123.11</v>
      </c>
      <c r="AE99" s="1">
        <v>132.04</v>
      </c>
      <c r="AF99" s="1">
        <v>130.81</v>
      </c>
      <c r="AG99" s="1">
        <v>117.84</v>
      </c>
      <c r="AH99" s="1">
        <v>30</v>
      </c>
      <c r="AN99" s="1">
        <v>4166.34</v>
      </c>
      <c r="AO99" s="1">
        <v>7</v>
      </c>
      <c r="AP99" s="1">
        <v>4140.5</v>
      </c>
      <c r="AQ99" s="1">
        <v>4181.29</v>
      </c>
      <c r="AR99" s="1">
        <v>4067.59</v>
      </c>
      <c r="AS99" s="1">
        <v>4115.79</v>
      </c>
      <c r="AT99" s="1">
        <v>4067.23</v>
      </c>
      <c r="AU99" s="1">
        <v>4140.3900000000003</v>
      </c>
      <c r="AW99" s="1">
        <v>4174.09</v>
      </c>
      <c r="AX99" s="1">
        <v>115.03</v>
      </c>
      <c r="AY99" s="1">
        <v>4107.53</v>
      </c>
      <c r="AZ99" s="1">
        <v>4367.88</v>
      </c>
      <c r="BA99" s="1">
        <v>125.29</v>
      </c>
      <c r="BB99" s="1">
        <v>135.22</v>
      </c>
      <c r="BC99" s="1">
        <v>131.63999999999999</v>
      </c>
      <c r="BD99" s="1">
        <v>132.56</v>
      </c>
      <c r="BE99" s="1">
        <v>126.89</v>
      </c>
      <c r="BF99" s="1">
        <v>128.38999999999999</v>
      </c>
      <c r="BG99" s="1">
        <v>132.96</v>
      </c>
      <c r="BH99" s="1">
        <v>126.73</v>
      </c>
      <c r="BI99" s="1">
        <v>125.68</v>
      </c>
      <c r="BJ99" s="1">
        <v>131.72</v>
      </c>
      <c r="BK99" s="1">
        <v>116.25</v>
      </c>
      <c r="BL99" s="1">
        <v>116.8</v>
      </c>
      <c r="BN99" s="1">
        <v>116.39</v>
      </c>
    </row>
    <row r="100" spans="1:66" x14ac:dyDescent="0.3">
      <c r="A100" s="2"/>
      <c r="C100" s="14" t="str">
        <f t="shared" si="2"/>
        <v>202511</v>
      </c>
      <c r="D100" s="3">
        <v>45964</v>
      </c>
      <c r="E100" s="21">
        <v>1756.34</v>
      </c>
      <c r="F100" s="21">
        <v>1685.13</v>
      </c>
      <c r="G100" s="21">
        <v>1713</v>
      </c>
      <c r="H100" s="21">
        <v>1762.99</v>
      </c>
      <c r="I100" s="21">
        <v>1679.66</v>
      </c>
      <c r="J100" s="21">
        <v>1696.45</v>
      </c>
      <c r="K100" s="21">
        <v>1603.7</v>
      </c>
      <c r="L100" s="21">
        <v>1632.2</v>
      </c>
      <c r="M100" s="21">
        <v>1577.2</v>
      </c>
      <c r="N100" s="21">
        <v>1578.56</v>
      </c>
      <c r="O100" s="21">
        <v>1712.82</v>
      </c>
      <c r="P100" s="21">
        <v>1602.14</v>
      </c>
      <c r="Q100" s="21">
        <v>7276</v>
      </c>
      <c r="R100" s="20">
        <v>116.95</v>
      </c>
      <c r="S100" s="20">
        <v>111.19</v>
      </c>
      <c r="T100" s="21">
        <v>124.19</v>
      </c>
      <c r="V100" s="1">
        <v>119.33</v>
      </c>
      <c r="W100" s="1">
        <v>123.07</v>
      </c>
      <c r="X100" s="1">
        <v>124.8</v>
      </c>
      <c r="Y100" s="1">
        <v>120.94</v>
      </c>
      <c r="Z100" s="1">
        <v>120.99</v>
      </c>
      <c r="AA100" s="1">
        <v>121.98</v>
      </c>
      <c r="AB100" s="1">
        <v>123.95</v>
      </c>
      <c r="AE100" s="1">
        <v>132.71</v>
      </c>
      <c r="AF100" s="1">
        <v>130.63</v>
      </c>
      <c r="AG100" s="1">
        <v>118.35</v>
      </c>
      <c r="AH100" s="1">
        <v>30</v>
      </c>
      <c r="AN100" s="1">
        <v>4216.22</v>
      </c>
      <c r="AO100" s="1">
        <v>7</v>
      </c>
      <c r="AP100" s="1">
        <v>4063.33</v>
      </c>
      <c r="AQ100" s="1">
        <v>4181.29</v>
      </c>
      <c r="AR100" s="1">
        <v>4036.25</v>
      </c>
      <c r="AS100" s="1">
        <v>4066.33</v>
      </c>
      <c r="AT100" s="1">
        <v>4067.23</v>
      </c>
      <c r="AU100" s="1">
        <v>4140.3900000000003</v>
      </c>
      <c r="AW100" s="1">
        <v>4192.97</v>
      </c>
      <c r="AX100" s="1">
        <v>114.16</v>
      </c>
      <c r="AY100" s="1">
        <v>4107.53</v>
      </c>
      <c r="BA100" s="1">
        <v>118.76</v>
      </c>
      <c r="BB100" s="1">
        <v>135.13</v>
      </c>
      <c r="BC100" s="1">
        <v>130.86000000000001</v>
      </c>
      <c r="BD100" s="1">
        <v>132.02000000000001</v>
      </c>
      <c r="BE100" s="1">
        <v>126.22</v>
      </c>
      <c r="BF100" s="1">
        <v>128.38</v>
      </c>
      <c r="BG100" s="1">
        <v>133.36000000000001</v>
      </c>
      <c r="BH100" s="1">
        <v>126.54</v>
      </c>
      <c r="BI100" s="1">
        <v>125.68</v>
      </c>
      <c r="BJ100" s="1">
        <v>131.69999999999999</v>
      </c>
      <c r="BK100" s="1">
        <v>117.25</v>
      </c>
      <c r="BL100" s="1">
        <v>117.47</v>
      </c>
      <c r="BN100" s="1">
        <v>117.39</v>
      </c>
    </row>
    <row r="101" spans="1:66" x14ac:dyDescent="0.3">
      <c r="A101" s="2"/>
      <c r="C101" s="14" t="str">
        <f t="shared" si="2"/>
        <v>202510</v>
      </c>
      <c r="D101" s="3">
        <v>45961</v>
      </c>
      <c r="E101" s="21">
        <v>1700.46</v>
      </c>
      <c r="F101" s="21">
        <v>1646.7</v>
      </c>
      <c r="G101" s="21">
        <v>1646.78</v>
      </c>
      <c r="H101" s="21">
        <v>1708.24</v>
      </c>
      <c r="I101" s="21">
        <v>1695.33</v>
      </c>
      <c r="J101" s="21">
        <v>1695.65</v>
      </c>
      <c r="K101" s="21">
        <v>1596.13</v>
      </c>
      <c r="L101" s="21">
        <v>1588.87</v>
      </c>
      <c r="M101" s="21">
        <v>1604.99</v>
      </c>
      <c r="N101" s="21">
        <v>1586.29</v>
      </c>
      <c r="O101" s="21">
        <v>1709.16</v>
      </c>
      <c r="P101" s="21">
        <v>1591.67</v>
      </c>
      <c r="Q101" s="21">
        <v>7250.26</v>
      </c>
      <c r="R101" s="20">
        <v>116.89</v>
      </c>
      <c r="S101" s="20">
        <v>113</v>
      </c>
      <c r="T101" s="21">
        <v>123.81</v>
      </c>
      <c r="V101" s="1">
        <v>118.61</v>
      </c>
      <c r="W101" s="1">
        <v>122.92</v>
      </c>
      <c r="X101" s="1">
        <v>124.77</v>
      </c>
      <c r="Y101" s="1">
        <v>119.7</v>
      </c>
      <c r="Z101" s="1">
        <v>119.99</v>
      </c>
      <c r="AA101" s="1">
        <v>121.93</v>
      </c>
      <c r="AB101" s="1">
        <v>123.94</v>
      </c>
      <c r="AE101" s="1">
        <v>133.27000000000001</v>
      </c>
      <c r="AF101" s="1">
        <v>129.4</v>
      </c>
      <c r="AG101" s="1">
        <v>119.02</v>
      </c>
      <c r="AH101" s="1">
        <v>30</v>
      </c>
      <c r="AN101" s="1">
        <v>4223.2</v>
      </c>
      <c r="AO101" s="1">
        <v>7</v>
      </c>
      <c r="AP101" s="1">
        <v>4063.33</v>
      </c>
      <c r="AQ101" s="1">
        <v>4275</v>
      </c>
      <c r="AR101" s="1">
        <v>4045.24</v>
      </c>
      <c r="AS101" s="1">
        <v>4073.06</v>
      </c>
      <c r="AT101" s="1">
        <v>4071.76</v>
      </c>
      <c r="AU101" s="1">
        <v>4170.03</v>
      </c>
      <c r="AW101" s="1">
        <v>4261.18</v>
      </c>
      <c r="AX101" s="1">
        <v>113.97</v>
      </c>
      <c r="AY101" s="1">
        <v>4114.33</v>
      </c>
      <c r="BA101" s="1">
        <v>123.5</v>
      </c>
      <c r="BB101" s="1">
        <v>134.61000000000001</v>
      </c>
      <c r="BC101" s="1">
        <v>130.16</v>
      </c>
      <c r="BD101" s="1">
        <v>131.59</v>
      </c>
      <c r="BE101" s="1">
        <v>123.14</v>
      </c>
      <c r="BF101" s="1">
        <v>126.41</v>
      </c>
      <c r="BG101" s="1">
        <v>133.46</v>
      </c>
      <c r="BH101" s="1">
        <v>125.29</v>
      </c>
      <c r="BI101" s="1">
        <v>125.64</v>
      </c>
      <c r="BJ101" s="1">
        <v>130.93</v>
      </c>
      <c r="BK101" s="1">
        <v>115.92</v>
      </c>
      <c r="BL101" s="1">
        <v>115.63</v>
      </c>
      <c r="BN101" s="1">
        <v>116.05</v>
      </c>
    </row>
    <row r="102" spans="1:66" x14ac:dyDescent="0.3">
      <c r="A102" s="2"/>
      <c r="C102" s="14" t="str">
        <f t="shared" si="2"/>
        <v>202510</v>
      </c>
      <c r="D102" s="3">
        <v>45960</v>
      </c>
      <c r="E102" s="21">
        <v>1693.03</v>
      </c>
      <c r="F102" s="21">
        <v>1634.28</v>
      </c>
      <c r="G102" s="21">
        <v>1646.78</v>
      </c>
      <c r="H102" s="21">
        <v>1698.37</v>
      </c>
      <c r="I102" s="21">
        <v>1665.16</v>
      </c>
      <c r="J102" s="21">
        <v>1695.22</v>
      </c>
      <c r="K102" s="21">
        <v>1590.42</v>
      </c>
      <c r="L102" s="21">
        <v>1624.75</v>
      </c>
      <c r="M102" s="21">
        <v>1604.62</v>
      </c>
      <c r="N102" s="21">
        <v>1584.44</v>
      </c>
      <c r="O102" s="21">
        <v>1696.69</v>
      </c>
      <c r="P102" s="21">
        <v>1581.67</v>
      </c>
      <c r="Q102" s="21">
        <v>7302.83</v>
      </c>
      <c r="R102" s="20">
        <v>116.89</v>
      </c>
      <c r="S102" s="20">
        <v>113</v>
      </c>
      <c r="T102" s="21">
        <v>123.81</v>
      </c>
      <c r="V102" s="1">
        <v>118.54</v>
      </c>
      <c r="W102" s="1">
        <v>122.92</v>
      </c>
      <c r="X102" s="1">
        <v>124.52</v>
      </c>
      <c r="Y102" s="1">
        <v>119.46</v>
      </c>
      <c r="Z102" s="1">
        <v>119.99</v>
      </c>
      <c r="AA102" s="1">
        <v>121.93</v>
      </c>
      <c r="AB102" s="1">
        <v>123.81</v>
      </c>
      <c r="AE102" s="1">
        <v>132.94</v>
      </c>
      <c r="AF102" s="1">
        <v>129.62</v>
      </c>
      <c r="AG102" s="1">
        <v>118.19</v>
      </c>
      <c r="AH102" s="1">
        <v>30</v>
      </c>
      <c r="AN102" s="1">
        <v>4223.2</v>
      </c>
      <c r="AO102" s="1">
        <v>7</v>
      </c>
      <c r="AP102" s="1">
        <v>4063.33</v>
      </c>
      <c r="AQ102" s="1">
        <v>4275</v>
      </c>
      <c r="AR102" s="1">
        <v>4051.87</v>
      </c>
      <c r="AS102" s="1">
        <v>4073.06</v>
      </c>
      <c r="AT102" s="1">
        <v>4071.76</v>
      </c>
      <c r="AU102" s="1">
        <v>4170.03</v>
      </c>
      <c r="AW102" s="1">
        <v>4275.5200000000004</v>
      </c>
      <c r="AX102" s="1">
        <v>114.41</v>
      </c>
      <c r="AY102" s="1">
        <v>4114.33</v>
      </c>
      <c r="AZ102" s="1">
        <v>4156.3599999999997</v>
      </c>
      <c r="BA102" s="1">
        <v>124.08</v>
      </c>
      <c r="BB102" s="1">
        <v>134.49</v>
      </c>
      <c r="BC102" s="1">
        <v>130.47</v>
      </c>
      <c r="BD102" s="1">
        <v>132.18</v>
      </c>
      <c r="BE102" s="1">
        <v>123.12</v>
      </c>
      <c r="BF102" s="1">
        <v>123.94</v>
      </c>
      <c r="BG102" s="1">
        <v>133.46</v>
      </c>
      <c r="BH102" s="1">
        <v>125.47</v>
      </c>
      <c r="BI102" s="1">
        <v>125.21</v>
      </c>
      <c r="BJ102" s="1">
        <v>131.63</v>
      </c>
      <c r="BK102" s="1">
        <v>115.92</v>
      </c>
      <c r="BL102" s="1">
        <v>115.63</v>
      </c>
      <c r="BN102" s="1">
        <v>116.05</v>
      </c>
    </row>
    <row r="103" spans="1:66" x14ac:dyDescent="0.3">
      <c r="A103" s="2"/>
      <c r="C103" s="14" t="str">
        <f t="shared" si="2"/>
        <v>202510</v>
      </c>
      <c r="D103" s="3">
        <v>45959</v>
      </c>
      <c r="E103" s="21">
        <v>1680.63</v>
      </c>
      <c r="F103" s="21">
        <v>1617.83</v>
      </c>
      <c r="G103" s="21">
        <v>1622.1</v>
      </c>
      <c r="H103" s="21">
        <v>1678.62</v>
      </c>
      <c r="I103" s="21">
        <v>1665.16</v>
      </c>
      <c r="J103" s="21">
        <v>1692.72</v>
      </c>
      <c r="K103" s="21">
        <v>1608.2</v>
      </c>
      <c r="L103" s="21">
        <v>1605.75</v>
      </c>
      <c r="M103" s="21">
        <v>1532.69</v>
      </c>
      <c r="N103" s="21">
        <v>1548.44</v>
      </c>
      <c r="O103" s="21">
        <v>1672.89</v>
      </c>
      <c r="P103" s="21">
        <v>1579.98</v>
      </c>
      <c r="Q103" s="21">
        <v>7297.21</v>
      </c>
      <c r="R103" s="20">
        <v>116.89</v>
      </c>
      <c r="S103" s="20">
        <v>113.15</v>
      </c>
      <c r="T103" s="21">
        <v>124.44</v>
      </c>
      <c r="V103" s="1">
        <v>118.54</v>
      </c>
      <c r="W103" s="1">
        <v>122.92</v>
      </c>
      <c r="X103" s="1">
        <v>124.14</v>
      </c>
      <c r="Y103" s="1">
        <v>120.06</v>
      </c>
      <c r="Z103" s="1">
        <v>120.39</v>
      </c>
      <c r="AA103" s="1">
        <v>122.24</v>
      </c>
      <c r="AB103" s="1">
        <v>123.21</v>
      </c>
      <c r="AE103" s="1">
        <v>132.28</v>
      </c>
      <c r="AF103" s="1">
        <v>130.09</v>
      </c>
      <c r="AG103" s="1">
        <v>118.07</v>
      </c>
      <c r="AH103" s="1">
        <v>30</v>
      </c>
      <c r="AO103" s="1">
        <v>7</v>
      </c>
      <c r="AP103" s="1">
        <v>4063.33</v>
      </c>
      <c r="AQ103" s="1">
        <v>4275</v>
      </c>
      <c r="AR103" s="1">
        <v>4051.87</v>
      </c>
      <c r="AS103" s="1">
        <v>4095.08</v>
      </c>
      <c r="AT103" s="1">
        <v>4069.8</v>
      </c>
      <c r="AU103" s="1">
        <v>4170.03</v>
      </c>
      <c r="AW103" s="1">
        <v>4275.5200000000004</v>
      </c>
      <c r="AX103" s="1">
        <v>114.41</v>
      </c>
      <c r="AY103" s="1">
        <v>4114.33</v>
      </c>
      <c r="AZ103" s="1">
        <v>4156.3599999999997</v>
      </c>
      <c r="BA103" s="1">
        <v>124.08</v>
      </c>
      <c r="BB103" s="1">
        <v>134.97</v>
      </c>
      <c r="BC103" s="1">
        <v>130.13</v>
      </c>
      <c r="BD103" s="1">
        <v>131.26</v>
      </c>
      <c r="BE103" s="1">
        <v>124.92</v>
      </c>
      <c r="BF103" s="1">
        <v>123.94</v>
      </c>
      <c r="BG103" s="1">
        <v>132.66</v>
      </c>
      <c r="BH103" s="1">
        <v>125.47</v>
      </c>
      <c r="BI103" s="1">
        <v>125.21</v>
      </c>
      <c r="BJ103" s="1">
        <v>131.61000000000001</v>
      </c>
      <c r="BK103" s="1">
        <v>116.58</v>
      </c>
      <c r="BL103" s="1">
        <v>117.13</v>
      </c>
      <c r="BN103" s="1">
        <v>116.72</v>
      </c>
    </row>
    <row r="104" spans="1:66" x14ac:dyDescent="0.3">
      <c r="A104" s="2"/>
      <c r="C104" s="14" t="str">
        <f t="shared" si="2"/>
        <v>202510</v>
      </c>
      <c r="D104" s="3">
        <v>45958</v>
      </c>
      <c r="E104" s="21">
        <v>1675.67</v>
      </c>
      <c r="F104" s="21">
        <v>1592.48</v>
      </c>
      <c r="G104" s="21">
        <v>1622.1</v>
      </c>
      <c r="H104" s="21">
        <v>1813.58</v>
      </c>
      <c r="I104" s="21">
        <v>1640.48</v>
      </c>
      <c r="J104" s="21">
        <v>1686.45</v>
      </c>
      <c r="K104" s="21">
        <v>1576.22</v>
      </c>
      <c r="L104" s="21">
        <v>1590.57</v>
      </c>
      <c r="M104" s="21">
        <v>1491.91</v>
      </c>
      <c r="N104" s="21">
        <v>1554.85</v>
      </c>
      <c r="O104" s="21">
        <v>1664.24</v>
      </c>
      <c r="P104" s="21">
        <v>1566.04</v>
      </c>
      <c r="Q104" s="21">
        <v>7358.96</v>
      </c>
      <c r="R104" s="20">
        <v>116.89</v>
      </c>
      <c r="S104" s="20">
        <v>112.43</v>
      </c>
      <c r="T104" s="21">
        <v>124.54</v>
      </c>
      <c r="V104" s="1">
        <v>118.54</v>
      </c>
      <c r="W104" s="1">
        <v>123.04</v>
      </c>
      <c r="X104" s="1">
        <v>124.02</v>
      </c>
      <c r="Y104" s="1">
        <v>120.53</v>
      </c>
      <c r="Z104" s="1">
        <v>120.94</v>
      </c>
      <c r="AA104" s="1">
        <v>122.06</v>
      </c>
      <c r="AB104" s="1">
        <v>122.88</v>
      </c>
      <c r="AE104" s="1">
        <v>132.61000000000001</v>
      </c>
      <c r="AF104" s="1">
        <v>130.01</v>
      </c>
      <c r="AG104" s="1">
        <v>117.66</v>
      </c>
      <c r="AH104" s="1">
        <v>30</v>
      </c>
      <c r="AP104" s="1">
        <v>4025</v>
      </c>
      <c r="AQ104" s="1">
        <v>4275</v>
      </c>
      <c r="AR104" s="1">
        <v>4051.87</v>
      </c>
      <c r="AS104" s="1">
        <v>4030.77</v>
      </c>
      <c r="AT104" s="1">
        <v>4067.21</v>
      </c>
      <c r="AU104" s="1">
        <v>4177.62</v>
      </c>
      <c r="AW104" s="1">
        <v>4275.5200000000004</v>
      </c>
      <c r="AX104" s="1">
        <v>114.41</v>
      </c>
      <c r="AY104" s="1">
        <v>4133.74</v>
      </c>
      <c r="AZ104" s="1">
        <v>4156.3599999999997</v>
      </c>
      <c r="BA104" s="1">
        <v>124.85</v>
      </c>
      <c r="BB104" s="1">
        <v>135.46</v>
      </c>
      <c r="BC104" s="1">
        <v>131.19</v>
      </c>
      <c r="BD104" s="1">
        <v>132.61000000000001</v>
      </c>
      <c r="BE104" s="1">
        <v>125.19</v>
      </c>
      <c r="BF104" s="1">
        <v>127.66</v>
      </c>
      <c r="BG104" s="1">
        <v>132.46</v>
      </c>
      <c r="BH104" s="1">
        <v>124.76</v>
      </c>
      <c r="BI104" s="1">
        <v>125.21</v>
      </c>
      <c r="BJ104" s="1">
        <v>131.78</v>
      </c>
      <c r="BK104" s="1">
        <v>117.25</v>
      </c>
      <c r="BL104" s="1">
        <v>117.47</v>
      </c>
      <c r="BN104" s="1">
        <v>117.38</v>
      </c>
    </row>
    <row r="105" spans="1:66" x14ac:dyDescent="0.3">
      <c r="A105" s="2"/>
      <c r="C105" s="14" t="str">
        <f t="shared" si="2"/>
        <v>202510</v>
      </c>
      <c r="D105" s="3">
        <v>45957</v>
      </c>
      <c r="E105" s="21">
        <v>1662.01</v>
      </c>
      <c r="F105" s="21">
        <v>1592.48</v>
      </c>
      <c r="G105" s="21">
        <v>1614.69</v>
      </c>
      <c r="H105" s="21">
        <v>1780.66</v>
      </c>
      <c r="I105" s="21">
        <v>1640.48</v>
      </c>
      <c r="J105" s="21">
        <v>1658.53</v>
      </c>
      <c r="K105" s="21">
        <v>1573.36</v>
      </c>
      <c r="L105" s="21">
        <v>1589.27</v>
      </c>
      <c r="M105" s="21">
        <v>1454.93</v>
      </c>
      <c r="N105" s="21">
        <v>1550.45</v>
      </c>
      <c r="O105" s="21">
        <v>1646.31</v>
      </c>
      <c r="P105" s="21">
        <v>1560.74</v>
      </c>
      <c r="Q105" s="21">
        <v>7480.87</v>
      </c>
      <c r="R105" s="20">
        <v>116.56</v>
      </c>
      <c r="S105" s="20">
        <v>112.43</v>
      </c>
      <c r="T105" s="21">
        <v>124.1</v>
      </c>
      <c r="V105" s="1">
        <v>118.54</v>
      </c>
      <c r="W105" s="1">
        <v>122.67</v>
      </c>
      <c r="X105" s="1">
        <v>123.52</v>
      </c>
      <c r="Y105" s="1">
        <v>120.33</v>
      </c>
      <c r="Z105" s="1">
        <v>120.11</v>
      </c>
      <c r="AA105" s="1">
        <v>120.98</v>
      </c>
      <c r="AB105" s="1">
        <v>122.66</v>
      </c>
      <c r="AE105" s="1">
        <v>132.25</v>
      </c>
      <c r="AF105" s="1">
        <v>129.97999999999999</v>
      </c>
      <c r="AG105" s="1">
        <v>117.64</v>
      </c>
      <c r="AH105" s="1">
        <v>30</v>
      </c>
      <c r="AQ105" s="1">
        <v>4275</v>
      </c>
      <c r="AR105" s="1">
        <v>4039.3</v>
      </c>
      <c r="AS105" s="1">
        <v>4037.53</v>
      </c>
      <c r="AT105" s="1">
        <v>4067.21</v>
      </c>
      <c r="AU105" s="1">
        <v>4138.24</v>
      </c>
      <c r="AW105" s="1">
        <v>4304.22</v>
      </c>
      <c r="AX105" s="1">
        <v>114.55</v>
      </c>
      <c r="AY105" s="1">
        <v>4133.74</v>
      </c>
      <c r="AZ105" s="1">
        <v>4156.3599999999997</v>
      </c>
      <c r="BA105" s="1">
        <v>124.84</v>
      </c>
      <c r="BB105" s="1">
        <v>134.72999999999999</v>
      </c>
      <c r="BC105" s="1">
        <v>131.44999999999999</v>
      </c>
      <c r="BD105" s="1">
        <v>132.06</v>
      </c>
      <c r="BE105" s="1">
        <v>125.17</v>
      </c>
      <c r="BF105" s="1">
        <v>127.66</v>
      </c>
      <c r="BG105" s="1">
        <v>132.22</v>
      </c>
      <c r="BH105" s="1">
        <v>124.51</v>
      </c>
      <c r="BI105" s="1">
        <v>125.21</v>
      </c>
      <c r="BJ105" s="1">
        <v>131.76</v>
      </c>
      <c r="BK105" s="1">
        <v>117.25</v>
      </c>
      <c r="BL105" s="1">
        <v>117.47</v>
      </c>
      <c r="BN105" s="1">
        <v>117.38</v>
      </c>
    </row>
    <row r="106" spans="1:66" x14ac:dyDescent="0.3">
      <c r="A106" s="2"/>
      <c r="C106" s="14" t="str">
        <f t="shared" si="2"/>
        <v>202510</v>
      </c>
      <c r="D106" s="3">
        <v>45954</v>
      </c>
      <c r="E106" s="21">
        <v>1658.3</v>
      </c>
      <c r="F106" s="21">
        <v>1592.48</v>
      </c>
      <c r="G106" s="21">
        <v>1614.69</v>
      </c>
      <c r="H106" s="21">
        <v>1774.08</v>
      </c>
      <c r="I106" s="21">
        <v>1609.5</v>
      </c>
      <c r="J106" s="21">
        <v>1653.53</v>
      </c>
      <c r="K106" s="21">
        <v>1576.74</v>
      </c>
      <c r="L106" s="21">
        <v>1570.15</v>
      </c>
      <c r="M106" s="21">
        <v>1435.51</v>
      </c>
      <c r="N106" s="21">
        <v>1547.26</v>
      </c>
      <c r="O106" s="21">
        <v>1637.18</v>
      </c>
      <c r="P106" s="21">
        <v>1557.2</v>
      </c>
      <c r="Q106" s="21">
        <v>7480.87</v>
      </c>
      <c r="R106" s="20">
        <v>116.56</v>
      </c>
      <c r="S106" s="20">
        <v>112.63</v>
      </c>
      <c r="T106" s="21">
        <v>124.1</v>
      </c>
      <c r="V106" s="1">
        <v>118.86</v>
      </c>
      <c r="W106" s="1">
        <v>122.54</v>
      </c>
      <c r="X106" s="1">
        <v>123.27</v>
      </c>
      <c r="Y106" s="1">
        <v>119.82</v>
      </c>
      <c r="Z106" s="1">
        <v>119.99</v>
      </c>
      <c r="AA106" s="1">
        <v>120.98</v>
      </c>
      <c r="AB106" s="1">
        <v>122.49</v>
      </c>
      <c r="AE106" s="1">
        <v>131.91999999999999</v>
      </c>
      <c r="AF106" s="1">
        <v>129.9</v>
      </c>
      <c r="AG106" s="1">
        <v>119.12</v>
      </c>
      <c r="AR106" s="1">
        <v>4037.92</v>
      </c>
      <c r="AS106" s="1">
        <v>4059.13</v>
      </c>
      <c r="AT106" s="1">
        <v>4063.89</v>
      </c>
      <c r="AU106" s="1">
        <v>4129.5200000000004</v>
      </c>
      <c r="AW106" s="1">
        <v>4304.22</v>
      </c>
      <c r="AX106" s="1">
        <v>115.73</v>
      </c>
      <c r="AY106" s="1">
        <v>4133.74</v>
      </c>
      <c r="AZ106" s="1">
        <v>4156.3599999999997</v>
      </c>
      <c r="BA106" s="1">
        <v>125.42</v>
      </c>
      <c r="BB106" s="1">
        <v>134.66</v>
      </c>
      <c r="BC106" s="1">
        <v>130.38999999999999</v>
      </c>
      <c r="BD106" s="1">
        <v>131.82</v>
      </c>
      <c r="BE106" s="1">
        <v>125.12</v>
      </c>
      <c r="BF106" s="1">
        <v>126.91</v>
      </c>
      <c r="BG106" s="1">
        <v>131.96</v>
      </c>
      <c r="BH106" s="1">
        <v>124.02</v>
      </c>
      <c r="BI106" s="1">
        <v>125.21</v>
      </c>
      <c r="BJ106" s="1">
        <v>132.12</v>
      </c>
      <c r="BK106" s="1">
        <v>116.25</v>
      </c>
      <c r="BL106" s="1">
        <v>116.47</v>
      </c>
      <c r="BN106" s="1">
        <v>116.38</v>
      </c>
    </row>
    <row r="107" spans="1:66" x14ac:dyDescent="0.3">
      <c r="A107" s="2"/>
      <c r="C107" s="14" t="str">
        <f t="shared" si="2"/>
        <v>202510</v>
      </c>
      <c r="D107" s="3">
        <v>45953</v>
      </c>
      <c r="E107" s="21">
        <v>1648.38</v>
      </c>
      <c r="F107" s="21">
        <v>1592.48</v>
      </c>
      <c r="G107" s="21">
        <v>1602.35</v>
      </c>
      <c r="H107" s="21">
        <v>1777.37</v>
      </c>
      <c r="I107" s="21">
        <v>1609.5</v>
      </c>
      <c r="J107" s="21">
        <v>1654.25</v>
      </c>
      <c r="K107" s="21">
        <v>1559.17</v>
      </c>
      <c r="L107" s="21">
        <v>1555.34</v>
      </c>
      <c r="M107" s="21">
        <v>1441.88</v>
      </c>
      <c r="N107" s="21">
        <v>1532.43</v>
      </c>
      <c r="O107" s="21">
        <v>1635.37</v>
      </c>
      <c r="P107" s="21">
        <v>1491.74</v>
      </c>
      <c r="Q107" s="21">
        <v>7518.37</v>
      </c>
      <c r="R107" s="20">
        <v>116.56</v>
      </c>
      <c r="S107" s="20">
        <v>112.84</v>
      </c>
      <c r="T107" s="21">
        <v>124.1</v>
      </c>
      <c r="V107" s="1">
        <v>118.86</v>
      </c>
      <c r="W107" s="1">
        <v>122.54</v>
      </c>
      <c r="X107" s="1">
        <v>123.5</v>
      </c>
      <c r="Y107" s="1">
        <v>119.82</v>
      </c>
      <c r="Z107" s="1">
        <v>119.99</v>
      </c>
      <c r="AA107" s="1">
        <v>120.98</v>
      </c>
      <c r="AB107" s="1">
        <v>122.14</v>
      </c>
      <c r="AE107" s="1">
        <v>132.22999999999999</v>
      </c>
      <c r="AF107" s="1">
        <v>130.61000000000001</v>
      </c>
      <c r="AG107" s="1">
        <v>120.11</v>
      </c>
      <c r="AR107" s="1">
        <v>4013.41</v>
      </c>
      <c r="AS107" s="1">
        <v>4059.13</v>
      </c>
      <c r="AT107" s="1">
        <v>4063.89</v>
      </c>
      <c r="AU107" s="1">
        <v>4129.5200000000004</v>
      </c>
      <c r="AX107" s="1">
        <v>118.09</v>
      </c>
      <c r="AY107" s="1">
        <v>4107.57</v>
      </c>
      <c r="BA107" s="1">
        <v>125.57</v>
      </c>
      <c r="BB107" s="1">
        <v>134.41999999999999</v>
      </c>
      <c r="BC107" s="1">
        <v>130.33000000000001</v>
      </c>
      <c r="BD107" s="1">
        <v>132.03</v>
      </c>
      <c r="BE107" s="1">
        <v>125.1</v>
      </c>
      <c r="BF107" s="1">
        <v>126.91</v>
      </c>
      <c r="BG107" s="1">
        <v>131.71</v>
      </c>
      <c r="BH107" s="1">
        <v>124.06</v>
      </c>
      <c r="BI107" s="1">
        <v>124.79</v>
      </c>
      <c r="BJ107" s="1">
        <v>132.29</v>
      </c>
      <c r="BK107" s="1">
        <v>116.25</v>
      </c>
      <c r="BL107" s="1">
        <v>116.47</v>
      </c>
      <c r="BN107" s="1">
        <v>116.38</v>
      </c>
    </row>
    <row r="108" spans="1:66" x14ac:dyDescent="0.3">
      <c r="A108" s="2"/>
      <c r="C108" s="14" t="str">
        <f t="shared" si="2"/>
        <v>202510</v>
      </c>
      <c r="D108" s="3">
        <v>45952</v>
      </c>
      <c r="E108" s="21">
        <v>1631.02</v>
      </c>
      <c r="F108" s="21">
        <v>1592.48</v>
      </c>
      <c r="G108" s="21">
        <v>1602.35</v>
      </c>
      <c r="H108" s="21">
        <v>1777.37</v>
      </c>
      <c r="I108" s="21">
        <v>1602.46</v>
      </c>
      <c r="J108" s="21">
        <v>1646.75</v>
      </c>
      <c r="K108" s="21">
        <v>1553.45</v>
      </c>
      <c r="L108" s="21">
        <v>1555.34</v>
      </c>
      <c r="M108" s="21">
        <v>1421.47</v>
      </c>
      <c r="N108" s="21">
        <v>1535.76</v>
      </c>
      <c r="O108" s="21">
        <v>1635.06</v>
      </c>
      <c r="P108" s="21">
        <v>1567.11</v>
      </c>
      <c r="Q108" s="21">
        <v>7555.87</v>
      </c>
      <c r="R108" s="20">
        <v>116.56</v>
      </c>
      <c r="S108" s="20">
        <v>112.84</v>
      </c>
      <c r="T108" s="21">
        <v>124.1</v>
      </c>
      <c r="V108" s="1">
        <v>118.48</v>
      </c>
      <c r="W108" s="1">
        <v>122.54</v>
      </c>
      <c r="X108" s="1">
        <v>122.52</v>
      </c>
      <c r="Y108" s="1">
        <v>119.82</v>
      </c>
      <c r="Z108" s="1">
        <v>119.99</v>
      </c>
      <c r="AA108" s="1">
        <v>120.98</v>
      </c>
      <c r="AB108" s="1">
        <v>122.19</v>
      </c>
      <c r="AE108" s="1">
        <v>131.41999999999999</v>
      </c>
      <c r="AF108" s="1">
        <v>130.58000000000001</v>
      </c>
      <c r="AG108" s="1">
        <v>120.17</v>
      </c>
      <c r="AN108" s="1">
        <v>4116.8599999999997</v>
      </c>
      <c r="AP108" s="1">
        <v>4140</v>
      </c>
      <c r="AR108" s="1">
        <v>3993.4</v>
      </c>
      <c r="AS108" s="1">
        <v>4059.13</v>
      </c>
      <c r="AT108" s="1">
        <v>4051.03</v>
      </c>
      <c r="AU108" s="1">
        <v>4141.09</v>
      </c>
      <c r="AW108" s="1">
        <v>4344.7299999999996</v>
      </c>
      <c r="AX108" s="1">
        <v>119.75</v>
      </c>
      <c r="AY108" s="1">
        <v>4114.33</v>
      </c>
      <c r="BA108" s="1">
        <v>125.57</v>
      </c>
      <c r="BB108" s="1">
        <v>134.51</v>
      </c>
      <c r="BC108" s="1">
        <v>130.41999999999999</v>
      </c>
      <c r="BD108" s="1">
        <v>131.65</v>
      </c>
      <c r="BE108" s="1">
        <v>125.08</v>
      </c>
      <c r="BF108" s="1">
        <v>127.76</v>
      </c>
      <c r="BG108" s="1">
        <v>132.22999999999999</v>
      </c>
      <c r="BH108" s="1">
        <v>124.06</v>
      </c>
      <c r="BI108" s="1">
        <v>124.79</v>
      </c>
      <c r="BJ108" s="1">
        <v>132.19</v>
      </c>
      <c r="BK108" s="1">
        <v>116.25</v>
      </c>
      <c r="BL108" s="1">
        <v>116.47</v>
      </c>
      <c r="BN108" s="1">
        <v>116.38</v>
      </c>
    </row>
    <row r="109" spans="1:66" x14ac:dyDescent="0.3">
      <c r="A109" s="2"/>
      <c r="C109" s="14" t="str">
        <f t="shared" si="2"/>
        <v>202510</v>
      </c>
      <c r="D109" s="3">
        <v>45951</v>
      </c>
      <c r="E109" s="21">
        <v>1631.02</v>
      </c>
      <c r="F109" s="21">
        <v>1592.48</v>
      </c>
      <c r="G109" s="21">
        <v>1602.35</v>
      </c>
      <c r="H109" s="21">
        <v>1777.37</v>
      </c>
      <c r="I109" s="21">
        <v>1602.46</v>
      </c>
      <c r="J109" s="21">
        <v>1646.75</v>
      </c>
      <c r="K109" s="21">
        <v>1553.45</v>
      </c>
      <c r="L109" s="21">
        <v>1555.34</v>
      </c>
      <c r="M109" s="21">
        <v>1411.27</v>
      </c>
      <c r="N109" s="21">
        <v>1528.97</v>
      </c>
      <c r="O109" s="21">
        <v>1634.29</v>
      </c>
      <c r="P109" s="21">
        <v>1545.11</v>
      </c>
      <c r="Q109" s="21">
        <v>7555.87</v>
      </c>
      <c r="R109" s="20">
        <v>116.56</v>
      </c>
      <c r="S109" s="20">
        <v>112.64</v>
      </c>
      <c r="T109" s="21">
        <v>124.1</v>
      </c>
      <c r="V109" s="1">
        <v>118.32</v>
      </c>
      <c r="W109" s="1">
        <v>122.54</v>
      </c>
      <c r="X109" s="1">
        <v>122.52</v>
      </c>
      <c r="Y109" s="1">
        <v>119.95</v>
      </c>
      <c r="Z109" s="1">
        <v>119.99</v>
      </c>
      <c r="AA109" s="1">
        <v>120.51</v>
      </c>
      <c r="AB109" s="1">
        <v>122.19</v>
      </c>
      <c r="AE109" s="1">
        <v>131.25</v>
      </c>
      <c r="AF109" s="1">
        <v>130.07</v>
      </c>
      <c r="AG109" s="1">
        <v>120.05</v>
      </c>
      <c r="AN109" s="1">
        <v>4098.34</v>
      </c>
      <c r="AR109" s="1">
        <v>3995.33</v>
      </c>
      <c r="AS109" s="1">
        <v>4051.03</v>
      </c>
      <c r="AT109" s="1">
        <v>4051.03</v>
      </c>
      <c r="AU109" s="1">
        <v>4141.09</v>
      </c>
      <c r="AW109" s="1">
        <v>4344.7299999999996</v>
      </c>
      <c r="AX109" s="1">
        <v>123.07</v>
      </c>
      <c r="AY109" s="1">
        <v>4114.33</v>
      </c>
      <c r="AZ109" s="1">
        <v>4287.34</v>
      </c>
      <c r="BA109" s="1">
        <v>125.52</v>
      </c>
      <c r="BB109" s="1">
        <v>133.63</v>
      </c>
      <c r="BC109" s="1">
        <v>130.33000000000001</v>
      </c>
      <c r="BD109" s="1">
        <v>131.38999999999999</v>
      </c>
      <c r="BE109" s="1">
        <v>124.74</v>
      </c>
      <c r="BF109" s="1">
        <v>127.75</v>
      </c>
      <c r="BG109" s="1">
        <v>132.22999999999999</v>
      </c>
      <c r="BH109" s="1">
        <v>122.99</v>
      </c>
      <c r="BI109" s="1">
        <v>124.51</v>
      </c>
      <c r="BJ109" s="1">
        <v>131.63</v>
      </c>
      <c r="BK109" s="1">
        <v>116.25</v>
      </c>
      <c r="BL109" s="1">
        <v>116.47</v>
      </c>
      <c r="BN109" s="1">
        <v>116.38</v>
      </c>
    </row>
    <row r="110" spans="1:66" x14ac:dyDescent="0.3">
      <c r="A110" s="2"/>
      <c r="C110" s="14" t="str">
        <f t="shared" si="2"/>
        <v>202510</v>
      </c>
      <c r="D110" s="3">
        <v>45950</v>
      </c>
      <c r="E110" s="21">
        <v>1631.02</v>
      </c>
      <c r="F110" s="21">
        <v>1592.48</v>
      </c>
      <c r="G110" s="21">
        <v>1602.35</v>
      </c>
      <c r="H110" s="21">
        <v>1783.96</v>
      </c>
      <c r="I110" s="21">
        <v>1609.53</v>
      </c>
      <c r="J110" s="21">
        <v>1639.74</v>
      </c>
      <c r="K110" s="21">
        <v>1553.45</v>
      </c>
      <c r="L110" s="21">
        <v>1553.65</v>
      </c>
      <c r="M110" s="21">
        <v>1456.29</v>
      </c>
      <c r="N110" s="21">
        <v>1532.77</v>
      </c>
      <c r="O110" s="21">
        <v>1627.08</v>
      </c>
      <c r="P110" s="21">
        <v>1539.81</v>
      </c>
      <c r="Q110" s="21">
        <v>7555.87</v>
      </c>
      <c r="R110" s="20">
        <v>116.56</v>
      </c>
      <c r="S110" s="20">
        <v>111.94</v>
      </c>
      <c r="T110" s="21">
        <v>124.1</v>
      </c>
      <c r="V110" s="1">
        <v>117.92</v>
      </c>
      <c r="W110" s="1">
        <v>122.54</v>
      </c>
      <c r="X110" s="1">
        <v>122.4</v>
      </c>
      <c r="Y110" s="1">
        <v>119.82</v>
      </c>
      <c r="Z110" s="1">
        <v>119.99</v>
      </c>
      <c r="AA110" s="1">
        <v>120.51</v>
      </c>
      <c r="AB110" s="1">
        <v>121.44</v>
      </c>
      <c r="AE110" s="1">
        <v>130.91999999999999</v>
      </c>
      <c r="AF110" s="1">
        <v>128.81</v>
      </c>
      <c r="AG110" s="1">
        <v>118.65</v>
      </c>
      <c r="AN110" s="1">
        <v>4098.34</v>
      </c>
      <c r="AP110" s="1">
        <v>4270</v>
      </c>
      <c r="AR110" s="1">
        <v>3988.24</v>
      </c>
      <c r="AT110" s="1">
        <v>4051.03</v>
      </c>
      <c r="AU110" s="1">
        <v>4146.2299999999996</v>
      </c>
      <c r="AW110" s="1">
        <v>4344.7299999999996</v>
      </c>
      <c r="AX110" s="1">
        <v>123.03</v>
      </c>
      <c r="AY110" s="1">
        <v>4063.69</v>
      </c>
      <c r="AZ110" s="1">
        <v>4299.72</v>
      </c>
      <c r="BA110" s="1">
        <v>125.27</v>
      </c>
      <c r="BB110" s="1">
        <v>134.09</v>
      </c>
      <c r="BC110" s="1">
        <v>129</v>
      </c>
      <c r="BD110" s="1">
        <v>131.55000000000001</v>
      </c>
      <c r="BE110" s="1">
        <v>124.23</v>
      </c>
      <c r="BF110" s="1">
        <v>125.44</v>
      </c>
      <c r="BG110" s="1">
        <v>131.44</v>
      </c>
      <c r="BH110" s="1">
        <v>122.95</v>
      </c>
      <c r="BI110" s="1">
        <v>124.65</v>
      </c>
      <c r="BJ110" s="1">
        <v>131.11000000000001</v>
      </c>
      <c r="BK110" s="1">
        <v>115.92</v>
      </c>
      <c r="BL110" s="1">
        <v>116.13</v>
      </c>
      <c r="BN110" s="1">
        <v>116.05</v>
      </c>
    </row>
    <row r="111" spans="1:66" x14ac:dyDescent="0.3">
      <c r="A111" s="2"/>
      <c r="C111" s="14" t="str">
        <f t="shared" si="2"/>
        <v>202510</v>
      </c>
      <c r="D111" s="3">
        <v>45947</v>
      </c>
      <c r="E111" s="21">
        <v>1633.5</v>
      </c>
      <c r="F111" s="21">
        <v>1592.48</v>
      </c>
      <c r="G111" s="21">
        <v>1602.35</v>
      </c>
      <c r="H111" s="21">
        <v>1783.96</v>
      </c>
      <c r="I111" s="21">
        <v>1623.57</v>
      </c>
      <c r="J111" s="21">
        <v>1639.74</v>
      </c>
      <c r="K111" s="21">
        <v>1539.17</v>
      </c>
      <c r="L111" s="21">
        <v>1543.9</v>
      </c>
      <c r="M111" s="21">
        <v>1448.15</v>
      </c>
      <c r="N111" s="21">
        <v>1525.57</v>
      </c>
      <c r="O111" s="21">
        <v>1613.06</v>
      </c>
      <c r="P111" s="21">
        <v>1532.81</v>
      </c>
      <c r="Q111" s="21">
        <v>7530.87</v>
      </c>
      <c r="R111" s="20">
        <v>116.56</v>
      </c>
      <c r="S111" s="20">
        <v>114.14</v>
      </c>
      <c r="T111" s="21">
        <v>123.77</v>
      </c>
      <c r="V111" s="1">
        <v>117.79</v>
      </c>
      <c r="W111" s="1">
        <v>121.79</v>
      </c>
      <c r="X111" s="1">
        <v>121.4</v>
      </c>
      <c r="Y111" s="1">
        <v>119.82</v>
      </c>
      <c r="Z111" s="1">
        <v>119.99</v>
      </c>
      <c r="AA111" s="1">
        <v>120.51</v>
      </c>
      <c r="AB111" s="1">
        <v>120.78</v>
      </c>
      <c r="AE111" s="1">
        <v>131.09</v>
      </c>
      <c r="AF111" s="1">
        <v>128.72999999999999</v>
      </c>
      <c r="AG111" s="1">
        <v>119.56</v>
      </c>
      <c r="AL111" s="1">
        <v>30</v>
      </c>
      <c r="AN111" s="1">
        <v>4098.34</v>
      </c>
      <c r="AP111" s="1">
        <v>4270</v>
      </c>
      <c r="AR111" s="1">
        <v>3988.24</v>
      </c>
      <c r="AS111" s="1">
        <v>4164.96</v>
      </c>
      <c r="AT111" s="1">
        <v>4042.93</v>
      </c>
      <c r="AU111" s="1">
        <v>4172.5600000000004</v>
      </c>
      <c r="AW111" s="1">
        <v>4261.18</v>
      </c>
      <c r="AX111" s="1">
        <v>122.55</v>
      </c>
      <c r="AY111" s="1">
        <v>4078.63</v>
      </c>
      <c r="AZ111" s="1">
        <v>4276.25</v>
      </c>
      <c r="BA111" s="1">
        <v>126.75</v>
      </c>
      <c r="BB111" s="1">
        <v>134.72</v>
      </c>
      <c r="BC111" s="1">
        <v>129.44</v>
      </c>
      <c r="BD111" s="1">
        <v>132.27000000000001</v>
      </c>
      <c r="BE111" s="1">
        <v>124.17</v>
      </c>
      <c r="BF111" s="1">
        <v>125.7</v>
      </c>
      <c r="BG111" s="1">
        <v>131.04</v>
      </c>
      <c r="BH111" s="1">
        <v>122.95</v>
      </c>
      <c r="BI111" s="1">
        <v>124.65</v>
      </c>
      <c r="BJ111" s="1">
        <v>131.30000000000001</v>
      </c>
      <c r="BK111" s="1">
        <v>116.25</v>
      </c>
      <c r="BL111" s="1">
        <v>116.47</v>
      </c>
      <c r="BN111" s="1">
        <v>116.38</v>
      </c>
    </row>
    <row r="112" spans="1:66" x14ac:dyDescent="0.3">
      <c r="A112" s="2"/>
      <c r="C112" s="14" t="str">
        <f t="shared" si="2"/>
        <v>202510</v>
      </c>
      <c r="D112" s="3">
        <v>45946</v>
      </c>
      <c r="E112" s="21">
        <v>1627.3</v>
      </c>
      <c r="F112" s="21">
        <v>1592.48</v>
      </c>
      <c r="G112" s="21">
        <v>1602.35</v>
      </c>
      <c r="H112" s="21">
        <v>1783.96</v>
      </c>
      <c r="I112" s="21">
        <v>1623.57</v>
      </c>
      <c r="J112" s="21">
        <v>1639.74</v>
      </c>
      <c r="K112" s="21">
        <v>1539.17</v>
      </c>
      <c r="L112" s="21">
        <v>1532.67</v>
      </c>
      <c r="M112" s="21">
        <v>1444.25</v>
      </c>
      <c r="N112" s="21">
        <v>1525.57</v>
      </c>
      <c r="O112" s="21">
        <v>1610.88</v>
      </c>
      <c r="P112" s="21">
        <v>1520.84</v>
      </c>
      <c r="Q112" s="21">
        <v>7518.37</v>
      </c>
      <c r="R112" s="20">
        <v>116.22</v>
      </c>
      <c r="S112" s="20">
        <v>114.14</v>
      </c>
      <c r="T112" s="21">
        <v>123.77</v>
      </c>
      <c r="V112" s="1">
        <v>117.79</v>
      </c>
      <c r="W112" s="1">
        <v>121.79</v>
      </c>
      <c r="X112" s="1">
        <v>120.4</v>
      </c>
      <c r="Y112" s="1">
        <v>119.76</v>
      </c>
      <c r="Z112" s="1">
        <v>119.99</v>
      </c>
      <c r="AA112" s="1">
        <v>120.51</v>
      </c>
      <c r="AB112" s="1">
        <v>119.94</v>
      </c>
      <c r="AE112" s="1">
        <v>130.62</v>
      </c>
      <c r="AF112" s="1">
        <v>129.93</v>
      </c>
      <c r="AG112" s="1">
        <v>119.84</v>
      </c>
      <c r="AL112" s="1">
        <v>30</v>
      </c>
      <c r="AN112" s="1">
        <v>4098.34</v>
      </c>
      <c r="AP112" s="1">
        <v>4228</v>
      </c>
      <c r="AR112" s="1">
        <v>4004.19</v>
      </c>
      <c r="AS112" s="1">
        <v>4164.96</v>
      </c>
      <c r="AT112" s="1">
        <v>4042.93</v>
      </c>
      <c r="AU112" s="1">
        <v>4172.5600000000004</v>
      </c>
      <c r="AW112" s="1">
        <v>4233.33</v>
      </c>
      <c r="AX112" s="1">
        <v>122.53</v>
      </c>
      <c r="AY112" s="1">
        <v>4063.69</v>
      </c>
      <c r="AZ112" s="1">
        <v>4276.25</v>
      </c>
      <c r="BA112" s="1">
        <v>126.16</v>
      </c>
      <c r="BB112" s="1">
        <v>134.75</v>
      </c>
      <c r="BC112" s="1">
        <v>129.1</v>
      </c>
      <c r="BD112" s="1">
        <v>131.16999999999999</v>
      </c>
      <c r="BE112" s="1">
        <v>124.97</v>
      </c>
      <c r="BF112" s="1">
        <v>126.83</v>
      </c>
      <c r="BG112" s="1">
        <v>130.09</v>
      </c>
      <c r="BH112" s="1">
        <v>122.74</v>
      </c>
      <c r="BI112" s="1">
        <v>125.21</v>
      </c>
      <c r="BJ112" s="1">
        <v>131.29</v>
      </c>
      <c r="BK112" s="1">
        <v>115.92</v>
      </c>
      <c r="BL112" s="1">
        <v>116.13</v>
      </c>
      <c r="BN112" s="1">
        <v>116.05</v>
      </c>
    </row>
    <row r="113" spans="1:66" x14ac:dyDescent="0.3">
      <c r="A113" s="2"/>
      <c r="C113" s="14" t="str">
        <f t="shared" si="2"/>
        <v>202510</v>
      </c>
      <c r="D113" s="3">
        <v>45945</v>
      </c>
      <c r="E113" s="21">
        <v>1623.82</v>
      </c>
      <c r="F113" s="21">
        <v>1624.49</v>
      </c>
      <c r="G113" s="21">
        <v>1614.69</v>
      </c>
      <c r="H113" s="21">
        <v>1783.96</v>
      </c>
      <c r="I113" s="21">
        <v>1611.2</v>
      </c>
      <c r="J113" s="21">
        <v>1632.74</v>
      </c>
      <c r="K113" s="21">
        <v>1539.17</v>
      </c>
      <c r="L113" s="21">
        <v>1536.47</v>
      </c>
      <c r="M113" s="21">
        <v>1389.17</v>
      </c>
      <c r="N113" s="21">
        <v>1533.08</v>
      </c>
      <c r="O113" s="21">
        <v>1610.61</v>
      </c>
      <c r="P113" s="21">
        <v>1510.72</v>
      </c>
      <c r="Q113" s="21">
        <v>7518.37</v>
      </c>
      <c r="R113" s="20">
        <v>116.22</v>
      </c>
      <c r="S113" s="20">
        <v>114.07</v>
      </c>
      <c r="T113" s="21">
        <v>123.77</v>
      </c>
      <c r="V113" s="1">
        <v>117.45</v>
      </c>
      <c r="W113" s="1">
        <v>121.54</v>
      </c>
      <c r="X113" s="1">
        <v>120.4</v>
      </c>
      <c r="Y113" s="1">
        <v>119.88</v>
      </c>
      <c r="Z113" s="1">
        <v>119.94</v>
      </c>
      <c r="AA113" s="1">
        <v>120.51</v>
      </c>
      <c r="AB113" s="1">
        <v>119.94</v>
      </c>
      <c r="AE113" s="1">
        <v>130.62</v>
      </c>
      <c r="AF113" s="1">
        <v>129.9</v>
      </c>
      <c r="AG113" s="1">
        <v>119.79</v>
      </c>
      <c r="AL113" s="1">
        <v>30</v>
      </c>
      <c r="AN113" s="1">
        <v>4138.3</v>
      </c>
      <c r="AP113" s="1">
        <v>4250</v>
      </c>
      <c r="AR113" s="1">
        <v>4015.58</v>
      </c>
      <c r="AS113" s="1">
        <v>4153.57</v>
      </c>
      <c r="AT113" s="1">
        <v>4003.43</v>
      </c>
      <c r="AU113" s="1">
        <v>4177.62</v>
      </c>
      <c r="AW113" s="1">
        <v>4219.3999999999996</v>
      </c>
      <c r="AX113" s="1">
        <v>122.49</v>
      </c>
      <c r="AY113" s="1">
        <v>4063.69</v>
      </c>
      <c r="AZ113" s="1">
        <v>4276.25</v>
      </c>
      <c r="BA113" s="1">
        <v>123.82</v>
      </c>
      <c r="BB113" s="1">
        <v>133.84</v>
      </c>
      <c r="BC113" s="1">
        <v>129.71</v>
      </c>
      <c r="BD113" s="1">
        <v>132.16</v>
      </c>
      <c r="BE113" s="1">
        <v>124.96</v>
      </c>
      <c r="BF113" s="1">
        <v>126.31</v>
      </c>
      <c r="BG113" s="1">
        <v>130.09</v>
      </c>
      <c r="BH113" s="1">
        <v>122.91</v>
      </c>
      <c r="BI113" s="1">
        <v>125.21</v>
      </c>
      <c r="BJ113" s="1">
        <v>131.53</v>
      </c>
      <c r="BK113" s="1">
        <v>115.92</v>
      </c>
      <c r="BL113" s="1">
        <v>116.13</v>
      </c>
      <c r="BN113" s="1">
        <v>116.05</v>
      </c>
    </row>
    <row r="114" spans="1:66" x14ac:dyDescent="0.3">
      <c r="A114" s="2"/>
      <c r="C114" s="14" t="str">
        <f t="shared" si="2"/>
        <v>202510</v>
      </c>
      <c r="D114" s="3">
        <v>45944</v>
      </c>
      <c r="E114" s="21">
        <v>1626.06</v>
      </c>
      <c r="F114" s="21">
        <v>1632.1</v>
      </c>
      <c r="G114" s="21">
        <v>1582.52</v>
      </c>
      <c r="H114" s="21">
        <v>1760.92</v>
      </c>
      <c r="I114" s="21">
        <v>1607.86</v>
      </c>
      <c r="J114" s="21">
        <v>1614.56</v>
      </c>
      <c r="K114" s="21">
        <v>1547.74</v>
      </c>
      <c r="L114" s="21">
        <v>1534.49</v>
      </c>
      <c r="M114" s="21">
        <v>1384.34</v>
      </c>
      <c r="N114" s="21">
        <v>1536.75</v>
      </c>
      <c r="O114" s="21">
        <v>1608.72</v>
      </c>
      <c r="P114" s="21">
        <v>1510.72</v>
      </c>
      <c r="Q114" s="21">
        <v>7543.06</v>
      </c>
      <c r="R114" s="20">
        <v>116.22</v>
      </c>
      <c r="S114" s="20">
        <v>108.5</v>
      </c>
      <c r="T114" s="21">
        <v>124.1</v>
      </c>
      <c r="V114" s="1">
        <v>117</v>
      </c>
      <c r="W114" s="1">
        <v>121.42</v>
      </c>
      <c r="X114" s="1">
        <v>120.4</v>
      </c>
      <c r="Y114" s="1">
        <v>119.05</v>
      </c>
      <c r="Z114" s="1">
        <v>119.07</v>
      </c>
      <c r="AA114" s="1">
        <v>120.51</v>
      </c>
      <c r="AB114" s="1">
        <v>119.94</v>
      </c>
      <c r="AE114" s="1">
        <v>131.28</v>
      </c>
      <c r="AF114" s="1">
        <v>129.87</v>
      </c>
      <c r="AG114" s="1">
        <v>119.34</v>
      </c>
      <c r="AL114" s="1">
        <v>30</v>
      </c>
      <c r="AN114" s="1">
        <v>4180.59</v>
      </c>
      <c r="AP114" s="1">
        <v>4223.8900000000003</v>
      </c>
      <c r="AQ114" s="1">
        <v>4254</v>
      </c>
      <c r="AR114" s="1">
        <v>3991.48</v>
      </c>
      <c r="AS114" s="1">
        <v>4153.57</v>
      </c>
      <c r="AT114" s="1">
        <v>4026.72</v>
      </c>
      <c r="AU114" s="1">
        <v>4177.62</v>
      </c>
      <c r="AW114" s="1">
        <v>4194.33</v>
      </c>
      <c r="AX114" s="1">
        <v>123.18</v>
      </c>
      <c r="AY114" s="1">
        <v>4032.57</v>
      </c>
      <c r="AZ114" s="1">
        <v>4271.49</v>
      </c>
      <c r="BA114" s="1">
        <v>122.34</v>
      </c>
      <c r="BB114" s="1">
        <v>133.47999999999999</v>
      </c>
      <c r="BC114" s="1">
        <v>130.63999999999999</v>
      </c>
      <c r="BD114" s="1">
        <v>132.19</v>
      </c>
      <c r="BE114" s="1">
        <v>124.94</v>
      </c>
      <c r="BF114" s="1">
        <v>126.3</v>
      </c>
      <c r="BG114" s="1">
        <v>132.09</v>
      </c>
      <c r="BH114" s="1">
        <v>124.04</v>
      </c>
      <c r="BI114" s="1">
        <v>124.51</v>
      </c>
      <c r="BJ114" s="1">
        <v>131.51</v>
      </c>
      <c r="BK114" s="1">
        <v>115.25</v>
      </c>
      <c r="BL114" s="1">
        <v>115.47</v>
      </c>
      <c r="BN114" s="1">
        <v>115.38</v>
      </c>
    </row>
    <row r="115" spans="1:66" x14ac:dyDescent="0.3">
      <c r="A115" s="2"/>
      <c r="C115" s="14" t="str">
        <f t="shared" si="2"/>
        <v>202510</v>
      </c>
      <c r="D115" s="3">
        <v>45943</v>
      </c>
      <c r="E115" s="21">
        <v>1626.06</v>
      </c>
      <c r="F115" s="21">
        <v>1632.1</v>
      </c>
      <c r="G115" s="21">
        <v>1582.52</v>
      </c>
      <c r="H115" s="21">
        <v>1793.83</v>
      </c>
      <c r="I115" s="21">
        <v>1634.16</v>
      </c>
      <c r="J115" s="21">
        <v>1623.37</v>
      </c>
      <c r="K115" s="21">
        <v>1534.83</v>
      </c>
      <c r="L115" s="21">
        <v>1519.29</v>
      </c>
      <c r="M115" s="21">
        <v>1372.28</v>
      </c>
      <c r="N115" s="21">
        <v>1505.68</v>
      </c>
      <c r="O115" s="21">
        <v>1609.23</v>
      </c>
      <c r="P115" s="21">
        <v>1543.56</v>
      </c>
      <c r="Q115" s="21">
        <v>7543.06</v>
      </c>
      <c r="R115" s="20">
        <v>116.22</v>
      </c>
      <c r="S115" s="20">
        <v>112.96</v>
      </c>
      <c r="T115" s="21">
        <v>123.71</v>
      </c>
      <c r="V115" s="1">
        <v>116.72</v>
      </c>
      <c r="W115" s="1">
        <v>122.04</v>
      </c>
      <c r="X115" s="1">
        <v>120.4</v>
      </c>
      <c r="Y115" s="1">
        <v>120.07</v>
      </c>
      <c r="Z115" s="1">
        <v>120.07</v>
      </c>
      <c r="AA115" s="1">
        <v>120.51</v>
      </c>
      <c r="AB115" s="1">
        <v>119.94</v>
      </c>
      <c r="AE115" s="1">
        <v>131.36000000000001</v>
      </c>
      <c r="AF115" s="1">
        <v>129.35</v>
      </c>
      <c r="AG115" s="1">
        <v>120.36</v>
      </c>
      <c r="AJ115" s="1">
        <v>45</v>
      </c>
      <c r="AL115" s="1">
        <v>30</v>
      </c>
      <c r="AN115" s="1">
        <v>4180.59</v>
      </c>
      <c r="AP115" s="1">
        <v>4220.63</v>
      </c>
      <c r="AQ115" s="1">
        <v>4254</v>
      </c>
      <c r="AR115" s="1">
        <v>3975.44</v>
      </c>
      <c r="AS115" s="1">
        <v>4153.57</v>
      </c>
      <c r="AT115" s="1">
        <v>4026.72</v>
      </c>
      <c r="AU115" s="1">
        <v>4108.76</v>
      </c>
      <c r="AW115" s="1">
        <v>4177.62</v>
      </c>
      <c r="AX115" s="1">
        <v>122.29</v>
      </c>
      <c r="AY115" s="1">
        <v>4021.34</v>
      </c>
      <c r="AZ115" s="1">
        <v>4254.75</v>
      </c>
      <c r="BA115" s="1">
        <v>122.33</v>
      </c>
      <c r="BB115" s="1">
        <v>134.57</v>
      </c>
      <c r="BC115" s="1">
        <v>130.80000000000001</v>
      </c>
      <c r="BD115" s="1">
        <v>131.9</v>
      </c>
      <c r="BE115" s="1">
        <v>124.75</v>
      </c>
      <c r="BF115" s="1">
        <v>126.28</v>
      </c>
      <c r="BG115" s="1">
        <v>132.09</v>
      </c>
      <c r="BH115" s="1">
        <v>122.54</v>
      </c>
      <c r="BI115" s="1">
        <v>124.01</v>
      </c>
      <c r="BJ115" s="1">
        <v>130.16999999999999</v>
      </c>
      <c r="BK115" s="1">
        <v>114.48</v>
      </c>
      <c r="BL115" s="1">
        <v>114.47</v>
      </c>
      <c r="BN115" s="1">
        <v>114.48</v>
      </c>
    </row>
    <row r="116" spans="1:66" x14ac:dyDescent="0.3">
      <c r="A116" s="2"/>
      <c r="C116" s="14" t="str">
        <f t="shared" si="2"/>
        <v>202510</v>
      </c>
      <c r="D116" s="3">
        <v>45940</v>
      </c>
      <c r="E116" s="21">
        <v>1617.38</v>
      </c>
      <c r="F116" s="21">
        <v>1577.22</v>
      </c>
      <c r="G116" s="21">
        <v>1571.24</v>
      </c>
      <c r="H116" s="21">
        <v>1806.99</v>
      </c>
      <c r="I116" s="21">
        <v>1617.71</v>
      </c>
      <c r="J116" s="21">
        <v>1623.37</v>
      </c>
      <c r="K116" s="21">
        <v>1534.83</v>
      </c>
      <c r="L116" s="21">
        <v>1521.31</v>
      </c>
      <c r="M116" s="21">
        <v>1364.17</v>
      </c>
      <c r="N116" s="21">
        <v>1509.85</v>
      </c>
      <c r="O116" s="21">
        <v>1615.51</v>
      </c>
      <c r="P116" s="21">
        <v>1541.57</v>
      </c>
      <c r="Q116" s="21">
        <v>7455.24</v>
      </c>
      <c r="R116" s="20">
        <v>115.56</v>
      </c>
      <c r="S116" s="20">
        <v>114.14</v>
      </c>
      <c r="T116" s="21">
        <v>123.16</v>
      </c>
      <c r="V116" s="1">
        <v>115.86</v>
      </c>
      <c r="W116" s="1">
        <v>121.79</v>
      </c>
      <c r="X116" s="1">
        <v>120.4</v>
      </c>
      <c r="Y116" s="1">
        <v>119</v>
      </c>
      <c r="Z116" s="1">
        <v>119.73</v>
      </c>
      <c r="AA116" s="1">
        <v>119.81</v>
      </c>
      <c r="AB116" s="1">
        <v>119.94</v>
      </c>
      <c r="AE116" s="1">
        <v>131.11000000000001</v>
      </c>
      <c r="AF116" s="1">
        <v>129.27000000000001</v>
      </c>
      <c r="AG116" s="1">
        <v>123.19</v>
      </c>
      <c r="AJ116" s="1">
        <v>45</v>
      </c>
      <c r="AN116" s="1">
        <v>4180.59</v>
      </c>
      <c r="AP116" s="1">
        <v>4220.63</v>
      </c>
      <c r="AQ116" s="1">
        <v>4254</v>
      </c>
      <c r="AR116" s="1">
        <v>3975.44</v>
      </c>
      <c r="AS116" s="1">
        <v>4142.18</v>
      </c>
      <c r="AT116" s="1">
        <v>4038.37</v>
      </c>
      <c r="AU116" s="1">
        <v>4062.84</v>
      </c>
      <c r="AW116" s="1">
        <v>4186.17</v>
      </c>
      <c r="AX116" s="1">
        <v>122.23</v>
      </c>
      <c r="AY116" s="1">
        <v>3996.54</v>
      </c>
      <c r="AZ116" s="1">
        <v>4248.8500000000004</v>
      </c>
      <c r="BA116" s="1">
        <v>123.87</v>
      </c>
      <c r="BB116" s="1">
        <v>134.30000000000001</v>
      </c>
      <c r="BC116" s="1">
        <v>128.13</v>
      </c>
      <c r="BD116" s="1">
        <v>131.38</v>
      </c>
      <c r="BE116" s="1">
        <v>124.86</v>
      </c>
      <c r="BF116" s="1">
        <v>125.01</v>
      </c>
      <c r="BG116" s="1">
        <v>132.09</v>
      </c>
      <c r="BH116" s="1">
        <v>123.1</v>
      </c>
      <c r="BI116" s="1">
        <v>124.01</v>
      </c>
      <c r="BJ116" s="1">
        <v>130.52000000000001</v>
      </c>
      <c r="BK116" s="1">
        <v>116.25</v>
      </c>
      <c r="BL116" s="1">
        <v>116.13</v>
      </c>
      <c r="BN116" s="1">
        <v>116.38</v>
      </c>
    </row>
    <row r="117" spans="1:66" x14ac:dyDescent="0.3">
      <c r="A117" s="2"/>
      <c r="C117" s="14" t="str">
        <f t="shared" si="2"/>
        <v>202510</v>
      </c>
      <c r="D117" s="3">
        <v>45939</v>
      </c>
      <c r="E117" s="21">
        <v>1614.9</v>
      </c>
      <c r="F117" s="21">
        <v>1571.8</v>
      </c>
      <c r="G117" s="21">
        <v>1594.95</v>
      </c>
      <c r="H117" s="21">
        <v>1806.99</v>
      </c>
      <c r="I117" s="21">
        <v>1625.25</v>
      </c>
      <c r="J117" s="21">
        <v>1623.37</v>
      </c>
      <c r="K117" s="21">
        <v>1521.32</v>
      </c>
      <c r="L117" s="21">
        <v>1521.31</v>
      </c>
      <c r="M117" s="21">
        <v>1386.55</v>
      </c>
      <c r="N117" s="21">
        <v>1501.29</v>
      </c>
      <c r="O117" s="21">
        <v>1574.28</v>
      </c>
      <c r="P117" s="21">
        <v>1568.76</v>
      </c>
      <c r="Q117" s="21">
        <v>7455.24</v>
      </c>
      <c r="R117" s="20">
        <v>115.23</v>
      </c>
      <c r="S117" s="20">
        <v>114</v>
      </c>
      <c r="T117" s="21">
        <v>122.38</v>
      </c>
      <c r="V117" s="1">
        <v>115.6</v>
      </c>
      <c r="W117" s="1">
        <v>121.42</v>
      </c>
      <c r="X117" s="1">
        <v>120.53</v>
      </c>
      <c r="Y117" s="1">
        <v>118.35</v>
      </c>
      <c r="Z117" s="1">
        <v>119.06</v>
      </c>
      <c r="AA117" s="1">
        <v>120.07</v>
      </c>
      <c r="AB117" s="1">
        <v>120.16</v>
      </c>
      <c r="AE117" s="1">
        <v>129.81</v>
      </c>
      <c r="AF117" s="1">
        <v>129</v>
      </c>
      <c r="AG117" s="1">
        <v>122.74</v>
      </c>
      <c r="AH117" s="1">
        <v>30</v>
      </c>
      <c r="AJ117" s="1">
        <v>45</v>
      </c>
      <c r="AN117" s="1">
        <v>4180.59</v>
      </c>
      <c r="AP117" s="1">
        <v>4203</v>
      </c>
      <c r="AQ117" s="1">
        <v>4216</v>
      </c>
      <c r="AR117" s="1">
        <v>3975.44</v>
      </c>
      <c r="AS117" s="1">
        <v>4142.18</v>
      </c>
      <c r="AT117" s="1">
        <v>4038.37</v>
      </c>
      <c r="AU117" s="1">
        <v>4062.84</v>
      </c>
      <c r="AW117" s="1">
        <v>4189.0200000000004</v>
      </c>
      <c r="AX117" s="1">
        <v>121.32</v>
      </c>
      <c r="AY117" s="1">
        <v>3996.54</v>
      </c>
      <c r="AZ117" s="1">
        <v>4248.8500000000004</v>
      </c>
      <c r="BA117" s="1">
        <v>123.81</v>
      </c>
      <c r="BB117" s="1">
        <v>133.62</v>
      </c>
      <c r="BC117" s="1">
        <v>127.49</v>
      </c>
      <c r="BD117" s="1">
        <v>130.47</v>
      </c>
      <c r="BE117" s="1">
        <v>124.19</v>
      </c>
      <c r="BF117" s="1">
        <v>124.72</v>
      </c>
      <c r="BG117" s="1">
        <v>129.71</v>
      </c>
      <c r="BH117" s="1">
        <v>122.73</v>
      </c>
      <c r="BI117" s="1">
        <v>124.01</v>
      </c>
      <c r="BJ117" s="1">
        <v>130.5</v>
      </c>
      <c r="BK117" s="1">
        <v>114.58</v>
      </c>
      <c r="BL117" s="1">
        <v>114.47</v>
      </c>
      <c r="BN117" s="1">
        <v>114.72</v>
      </c>
    </row>
    <row r="118" spans="1:66" x14ac:dyDescent="0.3">
      <c r="A118" s="2"/>
      <c r="C118" s="14" t="str">
        <f t="shared" si="2"/>
        <v>202510</v>
      </c>
      <c r="D118" s="3">
        <v>45938</v>
      </c>
      <c r="E118" s="21">
        <v>1619.86</v>
      </c>
      <c r="F118" s="21">
        <v>1570.9</v>
      </c>
      <c r="G118" s="21">
        <v>1580.48</v>
      </c>
      <c r="H118" s="21">
        <v>1877.82</v>
      </c>
      <c r="I118" s="21">
        <v>1596.78</v>
      </c>
      <c r="J118" s="21">
        <v>1603.98</v>
      </c>
      <c r="K118" s="21">
        <v>1544.79</v>
      </c>
      <c r="L118" s="21">
        <v>1515.34</v>
      </c>
      <c r="M118" s="21">
        <v>1386.39</v>
      </c>
      <c r="N118" s="21">
        <v>1514.21</v>
      </c>
      <c r="O118" s="21">
        <v>1545.01</v>
      </c>
      <c r="P118" s="21">
        <v>1541.57</v>
      </c>
      <c r="Q118" s="21">
        <v>7455.24</v>
      </c>
      <c r="R118" s="20">
        <v>115.23</v>
      </c>
      <c r="S118" s="20">
        <v>113.71</v>
      </c>
      <c r="T118" s="21">
        <v>121.41</v>
      </c>
      <c r="V118" s="1">
        <v>115.19</v>
      </c>
      <c r="W118" s="1">
        <v>120.48</v>
      </c>
      <c r="X118" s="1">
        <v>120.53</v>
      </c>
      <c r="Y118" s="1">
        <v>118.05</v>
      </c>
      <c r="Z118" s="1">
        <v>118.06</v>
      </c>
      <c r="AA118" s="1">
        <v>119.89</v>
      </c>
      <c r="AB118" s="1">
        <v>120.16</v>
      </c>
      <c r="AE118" s="1">
        <v>129.81</v>
      </c>
      <c r="AF118" s="1">
        <v>128.72</v>
      </c>
      <c r="AG118" s="1">
        <v>122.74</v>
      </c>
      <c r="AH118" s="1">
        <v>30</v>
      </c>
      <c r="AJ118" s="1">
        <v>45</v>
      </c>
      <c r="AN118" s="1">
        <v>4175</v>
      </c>
      <c r="AP118" s="1">
        <v>4203.8900000000003</v>
      </c>
      <c r="AQ118" s="1">
        <v>4216</v>
      </c>
      <c r="AR118" s="1">
        <v>3975.44</v>
      </c>
      <c r="AS118" s="1">
        <v>4105.04</v>
      </c>
      <c r="AT118" s="1">
        <v>4038.37</v>
      </c>
      <c r="AU118" s="1">
        <v>4062.84</v>
      </c>
      <c r="AW118" s="1">
        <v>4190.21</v>
      </c>
      <c r="AX118" s="1">
        <v>121.32</v>
      </c>
      <c r="AY118" s="1">
        <v>3996.54</v>
      </c>
      <c r="AZ118" s="1">
        <v>4257.74</v>
      </c>
      <c r="BA118" s="1">
        <v>123.51</v>
      </c>
      <c r="BB118" s="1">
        <v>133.41999999999999</v>
      </c>
      <c r="BC118" s="1">
        <v>127.82</v>
      </c>
      <c r="BD118" s="1">
        <v>130.33000000000001</v>
      </c>
      <c r="BE118" s="1">
        <v>123.84</v>
      </c>
      <c r="BF118" s="1">
        <v>124.71</v>
      </c>
      <c r="BG118" s="1">
        <v>129.71</v>
      </c>
      <c r="BH118" s="1">
        <v>122.11</v>
      </c>
      <c r="BI118" s="1">
        <v>124.22</v>
      </c>
      <c r="BJ118" s="1">
        <v>130.65</v>
      </c>
      <c r="BK118" s="1">
        <v>113.92</v>
      </c>
      <c r="BL118" s="1">
        <v>114.13</v>
      </c>
      <c r="BN118" s="1">
        <v>114.05</v>
      </c>
    </row>
    <row r="119" spans="1:66" x14ac:dyDescent="0.3">
      <c r="A119" s="2"/>
      <c r="C119" s="14" t="str">
        <f t="shared" si="2"/>
        <v>202510</v>
      </c>
      <c r="D119" s="3">
        <v>45937</v>
      </c>
      <c r="E119" s="21">
        <v>1622.34</v>
      </c>
      <c r="F119" s="21">
        <v>1571.8</v>
      </c>
      <c r="G119" s="21">
        <v>1594.95</v>
      </c>
      <c r="H119" s="21">
        <v>1910.73</v>
      </c>
      <c r="I119" s="21">
        <v>1596.78</v>
      </c>
      <c r="J119" s="21">
        <v>1603.98</v>
      </c>
      <c r="K119" s="21">
        <v>1544.79</v>
      </c>
      <c r="L119" s="21">
        <v>1544.21</v>
      </c>
      <c r="M119" s="21">
        <v>1394.38</v>
      </c>
      <c r="N119" s="21">
        <v>1516.5</v>
      </c>
      <c r="O119" s="21">
        <v>1551.5</v>
      </c>
      <c r="P119" s="21">
        <v>1535.29</v>
      </c>
      <c r="Q119" s="21">
        <v>7493.69</v>
      </c>
      <c r="R119" s="20">
        <v>115.23</v>
      </c>
      <c r="S119" s="20">
        <v>113.14</v>
      </c>
      <c r="T119" s="21">
        <v>120.44</v>
      </c>
      <c r="V119" s="1">
        <v>114.97</v>
      </c>
      <c r="W119" s="1">
        <v>121.17</v>
      </c>
      <c r="X119" s="1">
        <v>120.51</v>
      </c>
      <c r="Y119" s="1">
        <v>116.93</v>
      </c>
      <c r="Z119" s="1">
        <v>117.07</v>
      </c>
      <c r="AA119" s="1">
        <v>119.52</v>
      </c>
      <c r="AB119" s="1">
        <v>119.92</v>
      </c>
      <c r="AE119" s="1">
        <v>129.5</v>
      </c>
      <c r="AF119" s="1">
        <v>128.18</v>
      </c>
      <c r="AG119" s="1">
        <v>119.92</v>
      </c>
      <c r="AH119" s="1">
        <v>30</v>
      </c>
      <c r="AJ119" s="1">
        <v>45</v>
      </c>
      <c r="AN119" s="1">
        <v>4170.53</v>
      </c>
      <c r="AP119" s="1">
        <v>4205</v>
      </c>
      <c r="AQ119" s="1">
        <v>4211.9799999999996</v>
      </c>
      <c r="AR119" s="1">
        <v>4013.21</v>
      </c>
      <c r="AS119" s="1">
        <v>4105.04</v>
      </c>
      <c r="AU119" s="1">
        <v>4062.84</v>
      </c>
      <c r="AW119" s="1">
        <v>4192.91</v>
      </c>
      <c r="AX119" s="1">
        <v>120.65</v>
      </c>
      <c r="AY119" s="1">
        <v>3967.48</v>
      </c>
      <c r="AZ119" s="1">
        <v>4257.74</v>
      </c>
      <c r="BA119" s="1">
        <v>123.29</v>
      </c>
      <c r="BB119" s="1">
        <v>132.12</v>
      </c>
      <c r="BC119" s="1">
        <v>127.33</v>
      </c>
      <c r="BD119" s="1">
        <v>129.76</v>
      </c>
      <c r="BE119" s="1">
        <v>124.15</v>
      </c>
      <c r="BF119" s="1">
        <v>121.61</v>
      </c>
      <c r="BG119" s="1">
        <v>128.85</v>
      </c>
      <c r="BH119" s="1">
        <v>121.08</v>
      </c>
      <c r="BI119" s="1">
        <v>123.95</v>
      </c>
      <c r="BJ119" s="1">
        <v>129.9</v>
      </c>
      <c r="BK119" s="1">
        <v>113.25</v>
      </c>
      <c r="BL119" s="1">
        <v>113.13</v>
      </c>
      <c r="BN119" s="1">
        <v>113.38</v>
      </c>
    </row>
    <row r="120" spans="1:66" x14ac:dyDescent="0.3">
      <c r="A120" s="2"/>
      <c r="C120" s="14" t="str">
        <f t="shared" si="2"/>
        <v>202510</v>
      </c>
      <c r="D120" s="3">
        <v>45936</v>
      </c>
      <c r="E120" s="21">
        <v>1622.34</v>
      </c>
      <c r="F120" s="21">
        <v>1571.8</v>
      </c>
      <c r="G120" s="21">
        <v>1592.48</v>
      </c>
      <c r="H120" s="21">
        <v>1932.06</v>
      </c>
      <c r="I120" s="21">
        <v>1599.64</v>
      </c>
      <c r="J120" s="21">
        <v>1593.52</v>
      </c>
      <c r="K120" s="21">
        <v>1552.79</v>
      </c>
      <c r="L120" s="21">
        <v>1542.35</v>
      </c>
      <c r="M120" s="21">
        <v>1420.65</v>
      </c>
      <c r="N120" s="21">
        <v>1565.05</v>
      </c>
      <c r="O120" s="21">
        <v>1557.71</v>
      </c>
      <c r="P120" s="21">
        <v>1535.29</v>
      </c>
      <c r="Q120" s="21">
        <v>7493.69</v>
      </c>
      <c r="R120" s="20">
        <v>114.31</v>
      </c>
      <c r="S120" s="20">
        <v>112.86</v>
      </c>
      <c r="T120" s="21">
        <v>120.26</v>
      </c>
      <c r="V120" s="1">
        <v>114.41</v>
      </c>
      <c r="W120" s="1">
        <v>121.29</v>
      </c>
      <c r="X120" s="1">
        <v>120.51</v>
      </c>
      <c r="Y120" s="1">
        <v>116.93</v>
      </c>
      <c r="Z120" s="1">
        <v>117.07</v>
      </c>
      <c r="AA120" s="1">
        <v>117.49</v>
      </c>
      <c r="AB120" s="1">
        <v>119.92</v>
      </c>
      <c r="AE120" s="1">
        <v>130.30000000000001</v>
      </c>
      <c r="AF120" s="1">
        <v>127.69</v>
      </c>
      <c r="AG120" s="1">
        <v>119.92</v>
      </c>
      <c r="AH120" s="1">
        <v>30</v>
      </c>
      <c r="AN120" s="1">
        <v>4170.53</v>
      </c>
      <c r="AP120" s="1">
        <v>4190</v>
      </c>
      <c r="AQ120" s="1">
        <v>4211.9799999999996</v>
      </c>
      <c r="AR120" s="1">
        <v>3945.7</v>
      </c>
      <c r="AS120" s="1">
        <v>4105.04</v>
      </c>
      <c r="AU120" s="1">
        <v>4081.41</v>
      </c>
      <c r="AW120" s="1">
        <v>4206.74</v>
      </c>
      <c r="AX120" s="1">
        <v>120.95</v>
      </c>
      <c r="AY120" s="1">
        <v>3949.75</v>
      </c>
      <c r="AZ120" s="1">
        <v>4222.1899999999996</v>
      </c>
      <c r="BA120" s="1">
        <v>123.44</v>
      </c>
      <c r="BB120" s="1">
        <v>132.72</v>
      </c>
      <c r="BC120" s="1">
        <v>127.28</v>
      </c>
      <c r="BD120" s="1">
        <v>130.34</v>
      </c>
      <c r="BE120" s="1">
        <v>123.09</v>
      </c>
      <c r="BF120" s="1">
        <v>120.95</v>
      </c>
      <c r="BG120" s="1">
        <v>128.85</v>
      </c>
      <c r="BH120" s="1">
        <v>122.02</v>
      </c>
      <c r="BI120" s="1">
        <v>123.95</v>
      </c>
      <c r="BJ120" s="1">
        <v>129.88</v>
      </c>
      <c r="BK120" s="1">
        <v>112.75</v>
      </c>
      <c r="BL120" s="1">
        <v>112.64</v>
      </c>
      <c r="BN120" s="1">
        <v>112.88</v>
      </c>
    </row>
    <row r="121" spans="1:66" x14ac:dyDescent="0.3">
      <c r="A121" s="2"/>
      <c r="C121" s="14" t="str">
        <f t="shared" si="2"/>
        <v>202510</v>
      </c>
      <c r="D121" s="3">
        <v>45933</v>
      </c>
      <c r="E121" s="21">
        <v>1629.78</v>
      </c>
      <c r="F121" s="21">
        <v>1571.8</v>
      </c>
      <c r="G121" s="21">
        <v>1592.48</v>
      </c>
      <c r="H121" s="21">
        <v>1953.92</v>
      </c>
      <c r="I121" s="21">
        <v>1596.78</v>
      </c>
      <c r="J121" s="21">
        <v>1593.52</v>
      </c>
      <c r="K121" s="21">
        <v>1552.79</v>
      </c>
      <c r="L121" s="21">
        <v>1520.06</v>
      </c>
      <c r="M121" s="21">
        <v>1418.72</v>
      </c>
      <c r="N121" s="21">
        <v>1565.92</v>
      </c>
      <c r="O121" s="21">
        <v>1581.38</v>
      </c>
      <c r="P121" s="21">
        <v>1550.31</v>
      </c>
      <c r="Q121" s="21">
        <v>7493.69</v>
      </c>
      <c r="R121" s="20">
        <v>114.31</v>
      </c>
      <c r="S121" s="20">
        <v>112.86</v>
      </c>
      <c r="T121" s="21">
        <v>120.4</v>
      </c>
      <c r="V121" s="1">
        <v>114.5</v>
      </c>
      <c r="W121" s="1">
        <v>121.29</v>
      </c>
      <c r="X121" s="1">
        <v>120.03</v>
      </c>
      <c r="Y121" s="1">
        <v>116.73</v>
      </c>
      <c r="Z121" s="1">
        <v>116.51</v>
      </c>
      <c r="AA121" s="1">
        <v>117.49</v>
      </c>
      <c r="AB121" s="1">
        <v>119.72</v>
      </c>
      <c r="AE121" s="1">
        <v>129.81</v>
      </c>
      <c r="AF121" s="1">
        <v>128.05000000000001</v>
      </c>
      <c r="AG121" s="1">
        <v>119.92</v>
      </c>
      <c r="AH121" s="1">
        <v>30</v>
      </c>
      <c r="AN121" s="1">
        <v>4170.53</v>
      </c>
      <c r="AO121" s="1">
        <v>7</v>
      </c>
      <c r="AP121" s="1">
        <v>4190</v>
      </c>
      <c r="AQ121" s="1">
        <v>4206.99</v>
      </c>
      <c r="AR121" s="1">
        <v>3945.7</v>
      </c>
      <c r="AS121" s="1">
        <v>4105.04</v>
      </c>
      <c r="AT121" s="1">
        <v>4101.32</v>
      </c>
      <c r="AU121" s="1">
        <v>4081.41</v>
      </c>
      <c r="AW121" s="1">
        <v>4199.8999999999996</v>
      </c>
      <c r="AX121" s="1">
        <v>121.3</v>
      </c>
      <c r="AY121" s="1">
        <v>4014.57</v>
      </c>
      <c r="AZ121" s="1">
        <v>4275.5200000000004</v>
      </c>
      <c r="BA121" s="1">
        <v>122.94</v>
      </c>
      <c r="BB121" s="1">
        <v>132.31</v>
      </c>
      <c r="BC121" s="1">
        <v>127.09</v>
      </c>
      <c r="BD121" s="1">
        <v>130.07</v>
      </c>
      <c r="BE121" s="1">
        <v>122.06</v>
      </c>
      <c r="BF121" s="1">
        <v>123.15</v>
      </c>
      <c r="BG121" s="1">
        <v>128.91</v>
      </c>
      <c r="BH121" s="1">
        <v>122.6</v>
      </c>
      <c r="BI121" s="1">
        <v>124.15</v>
      </c>
      <c r="BJ121" s="1">
        <v>129.41</v>
      </c>
      <c r="BK121" s="1">
        <v>112.75</v>
      </c>
      <c r="BL121" s="1">
        <v>112.64</v>
      </c>
      <c r="BN121" s="1">
        <v>112.88</v>
      </c>
    </row>
    <row r="122" spans="1:66" x14ac:dyDescent="0.3">
      <c r="A122" s="2"/>
      <c r="C122" s="14" t="str">
        <f t="shared" si="2"/>
        <v>202510</v>
      </c>
      <c r="D122" s="3">
        <v>45932</v>
      </c>
      <c r="E122" s="21">
        <v>1606.21</v>
      </c>
      <c r="F122" s="21">
        <v>1577.75</v>
      </c>
      <c r="G122" s="21">
        <v>1587.54</v>
      </c>
      <c r="H122" s="21">
        <v>1918.89</v>
      </c>
      <c r="I122" s="21">
        <v>1601.79</v>
      </c>
      <c r="J122" s="21">
        <v>1597.1</v>
      </c>
      <c r="K122" s="21">
        <v>1552.79</v>
      </c>
      <c r="L122" s="21">
        <v>1508.54</v>
      </c>
      <c r="M122" s="21">
        <v>1410.21</v>
      </c>
      <c r="N122" s="21">
        <v>1561.73</v>
      </c>
      <c r="O122" s="21">
        <v>1550.76</v>
      </c>
      <c r="P122" s="21">
        <v>1550.31</v>
      </c>
      <c r="Q122" s="21">
        <v>7481.19</v>
      </c>
      <c r="R122" s="20">
        <v>113.65</v>
      </c>
      <c r="S122" s="20">
        <v>112.36</v>
      </c>
      <c r="T122" s="21">
        <v>120.4</v>
      </c>
      <c r="V122" s="1">
        <v>114.27</v>
      </c>
      <c r="W122" s="1">
        <v>120.75</v>
      </c>
      <c r="X122" s="1">
        <v>119.53</v>
      </c>
      <c r="Y122" s="1">
        <v>115.8</v>
      </c>
      <c r="Z122" s="1">
        <v>116.07</v>
      </c>
      <c r="AA122" s="1">
        <v>117.33</v>
      </c>
      <c r="AB122" s="1">
        <v>119.23</v>
      </c>
      <c r="AE122" s="1">
        <v>129.47999999999999</v>
      </c>
      <c r="AF122" s="1">
        <v>128.69</v>
      </c>
      <c r="AG122" s="1">
        <v>119.79</v>
      </c>
      <c r="AH122" s="1">
        <v>30</v>
      </c>
      <c r="AN122" s="1">
        <v>4170.53</v>
      </c>
      <c r="AO122" s="1">
        <v>7</v>
      </c>
      <c r="AP122" s="1">
        <v>4194.38</v>
      </c>
      <c r="AQ122" s="1">
        <v>4240.4799999999996</v>
      </c>
      <c r="AR122" s="1">
        <v>3945.7</v>
      </c>
      <c r="AS122" s="1">
        <v>4105.04</v>
      </c>
      <c r="AT122" s="1">
        <v>4101.32</v>
      </c>
      <c r="AU122" s="1">
        <v>4081.41</v>
      </c>
      <c r="AW122" s="1">
        <v>4199.8999999999996</v>
      </c>
      <c r="AX122" s="1">
        <v>120.26</v>
      </c>
      <c r="AY122" s="1">
        <v>4014.57</v>
      </c>
      <c r="AZ122" s="1">
        <v>4275.5200000000004</v>
      </c>
      <c r="BA122" s="1">
        <v>121.14</v>
      </c>
      <c r="BB122" s="1">
        <v>129.85</v>
      </c>
      <c r="BC122" s="1">
        <v>126.53</v>
      </c>
      <c r="BD122" s="1">
        <v>129.93</v>
      </c>
      <c r="BE122" s="1">
        <v>121.65</v>
      </c>
      <c r="BF122" s="1">
        <v>121.42</v>
      </c>
      <c r="BG122" s="1">
        <v>128.91</v>
      </c>
      <c r="BH122" s="1">
        <v>123.1</v>
      </c>
      <c r="BI122" s="1">
        <v>122.33</v>
      </c>
      <c r="BJ122" s="1">
        <v>128.80000000000001</v>
      </c>
      <c r="BK122" s="1">
        <v>112.08</v>
      </c>
      <c r="BL122" s="1">
        <v>111.97</v>
      </c>
      <c r="BN122" s="1">
        <v>112.22</v>
      </c>
    </row>
    <row r="123" spans="1:66" x14ac:dyDescent="0.3">
      <c r="A123" s="2"/>
      <c r="C123" s="14" t="str">
        <f t="shared" si="2"/>
        <v>202510</v>
      </c>
      <c r="D123" s="3">
        <v>45931</v>
      </c>
      <c r="E123" s="21">
        <v>1586.37</v>
      </c>
      <c r="F123" s="21">
        <v>1577.19</v>
      </c>
      <c r="G123" s="21">
        <v>1580.13</v>
      </c>
      <c r="H123" s="21">
        <v>1934.17</v>
      </c>
      <c r="I123" s="21">
        <v>1610.89</v>
      </c>
      <c r="J123" s="21">
        <v>1597.1</v>
      </c>
      <c r="K123" s="21">
        <v>1512.79</v>
      </c>
      <c r="L123" s="21">
        <v>1512.15</v>
      </c>
      <c r="M123" s="21">
        <v>1402.91</v>
      </c>
      <c r="N123" s="21">
        <v>1571.18</v>
      </c>
      <c r="O123" s="21">
        <v>1562.9</v>
      </c>
      <c r="P123" s="21">
        <v>1540.31</v>
      </c>
      <c r="Q123" s="21">
        <v>7481.19</v>
      </c>
      <c r="R123" s="20">
        <v>113.65</v>
      </c>
      <c r="S123" s="20">
        <v>112.07</v>
      </c>
      <c r="T123" s="21">
        <v>120.4</v>
      </c>
      <c r="V123" s="1">
        <v>114.27</v>
      </c>
      <c r="W123" s="1">
        <v>120.75</v>
      </c>
      <c r="X123" s="1">
        <v>119.65</v>
      </c>
      <c r="Y123" s="1">
        <v>114.82</v>
      </c>
      <c r="Z123" s="1">
        <v>115.4</v>
      </c>
      <c r="AA123" s="1">
        <v>117.33</v>
      </c>
      <c r="AB123" s="1">
        <v>119.34</v>
      </c>
      <c r="AE123" s="1">
        <v>129.47999999999999</v>
      </c>
      <c r="AF123" s="1">
        <v>126.91</v>
      </c>
      <c r="AG123" s="1">
        <v>117.79</v>
      </c>
      <c r="AH123" s="1">
        <v>30</v>
      </c>
      <c r="AO123" s="1">
        <v>7</v>
      </c>
      <c r="AP123" s="1">
        <v>4183.75</v>
      </c>
      <c r="AQ123" s="1">
        <v>4240.4799999999996</v>
      </c>
      <c r="AR123" s="1">
        <v>3945.7</v>
      </c>
      <c r="AS123" s="1">
        <v>4095.83</v>
      </c>
      <c r="AT123" s="1">
        <v>4092.03</v>
      </c>
      <c r="AU123" s="1">
        <v>4052.72</v>
      </c>
      <c r="AW123" s="1">
        <v>4195.03</v>
      </c>
      <c r="AX123" s="1">
        <v>120.24</v>
      </c>
      <c r="AY123" s="1">
        <v>4014.57</v>
      </c>
      <c r="BA123" s="1">
        <v>121.14</v>
      </c>
      <c r="BB123" s="1">
        <v>130.24</v>
      </c>
      <c r="BC123" s="1">
        <v>124.83</v>
      </c>
      <c r="BD123" s="1">
        <v>126.99</v>
      </c>
      <c r="BE123" s="1">
        <v>122.13</v>
      </c>
      <c r="BF123" s="1">
        <v>120.43</v>
      </c>
      <c r="BG123" s="1">
        <v>128.91</v>
      </c>
      <c r="BH123" s="1">
        <v>122.81</v>
      </c>
      <c r="BI123" s="1">
        <v>121.95</v>
      </c>
      <c r="BJ123" s="1">
        <v>128.78</v>
      </c>
      <c r="BK123" s="1">
        <v>110.92</v>
      </c>
      <c r="BL123" s="1">
        <v>111.14</v>
      </c>
      <c r="BN123" s="1">
        <v>111.05</v>
      </c>
    </row>
    <row r="124" spans="1:66" x14ac:dyDescent="0.3">
      <c r="A124" s="2"/>
      <c r="C124" s="14" t="str">
        <f t="shared" si="2"/>
        <v>20259</v>
      </c>
      <c r="D124" s="3">
        <v>45930</v>
      </c>
      <c r="E124" s="21">
        <v>1596.57</v>
      </c>
      <c r="F124" s="21">
        <v>1590.49</v>
      </c>
      <c r="G124" s="21">
        <v>1585.52</v>
      </c>
      <c r="H124" s="21">
        <v>1906.81</v>
      </c>
      <c r="I124" s="21">
        <v>1614.53</v>
      </c>
      <c r="J124" s="21">
        <v>1600.59</v>
      </c>
      <c r="K124" s="21">
        <v>1545.02</v>
      </c>
      <c r="L124" s="21">
        <v>1525.28</v>
      </c>
      <c r="M124" s="21">
        <v>1404.08</v>
      </c>
      <c r="N124" s="21">
        <v>1583.14</v>
      </c>
      <c r="O124" s="21">
        <v>1570.87</v>
      </c>
      <c r="P124" s="21">
        <v>1550.52</v>
      </c>
      <c r="Q124" s="21">
        <v>7569.45</v>
      </c>
      <c r="R124" s="20">
        <v>113.67</v>
      </c>
      <c r="S124" s="20">
        <v>116.1</v>
      </c>
      <c r="T124" s="21">
        <v>120.41</v>
      </c>
      <c r="V124" s="1">
        <v>115.01</v>
      </c>
      <c r="W124" s="1">
        <v>121.11</v>
      </c>
      <c r="X124" s="1">
        <v>120.41</v>
      </c>
      <c r="Y124" s="1">
        <v>115.82</v>
      </c>
      <c r="Z124" s="1">
        <v>116.07</v>
      </c>
      <c r="AA124" s="1">
        <v>117.64</v>
      </c>
      <c r="AB124" s="1">
        <v>119.94</v>
      </c>
      <c r="AE124" s="1">
        <v>129.85</v>
      </c>
      <c r="AF124" s="1">
        <v>126.95</v>
      </c>
      <c r="AG124" s="1">
        <v>118.67</v>
      </c>
      <c r="AH124" s="1">
        <v>30</v>
      </c>
      <c r="AN124" s="1">
        <v>4139.8999999999996</v>
      </c>
      <c r="AO124" s="1">
        <v>22.33</v>
      </c>
      <c r="AP124" s="1">
        <v>4183.75</v>
      </c>
      <c r="AQ124" s="1">
        <v>4197</v>
      </c>
      <c r="AR124" s="1">
        <v>3962.76</v>
      </c>
      <c r="AS124" s="1">
        <v>4093.57</v>
      </c>
      <c r="AT124" s="1">
        <v>4129.6499999999996</v>
      </c>
      <c r="AU124" s="1">
        <v>4050.48</v>
      </c>
      <c r="AW124" s="1">
        <v>4209.34</v>
      </c>
      <c r="AX124" s="1">
        <v>121.06</v>
      </c>
      <c r="AY124" s="1">
        <v>4012.36</v>
      </c>
      <c r="AZ124" s="1">
        <v>4190.51</v>
      </c>
      <c r="BA124" s="1">
        <v>122.59</v>
      </c>
      <c r="BB124" s="1">
        <v>130.11000000000001</v>
      </c>
      <c r="BC124" s="1">
        <v>125.65</v>
      </c>
      <c r="BD124" s="1">
        <v>127.56</v>
      </c>
      <c r="BE124" s="1">
        <v>122.17</v>
      </c>
      <c r="BF124" s="1">
        <v>120.44</v>
      </c>
      <c r="BG124" s="1">
        <v>128.94</v>
      </c>
      <c r="BH124" s="1">
        <v>123.25</v>
      </c>
      <c r="BI124" s="1">
        <v>123.72</v>
      </c>
      <c r="BJ124" s="1">
        <v>128.83000000000001</v>
      </c>
      <c r="BK124" s="1">
        <v>111.59</v>
      </c>
      <c r="BL124" s="1">
        <v>111.47</v>
      </c>
      <c r="BN124" s="1">
        <v>111.72</v>
      </c>
    </row>
    <row r="125" spans="1:66" x14ac:dyDescent="0.3">
      <c r="A125" s="2"/>
      <c r="C125" s="14" t="str">
        <f t="shared" si="2"/>
        <v>20259</v>
      </c>
      <c r="D125" s="3">
        <v>45929</v>
      </c>
      <c r="E125" s="21">
        <v>1623.85</v>
      </c>
      <c r="F125" s="21">
        <v>1590.49</v>
      </c>
      <c r="G125" s="21">
        <v>1585.52</v>
      </c>
      <c r="H125" s="21">
        <v>1919.99</v>
      </c>
      <c r="I125" s="21">
        <v>1611.93</v>
      </c>
      <c r="J125" s="21">
        <v>1613.76</v>
      </c>
      <c r="K125" s="21">
        <v>1545.02</v>
      </c>
      <c r="L125" s="21">
        <v>1537.74</v>
      </c>
      <c r="M125" s="21">
        <v>1406.71</v>
      </c>
      <c r="N125" s="21">
        <v>1585.53</v>
      </c>
      <c r="O125" s="21">
        <v>1581.51</v>
      </c>
      <c r="P125" s="21">
        <v>1549.28</v>
      </c>
      <c r="Q125" s="21">
        <v>7569.45</v>
      </c>
      <c r="R125" s="20">
        <v>113.67</v>
      </c>
      <c r="S125" s="20">
        <v>116.1</v>
      </c>
      <c r="T125" s="21">
        <v>120.11</v>
      </c>
      <c r="V125" s="1">
        <v>115.19</v>
      </c>
      <c r="W125" s="1">
        <v>121.25</v>
      </c>
      <c r="X125" s="1">
        <v>120.41</v>
      </c>
      <c r="Y125" s="1">
        <v>115.58</v>
      </c>
      <c r="Z125" s="1">
        <v>116.07</v>
      </c>
      <c r="AA125" s="1">
        <v>117.44</v>
      </c>
      <c r="AB125" s="1">
        <v>119.94</v>
      </c>
      <c r="AE125" s="1">
        <v>130.41</v>
      </c>
      <c r="AF125" s="1">
        <v>128.09</v>
      </c>
      <c r="AG125" s="1">
        <v>118.67</v>
      </c>
      <c r="AH125" s="1">
        <v>30</v>
      </c>
      <c r="AN125" s="1">
        <v>4139.8999999999996</v>
      </c>
      <c r="AO125" s="1">
        <v>22.33</v>
      </c>
      <c r="AP125" s="1">
        <v>4182.5</v>
      </c>
      <c r="AQ125" s="1">
        <v>4213.6000000000004</v>
      </c>
      <c r="AR125" s="1">
        <v>3815.99</v>
      </c>
      <c r="AS125" s="1">
        <v>4093.57</v>
      </c>
      <c r="AT125" s="1">
        <v>4103.5</v>
      </c>
      <c r="AU125" s="1">
        <v>4044.75</v>
      </c>
      <c r="AW125" s="1">
        <v>4187.66</v>
      </c>
      <c r="AX125" s="1">
        <v>120.87</v>
      </c>
      <c r="AY125" s="1">
        <v>4055.55</v>
      </c>
      <c r="AZ125" s="1">
        <v>4190.51</v>
      </c>
      <c r="BA125" s="1">
        <v>122.69</v>
      </c>
      <c r="BB125" s="1">
        <v>129.94</v>
      </c>
      <c r="BC125" s="1">
        <v>125.38</v>
      </c>
      <c r="BD125" s="1">
        <v>127.61</v>
      </c>
      <c r="BE125" s="1">
        <v>122.29</v>
      </c>
      <c r="BF125" s="1">
        <v>120.44</v>
      </c>
      <c r="BG125" s="1">
        <v>129.72</v>
      </c>
      <c r="BH125" s="1">
        <v>123.2</v>
      </c>
      <c r="BI125" s="1">
        <v>123.84</v>
      </c>
      <c r="BJ125" s="1">
        <v>128.81</v>
      </c>
      <c r="BK125" s="1">
        <v>111.59</v>
      </c>
      <c r="BL125" s="1">
        <v>111.47</v>
      </c>
      <c r="BN125" s="1">
        <v>111.72</v>
      </c>
    </row>
    <row r="126" spans="1:66" x14ac:dyDescent="0.3">
      <c r="A126" s="2"/>
      <c r="C126" s="14" t="str">
        <f t="shared" si="2"/>
        <v>20259</v>
      </c>
      <c r="D126" s="3">
        <v>45926</v>
      </c>
      <c r="E126" s="21">
        <v>1633.78</v>
      </c>
      <c r="F126" s="21">
        <v>1608.6</v>
      </c>
      <c r="G126" s="21">
        <v>1585.52</v>
      </c>
      <c r="H126" s="21">
        <v>1916.69</v>
      </c>
      <c r="I126" s="21">
        <v>1615.23</v>
      </c>
      <c r="J126" s="21">
        <v>1616.59</v>
      </c>
      <c r="K126" s="21">
        <v>1537.02</v>
      </c>
      <c r="L126" s="21">
        <v>1537.86</v>
      </c>
      <c r="M126" s="21">
        <v>1398.95</v>
      </c>
      <c r="N126" s="21">
        <v>1592.05</v>
      </c>
      <c r="O126" s="21">
        <v>1571.86</v>
      </c>
      <c r="P126" s="21">
        <v>1544.28</v>
      </c>
      <c r="Q126" s="21">
        <v>7556.95</v>
      </c>
      <c r="R126" s="20">
        <v>113.67</v>
      </c>
      <c r="S126" s="20">
        <v>113.44</v>
      </c>
      <c r="T126" s="21">
        <v>120.11</v>
      </c>
      <c r="V126" s="1">
        <v>115.34</v>
      </c>
      <c r="W126" s="1">
        <v>121.11</v>
      </c>
      <c r="X126" s="1">
        <v>120.16</v>
      </c>
      <c r="Y126" s="1">
        <v>115.09</v>
      </c>
      <c r="Z126" s="1">
        <v>116.07</v>
      </c>
      <c r="AA126" s="1">
        <v>117.56</v>
      </c>
      <c r="AB126" s="1">
        <v>119.69</v>
      </c>
      <c r="AE126" s="1">
        <v>130.33000000000001</v>
      </c>
      <c r="AF126" s="1">
        <v>129.21</v>
      </c>
      <c r="AG126" s="1">
        <v>119.39</v>
      </c>
      <c r="AN126" s="1">
        <v>4139.8999999999996</v>
      </c>
      <c r="AO126" s="1">
        <v>30</v>
      </c>
      <c r="AP126" s="1">
        <v>4182.5</v>
      </c>
      <c r="AQ126" s="1">
        <v>4263.38</v>
      </c>
      <c r="AR126" s="1">
        <v>3815.99</v>
      </c>
      <c r="AS126" s="1">
        <v>4031.08</v>
      </c>
      <c r="AT126" s="1">
        <v>4112.46</v>
      </c>
      <c r="AU126" s="1">
        <v>4044.75</v>
      </c>
      <c r="AW126" s="1">
        <v>4195.0600000000004</v>
      </c>
      <c r="AX126" s="1">
        <v>119.69</v>
      </c>
      <c r="AY126" s="1">
        <v>4035.3</v>
      </c>
      <c r="AZ126" s="1">
        <v>4190.51</v>
      </c>
      <c r="BA126" s="1">
        <v>122.97</v>
      </c>
      <c r="BB126" s="1">
        <v>130.46</v>
      </c>
      <c r="BC126" s="1">
        <v>125.3</v>
      </c>
      <c r="BD126" s="1">
        <v>127.52</v>
      </c>
      <c r="BE126" s="1">
        <v>124</v>
      </c>
      <c r="BF126" s="1">
        <v>121.44</v>
      </c>
      <c r="BG126" s="1">
        <v>129.52000000000001</v>
      </c>
      <c r="BH126" s="1">
        <v>124.05</v>
      </c>
      <c r="BI126" s="1">
        <v>123.84</v>
      </c>
      <c r="BJ126" s="1">
        <v>129.34</v>
      </c>
      <c r="BK126" s="1">
        <v>111.59</v>
      </c>
      <c r="BL126" s="1">
        <v>111.47</v>
      </c>
      <c r="BN126" s="1">
        <v>111.72</v>
      </c>
    </row>
    <row r="127" spans="1:66" x14ac:dyDescent="0.3">
      <c r="A127" s="2"/>
      <c r="C127" s="14" t="str">
        <f t="shared" si="2"/>
        <v>20259</v>
      </c>
      <c r="D127" s="3">
        <v>45925</v>
      </c>
      <c r="E127" s="21">
        <v>1653.65</v>
      </c>
      <c r="F127" s="21">
        <v>1608.6</v>
      </c>
      <c r="G127" s="21">
        <v>1585.52</v>
      </c>
      <c r="H127" s="21">
        <v>1932.52</v>
      </c>
      <c r="I127" s="21">
        <v>1612.25</v>
      </c>
      <c r="J127" s="21">
        <v>1603.41</v>
      </c>
      <c r="K127" s="21">
        <v>1537.02</v>
      </c>
      <c r="L127" s="21">
        <v>1537.86</v>
      </c>
      <c r="M127" s="21">
        <v>1414.78</v>
      </c>
      <c r="N127" s="21">
        <v>1594.77</v>
      </c>
      <c r="O127" s="21">
        <v>1569.66</v>
      </c>
      <c r="P127" s="21">
        <v>1544.28</v>
      </c>
      <c r="Q127" s="21">
        <v>7556.95</v>
      </c>
      <c r="R127" s="20">
        <v>113.67</v>
      </c>
      <c r="S127" s="20">
        <v>112.2</v>
      </c>
      <c r="T127" s="21">
        <v>120.11</v>
      </c>
      <c r="V127" s="1">
        <v>115.47</v>
      </c>
      <c r="W127" s="1">
        <v>120.54</v>
      </c>
      <c r="X127" s="1">
        <v>120.04</v>
      </c>
      <c r="Y127" s="1">
        <v>113.22</v>
      </c>
      <c r="Z127" s="1">
        <v>114.11</v>
      </c>
      <c r="AA127" s="1">
        <v>117.45</v>
      </c>
      <c r="AB127" s="1">
        <v>119.68</v>
      </c>
      <c r="AE127" s="1">
        <v>130.82</v>
      </c>
      <c r="AF127" s="1">
        <v>129.11000000000001</v>
      </c>
      <c r="AG127" s="1">
        <v>117.25</v>
      </c>
      <c r="AN127" s="1">
        <v>4139.8999999999996</v>
      </c>
      <c r="AO127" s="1">
        <v>30</v>
      </c>
      <c r="AP127" s="1">
        <v>4140</v>
      </c>
      <c r="AQ127" s="1">
        <v>4263.38</v>
      </c>
      <c r="AR127" s="1">
        <v>3815.99</v>
      </c>
      <c r="AS127" s="1">
        <v>4031.08</v>
      </c>
      <c r="AT127" s="1">
        <v>4112.46</v>
      </c>
      <c r="AU127" s="1">
        <v>4044.75</v>
      </c>
      <c r="AW127" s="1">
        <v>4195.0600000000004</v>
      </c>
      <c r="AX127" s="1">
        <v>119.68</v>
      </c>
      <c r="AY127" s="1">
        <v>4035.3</v>
      </c>
      <c r="AZ127" s="1">
        <v>4190.51</v>
      </c>
      <c r="BA127" s="1">
        <v>120.74</v>
      </c>
      <c r="BB127" s="1">
        <v>129.24</v>
      </c>
      <c r="BC127" s="1">
        <v>125.34</v>
      </c>
      <c r="BD127" s="1">
        <v>126.86</v>
      </c>
      <c r="BE127" s="1">
        <v>123.98</v>
      </c>
      <c r="BF127" s="1">
        <v>121.44</v>
      </c>
      <c r="BG127" s="1">
        <v>131.12</v>
      </c>
      <c r="BH127" s="1">
        <v>125.2</v>
      </c>
      <c r="BI127" s="1">
        <v>123.84</v>
      </c>
      <c r="BJ127" s="1">
        <v>129.32</v>
      </c>
      <c r="BK127" s="1">
        <v>110.25</v>
      </c>
      <c r="BL127" s="1">
        <v>110.8</v>
      </c>
      <c r="BN127" s="1">
        <v>110.39</v>
      </c>
    </row>
    <row r="128" spans="1:66" x14ac:dyDescent="0.3">
      <c r="A128" s="2"/>
      <c r="C128" s="14" t="str">
        <f t="shared" si="2"/>
        <v>20259</v>
      </c>
      <c r="D128" s="3">
        <v>45924</v>
      </c>
      <c r="E128" s="21">
        <v>1653.65</v>
      </c>
      <c r="F128" s="21">
        <v>1608.6</v>
      </c>
      <c r="G128" s="21">
        <v>1610.21</v>
      </c>
      <c r="H128" s="21">
        <v>1932.52</v>
      </c>
      <c r="I128" s="21">
        <v>1616.2</v>
      </c>
      <c r="J128" s="21">
        <v>1621.73</v>
      </c>
      <c r="K128" s="21">
        <v>1537.02</v>
      </c>
      <c r="L128" s="21">
        <v>1519.88</v>
      </c>
      <c r="M128" s="21">
        <v>1449.62</v>
      </c>
      <c r="N128" s="21">
        <v>1560.64</v>
      </c>
      <c r="O128" s="21">
        <v>1606.97</v>
      </c>
      <c r="P128" s="21">
        <v>1544.28</v>
      </c>
      <c r="Q128" s="21">
        <v>7556.95</v>
      </c>
      <c r="R128" s="20">
        <v>113.67</v>
      </c>
      <c r="S128" s="20">
        <v>112.03</v>
      </c>
      <c r="T128" s="21">
        <v>120.75</v>
      </c>
      <c r="V128" s="1">
        <v>115.72</v>
      </c>
      <c r="W128" s="1">
        <v>120.25</v>
      </c>
      <c r="X128" s="1">
        <v>120.04</v>
      </c>
      <c r="Y128" s="1">
        <v>112.43</v>
      </c>
      <c r="Z128" s="1">
        <v>112.86</v>
      </c>
      <c r="AA128" s="1">
        <v>117.51</v>
      </c>
      <c r="AB128" s="1">
        <v>119.71</v>
      </c>
      <c r="AE128" s="1">
        <v>130.82</v>
      </c>
      <c r="AF128" s="1">
        <v>128.16</v>
      </c>
      <c r="AG128" s="1">
        <v>119.25</v>
      </c>
      <c r="AN128" s="1">
        <v>4139.8999999999996</v>
      </c>
      <c r="AO128" s="1">
        <v>30</v>
      </c>
      <c r="AP128" s="1">
        <v>4140</v>
      </c>
      <c r="AQ128" s="1">
        <v>4263.38</v>
      </c>
      <c r="AR128" s="1">
        <v>3868.29</v>
      </c>
      <c r="AS128" s="1">
        <v>3957.7</v>
      </c>
      <c r="AT128" s="1">
        <v>4112.46</v>
      </c>
      <c r="AW128" s="1">
        <v>4220.87</v>
      </c>
      <c r="AX128" s="1">
        <v>119.66</v>
      </c>
      <c r="AY128" s="1">
        <v>4035.3</v>
      </c>
      <c r="AZ128" s="1">
        <v>4190.51</v>
      </c>
      <c r="BA128" s="1">
        <v>123.64</v>
      </c>
      <c r="BB128" s="1">
        <v>128.88</v>
      </c>
      <c r="BC128" s="1">
        <v>124.82</v>
      </c>
      <c r="BD128" s="1">
        <v>126.68</v>
      </c>
      <c r="BE128" s="1">
        <v>123.18</v>
      </c>
      <c r="BF128" s="1">
        <v>120.97</v>
      </c>
      <c r="BG128" s="1">
        <v>131.12</v>
      </c>
      <c r="BH128" s="1">
        <v>125.67</v>
      </c>
      <c r="BI128" s="1">
        <v>123.84</v>
      </c>
      <c r="BJ128" s="1">
        <v>130.58000000000001</v>
      </c>
      <c r="BK128" s="1">
        <v>110.58</v>
      </c>
      <c r="BL128" s="1">
        <v>111.47</v>
      </c>
      <c r="BN128" s="1">
        <v>110.72</v>
      </c>
    </row>
    <row r="129" spans="1:66" x14ac:dyDescent="0.3">
      <c r="A129" s="2"/>
      <c r="C129" s="14" t="str">
        <f t="shared" si="2"/>
        <v>20259</v>
      </c>
      <c r="D129" s="3">
        <v>45923</v>
      </c>
      <c r="E129" s="21">
        <v>1653.65</v>
      </c>
      <c r="F129" s="21">
        <v>1640.9</v>
      </c>
      <c r="G129" s="21">
        <v>1610.21</v>
      </c>
      <c r="H129" s="21">
        <v>1947.34</v>
      </c>
      <c r="I129" s="21">
        <v>1616.2</v>
      </c>
      <c r="J129" s="21">
        <v>1670.65</v>
      </c>
      <c r="K129" s="21">
        <v>1551.26</v>
      </c>
      <c r="L129" s="21">
        <v>1549.77</v>
      </c>
      <c r="M129" s="21">
        <v>1489.21</v>
      </c>
      <c r="N129" s="21">
        <v>1587.89</v>
      </c>
      <c r="O129" s="21">
        <v>1609.4</v>
      </c>
      <c r="P129" s="21">
        <v>1553.81</v>
      </c>
      <c r="Q129" s="21">
        <v>7556.95</v>
      </c>
      <c r="R129" s="20">
        <v>113.57</v>
      </c>
      <c r="S129" s="20">
        <v>115.11</v>
      </c>
      <c r="T129" s="21">
        <v>121.38</v>
      </c>
      <c r="V129" s="1">
        <v>117.46</v>
      </c>
      <c r="W129" s="1">
        <v>121.58</v>
      </c>
      <c r="X129" s="1">
        <v>121.03</v>
      </c>
      <c r="Y129" s="1">
        <v>115.22</v>
      </c>
      <c r="Z129" s="1">
        <v>114.56</v>
      </c>
      <c r="AA129" s="1">
        <v>117.77</v>
      </c>
      <c r="AB129" s="1">
        <v>120.56</v>
      </c>
      <c r="AE129" s="1">
        <v>131.32</v>
      </c>
      <c r="AF129" s="1">
        <v>129.87</v>
      </c>
      <c r="AG129" s="1">
        <v>122.6</v>
      </c>
      <c r="AI129" s="1">
        <v>30</v>
      </c>
      <c r="AN129" s="1">
        <v>4223.17</v>
      </c>
      <c r="AP129" s="1">
        <v>4140</v>
      </c>
      <c r="AQ129" s="1">
        <v>4263.38</v>
      </c>
      <c r="AR129" s="1">
        <v>3868.29</v>
      </c>
      <c r="AS129" s="1">
        <v>3957.7</v>
      </c>
      <c r="AT129" s="1">
        <v>4151.26</v>
      </c>
      <c r="AW129" s="1">
        <v>4180.38</v>
      </c>
      <c r="AX129" s="1">
        <v>119.44</v>
      </c>
      <c r="AY129" s="1">
        <v>4035.3</v>
      </c>
      <c r="BA129" s="1">
        <v>125.52</v>
      </c>
      <c r="BB129" s="1">
        <v>130.06</v>
      </c>
      <c r="BC129" s="1">
        <v>125.63</v>
      </c>
      <c r="BD129" s="1">
        <v>127.1</v>
      </c>
      <c r="BE129" s="1">
        <v>123.17</v>
      </c>
      <c r="BF129" s="1">
        <v>120.97</v>
      </c>
      <c r="BG129" s="1">
        <v>133.28</v>
      </c>
      <c r="BH129" s="1">
        <v>125.07</v>
      </c>
      <c r="BI129" s="1">
        <v>123.84</v>
      </c>
      <c r="BJ129" s="1">
        <v>131.37</v>
      </c>
      <c r="BK129" s="1">
        <v>111.25</v>
      </c>
      <c r="BL129" s="1">
        <v>112.47</v>
      </c>
      <c r="BN129" s="1">
        <v>111.38</v>
      </c>
    </row>
    <row r="130" spans="1:66" x14ac:dyDescent="0.3">
      <c r="A130" s="2"/>
      <c r="C130" s="14" t="str">
        <f t="shared" si="2"/>
        <v>20259</v>
      </c>
      <c r="D130" s="3">
        <v>45922</v>
      </c>
      <c r="E130" s="21">
        <v>1680.94</v>
      </c>
      <c r="F130" s="21">
        <v>1640.9</v>
      </c>
      <c r="G130" s="21">
        <v>1610.21</v>
      </c>
      <c r="H130" s="21">
        <v>1981.92</v>
      </c>
      <c r="I130" s="21">
        <v>1616.2</v>
      </c>
      <c r="J130" s="21">
        <v>1659.78</v>
      </c>
      <c r="K130" s="21">
        <v>1571.26</v>
      </c>
      <c r="L130" s="21">
        <v>1549.77</v>
      </c>
      <c r="M130" s="21">
        <v>1521.41</v>
      </c>
      <c r="N130" s="21">
        <v>1635.28</v>
      </c>
      <c r="O130" s="21">
        <v>1604.88</v>
      </c>
      <c r="P130" s="21">
        <v>1610.34</v>
      </c>
      <c r="Q130" s="21">
        <v>7581.65</v>
      </c>
      <c r="R130" s="20">
        <v>114.81</v>
      </c>
      <c r="S130" s="20">
        <v>114.95</v>
      </c>
      <c r="T130" s="21">
        <v>122.11</v>
      </c>
      <c r="V130" s="1">
        <v>118.9</v>
      </c>
      <c r="W130" s="1">
        <v>121.68</v>
      </c>
      <c r="X130" s="1">
        <v>120.91</v>
      </c>
      <c r="Y130" s="1">
        <v>116.63</v>
      </c>
      <c r="Z130" s="1">
        <v>116.79</v>
      </c>
      <c r="AA130" s="1">
        <v>118.21</v>
      </c>
      <c r="AB130" s="1">
        <v>121.11</v>
      </c>
      <c r="AE130" s="1">
        <v>131.65</v>
      </c>
      <c r="AF130" s="1">
        <v>131.35</v>
      </c>
      <c r="AG130" s="1">
        <v>122.6</v>
      </c>
      <c r="AI130" s="1">
        <v>30</v>
      </c>
      <c r="AN130" s="1">
        <v>4223.17</v>
      </c>
      <c r="AR130" s="1">
        <v>3894.44</v>
      </c>
      <c r="AS130" s="1">
        <v>3957.7</v>
      </c>
      <c r="AT130" s="1">
        <v>4183.42</v>
      </c>
      <c r="AU130" s="1">
        <v>4099.41</v>
      </c>
      <c r="AX130" s="1">
        <v>118.55</v>
      </c>
      <c r="AY130" s="1">
        <v>4035.3</v>
      </c>
      <c r="AZ130" s="1">
        <v>4284.9799999999996</v>
      </c>
      <c r="BA130" s="1">
        <v>125.64</v>
      </c>
      <c r="BB130" s="1">
        <v>132.43</v>
      </c>
      <c r="BC130" s="1">
        <v>129.41999999999999</v>
      </c>
      <c r="BD130" s="1">
        <v>130.91999999999999</v>
      </c>
      <c r="BE130" s="1">
        <v>122.99</v>
      </c>
      <c r="BF130" s="1">
        <v>121.63</v>
      </c>
      <c r="BG130" s="1">
        <v>133.28</v>
      </c>
      <c r="BH130" s="1">
        <v>125.5</v>
      </c>
      <c r="BI130" s="1">
        <v>124.48</v>
      </c>
      <c r="BJ130" s="1">
        <v>133.01</v>
      </c>
      <c r="BK130" s="1">
        <v>113.25</v>
      </c>
      <c r="BL130" s="1">
        <v>113.14</v>
      </c>
      <c r="BN130" s="1">
        <v>113.38</v>
      </c>
    </row>
    <row r="131" spans="1:66" x14ac:dyDescent="0.3">
      <c r="A131" s="2"/>
      <c r="C131" s="14" t="str">
        <f t="shared" si="2"/>
        <v>20259</v>
      </c>
      <c r="D131" s="3">
        <v>45919</v>
      </c>
      <c r="E131" s="21">
        <v>1671.21</v>
      </c>
      <c r="F131" s="21">
        <v>1631.03</v>
      </c>
      <c r="G131" s="21">
        <v>1600.49</v>
      </c>
      <c r="H131" s="21">
        <v>1986.92</v>
      </c>
      <c r="I131" s="21">
        <v>1608.29</v>
      </c>
      <c r="J131" s="21">
        <v>1664.78</v>
      </c>
      <c r="K131" s="21">
        <v>1571.26</v>
      </c>
      <c r="L131" s="21">
        <v>1556.34</v>
      </c>
      <c r="M131" s="21">
        <v>1546.4</v>
      </c>
      <c r="N131" s="21">
        <v>1615.47</v>
      </c>
      <c r="O131" s="21">
        <v>1611.48</v>
      </c>
      <c r="P131" s="21">
        <v>1610.34</v>
      </c>
      <c r="Q131" s="21">
        <v>7631.65</v>
      </c>
      <c r="R131" s="20">
        <v>115.91</v>
      </c>
      <c r="S131" s="20">
        <v>118.53</v>
      </c>
      <c r="T131" s="21">
        <v>123.27</v>
      </c>
      <c r="V131" s="1">
        <v>118.69</v>
      </c>
      <c r="W131" s="1">
        <v>123.2</v>
      </c>
      <c r="X131" s="1">
        <v>122.78</v>
      </c>
      <c r="Y131" s="1">
        <v>117.81</v>
      </c>
      <c r="Z131" s="1">
        <v>118.23</v>
      </c>
      <c r="AA131" s="1">
        <v>120.15</v>
      </c>
      <c r="AB131" s="1">
        <v>122.32</v>
      </c>
      <c r="AE131" s="1">
        <v>133.31</v>
      </c>
      <c r="AF131" s="1">
        <v>129.28</v>
      </c>
      <c r="AG131" s="1">
        <v>124.01</v>
      </c>
      <c r="AI131" s="1">
        <v>30</v>
      </c>
      <c r="AN131" s="1">
        <v>4223.17</v>
      </c>
      <c r="AR131" s="1">
        <v>3894.44</v>
      </c>
      <c r="AS131" s="1">
        <v>3957.7</v>
      </c>
      <c r="AT131" s="1">
        <v>4183.42</v>
      </c>
      <c r="AU131" s="1">
        <v>4099.41</v>
      </c>
      <c r="AX131" s="1">
        <v>118.86</v>
      </c>
      <c r="AY131" s="1">
        <v>4035.3</v>
      </c>
      <c r="AZ131" s="1">
        <v>4284.9799999999996</v>
      </c>
      <c r="BA131" s="1">
        <v>126.92</v>
      </c>
      <c r="BB131" s="1">
        <v>133.58000000000001</v>
      </c>
      <c r="BC131" s="1">
        <v>130.86000000000001</v>
      </c>
      <c r="BD131" s="1">
        <v>132.38</v>
      </c>
      <c r="BE131" s="1">
        <v>124.38</v>
      </c>
      <c r="BF131" s="1">
        <v>123.3</v>
      </c>
      <c r="BG131" s="1">
        <v>133.78</v>
      </c>
      <c r="BH131" s="1">
        <v>125.5</v>
      </c>
      <c r="BI131" s="1">
        <v>126.33</v>
      </c>
      <c r="BJ131" s="1">
        <v>133.28</v>
      </c>
      <c r="BK131" s="1">
        <v>114.16</v>
      </c>
      <c r="BL131" s="1">
        <v>114.42</v>
      </c>
      <c r="BN131" s="1">
        <v>114.29</v>
      </c>
    </row>
    <row r="132" spans="1:66" x14ac:dyDescent="0.3">
      <c r="A132" s="2"/>
      <c r="C132" s="14" t="str">
        <f t="shared" si="2"/>
        <v>20259</v>
      </c>
      <c r="D132" s="3">
        <v>45918</v>
      </c>
      <c r="E132" s="21">
        <v>1651.36</v>
      </c>
      <c r="F132" s="21">
        <v>1631.03</v>
      </c>
      <c r="G132" s="21">
        <v>1600.49</v>
      </c>
      <c r="H132" s="21">
        <v>1986.92</v>
      </c>
      <c r="I132" s="21">
        <v>1608.29</v>
      </c>
      <c r="J132" s="21">
        <v>1667.28</v>
      </c>
      <c r="K132" s="21">
        <v>1549.02</v>
      </c>
      <c r="L132" s="21">
        <v>1561.28</v>
      </c>
      <c r="M132" s="21">
        <v>1543.05</v>
      </c>
      <c r="N132" s="21">
        <v>1611.31</v>
      </c>
      <c r="O132" s="21">
        <v>1618.28</v>
      </c>
      <c r="P132" s="21">
        <v>1586.67</v>
      </c>
      <c r="Q132" s="21">
        <v>7631.65</v>
      </c>
      <c r="R132" s="20">
        <v>115.91</v>
      </c>
      <c r="S132" s="20">
        <v>116.61</v>
      </c>
      <c r="T132" s="21">
        <v>123.27</v>
      </c>
      <c r="V132" s="1">
        <v>118.77</v>
      </c>
      <c r="W132" s="1">
        <v>122.82</v>
      </c>
      <c r="X132" s="1">
        <v>123.09</v>
      </c>
      <c r="Y132" s="1">
        <v>118.73</v>
      </c>
      <c r="Z132" s="1">
        <v>118.45</v>
      </c>
      <c r="AA132" s="1">
        <v>120</v>
      </c>
      <c r="AB132" s="1">
        <v>122.95</v>
      </c>
      <c r="AE132" s="1">
        <v>132.65</v>
      </c>
      <c r="AF132" s="1">
        <v>129.25</v>
      </c>
      <c r="AG132" s="1">
        <v>123.89</v>
      </c>
      <c r="AI132" s="1">
        <v>30</v>
      </c>
      <c r="AN132" s="1">
        <v>4223.17</v>
      </c>
      <c r="AP132" s="1">
        <v>4485</v>
      </c>
      <c r="AQ132" s="1">
        <v>4299.82</v>
      </c>
      <c r="AR132" s="1">
        <v>3894.44</v>
      </c>
      <c r="AS132" s="1">
        <v>3957.7</v>
      </c>
      <c r="AT132" s="1">
        <v>4183.42</v>
      </c>
      <c r="AU132" s="1">
        <v>4099.41</v>
      </c>
      <c r="AX132" s="1">
        <v>119.79</v>
      </c>
      <c r="AY132" s="1">
        <v>4090.97</v>
      </c>
      <c r="AZ132" s="1">
        <v>4284.9799999999996</v>
      </c>
      <c r="BA132" s="1">
        <v>127.24</v>
      </c>
      <c r="BB132" s="1">
        <v>134.88999999999999</v>
      </c>
      <c r="BC132" s="1">
        <v>130.75</v>
      </c>
      <c r="BD132" s="1">
        <v>132.56</v>
      </c>
      <c r="BE132" s="1">
        <v>124.36</v>
      </c>
      <c r="BF132" s="1">
        <v>123.3</v>
      </c>
      <c r="BG132" s="1">
        <v>134.09</v>
      </c>
      <c r="BH132" s="1">
        <v>126.36</v>
      </c>
      <c r="BI132" s="1">
        <v>126.33</v>
      </c>
      <c r="BJ132" s="1">
        <v>133.62</v>
      </c>
      <c r="BK132" s="1">
        <v>114.16</v>
      </c>
      <c r="BL132" s="1">
        <v>114.42</v>
      </c>
      <c r="BN132" s="1">
        <v>114.29</v>
      </c>
    </row>
    <row r="133" spans="1:66" x14ac:dyDescent="0.3">
      <c r="A133" s="2"/>
      <c r="C133" s="14" t="str">
        <f t="shared" si="2"/>
        <v>20259</v>
      </c>
      <c r="D133" s="3">
        <v>45917</v>
      </c>
      <c r="E133" s="21">
        <v>1646.4</v>
      </c>
      <c r="F133" s="21">
        <v>1631.03</v>
      </c>
      <c r="G133" s="21">
        <v>1600.49</v>
      </c>
      <c r="H133" s="21">
        <v>1986.92</v>
      </c>
      <c r="I133" s="21">
        <v>1608.29</v>
      </c>
      <c r="J133" s="21">
        <v>1667.28</v>
      </c>
      <c r="K133" s="21">
        <v>1537.02</v>
      </c>
      <c r="L133" s="21">
        <v>1574.09</v>
      </c>
      <c r="M133" s="21">
        <v>1533.02</v>
      </c>
      <c r="N133" s="21">
        <v>1636.95</v>
      </c>
      <c r="O133" s="21">
        <v>1624.16</v>
      </c>
      <c r="P133" s="21">
        <v>1589.17</v>
      </c>
      <c r="Q133" s="21">
        <v>7631.65</v>
      </c>
      <c r="R133" s="20">
        <v>116.58</v>
      </c>
      <c r="S133" s="20">
        <v>116.61</v>
      </c>
      <c r="T133" s="21">
        <v>123.22</v>
      </c>
      <c r="V133" s="1">
        <v>119.01</v>
      </c>
      <c r="W133" s="1">
        <v>122.82</v>
      </c>
      <c r="X133" s="1">
        <v>123.53</v>
      </c>
      <c r="Y133" s="1">
        <v>118.93</v>
      </c>
      <c r="Z133" s="1">
        <v>119.23</v>
      </c>
      <c r="AA133" s="1">
        <v>119.99</v>
      </c>
      <c r="AB133" s="1">
        <v>123.5</v>
      </c>
      <c r="AE133" s="1">
        <v>132.97999999999999</v>
      </c>
      <c r="AF133" s="1">
        <v>131.19999999999999</v>
      </c>
      <c r="AG133" s="1">
        <v>123.89</v>
      </c>
      <c r="AI133" s="1">
        <v>30</v>
      </c>
      <c r="AN133" s="1">
        <v>4223.17</v>
      </c>
      <c r="AQ133" s="1">
        <v>4299.82</v>
      </c>
      <c r="AS133" s="1">
        <v>3957.7</v>
      </c>
      <c r="AT133" s="1">
        <v>4183.42</v>
      </c>
      <c r="AU133" s="1">
        <v>4099.41</v>
      </c>
      <c r="AX133" s="1">
        <v>122.59</v>
      </c>
      <c r="AY133" s="1">
        <v>4090.97</v>
      </c>
      <c r="AZ133" s="1">
        <v>4284.9799999999996</v>
      </c>
      <c r="BA133" s="1">
        <v>127.24</v>
      </c>
      <c r="BB133" s="1">
        <v>134.91999999999999</v>
      </c>
      <c r="BC133" s="1">
        <v>131.44999999999999</v>
      </c>
      <c r="BD133" s="1">
        <v>132.76</v>
      </c>
      <c r="BE133" s="1">
        <v>123.98</v>
      </c>
      <c r="BF133" s="1">
        <v>126.95</v>
      </c>
      <c r="BG133" s="1">
        <v>134.09</v>
      </c>
      <c r="BH133" s="1">
        <v>126.36</v>
      </c>
      <c r="BI133" s="1">
        <v>127.16</v>
      </c>
      <c r="BJ133" s="1">
        <v>134.59</v>
      </c>
      <c r="BK133" s="1">
        <v>114.16</v>
      </c>
      <c r="BL133" s="1">
        <v>114.42</v>
      </c>
      <c r="BN133" s="1">
        <v>114.29</v>
      </c>
    </row>
    <row r="134" spans="1:66" x14ac:dyDescent="0.3">
      <c r="A134" s="2"/>
      <c r="C134" s="14" t="str">
        <f t="shared" ref="C134:C197" si="3">YEAR(D134)&amp;MONTH(D134)</f>
        <v>20259</v>
      </c>
      <c r="D134" s="3">
        <v>45916</v>
      </c>
      <c r="E134" s="21">
        <v>1643.93</v>
      </c>
      <c r="F134" s="21">
        <v>1631.03</v>
      </c>
      <c r="G134" s="21">
        <v>1600.49</v>
      </c>
      <c r="H134" s="21">
        <v>1986.92</v>
      </c>
      <c r="I134" s="21">
        <v>1643.26</v>
      </c>
      <c r="J134" s="21">
        <v>1669.78</v>
      </c>
      <c r="K134" s="21">
        <v>1537.02</v>
      </c>
      <c r="L134" s="21">
        <v>1591.62</v>
      </c>
      <c r="M134" s="21">
        <v>1508.67</v>
      </c>
      <c r="N134" s="21">
        <v>1638.21</v>
      </c>
      <c r="O134" s="21">
        <v>1619.64</v>
      </c>
      <c r="P134" s="21">
        <v>1589.17</v>
      </c>
      <c r="Q134" s="21">
        <v>7606.65</v>
      </c>
      <c r="R134" s="20">
        <v>116.58</v>
      </c>
      <c r="S134" s="20">
        <v>116.61</v>
      </c>
      <c r="T134" s="21">
        <v>123.21</v>
      </c>
      <c r="U134" s="1">
        <v>127.3</v>
      </c>
      <c r="V134" s="1">
        <v>119</v>
      </c>
      <c r="W134" s="1">
        <v>122.82</v>
      </c>
      <c r="X134" s="1">
        <v>123.53</v>
      </c>
      <c r="Y134" s="1">
        <v>118.81</v>
      </c>
      <c r="Z134" s="1">
        <v>119.23</v>
      </c>
      <c r="AA134" s="1">
        <v>119.99</v>
      </c>
      <c r="AB134" s="1">
        <v>123.4</v>
      </c>
      <c r="AC134" s="1">
        <v>125</v>
      </c>
      <c r="AE134" s="1">
        <v>131.65</v>
      </c>
      <c r="AF134" s="1">
        <v>131.66999999999999</v>
      </c>
      <c r="AG134" s="1">
        <v>122.37</v>
      </c>
      <c r="AN134" s="1">
        <v>4175.32</v>
      </c>
      <c r="AP134" s="1">
        <v>4165</v>
      </c>
      <c r="AQ134" s="1">
        <v>4299.82</v>
      </c>
      <c r="AR134" s="1">
        <v>3886.85</v>
      </c>
      <c r="AS134" s="1">
        <v>3940.83</v>
      </c>
      <c r="AT134" s="1">
        <v>4161.3999999999996</v>
      </c>
      <c r="AU134" s="1">
        <v>4099.41</v>
      </c>
      <c r="AW134" s="1">
        <v>4080.85</v>
      </c>
      <c r="AX134" s="1">
        <v>122.56</v>
      </c>
      <c r="AY134" s="1">
        <v>4090.97</v>
      </c>
      <c r="AZ134" s="1">
        <v>4284.9799999999996</v>
      </c>
      <c r="BA134" s="1">
        <v>126.27</v>
      </c>
      <c r="BB134" s="1">
        <v>133.75</v>
      </c>
      <c r="BC134" s="1">
        <v>131.05000000000001</v>
      </c>
      <c r="BD134" s="1">
        <v>132.9</v>
      </c>
      <c r="BE134" s="1">
        <v>122.17</v>
      </c>
      <c r="BF134" s="1">
        <v>126.95</v>
      </c>
      <c r="BG134" s="1">
        <v>134.09</v>
      </c>
      <c r="BH134" s="1">
        <v>126.79</v>
      </c>
      <c r="BI134" s="1">
        <v>127.16</v>
      </c>
      <c r="BJ134" s="1">
        <v>134.49</v>
      </c>
      <c r="BK134" s="1">
        <v>114.16</v>
      </c>
      <c r="BL134" s="1">
        <v>114.09</v>
      </c>
      <c r="BN134" s="1">
        <v>114.29</v>
      </c>
    </row>
    <row r="135" spans="1:66" x14ac:dyDescent="0.3">
      <c r="A135" s="2"/>
      <c r="C135" s="14" t="str">
        <f t="shared" si="3"/>
        <v>20259</v>
      </c>
      <c r="D135" s="3">
        <v>45915</v>
      </c>
      <c r="E135" s="21">
        <v>1648.89</v>
      </c>
      <c r="F135" s="21">
        <v>1631.03</v>
      </c>
      <c r="G135" s="21">
        <v>1607.9</v>
      </c>
      <c r="H135" s="21">
        <v>1982.56</v>
      </c>
      <c r="I135" s="21">
        <v>1643.26</v>
      </c>
      <c r="J135" s="21">
        <v>1675.44</v>
      </c>
      <c r="K135" s="21">
        <v>1537.02</v>
      </c>
      <c r="L135" s="21">
        <v>1564.26</v>
      </c>
      <c r="M135" s="21">
        <v>1534.66</v>
      </c>
      <c r="N135" s="21">
        <v>1619.46</v>
      </c>
      <c r="O135" s="21">
        <v>1632.38</v>
      </c>
      <c r="P135" s="21">
        <v>1606.18</v>
      </c>
      <c r="Q135" s="21">
        <v>7606.65</v>
      </c>
      <c r="R135" s="20">
        <v>115.91</v>
      </c>
      <c r="S135" s="20">
        <v>117.19</v>
      </c>
      <c r="T135" s="21">
        <v>122.84</v>
      </c>
      <c r="V135" s="1">
        <v>118.89</v>
      </c>
      <c r="W135" s="1">
        <v>122.82</v>
      </c>
      <c r="X135" s="1">
        <v>124.47</v>
      </c>
      <c r="Y135" s="1">
        <v>119.66</v>
      </c>
      <c r="Z135" s="1">
        <v>119.34</v>
      </c>
      <c r="AA135" s="1">
        <v>120.04</v>
      </c>
      <c r="AB135" s="1">
        <v>124</v>
      </c>
      <c r="AE135" s="1">
        <v>132.22999999999999</v>
      </c>
      <c r="AF135" s="1">
        <v>132</v>
      </c>
      <c r="AG135" s="1">
        <v>122.6</v>
      </c>
      <c r="AN135" s="1">
        <v>4175.32</v>
      </c>
      <c r="AP135" s="1">
        <v>4163.33</v>
      </c>
      <c r="AQ135" s="1">
        <v>4299.82</v>
      </c>
      <c r="AR135" s="1">
        <v>3886.85</v>
      </c>
      <c r="AS135" s="1">
        <v>3940.83</v>
      </c>
      <c r="AU135" s="1">
        <v>4108.5200000000004</v>
      </c>
      <c r="AW135" s="1">
        <v>4110.79</v>
      </c>
      <c r="AX135" s="1">
        <v>122.54</v>
      </c>
      <c r="AY135" s="1">
        <v>4048.8</v>
      </c>
      <c r="AZ135" s="1">
        <v>4301.8500000000004</v>
      </c>
      <c r="BA135" s="1">
        <v>127.91</v>
      </c>
      <c r="BB135" s="1">
        <v>135.12</v>
      </c>
      <c r="BC135" s="1">
        <v>131.94</v>
      </c>
      <c r="BD135" s="1">
        <v>134.09</v>
      </c>
      <c r="BE135" s="1">
        <v>123.48</v>
      </c>
      <c r="BF135" s="1">
        <v>124.97</v>
      </c>
      <c r="BG135" s="1">
        <v>134.69</v>
      </c>
      <c r="BH135" s="1">
        <v>126.79</v>
      </c>
      <c r="BI135" s="1">
        <v>127.16</v>
      </c>
      <c r="BJ135" s="1">
        <v>134.47</v>
      </c>
      <c r="BK135" s="1">
        <v>113.83</v>
      </c>
      <c r="BL135" s="1">
        <v>113.76</v>
      </c>
      <c r="BN135" s="1">
        <v>113.96</v>
      </c>
    </row>
    <row r="136" spans="1:66" x14ac:dyDescent="0.3">
      <c r="A136" s="2"/>
      <c r="C136" s="14" t="str">
        <f t="shared" si="3"/>
        <v>20259</v>
      </c>
      <c r="D136" s="3">
        <v>45912</v>
      </c>
      <c r="E136" s="21">
        <v>1650.12</v>
      </c>
      <c r="F136" s="21">
        <v>1631.03</v>
      </c>
      <c r="G136" s="21">
        <v>1607.9</v>
      </c>
      <c r="H136" s="21">
        <v>2014.24</v>
      </c>
      <c r="I136" s="21">
        <v>1643.26</v>
      </c>
      <c r="J136" s="21">
        <v>1679.61</v>
      </c>
      <c r="K136" s="21">
        <v>1537.02</v>
      </c>
      <c r="L136" s="21">
        <v>1580.73</v>
      </c>
      <c r="M136" s="21">
        <v>1558.01</v>
      </c>
      <c r="N136" s="21">
        <v>1603.89</v>
      </c>
      <c r="O136" s="21">
        <v>1644.15</v>
      </c>
      <c r="P136" s="21">
        <v>1595.41</v>
      </c>
      <c r="Q136" s="21">
        <v>7531.65</v>
      </c>
      <c r="R136" s="20">
        <v>115.91</v>
      </c>
      <c r="S136" s="20">
        <v>117.36</v>
      </c>
      <c r="T136" s="21">
        <v>122.84</v>
      </c>
      <c r="V136" s="1">
        <v>118.43</v>
      </c>
      <c r="W136" s="1">
        <v>122.82</v>
      </c>
      <c r="X136" s="1">
        <v>124.59</v>
      </c>
      <c r="Y136" s="1">
        <v>119.93</v>
      </c>
      <c r="Z136" s="1">
        <v>120.23</v>
      </c>
      <c r="AA136" s="1">
        <v>120.12</v>
      </c>
      <c r="AB136" s="1">
        <v>124.11</v>
      </c>
      <c r="AE136" s="1">
        <v>132.22999999999999</v>
      </c>
      <c r="AF136" s="1">
        <v>132.19</v>
      </c>
      <c r="AG136" s="1">
        <v>122.38</v>
      </c>
      <c r="AN136" s="1">
        <v>4175.32</v>
      </c>
      <c r="AP136" s="1">
        <v>4163.33</v>
      </c>
      <c r="AQ136" s="1">
        <v>4299.82</v>
      </c>
      <c r="AR136" s="1">
        <v>3949.02</v>
      </c>
      <c r="AS136" s="1">
        <v>3940.83</v>
      </c>
      <c r="AU136" s="1">
        <v>4108.5200000000004</v>
      </c>
      <c r="AW136" s="1">
        <v>4110.79</v>
      </c>
      <c r="AX136" s="1">
        <v>122.52</v>
      </c>
      <c r="AY136" s="1">
        <v>4112.0600000000004</v>
      </c>
      <c r="AZ136" s="1">
        <v>4301.8500000000004</v>
      </c>
      <c r="BA136" s="1">
        <v>127.43</v>
      </c>
      <c r="BB136" s="1">
        <v>135.68</v>
      </c>
      <c r="BC136" s="1">
        <v>131.37</v>
      </c>
      <c r="BD136" s="1">
        <v>133.11000000000001</v>
      </c>
      <c r="BE136" s="1">
        <v>123.48</v>
      </c>
      <c r="BF136" s="1">
        <v>123.3</v>
      </c>
      <c r="BG136" s="1">
        <v>134.69</v>
      </c>
      <c r="BH136" s="1">
        <v>126.93</v>
      </c>
      <c r="BI136" s="1">
        <v>127.16</v>
      </c>
      <c r="BJ136" s="1">
        <v>133.43</v>
      </c>
      <c r="BK136" s="1">
        <v>113.83</v>
      </c>
      <c r="BL136" s="1">
        <v>114.09</v>
      </c>
      <c r="BN136" s="1">
        <v>113.96</v>
      </c>
    </row>
    <row r="137" spans="1:66" x14ac:dyDescent="0.3">
      <c r="A137" s="2"/>
      <c r="C137" s="14" t="str">
        <f t="shared" si="3"/>
        <v>20259</v>
      </c>
      <c r="D137" s="3">
        <v>45911</v>
      </c>
      <c r="E137" s="21">
        <v>1653.84</v>
      </c>
      <c r="F137" s="21">
        <v>1644.13</v>
      </c>
      <c r="G137" s="21">
        <v>1607.9</v>
      </c>
      <c r="H137" s="21">
        <v>2002.32</v>
      </c>
      <c r="I137" s="21">
        <v>1653.14</v>
      </c>
      <c r="J137" s="21">
        <v>1680.86</v>
      </c>
      <c r="K137" s="21">
        <v>1537.02</v>
      </c>
      <c r="L137" s="21">
        <v>1580.73</v>
      </c>
      <c r="M137" s="21">
        <v>1551.42</v>
      </c>
      <c r="N137" s="21">
        <v>1598.89</v>
      </c>
      <c r="O137" s="21">
        <v>1649.13</v>
      </c>
      <c r="P137" s="21">
        <v>1595.41</v>
      </c>
      <c r="Q137" s="21">
        <v>7531.65</v>
      </c>
      <c r="R137" s="20">
        <v>116.58</v>
      </c>
      <c r="S137" s="20">
        <v>117.36</v>
      </c>
      <c r="T137" s="21">
        <v>122.22</v>
      </c>
      <c r="V137" s="1">
        <v>118.51</v>
      </c>
      <c r="W137" s="1">
        <v>122.82</v>
      </c>
      <c r="X137" s="1">
        <v>124.4</v>
      </c>
      <c r="Y137" s="1">
        <v>119.93</v>
      </c>
      <c r="Z137" s="1">
        <v>120.34</v>
      </c>
      <c r="AA137" s="1">
        <v>120.45</v>
      </c>
      <c r="AB137" s="1">
        <v>123.89</v>
      </c>
      <c r="AE137" s="1">
        <v>132.83000000000001</v>
      </c>
      <c r="AF137" s="1">
        <v>132.15</v>
      </c>
      <c r="AG137" s="1">
        <v>122.16</v>
      </c>
      <c r="AN137" s="1">
        <v>4175.32</v>
      </c>
      <c r="AP137" s="1">
        <v>4163.33</v>
      </c>
      <c r="AR137" s="1">
        <v>3949.02</v>
      </c>
      <c r="AS137" s="1">
        <v>3940.83</v>
      </c>
      <c r="AT137" s="1">
        <v>4162.16</v>
      </c>
      <c r="AU137" s="1">
        <v>4108.5200000000004</v>
      </c>
      <c r="AW137" s="1">
        <v>4119.58</v>
      </c>
      <c r="AX137" s="1">
        <v>122.49</v>
      </c>
      <c r="AY137" s="1">
        <v>4112.0600000000004</v>
      </c>
      <c r="AZ137" s="1">
        <v>4344.87</v>
      </c>
      <c r="BA137" s="1">
        <v>127.42</v>
      </c>
      <c r="BB137" s="1">
        <v>135.66</v>
      </c>
      <c r="BC137" s="1">
        <v>131.62</v>
      </c>
      <c r="BD137" s="1">
        <v>134.29</v>
      </c>
      <c r="BE137" s="1">
        <v>124.48</v>
      </c>
      <c r="BF137" s="1">
        <v>123.96</v>
      </c>
      <c r="BG137" s="1">
        <v>134.1</v>
      </c>
      <c r="BH137" s="1">
        <v>126.93</v>
      </c>
      <c r="BI137" s="1">
        <v>127.16</v>
      </c>
      <c r="BJ137" s="1">
        <v>133.41</v>
      </c>
      <c r="BK137" s="1">
        <v>113.83</v>
      </c>
      <c r="BL137" s="1">
        <v>114.09</v>
      </c>
      <c r="BN137" s="1">
        <v>113.96</v>
      </c>
    </row>
    <row r="138" spans="1:66" x14ac:dyDescent="0.3">
      <c r="A138" s="2"/>
      <c r="C138" s="14" t="str">
        <f t="shared" si="3"/>
        <v>20259</v>
      </c>
      <c r="D138" s="3">
        <v>45910</v>
      </c>
      <c r="E138" s="21">
        <v>1656.32</v>
      </c>
      <c r="F138" s="21">
        <v>1639.12</v>
      </c>
      <c r="G138" s="21">
        <v>1600.49</v>
      </c>
      <c r="H138" s="21">
        <v>2002.32</v>
      </c>
      <c r="I138" s="21">
        <v>1654.8</v>
      </c>
      <c r="J138" s="21">
        <v>1680.86</v>
      </c>
      <c r="K138" s="21">
        <v>1549.01</v>
      </c>
      <c r="L138" s="21">
        <v>1589.85</v>
      </c>
      <c r="M138" s="21">
        <v>1509.26</v>
      </c>
      <c r="N138" s="21">
        <v>1616.56</v>
      </c>
      <c r="O138" s="21">
        <v>1648.11</v>
      </c>
      <c r="P138" s="21">
        <v>1592.92</v>
      </c>
      <c r="Q138" s="21">
        <v>7531.65</v>
      </c>
      <c r="R138" s="20">
        <v>116.58</v>
      </c>
      <c r="S138" s="20">
        <v>113.95</v>
      </c>
      <c r="T138" s="21">
        <v>121.58</v>
      </c>
      <c r="V138" s="1">
        <v>118.06</v>
      </c>
      <c r="W138" s="1">
        <v>123.77</v>
      </c>
      <c r="X138" s="1">
        <v>124.4</v>
      </c>
      <c r="Y138" s="1">
        <v>118.93</v>
      </c>
      <c r="Z138" s="1">
        <v>119.23</v>
      </c>
      <c r="AA138" s="1">
        <v>120.62</v>
      </c>
      <c r="AB138" s="1">
        <v>123.45</v>
      </c>
      <c r="AE138" s="1">
        <v>131.88999999999999</v>
      </c>
      <c r="AF138" s="1">
        <v>132.11000000000001</v>
      </c>
      <c r="AG138" s="1">
        <v>120.23</v>
      </c>
      <c r="AN138" s="1">
        <v>4131.67</v>
      </c>
      <c r="AO138" s="1">
        <v>10</v>
      </c>
      <c r="AP138" s="1">
        <v>4163.33</v>
      </c>
      <c r="AR138" s="1">
        <v>3949.02</v>
      </c>
      <c r="AS138" s="1">
        <v>3907.09</v>
      </c>
      <c r="AT138" s="1">
        <v>4162.16</v>
      </c>
      <c r="AU138" s="1">
        <v>4108.5200000000004</v>
      </c>
      <c r="AW138" s="1">
        <v>4122.26</v>
      </c>
      <c r="AX138" s="1">
        <v>122.46</v>
      </c>
      <c r="AY138" s="1">
        <v>4038.11</v>
      </c>
      <c r="AZ138" s="1">
        <v>4344.87</v>
      </c>
      <c r="BA138" s="1">
        <v>129.11000000000001</v>
      </c>
      <c r="BB138" s="1">
        <v>136.08000000000001</v>
      </c>
      <c r="BC138" s="1">
        <v>131.58000000000001</v>
      </c>
      <c r="BD138" s="1">
        <v>133.77000000000001</v>
      </c>
      <c r="BE138" s="1">
        <v>123.98</v>
      </c>
      <c r="BF138" s="1">
        <v>125.23</v>
      </c>
      <c r="BG138" s="1">
        <v>133.80000000000001</v>
      </c>
      <c r="BH138" s="1">
        <v>127.36</v>
      </c>
      <c r="BI138" s="1">
        <v>127.16</v>
      </c>
      <c r="BJ138" s="1">
        <v>133.38999999999999</v>
      </c>
      <c r="BK138" s="1">
        <v>113.16</v>
      </c>
      <c r="BL138" s="1">
        <v>113.26</v>
      </c>
      <c r="BN138" s="1">
        <v>113.29</v>
      </c>
    </row>
    <row r="139" spans="1:66" x14ac:dyDescent="0.3">
      <c r="A139" s="2"/>
      <c r="C139" s="14" t="str">
        <f t="shared" si="3"/>
        <v>20259</v>
      </c>
      <c r="D139" s="3">
        <v>45909</v>
      </c>
      <c r="E139" s="21">
        <v>1645.17</v>
      </c>
      <c r="F139" s="21">
        <v>1610.29</v>
      </c>
      <c r="G139" s="21">
        <v>1574.14</v>
      </c>
      <c r="H139" s="21">
        <v>1992.44</v>
      </c>
      <c r="I139" s="21">
        <v>1654.8</v>
      </c>
      <c r="J139" s="21">
        <v>1673.36</v>
      </c>
      <c r="K139" s="21">
        <v>1549.01</v>
      </c>
      <c r="L139" s="21">
        <v>1570.87</v>
      </c>
      <c r="M139" s="21">
        <v>1523.46</v>
      </c>
      <c r="N139" s="21">
        <v>1586.86</v>
      </c>
      <c r="O139" s="21">
        <v>1633.34</v>
      </c>
      <c r="P139" s="21">
        <v>1592.92</v>
      </c>
      <c r="Q139" s="21">
        <v>7482.25</v>
      </c>
      <c r="R139" s="20">
        <v>115.91</v>
      </c>
      <c r="S139" s="20">
        <v>113.78</v>
      </c>
      <c r="T139" s="21">
        <v>121.35</v>
      </c>
      <c r="V139" s="1">
        <v>118.49</v>
      </c>
      <c r="W139" s="1">
        <v>122.82</v>
      </c>
      <c r="X139" s="1">
        <v>123.03</v>
      </c>
      <c r="Y139" s="1">
        <v>119.41</v>
      </c>
      <c r="Z139" s="1">
        <v>119.45</v>
      </c>
      <c r="AA139" s="1">
        <v>120.27</v>
      </c>
      <c r="AB139" s="1">
        <v>122.6</v>
      </c>
      <c r="AE139" s="1">
        <v>130.9</v>
      </c>
      <c r="AF139" s="1">
        <v>131.61000000000001</v>
      </c>
      <c r="AG139" s="1">
        <v>120.01</v>
      </c>
      <c r="AN139" s="1">
        <v>4153.8100000000004</v>
      </c>
      <c r="AP139" s="1">
        <v>4225</v>
      </c>
      <c r="AQ139" s="1">
        <v>4213.28</v>
      </c>
      <c r="AR139" s="1">
        <v>3953.8</v>
      </c>
      <c r="AT139" s="1">
        <v>4162.16</v>
      </c>
      <c r="AU139" s="1">
        <v>4099.41</v>
      </c>
      <c r="AW139" s="1">
        <v>4151.1499999999996</v>
      </c>
      <c r="AX139" s="1">
        <v>122.33</v>
      </c>
      <c r="AY139" s="1">
        <v>4038.11</v>
      </c>
      <c r="AZ139" s="1">
        <v>4301.8500000000004</v>
      </c>
      <c r="BA139" s="1">
        <v>129.1</v>
      </c>
      <c r="BB139" s="1">
        <v>135.66</v>
      </c>
      <c r="BC139" s="1">
        <v>131.55000000000001</v>
      </c>
      <c r="BD139" s="1">
        <v>134.79</v>
      </c>
      <c r="BE139" s="1">
        <v>125.43</v>
      </c>
      <c r="BF139" s="1">
        <v>124.65</v>
      </c>
      <c r="BG139" s="1">
        <v>133.19999999999999</v>
      </c>
      <c r="BH139" s="1">
        <v>127.36</v>
      </c>
      <c r="BI139" s="1">
        <v>127.16</v>
      </c>
      <c r="BJ139" s="1">
        <v>133.21</v>
      </c>
      <c r="BK139" s="1">
        <v>113.83</v>
      </c>
      <c r="BL139" s="1">
        <v>113.59</v>
      </c>
      <c r="BN139" s="1">
        <v>113.96</v>
      </c>
    </row>
    <row r="140" spans="1:66" x14ac:dyDescent="0.3">
      <c r="A140" s="2"/>
      <c r="C140" s="14" t="str">
        <f t="shared" si="3"/>
        <v>20259</v>
      </c>
      <c r="D140" s="3">
        <v>45908</v>
      </c>
      <c r="E140" s="21">
        <v>1630.27</v>
      </c>
      <c r="F140" s="21">
        <v>1610.3</v>
      </c>
      <c r="G140" s="21">
        <v>1583.2</v>
      </c>
      <c r="H140" s="21">
        <v>1891.16</v>
      </c>
      <c r="I140" s="21">
        <v>1626.61</v>
      </c>
      <c r="J140" s="21">
        <v>1680.25</v>
      </c>
      <c r="K140" s="21">
        <v>1537.01</v>
      </c>
      <c r="L140" s="21">
        <v>1577.12</v>
      </c>
      <c r="M140" s="21">
        <v>1531.04</v>
      </c>
      <c r="N140" s="21">
        <v>1592.72</v>
      </c>
      <c r="O140" s="21">
        <v>1629.94</v>
      </c>
      <c r="P140" s="21">
        <v>1587.92</v>
      </c>
      <c r="Q140" s="21">
        <v>7358.18</v>
      </c>
      <c r="R140" s="20">
        <v>115.91</v>
      </c>
      <c r="S140" s="20">
        <v>113.78</v>
      </c>
      <c r="T140" s="21">
        <v>121.35</v>
      </c>
      <c r="V140" s="1">
        <v>118.05</v>
      </c>
      <c r="W140" s="1">
        <v>122.82</v>
      </c>
      <c r="X140" s="1">
        <v>122.66</v>
      </c>
      <c r="Y140" s="1">
        <v>119.12</v>
      </c>
      <c r="Z140" s="1">
        <v>119.23</v>
      </c>
      <c r="AA140" s="1">
        <v>120.27</v>
      </c>
      <c r="AB140" s="1">
        <v>122.4</v>
      </c>
      <c r="AE140" s="1">
        <v>130.9</v>
      </c>
      <c r="AF140" s="1">
        <v>132.1</v>
      </c>
      <c r="AG140" s="1">
        <v>119.89</v>
      </c>
      <c r="AN140" s="1">
        <v>4153.8100000000004</v>
      </c>
      <c r="AP140" s="1">
        <v>4255.83</v>
      </c>
      <c r="AQ140" s="1">
        <v>4236.05</v>
      </c>
      <c r="AR140" s="1">
        <v>3953.8</v>
      </c>
      <c r="AS140" s="1">
        <v>4375.2299999999996</v>
      </c>
      <c r="AT140" s="1">
        <v>4162.16</v>
      </c>
      <c r="AW140" s="1">
        <v>4202.2</v>
      </c>
      <c r="AX140" s="1">
        <v>122.54</v>
      </c>
      <c r="AY140" s="1">
        <v>4051.56</v>
      </c>
      <c r="AZ140" s="1">
        <v>4301.8500000000004</v>
      </c>
      <c r="BA140" s="1">
        <v>127.03</v>
      </c>
      <c r="BB140" s="1">
        <v>135.72</v>
      </c>
      <c r="BC140" s="1">
        <v>131.07</v>
      </c>
      <c r="BD140" s="1">
        <v>134.37</v>
      </c>
      <c r="BE140" s="1">
        <v>125.43</v>
      </c>
      <c r="BF140" s="1">
        <v>124.65</v>
      </c>
      <c r="BG140" s="1">
        <v>133.19999999999999</v>
      </c>
      <c r="BH140" s="1">
        <v>127.79</v>
      </c>
      <c r="BI140" s="1">
        <v>127.16</v>
      </c>
      <c r="BJ140" s="1">
        <v>133.19</v>
      </c>
      <c r="BK140" s="1">
        <v>113.16</v>
      </c>
      <c r="BL140" s="1">
        <v>113.26</v>
      </c>
      <c r="BN140" s="1">
        <v>113.29</v>
      </c>
    </row>
    <row r="141" spans="1:66" x14ac:dyDescent="0.3">
      <c r="A141" s="2"/>
      <c r="C141" s="14" t="str">
        <f t="shared" si="3"/>
        <v>20259</v>
      </c>
      <c r="D141" s="3">
        <v>45905</v>
      </c>
      <c r="E141" s="21">
        <v>1630.27</v>
      </c>
      <c r="F141" s="21">
        <v>1593.01</v>
      </c>
      <c r="G141" s="21">
        <v>1588.14</v>
      </c>
      <c r="H141" s="21">
        <v>1879.63</v>
      </c>
      <c r="I141" s="21">
        <v>1620.03</v>
      </c>
      <c r="J141" s="21">
        <v>1679.02</v>
      </c>
      <c r="K141" s="21">
        <v>1537.01</v>
      </c>
      <c r="L141" s="21">
        <v>1576.69</v>
      </c>
      <c r="M141" s="21">
        <v>1532.86</v>
      </c>
      <c r="N141" s="21">
        <v>1578.36</v>
      </c>
      <c r="O141" s="21">
        <v>1633.09</v>
      </c>
      <c r="P141" s="21">
        <v>1603.33</v>
      </c>
      <c r="Q141" s="21">
        <v>7420.68</v>
      </c>
      <c r="R141" s="20">
        <v>116.58</v>
      </c>
      <c r="S141" s="20">
        <v>113.04</v>
      </c>
      <c r="T141" s="21">
        <v>121.22</v>
      </c>
      <c r="V141" s="1">
        <v>117.94</v>
      </c>
      <c r="W141" s="1">
        <v>122.82</v>
      </c>
      <c r="X141" s="1">
        <v>122.66</v>
      </c>
      <c r="Y141" s="1">
        <v>119.41</v>
      </c>
      <c r="Z141" s="1">
        <v>119.78</v>
      </c>
      <c r="AA141" s="1">
        <v>120.21</v>
      </c>
      <c r="AB141" s="1">
        <v>122.4</v>
      </c>
      <c r="AE141" s="1">
        <v>130.9</v>
      </c>
      <c r="AG141" s="1">
        <v>118.95</v>
      </c>
      <c r="AN141" s="1">
        <v>4153.8100000000004</v>
      </c>
      <c r="AP141" s="1">
        <v>4255.83</v>
      </c>
      <c r="AQ141" s="1">
        <v>4236.05</v>
      </c>
      <c r="AR141" s="1">
        <v>3986.72</v>
      </c>
      <c r="AS141" s="1">
        <v>4386.2</v>
      </c>
      <c r="AT141" s="1">
        <v>4162.16</v>
      </c>
      <c r="AU141" s="1">
        <v>4138.38</v>
      </c>
      <c r="AW141" s="1">
        <v>4167.8500000000004</v>
      </c>
      <c r="AX141" s="1">
        <v>122.48</v>
      </c>
      <c r="AY141" s="1">
        <v>4047.95</v>
      </c>
      <c r="AZ141" s="1">
        <v>4280.76</v>
      </c>
      <c r="BA141" s="1">
        <v>125.53</v>
      </c>
      <c r="BB141" s="1">
        <v>135.79</v>
      </c>
      <c r="BC141" s="1">
        <v>130.66</v>
      </c>
      <c r="BD141" s="1">
        <v>132.88999999999999</v>
      </c>
      <c r="BE141" s="1">
        <v>123.98</v>
      </c>
      <c r="BF141" s="1">
        <v>122.63</v>
      </c>
      <c r="BG141" s="1">
        <v>133.19999999999999</v>
      </c>
      <c r="BH141" s="1">
        <v>126.93</v>
      </c>
      <c r="BI141" s="1">
        <v>127.16</v>
      </c>
      <c r="BJ141" s="1">
        <v>132.65</v>
      </c>
      <c r="BK141" s="1">
        <v>114.16</v>
      </c>
      <c r="BL141" s="1">
        <v>113.92</v>
      </c>
      <c r="BN141" s="1">
        <v>114.29</v>
      </c>
    </row>
    <row r="142" spans="1:66" x14ac:dyDescent="0.3">
      <c r="A142" s="2"/>
      <c r="C142" s="14" t="str">
        <f t="shared" si="3"/>
        <v>20259</v>
      </c>
      <c r="D142" s="3">
        <v>45904</v>
      </c>
      <c r="E142" s="21">
        <v>1627.79</v>
      </c>
      <c r="F142" s="21">
        <v>1593.01</v>
      </c>
      <c r="G142" s="21">
        <v>1593.08</v>
      </c>
      <c r="H142" s="21">
        <v>1864.81</v>
      </c>
      <c r="I142" s="21">
        <v>1631.59</v>
      </c>
      <c r="J142" s="21">
        <v>1685.25</v>
      </c>
      <c r="K142" s="21">
        <v>1564.57</v>
      </c>
      <c r="L142" s="21">
        <v>1579.98</v>
      </c>
      <c r="M142" s="21">
        <v>1532.86</v>
      </c>
      <c r="N142" s="21">
        <v>1562.28</v>
      </c>
      <c r="O142" s="21">
        <v>1636.99</v>
      </c>
      <c r="P142" s="21">
        <v>1612</v>
      </c>
      <c r="Q142" s="21">
        <v>7283.18</v>
      </c>
      <c r="R142" s="20">
        <v>117.24</v>
      </c>
      <c r="S142" s="20">
        <v>113.04</v>
      </c>
      <c r="T142" s="21">
        <v>121.85</v>
      </c>
      <c r="V142" s="1">
        <v>117.98</v>
      </c>
      <c r="W142" s="1">
        <v>123.77</v>
      </c>
      <c r="X142" s="1">
        <v>122.78</v>
      </c>
      <c r="Y142" s="1">
        <v>119.06</v>
      </c>
      <c r="Z142" s="1">
        <v>120.01</v>
      </c>
      <c r="AA142" s="1">
        <v>120.39</v>
      </c>
      <c r="AB142" s="1">
        <v>122.33</v>
      </c>
      <c r="AE142" s="1">
        <v>130.97999999999999</v>
      </c>
      <c r="AG142" s="1">
        <v>118.95</v>
      </c>
      <c r="AN142" s="1">
        <v>4153.8100000000004</v>
      </c>
      <c r="AP142" s="1">
        <v>4213.33</v>
      </c>
      <c r="AQ142" s="1">
        <v>4236.05</v>
      </c>
      <c r="AR142" s="1">
        <v>4014.62</v>
      </c>
      <c r="AS142" s="1">
        <v>4386.2</v>
      </c>
      <c r="AU142" s="1">
        <v>4138.38</v>
      </c>
      <c r="AW142" s="1">
        <v>4090.5</v>
      </c>
      <c r="AX142" s="1">
        <v>122.55</v>
      </c>
      <c r="AY142" s="1">
        <v>4074.52</v>
      </c>
      <c r="AZ142" s="1">
        <v>4242.13</v>
      </c>
      <c r="BA142" s="1">
        <v>124.82</v>
      </c>
      <c r="BB142" s="1">
        <v>135.41999999999999</v>
      </c>
      <c r="BC142" s="1">
        <v>130.58000000000001</v>
      </c>
      <c r="BD142" s="1">
        <v>133.96</v>
      </c>
      <c r="BE142" s="1">
        <v>124.48</v>
      </c>
      <c r="BF142" s="1">
        <v>123.29</v>
      </c>
      <c r="BG142" s="1">
        <v>132.9</v>
      </c>
      <c r="BH142" s="1">
        <v>126.93</v>
      </c>
      <c r="BI142" s="1">
        <v>127.16</v>
      </c>
      <c r="BJ142" s="1">
        <v>132.62</v>
      </c>
      <c r="BK142" s="1">
        <v>113.49</v>
      </c>
      <c r="BL142" s="1">
        <v>113.59</v>
      </c>
      <c r="BN142" s="1">
        <v>113.63</v>
      </c>
    </row>
    <row r="143" spans="1:66" x14ac:dyDescent="0.3">
      <c r="A143" s="2"/>
      <c r="C143" s="14" t="str">
        <f t="shared" si="3"/>
        <v>20259</v>
      </c>
      <c r="D143" s="3">
        <v>45903</v>
      </c>
      <c r="E143" s="21">
        <v>1627.79</v>
      </c>
      <c r="F143" s="21">
        <v>1622.77</v>
      </c>
      <c r="G143" s="21">
        <v>1595.55</v>
      </c>
      <c r="H143" s="21">
        <v>1842.58</v>
      </c>
      <c r="I143" s="21">
        <v>1631.59</v>
      </c>
      <c r="J143" s="21">
        <v>1685.25</v>
      </c>
      <c r="K143" s="21">
        <v>1564.57</v>
      </c>
      <c r="L143" s="21">
        <v>1573.53</v>
      </c>
      <c r="M143" s="21">
        <v>1518.19</v>
      </c>
      <c r="N143" s="21">
        <v>1565.66</v>
      </c>
      <c r="O143" s="21">
        <v>1636.99</v>
      </c>
      <c r="P143" s="21">
        <v>1597.15</v>
      </c>
      <c r="Q143" s="21">
        <v>7233.2</v>
      </c>
      <c r="R143" s="20">
        <v>116.86</v>
      </c>
      <c r="S143" s="20">
        <v>113.53</v>
      </c>
      <c r="T143" s="21">
        <v>121.18</v>
      </c>
      <c r="V143" s="1">
        <v>118.33</v>
      </c>
      <c r="W143" s="1">
        <v>123.6</v>
      </c>
      <c r="X143" s="1">
        <v>123.09</v>
      </c>
      <c r="Y143" s="1">
        <v>118.83</v>
      </c>
      <c r="Z143" s="1">
        <v>119.21</v>
      </c>
      <c r="AA143" s="1">
        <v>120.43</v>
      </c>
      <c r="AB143" s="1">
        <v>122.69</v>
      </c>
      <c r="AE143" s="1">
        <v>130.97999999999999</v>
      </c>
      <c r="AG143" s="1">
        <v>119.28</v>
      </c>
      <c r="AP143" s="1">
        <v>4213.33</v>
      </c>
      <c r="AQ143" s="1">
        <v>4236.05</v>
      </c>
      <c r="AR143" s="1">
        <v>4014.62</v>
      </c>
      <c r="AS143" s="1">
        <v>4386.2</v>
      </c>
      <c r="AU143" s="1">
        <v>4138.38</v>
      </c>
      <c r="AW143" s="1">
        <v>4032.98</v>
      </c>
      <c r="AX143" s="1">
        <v>122.28</v>
      </c>
      <c r="AY143" s="1">
        <v>4041.71</v>
      </c>
      <c r="AZ143" s="1">
        <v>4242.13</v>
      </c>
      <c r="BA143" s="1">
        <v>123.06</v>
      </c>
      <c r="BB143" s="1">
        <v>135.72</v>
      </c>
      <c r="BC143" s="1">
        <v>131.09</v>
      </c>
      <c r="BD143" s="1">
        <v>133.29</v>
      </c>
      <c r="BE143" s="1">
        <v>125.8</v>
      </c>
      <c r="BF143" s="1">
        <v>129.88</v>
      </c>
      <c r="BG143" s="1">
        <v>133.15</v>
      </c>
      <c r="BH143" s="1">
        <v>126.07</v>
      </c>
      <c r="BI143" s="1">
        <v>127.16</v>
      </c>
      <c r="BJ143" s="1">
        <v>132.62</v>
      </c>
      <c r="BK143" s="1">
        <v>112.83</v>
      </c>
      <c r="BL143" s="1">
        <v>112.92</v>
      </c>
      <c r="BN143" s="1">
        <v>112.96</v>
      </c>
    </row>
    <row r="144" spans="1:66" x14ac:dyDescent="0.3">
      <c r="A144" s="2"/>
      <c r="C144" s="14" t="str">
        <f t="shared" si="3"/>
        <v>20259</v>
      </c>
      <c r="D144" s="3">
        <v>45902</v>
      </c>
      <c r="E144" s="21">
        <v>1637.72</v>
      </c>
      <c r="F144" s="21">
        <v>1622.77</v>
      </c>
      <c r="G144" s="21">
        <v>1602.96</v>
      </c>
      <c r="H144" s="21">
        <v>1842.58</v>
      </c>
      <c r="I144" s="21">
        <v>1639.93</v>
      </c>
      <c r="J144" s="21">
        <v>1671.72</v>
      </c>
      <c r="K144" s="21">
        <v>1582.77</v>
      </c>
      <c r="L144" s="21">
        <v>1565.69</v>
      </c>
      <c r="M144" s="21">
        <v>1523.9</v>
      </c>
      <c r="N144" s="21">
        <v>1579.49</v>
      </c>
      <c r="O144" s="21">
        <v>1639.41</v>
      </c>
      <c r="P144" s="21">
        <v>1588.22</v>
      </c>
      <c r="Q144" s="21">
        <v>7208.5</v>
      </c>
      <c r="R144" s="20">
        <v>117.24</v>
      </c>
      <c r="S144" s="20">
        <v>112.77</v>
      </c>
      <c r="T144" s="21">
        <v>121.41</v>
      </c>
      <c r="V144" s="1">
        <v>118.33</v>
      </c>
      <c r="W144" s="1">
        <v>123.77</v>
      </c>
      <c r="X144" s="1">
        <v>123.41</v>
      </c>
      <c r="Y144" s="1">
        <v>117.93</v>
      </c>
      <c r="Z144" s="1">
        <v>118.11</v>
      </c>
      <c r="AA144" s="1">
        <v>120.44</v>
      </c>
      <c r="AB144" s="1">
        <v>123.05</v>
      </c>
      <c r="AE144" s="1">
        <v>131.46</v>
      </c>
      <c r="AF144" s="1">
        <v>134.33000000000001</v>
      </c>
      <c r="AG144" s="1">
        <v>119.15</v>
      </c>
      <c r="AN144" s="1">
        <v>4190.51</v>
      </c>
      <c r="AP144" s="1">
        <v>4166.88</v>
      </c>
      <c r="AQ144" s="1">
        <v>4281.6000000000004</v>
      </c>
      <c r="AR144" s="1">
        <v>4022.23</v>
      </c>
      <c r="AS144" s="1">
        <v>4386.2</v>
      </c>
      <c r="AU144" s="1">
        <v>4138.38</v>
      </c>
      <c r="AW144" s="1">
        <v>4022.96</v>
      </c>
      <c r="AX144" s="1">
        <v>122.54</v>
      </c>
      <c r="AY144" s="1">
        <v>4041.71</v>
      </c>
      <c r="AZ144" s="1">
        <v>4270.22</v>
      </c>
      <c r="BA144" s="1">
        <v>118.53</v>
      </c>
      <c r="BB144" s="1">
        <v>135.08000000000001</v>
      </c>
      <c r="BC144" s="1">
        <v>130.99</v>
      </c>
      <c r="BD144" s="1">
        <v>132.72</v>
      </c>
      <c r="BE144" s="1">
        <v>124.48</v>
      </c>
      <c r="BF144" s="1">
        <v>123.96</v>
      </c>
      <c r="BG144" s="1">
        <v>133.19</v>
      </c>
      <c r="BH144" s="1">
        <v>124.64</v>
      </c>
      <c r="BI144" s="1">
        <v>127.16</v>
      </c>
      <c r="BJ144" s="1">
        <v>132.38999999999999</v>
      </c>
      <c r="BK144" s="1">
        <v>112.16</v>
      </c>
      <c r="BL144" s="1">
        <v>112.42</v>
      </c>
      <c r="BN144" s="1">
        <v>112.29</v>
      </c>
    </row>
    <row r="145" spans="1:66" x14ac:dyDescent="0.3">
      <c r="A145" s="2"/>
      <c r="C145" s="14" t="str">
        <f t="shared" si="3"/>
        <v>20259</v>
      </c>
      <c r="D145" s="3">
        <v>45901</v>
      </c>
      <c r="E145" s="21">
        <v>1631.51</v>
      </c>
      <c r="F145" s="21">
        <v>1668.8</v>
      </c>
      <c r="G145" s="21">
        <v>1615.31</v>
      </c>
      <c r="H145" s="21">
        <v>1864.81</v>
      </c>
      <c r="I145" s="21">
        <v>1662.98</v>
      </c>
      <c r="J145" s="21">
        <v>1684.37</v>
      </c>
      <c r="K145" s="21">
        <v>1582.77</v>
      </c>
      <c r="L145" s="21">
        <v>1538.86</v>
      </c>
      <c r="M145" s="21">
        <v>1499.04</v>
      </c>
      <c r="N145" s="21">
        <v>1596.86</v>
      </c>
      <c r="O145" s="21">
        <v>1638.17</v>
      </c>
      <c r="P145" s="21">
        <v>1588.22</v>
      </c>
      <c r="Q145" s="21">
        <v>7226.16</v>
      </c>
      <c r="R145" s="20">
        <v>117.9</v>
      </c>
      <c r="S145" s="20">
        <v>113.45</v>
      </c>
      <c r="T145" s="21">
        <v>121.41</v>
      </c>
      <c r="V145" s="1">
        <v>118.58</v>
      </c>
      <c r="W145" s="1">
        <v>123.27</v>
      </c>
      <c r="X145" s="1">
        <v>123.41</v>
      </c>
      <c r="Y145" s="1">
        <v>117.93</v>
      </c>
      <c r="Z145" s="1">
        <v>117.49</v>
      </c>
      <c r="AA145" s="1">
        <v>121.63</v>
      </c>
      <c r="AB145" s="1">
        <v>123.05</v>
      </c>
      <c r="AE145" s="1">
        <v>132.03</v>
      </c>
      <c r="AF145" s="1">
        <v>134.28</v>
      </c>
      <c r="AG145" s="1">
        <v>118.9</v>
      </c>
      <c r="AN145" s="1">
        <v>4190.51</v>
      </c>
      <c r="AP145" s="1">
        <v>4062.5</v>
      </c>
      <c r="AQ145" s="1">
        <v>4267.43</v>
      </c>
      <c r="AR145" s="1">
        <v>4022.23</v>
      </c>
      <c r="AS145" s="1">
        <v>4309.4399999999996</v>
      </c>
      <c r="AT145" s="1">
        <v>3954.87</v>
      </c>
      <c r="AU145" s="1">
        <v>4142.57</v>
      </c>
      <c r="AW145" s="1">
        <v>3988</v>
      </c>
      <c r="AX145" s="1">
        <v>122.32</v>
      </c>
      <c r="AY145" s="1">
        <v>4041.71</v>
      </c>
      <c r="AZ145" s="1">
        <v>4283.7700000000004</v>
      </c>
      <c r="BA145" s="1">
        <v>120.57</v>
      </c>
      <c r="BB145" s="1">
        <v>134.55000000000001</v>
      </c>
      <c r="BC145" s="1">
        <v>129.76</v>
      </c>
      <c r="BD145" s="1">
        <v>132.5</v>
      </c>
      <c r="BE145" s="1">
        <v>127.94</v>
      </c>
      <c r="BF145" s="1">
        <v>122.96</v>
      </c>
      <c r="BG145" s="1">
        <v>133.19</v>
      </c>
      <c r="BH145" s="1">
        <v>124.94</v>
      </c>
      <c r="BI145" s="1">
        <v>127.16</v>
      </c>
      <c r="BJ145" s="1">
        <v>132.91</v>
      </c>
      <c r="BK145" s="1">
        <v>112.16</v>
      </c>
      <c r="BL145" s="1">
        <v>112.42</v>
      </c>
      <c r="BN145" s="1">
        <v>112.29</v>
      </c>
    </row>
    <row r="146" spans="1:66" x14ac:dyDescent="0.3">
      <c r="A146" s="2"/>
      <c r="C146" s="14" t="str">
        <f t="shared" si="3"/>
        <v>20258</v>
      </c>
      <c r="D146" s="3">
        <v>45898</v>
      </c>
      <c r="E146" s="21">
        <v>1671.93</v>
      </c>
      <c r="F146" s="21">
        <v>1635.89</v>
      </c>
      <c r="G146" s="21">
        <v>1596.41</v>
      </c>
      <c r="H146" s="21">
        <v>1878.17</v>
      </c>
      <c r="I146" s="21">
        <v>1634.08</v>
      </c>
      <c r="J146" s="21">
        <v>1684.87</v>
      </c>
      <c r="K146" s="21">
        <v>1583</v>
      </c>
      <c r="L146" s="21">
        <v>1539.6</v>
      </c>
      <c r="M146" s="21">
        <v>1499.71</v>
      </c>
      <c r="N146" s="21">
        <v>1604.49</v>
      </c>
      <c r="O146" s="21">
        <v>1638.45</v>
      </c>
      <c r="P146" s="21">
        <v>1589.38</v>
      </c>
      <c r="Q146" s="21">
        <v>7228.1</v>
      </c>
      <c r="R146" s="20">
        <v>117.92</v>
      </c>
      <c r="S146" s="20">
        <v>113.46</v>
      </c>
      <c r="T146" s="21">
        <v>121.43</v>
      </c>
      <c r="V146" s="1">
        <v>118.49</v>
      </c>
      <c r="W146" s="1">
        <v>123.33</v>
      </c>
      <c r="X146" s="1">
        <v>123.29</v>
      </c>
      <c r="Y146" s="1">
        <v>117.24</v>
      </c>
      <c r="Z146" s="1">
        <v>117.36</v>
      </c>
      <c r="AA146" s="1">
        <v>121.64</v>
      </c>
      <c r="AB146" s="1">
        <v>122.76</v>
      </c>
      <c r="AE146" s="1">
        <v>132.09</v>
      </c>
      <c r="AF146" s="1">
        <v>134.11000000000001</v>
      </c>
      <c r="AG146" s="1">
        <v>118.91</v>
      </c>
      <c r="AN146" s="1">
        <v>4188.2</v>
      </c>
      <c r="AP146" s="1">
        <v>4093.75</v>
      </c>
      <c r="AQ146" s="1">
        <v>4227.6499999999996</v>
      </c>
      <c r="AR146" s="1">
        <v>3957.54</v>
      </c>
      <c r="AS146" s="1">
        <v>4274.1899999999996</v>
      </c>
      <c r="AT146" s="1">
        <v>3952.69</v>
      </c>
      <c r="AU146" s="1">
        <v>4165.43</v>
      </c>
      <c r="AW146" s="1">
        <v>3924.52</v>
      </c>
      <c r="AX146" s="1">
        <v>122.59</v>
      </c>
      <c r="AY146" s="1">
        <v>4039.48</v>
      </c>
      <c r="AZ146" s="1">
        <v>4299.4799999999996</v>
      </c>
      <c r="BA146" s="1">
        <v>123.5</v>
      </c>
      <c r="BB146" s="1">
        <v>134.85</v>
      </c>
      <c r="BC146" s="1">
        <v>129.94</v>
      </c>
      <c r="BD146" s="1">
        <v>133.25</v>
      </c>
      <c r="BE146" s="1">
        <v>127.99</v>
      </c>
      <c r="BF146" s="1">
        <v>122.98</v>
      </c>
      <c r="BG146" s="1">
        <v>133.22999999999999</v>
      </c>
      <c r="BH146" s="1">
        <v>125.67</v>
      </c>
      <c r="BI146" s="1">
        <v>127.18</v>
      </c>
      <c r="BJ146" s="1">
        <v>132.91999999999999</v>
      </c>
      <c r="BK146" s="1">
        <v>112.18</v>
      </c>
      <c r="BL146" s="1">
        <v>112.11</v>
      </c>
      <c r="BN146" s="1">
        <v>112.31</v>
      </c>
    </row>
    <row r="147" spans="1:66" x14ac:dyDescent="0.3">
      <c r="A147" s="2"/>
      <c r="C147" s="14" t="str">
        <f t="shared" si="3"/>
        <v>20258</v>
      </c>
      <c r="D147" s="3">
        <v>45897</v>
      </c>
      <c r="E147" s="21">
        <v>1671.93</v>
      </c>
      <c r="F147" s="21">
        <v>1616</v>
      </c>
      <c r="G147" s="21">
        <v>1596.41</v>
      </c>
      <c r="H147" s="21">
        <v>1878.17</v>
      </c>
      <c r="I147" s="21">
        <v>1644</v>
      </c>
      <c r="J147" s="21">
        <v>1684.87</v>
      </c>
      <c r="K147" s="21">
        <v>1584.99</v>
      </c>
      <c r="L147" s="21">
        <v>1539.6</v>
      </c>
      <c r="M147" s="21">
        <v>1499.71</v>
      </c>
      <c r="N147" s="21">
        <v>1600.33</v>
      </c>
      <c r="O147" s="21">
        <v>1640.27</v>
      </c>
      <c r="P147" s="21">
        <v>1579.49</v>
      </c>
      <c r="Q147" s="21">
        <v>7228.1</v>
      </c>
      <c r="R147" s="20">
        <v>117.92</v>
      </c>
      <c r="S147" s="20">
        <v>113.63</v>
      </c>
      <c r="T147" s="21">
        <v>121.06</v>
      </c>
      <c r="V147" s="1">
        <v>118.48</v>
      </c>
      <c r="W147" s="1">
        <v>122.39</v>
      </c>
      <c r="X147" s="1">
        <v>123.91</v>
      </c>
      <c r="Y147" s="1">
        <v>117.73</v>
      </c>
      <c r="Z147" s="1">
        <v>117.36</v>
      </c>
      <c r="AA147" s="1">
        <v>121.64</v>
      </c>
      <c r="AB147" s="1">
        <v>123.78</v>
      </c>
      <c r="AE147" s="1">
        <v>132.18</v>
      </c>
      <c r="AF147" s="1">
        <v>133.44999999999999</v>
      </c>
      <c r="AG147" s="1">
        <v>118.91</v>
      </c>
      <c r="AN147" s="1">
        <v>4188.2</v>
      </c>
      <c r="AP147" s="1">
        <v>4093.75</v>
      </c>
      <c r="AQ147" s="1">
        <v>4227.6499999999996</v>
      </c>
      <c r="AR147" s="1">
        <v>3877.12</v>
      </c>
      <c r="AS147" s="1">
        <v>4274.1899999999996</v>
      </c>
      <c r="AT147" s="1">
        <v>3952.69</v>
      </c>
      <c r="AU147" s="1">
        <v>4134.33</v>
      </c>
      <c r="AW147" s="1">
        <v>3924.52</v>
      </c>
      <c r="AX147" s="1">
        <v>122.59</v>
      </c>
      <c r="AY147" s="1">
        <v>4039.48</v>
      </c>
      <c r="AZ147" s="1">
        <v>4299.4799999999996</v>
      </c>
      <c r="BA147" s="1">
        <v>123.5</v>
      </c>
      <c r="BB147" s="1">
        <v>134.91999999999999</v>
      </c>
      <c r="BC147" s="1">
        <v>130.19</v>
      </c>
      <c r="BD147" s="1">
        <v>133.54</v>
      </c>
      <c r="BE147" s="1">
        <v>128.88</v>
      </c>
      <c r="BF147" s="1">
        <v>122.98</v>
      </c>
      <c r="BG147" s="1">
        <v>133.53</v>
      </c>
      <c r="BH147" s="1">
        <v>125.67</v>
      </c>
      <c r="BI147" s="1">
        <v>127.18</v>
      </c>
      <c r="BJ147" s="1">
        <v>132.91</v>
      </c>
      <c r="BK147" s="1">
        <v>112.18</v>
      </c>
      <c r="BL147" s="1">
        <v>112.44</v>
      </c>
      <c r="BN147" s="1">
        <v>112.31</v>
      </c>
    </row>
    <row r="148" spans="1:66" x14ac:dyDescent="0.3">
      <c r="A148" s="2"/>
      <c r="C148" s="14" t="str">
        <f t="shared" si="3"/>
        <v>20258</v>
      </c>
      <c r="D148" s="3">
        <v>45896</v>
      </c>
      <c r="E148" s="21">
        <v>1671.93</v>
      </c>
      <c r="F148" s="21">
        <v>1616</v>
      </c>
      <c r="G148" s="21">
        <v>1596.41</v>
      </c>
      <c r="H148" s="21">
        <v>1870.76</v>
      </c>
      <c r="I148" s="21">
        <v>1653.88</v>
      </c>
      <c r="J148" s="21">
        <v>1684.87</v>
      </c>
      <c r="K148" s="21">
        <v>1584.99</v>
      </c>
      <c r="L148" s="21">
        <v>1550.62</v>
      </c>
      <c r="M148" s="21">
        <v>1547.45</v>
      </c>
      <c r="N148" s="21">
        <v>1605.7</v>
      </c>
      <c r="O148" s="21">
        <v>1646.8</v>
      </c>
      <c r="P148" s="21">
        <v>1578.66</v>
      </c>
      <c r="Q148" s="21">
        <v>7209.45</v>
      </c>
      <c r="R148" s="20">
        <v>117.92</v>
      </c>
      <c r="S148" s="20">
        <v>113.98</v>
      </c>
      <c r="T148" s="21">
        <v>121.06</v>
      </c>
      <c r="V148" s="1">
        <v>118.7</v>
      </c>
      <c r="W148" s="1">
        <v>122.82</v>
      </c>
      <c r="X148" s="1">
        <v>123.91</v>
      </c>
      <c r="Y148" s="1">
        <v>117.93</v>
      </c>
      <c r="Z148" s="1">
        <v>118.11</v>
      </c>
      <c r="AA148" s="1">
        <v>121.64</v>
      </c>
      <c r="AB148" s="1">
        <v>123.78</v>
      </c>
      <c r="AE148" s="1">
        <v>132.51</v>
      </c>
      <c r="AF148" s="1">
        <v>131.80000000000001</v>
      </c>
      <c r="AG148" s="1">
        <v>119.8</v>
      </c>
      <c r="AN148" s="1">
        <v>4188.2</v>
      </c>
      <c r="AP148" s="1">
        <v>4093.75</v>
      </c>
      <c r="AQ148" s="1">
        <v>4227.6499999999996</v>
      </c>
      <c r="AR148" s="1">
        <v>3877.12</v>
      </c>
      <c r="AS148" s="1">
        <v>4274.1899999999996</v>
      </c>
      <c r="AT148" s="1">
        <v>3936.77</v>
      </c>
      <c r="AU148" s="1">
        <v>4144.7</v>
      </c>
      <c r="AW148" s="1">
        <v>3960.58</v>
      </c>
      <c r="AX148" s="1">
        <v>122.99</v>
      </c>
      <c r="AY148" s="1">
        <v>3994.72</v>
      </c>
      <c r="AZ148" s="1">
        <v>4235.41</v>
      </c>
      <c r="BA148" s="1">
        <v>123.94</v>
      </c>
      <c r="BB148" s="1">
        <v>134.72</v>
      </c>
      <c r="BC148" s="1">
        <v>129.76</v>
      </c>
      <c r="BD148" s="1">
        <v>133.01</v>
      </c>
      <c r="BE148" s="1">
        <v>128.82</v>
      </c>
      <c r="BF148" s="1">
        <v>123.64</v>
      </c>
      <c r="BG148" s="1">
        <v>132.77000000000001</v>
      </c>
      <c r="BH148" s="1">
        <v>125.67</v>
      </c>
      <c r="BI148" s="1">
        <v>127.46</v>
      </c>
      <c r="BJ148" s="1">
        <v>132.88999999999999</v>
      </c>
      <c r="BK148" s="1">
        <v>112.18</v>
      </c>
      <c r="BL148" s="1">
        <v>112.44</v>
      </c>
      <c r="BN148" s="1">
        <v>112.31</v>
      </c>
    </row>
    <row r="149" spans="1:66" x14ac:dyDescent="0.3">
      <c r="A149" s="2"/>
      <c r="C149" s="14" t="str">
        <f t="shared" si="3"/>
        <v>20258</v>
      </c>
      <c r="D149" s="3">
        <v>45895</v>
      </c>
      <c r="E149" s="21">
        <v>1666.97</v>
      </c>
      <c r="F149" s="21">
        <v>1616</v>
      </c>
      <c r="G149" s="21">
        <v>1606.29</v>
      </c>
      <c r="H149" s="21">
        <v>1875.66</v>
      </c>
      <c r="I149" s="21">
        <v>1650.04</v>
      </c>
      <c r="J149" s="21">
        <v>1670.68</v>
      </c>
      <c r="K149" s="21">
        <v>1593.77</v>
      </c>
      <c r="L149" s="21">
        <v>1555.58</v>
      </c>
      <c r="M149" s="21">
        <v>1539.41</v>
      </c>
      <c r="N149" s="21">
        <v>1543.53</v>
      </c>
      <c r="O149" s="21">
        <v>1646.21</v>
      </c>
      <c r="P149" s="21">
        <v>1604.21</v>
      </c>
      <c r="Q149" s="21">
        <v>7209.45</v>
      </c>
      <c r="R149" s="20">
        <v>117.59</v>
      </c>
      <c r="S149" s="20">
        <v>114.13</v>
      </c>
      <c r="T149" s="21">
        <v>121.17</v>
      </c>
      <c r="V149" s="1">
        <v>117.99</v>
      </c>
      <c r="W149" s="1">
        <v>123.58</v>
      </c>
      <c r="X149" s="1">
        <v>123.91</v>
      </c>
      <c r="Y149" s="1">
        <v>118.13</v>
      </c>
      <c r="Z149" s="1">
        <v>118.4</v>
      </c>
      <c r="AA149" s="1">
        <v>120.64</v>
      </c>
      <c r="AB149" s="1">
        <v>124.01</v>
      </c>
      <c r="AE149" s="1">
        <v>133</v>
      </c>
      <c r="AF149" s="1">
        <v>127.35</v>
      </c>
      <c r="AG149" s="1">
        <v>119.69</v>
      </c>
      <c r="AN149" s="1">
        <v>4181.6899999999996</v>
      </c>
      <c r="AP149" s="1">
        <v>4136.43</v>
      </c>
      <c r="AQ149" s="1">
        <v>4227.6499999999996</v>
      </c>
      <c r="AR149" s="1">
        <v>3877.12</v>
      </c>
      <c r="AS149" s="1">
        <v>4274.1899999999996</v>
      </c>
      <c r="AT149" s="1">
        <v>3891.45</v>
      </c>
      <c r="AU149" s="1">
        <v>4144.7</v>
      </c>
      <c r="AW149" s="1">
        <v>3945.4</v>
      </c>
      <c r="AX149" s="1">
        <v>124.2</v>
      </c>
      <c r="AY149" s="1">
        <v>3980.39</v>
      </c>
      <c r="AZ149" s="1">
        <v>4235.41</v>
      </c>
      <c r="BA149" s="1">
        <v>124.15</v>
      </c>
      <c r="BB149" s="1">
        <v>135.21</v>
      </c>
      <c r="BC149" s="1">
        <v>130.06</v>
      </c>
      <c r="BD149" s="1">
        <v>133.35</v>
      </c>
      <c r="BE149" s="1">
        <v>123.41</v>
      </c>
      <c r="BF149" s="1">
        <v>123.64</v>
      </c>
      <c r="BG149" s="1">
        <v>133.62</v>
      </c>
      <c r="BH149" s="1">
        <v>125.81</v>
      </c>
      <c r="BI149" s="1">
        <v>127.46</v>
      </c>
      <c r="BJ149" s="1">
        <v>133.53</v>
      </c>
      <c r="BK149" s="1">
        <v>112.18</v>
      </c>
      <c r="BL149" s="1">
        <v>112.44</v>
      </c>
      <c r="BN149" s="1">
        <v>112.31</v>
      </c>
    </row>
    <row r="150" spans="1:66" x14ac:dyDescent="0.3">
      <c r="A150" s="2"/>
      <c r="C150" s="14" t="str">
        <f t="shared" si="3"/>
        <v>20258</v>
      </c>
      <c r="D150" s="3">
        <v>45894</v>
      </c>
      <c r="E150" s="21">
        <v>1666.97</v>
      </c>
      <c r="F150" s="21">
        <v>1616</v>
      </c>
      <c r="G150" s="21">
        <v>1606.29</v>
      </c>
      <c r="H150" s="21">
        <v>1822.14</v>
      </c>
      <c r="I150" s="21">
        <v>1649.93</v>
      </c>
      <c r="J150" s="21">
        <v>1687.17</v>
      </c>
      <c r="K150" s="21">
        <v>1593.52</v>
      </c>
      <c r="L150" s="21">
        <v>1566.15</v>
      </c>
      <c r="M150" s="21">
        <v>1535.87</v>
      </c>
      <c r="N150" s="21">
        <v>1533.4</v>
      </c>
      <c r="O150" s="21">
        <v>1661.15</v>
      </c>
      <c r="P150" s="21">
        <v>1614.8</v>
      </c>
      <c r="Q150" s="21">
        <v>7159.47</v>
      </c>
      <c r="R150" s="20">
        <v>117.59</v>
      </c>
      <c r="S150" s="20">
        <v>115.12</v>
      </c>
      <c r="T150" s="21">
        <v>121.18</v>
      </c>
      <c r="V150" s="1">
        <v>118.11</v>
      </c>
      <c r="W150" s="1">
        <v>123.58</v>
      </c>
      <c r="X150" s="1">
        <v>123.91</v>
      </c>
      <c r="Y150" s="1">
        <v>118.54</v>
      </c>
      <c r="Z150" s="1">
        <v>118.4</v>
      </c>
      <c r="AA150" s="1">
        <v>120.75</v>
      </c>
      <c r="AB150" s="1">
        <v>124.17</v>
      </c>
      <c r="AE150" s="1">
        <v>133</v>
      </c>
      <c r="AF150" s="1">
        <v>127.52</v>
      </c>
      <c r="AG150" s="1">
        <v>120.36</v>
      </c>
      <c r="AN150" s="1">
        <v>4181.6899999999996</v>
      </c>
      <c r="AP150" s="1">
        <v>4126.88</v>
      </c>
      <c r="AQ150" s="1">
        <v>4197.3</v>
      </c>
      <c r="AR150" s="1">
        <v>3877.12</v>
      </c>
      <c r="AT150" s="1">
        <v>3940.34</v>
      </c>
      <c r="AU150" s="1">
        <v>4134.33</v>
      </c>
      <c r="AX150" s="1">
        <v>123.81</v>
      </c>
      <c r="AY150" s="1">
        <v>3938.18</v>
      </c>
      <c r="AZ150" s="1">
        <v>4192.53</v>
      </c>
      <c r="BA150" s="1">
        <v>124.94</v>
      </c>
      <c r="BB150" s="1">
        <v>135.19999999999999</v>
      </c>
      <c r="BC150" s="1">
        <v>130.46</v>
      </c>
      <c r="BD150" s="1">
        <v>132.82</v>
      </c>
      <c r="BE150" s="1">
        <v>126.76</v>
      </c>
      <c r="BF150" s="1">
        <v>123.64</v>
      </c>
      <c r="BG150" s="1">
        <v>133.6</v>
      </c>
      <c r="BH150" s="1">
        <v>126.06</v>
      </c>
      <c r="BI150" s="1">
        <v>127.46</v>
      </c>
      <c r="BJ150" s="1">
        <v>133.52000000000001</v>
      </c>
      <c r="BK150" s="1">
        <v>113.51</v>
      </c>
      <c r="BL150" s="1">
        <v>113.44</v>
      </c>
      <c r="BN150" s="1">
        <v>113.65</v>
      </c>
    </row>
    <row r="151" spans="1:66" x14ac:dyDescent="0.3">
      <c r="A151" s="2"/>
      <c r="C151" s="14" t="str">
        <f t="shared" si="3"/>
        <v>20258</v>
      </c>
      <c r="D151" s="3">
        <v>45891</v>
      </c>
      <c r="E151" s="21">
        <v>1666.97</v>
      </c>
      <c r="F151" s="21">
        <v>1584.09</v>
      </c>
      <c r="G151" s="21">
        <v>1606.29</v>
      </c>
      <c r="H151" s="21">
        <v>1870.76</v>
      </c>
      <c r="I151" s="21">
        <v>1609.26</v>
      </c>
      <c r="J151" s="21">
        <v>1685.73</v>
      </c>
      <c r="K151" s="21">
        <v>1598.32</v>
      </c>
      <c r="L151" s="21">
        <v>1580.86</v>
      </c>
      <c r="M151" s="21">
        <v>1528.41</v>
      </c>
      <c r="N151" s="21">
        <v>1570.47</v>
      </c>
      <c r="O151" s="21">
        <v>1681.19</v>
      </c>
      <c r="P151" s="21">
        <v>1666.25</v>
      </c>
      <c r="Q151" s="21">
        <v>7159.47</v>
      </c>
      <c r="R151" s="20">
        <v>117.59</v>
      </c>
      <c r="S151" s="20">
        <v>115.29</v>
      </c>
      <c r="T151" s="21">
        <v>121.9</v>
      </c>
      <c r="V151" s="1">
        <v>117.85</v>
      </c>
      <c r="W151" s="1">
        <v>124.77</v>
      </c>
      <c r="X151" s="1">
        <v>125.47</v>
      </c>
      <c r="Y151" s="1">
        <v>119.83</v>
      </c>
      <c r="Z151" s="1">
        <v>120.84</v>
      </c>
      <c r="AA151" s="1">
        <v>120.75</v>
      </c>
      <c r="AB151" s="1">
        <v>125.39</v>
      </c>
      <c r="AE151" s="1">
        <v>134.08000000000001</v>
      </c>
      <c r="AF151" s="1">
        <v>133.44999999999999</v>
      </c>
      <c r="AG151" s="1">
        <v>122.03</v>
      </c>
      <c r="AN151" s="1">
        <v>4181.6899999999996</v>
      </c>
      <c r="AP151" s="1">
        <v>4126.25</v>
      </c>
      <c r="AQ151" s="1">
        <v>4188.2</v>
      </c>
      <c r="AR151" s="1">
        <v>3793.66</v>
      </c>
      <c r="AS151" s="1">
        <v>4122.4399999999996</v>
      </c>
      <c r="AT151" s="1">
        <v>3940.34</v>
      </c>
      <c r="AU151" s="1">
        <v>4165.43</v>
      </c>
      <c r="AW151" s="1">
        <v>3903.92</v>
      </c>
      <c r="AX151" s="1">
        <v>123.33</v>
      </c>
      <c r="AY151" s="1">
        <v>3938.18</v>
      </c>
      <c r="AZ151" s="1">
        <v>4192.53</v>
      </c>
      <c r="BA151" s="1">
        <v>124.94</v>
      </c>
      <c r="BB151" s="1">
        <v>135.5</v>
      </c>
      <c r="BC151" s="1">
        <v>132.76</v>
      </c>
      <c r="BD151" s="1">
        <v>134.6</v>
      </c>
      <c r="BE151" s="1">
        <v>128.68</v>
      </c>
      <c r="BF151" s="1">
        <v>127.44</v>
      </c>
      <c r="BG151" s="1">
        <v>135.32</v>
      </c>
      <c r="BH151" s="1">
        <v>126.2</v>
      </c>
      <c r="BI151" s="1">
        <v>127.85</v>
      </c>
      <c r="BJ151" s="1">
        <v>133.33000000000001</v>
      </c>
      <c r="BK151" s="1">
        <v>114.18</v>
      </c>
      <c r="BL151" s="1">
        <v>114.77</v>
      </c>
      <c r="BN151" s="1">
        <v>114.31</v>
      </c>
    </row>
    <row r="152" spans="1:66" x14ac:dyDescent="0.3">
      <c r="A152" s="2"/>
      <c r="C152" s="14" t="str">
        <f t="shared" si="3"/>
        <v>20258</v>
      </c>
      <c r="D152" s="3">
        <v>45890</v>
      </c>
      <c r="E152" s="21">
        <v>1657.04</v>
      </c>
      <c r="F152" s="21">
        <v>1584.09</v>
      </c>
      <c r="G152" s="21">
        <v>1606.29</v>
      </c>
      <c r="H152" s="21">
        <v>1858.4</v>
      </c>
      <c r="I152" s="21">
        <v>1609.26</v>
      </c>
      <c r="J152" s="21">
        <v>1697.85</v>
      </c>
      <c r="K152" s="21">
        <v>1598.32</v>
      </c>
      <c r="L152" s="21">
        <v>1582.51</v>
      </c>
      <c r="M152" s="21">
        <v>1532.84</v>
      </c>
      <c r="N152" s="21">
        <v>1571.36</v>
      </c>
      <c r="O152" s="21">
        <v>1698.09</v>
      </c>
      <c r="P152" s="21">
        <v>1666.25</v>
      </c>
      <c r="Q152" s="21">
        <v>7084.47</v>
      </c>
      <c r="R152" s="20">
        <v>117.59</v>
      </c>
      <c r="S152" s="20">
        <v>116.61</v>
      </c>
      <c r="T152" s="21">
        <v>121.95</v>
      </c>
      <c r="V152" s="1">
        <v>117.42</v>
      </c>
      <c r="W152" s="1">
        <v>125.43</v>
      </c>
      <c r="X152" s="1">
        <v>125.24</v>
      </c>
      <c r="Y152" s="1">
        <v>119.89</v>
      </c>
      <c r="Z152" s="1">
        <v>120.95</v>
      </c>
      <c r="AA152" s="1">
        <v>120.75</v>
      </c>
      <c r="AB152" s="1">
        <v>125.17</v>
      </c>
      <c r="AE152" s="1">
        <v>133.41999999999999</v>
      </c>
      <c r="AF152" s="1">
        <v>133.44999999999999</v>
      </c>
      <c r="AG152" s="1">
        <v>122.87</v>
      </c>
      <c r="AN152" s="1">
        <v>4181.6899999999996</v>
      </c>
      <c r="AP152" s="1">
        <v>4126.25</v>
      </c>
      <c r="AQ152" s="1">
        <v>4188.2</v>
      </c>
      <c r="AR152" s="1">
        <v>3793.66</v>
      </c>
      <c r="AS152" s="1">
        <v>4122.4399999999996</v>
      </c>
      <c r="AT152" s="1">
        <v>3940.34</v>
      </c>
      <c r="AU152" s="1">
        <v>4165.43</v>
      </c>
      <c r="AW152" s="1">
        <v>3903.92</v>
      </c>
      <c r="AX152" s="1">
        <v>124.15</v>
      </c>
      <c r="AY152" s="1">
        <v>3938.18</v>
      </c>
      <c r="AZ152" s="1">
        <v>4192.53</v>
      </c>
      <c r="BA152" s="1">
        <v>125.28</v>
      </c>
      <c r="BB152" s="1">
        <v>135.66</v>
      </c>
      <c r="BC152" s="1">
        <v>133.72999999999999</v>
      </c>
      <c r="BD152" s="1">
        <v>136.13</v>
      </c>
      <c r="BE152" s="1">
        <v>128.68</v>
      </c>
      <c r="BF152" s="1">
        <v>127.44</v>
      </c>
      <c r="BG152" s="1">
        <v>135.32</v>
      </c>
      <c r="BH152" s="1">
        <v>126.58</v>
      </c>
      <c r="BI152" s="1">
        <v>127.85</v>
      </c>
      <c r="BJ152" s="1">
        <v>133.32</v>
      </c>
      <c r="BK152" s="1">
        <v>114.18</v>
      </c>
      <c r="BL152" s="1">
        <v>114.77</v>
      </c>
      <c r="BN152" s="1">
        <v>114.31</v>
      </c>
    </row>
    <row r="153" spans="1:66" x14ac:dyDescent="0.3">
      <c r="A153" s="2"/>
      <c r="C153" s="14" t="str">
        <f t="shared" si="3"/>
        <v>20258</v>
      </c>
      <c r="D153" s="3">
        <v>45889</v>
      </c>
      <c r="E153" s="21">
        <v>1657.04</v>
      </c>
      <c r="F153" s="21">
        <v>1584.09</v>
      </c>
      <c r="G153" s="21">
        <v>1601.35</v>
      </c>
      <c r="H153" s="21">
        <v>1853.46</v>
      </c>
      <c r="I153" s="21">
        <v>1606.59</v>
      </c>
      <c r="J153" s="21">
        <v>1697.85</v>
      </c>
      <c r="K153" s="21">
        <v>1604.25</v>
      </c>
      <c r="L153" s="21">
        <v>1611.78</v>
      </c>
      <c r="M153" s="21">
        <v>1554.55</v>
      </c>
      <c r="N153" s="21">
        <v>1575.3</v>
      </c>
      <c r="O153" s="21">
        <v>1711.55</v>
      </c>
      <c r="P153" s="21">
        <v>1617.63</v>
      </c>
      <c r="Q153" s="21">
        <v>7084.47</v>
      </c>
      <c r="R153" s="20">
        <v>117.59</v>
      </c>
      <c r="S153" s="20">
        <v>116.12</v>
      </c>
      <c r="T153" s="21">
        <v>121.59</v>
      </c>
      <c r="V153" s="1">
        <v>117.16</v>
      </c>
      <c r="W153" s="1">
        <v>124.44</v>
      </c>
      <c r="X153" s="1">
        <v>125.04</v>
      </c>
      <c r="Y153" s="1">
        <v>119.53</v>
      </c>
      <c r="Z153" s="1">
        <v>120.07</v>
      </c>
      <c r="AA153" s="1">
        <v>120.85</v>
      </c>
      <c r="AB153" s="1">
        <v>124.9</v>
      </c>
      <c r="AE153" s="1">
        <v>132.82</v>
      </c>
      <c r="AF153" s="1">
        <v>132.62</v>
      </c>
      <c r="AG153" s="1">
        <v>121.72</v>
      </c>
      <c r="AN153" s="1">
        <v>4181.6899999999996</v>
      </c>
      <c r="AP153" s="1">
        <v>4137.6099999999997</v>
      </c>
      <c r="AQ153" s="1">
        <v>4188.2</v>
      </c>
      <c r="AR153" s="1">
        <v>3793.66</v>
      </c>
      <c r="AS153" s="1">
        <v>4122.4399999999996</v>
      </c>
      <c r="AT153" s="1">
        <v>3975.75</v>
      </c>
      <c r="AU153" s="1">
        <v>4097.1499999999996</v>
      </c>
      <c r="AW153" s="1">
        <v>3806.47</v>
      </c>
      <c r="AX153" s="1">
        <v>125.13</v>
      </c>
      <c r="AY153" s="1">
        <v>3951.72</v>
      </c>
      <c r="AZ153" s="1">
        <v>4127.5</v>
      </c>
      <c r="BA153" s="1">
        <v>125.31</v>
      </c>
      <c r="BB153" s="1">
        <v>135.16999999999999</v>
      </c>
      <c r="BC153" s="1">
        <v>132.51</v>
      </c>
      <c r="BD153" s="1">
        <v>135.53</v>
      </c>
      <c r="BE153" s="1">
        <v>127.66</v>
      </c>
      <c r="BF153" s="1">
        <v>123.97</v>
      </c>
      <c r="BG153" s="1">
        <v>134.91999999999999</v>
      </c>
      <c r="BH153" s="1">
        <v>125.36</v>
      </c>
      <c r="BI153" s="1">
        <v>127.47</v>
      </c>
      <c r="BJ153" s="1">
        <v>133.30000000000001</v>
      </c>
      <c r="BK153" s="1">
        <v>114.18</v>
      </c>
      <c r="BL153" s="1">
        <v>114.44</v>
      </c>
      <c r="BN153" s="1">
        <v>114.31</v>
      </c>
    </row>
    <row r="154" spans="1:66" x14ac:dyDescent="0.3">
      <c r="A154" s="2"/>
      <c r="C154" s="14" t="str">
        <f t="shared" si="3"/>
        <v>20258</v>
      </c>
      <c r="D154" s="3">
        <v>45888</v>
      </c>
      <c r="E154" s="21">
        <v>1643.39</v>
      </c>
      <c r="F154" s="21">
        <v>1584.67</v>
      </c>
      <c r="G154" s="21">
        <v>1584.05</v>
      </c>
      <c r="H154" s="21">
        <v>1818.87</v>
      </c>
      <c r="I154" s="21">
        <v>1588.36</v>
      </c>
      <c r="J154" s="21">
        <v>1684.73</v>
      </c>
      <c r="K154" s="21">
        <v>1576.15</v>
      </c>
      <c r="L154" s="21">
        <v>1593.02</v>
      </c>
      <c r="M154" s="21">
        <v>1519.28</v>
      </c>
      <c r="N154" s="21">
        <v>1568.31</v>
      </c>
      <c r="O154" s="21">
        <v>1681.13</v>
      </c>
      <c r="P154" s="21">
        <v>1602.56</v>
      </c>
      <c r="Q154" s="21">
        <v>7084.47</v>
      </c>
      <c r="R154" s="20">
        <v>117.26</v>
      </c>
      <c r="S154" s="20">
        <v>114.58</v>
      </c>
      <c r="T154" s="21">
        <v>121.99</v>
      </c>
      <c r="V154" s="1">
        <v>116.76</v>
      </c>
      <c r="W154" s="1">
        <v>124.35</v>
      </c>
      <c r="X154" s="1">
        <v>124.66</v>
      </c>
      <c r="Y154" s="1">
        <v>118.3</v>
      </c>
      <c r="Z154" s="1">
        <v>119.07</v>
      </c>
      <c r="AA154" s="1">
        <v>120.37</v>
      </c>
      <c r="AB154" s="1">
        <v>123.95</v>
      </c>
      <c r="AE154" s="1">
        <v>133.41999999999999</v>
      </c>
      <c r="AF154" s="1">
        <v>132.13</v>
      </c>
      <c r="AG154" s="1">
        <v>121.23</v>
      </c>
      <c r="AN154" s="1">
        <v>4178.08</v>
      </c>
      <c r="AP154" s="1">
        <v>4126.47</v>
      </c>
      <c r="AQ154" s="1">
        <v>4132.5600000000004</v>
      </c>
      <c r="AR154" s="1">
        <v>3793.66</v>
      </c>
      <c r="AS154" s="1">
        <v>4141.41</v>
      </c>
      <c r="AT154" s="1">
        <v>4213.55</v>
      </c>
      <c r="AU154" s="1">
        <v>4097.1499999999996</v>
      </c>
      <c r="AW154" s="1">
        <v>3806.47</v>
      </c>
      <c r="AX154" s="1">
        <v>123.7</v>
      </c>
      <c r="AZ154" s="1">
        <v>4209.0600000000004</v>
      </c>
      <c r="BA154" s="1">
        <v>123.86</v>
      </c>
      <c r="BB154" s="1">
        <v>134.08000000000001</v>
      </c>
      <c r="BC154" s="1">
        <v>132.21</v>
      </c>
      <c r="BD154" s="1">
        <v>134.69999999999999</v>
      </c>
      <c r="BE154" s="1">
        <v>126.57</v>
      </c>
      <c r="BF154" s="1">
        <v>123.97</v>
      </c>
      <c r="BG154" s="1">
        <v>133.93</v>
      </c>
      <c r="BH154" s="1">
        <v>122.01</v>
      </c>
      <c r="BI154" s="1">
        <v>127.47</v>
      </c>
      <c r="BJ154" s="1">
        <v>133.1</v>
      </c>
      <c r="BK154" s="1">
        <v>112.51</v>
      </c>
      <c r="BL154" s="1">
        <v>112.44</v>
      </c>
      <c r="BN154" s="1">
        <v>112.65</v>
      </c>
    </row>
    <row r="155" spans="1:66" x14ac:dyDescent="0.3">
      <c r="A155" s="2"/>
      <c r="C155" s="14" t="str">
        <f t="shared" si="3"/>
        <v>20258</v>
      </c>
      <c r="D155" s="3">
        <v>45887</v>
      </c>
      <c r="E155" s="21">
        <v>1637.18</v>
      </c>
      <c r="F155" s="21">
        <v>1584.67</v>
      </c>
      <c r="G155" s="21">
        <v>1584.05</v>
      </c>
      <c r="H155" s="21">
        <v>1749.65</v>
      </c>
      <c r="I155" s="21">
        <v>1556.03</v>
      </c>
      <c r="J155" s="21">
        <v>1670.86</v>
      </c>
      <c r="K155" s="21">
        <v>1567.94</v>
      </c>
      <c r="L155" s="21">
        <v>1581.7</v>
      </c>
      <c r="M155" s="21">
        <v>1478.57</v>
      </c>
      <c r="N155" s="21">
        <v>1545.86</v>
      </c>
      <c r="O155" s="21">
        <v>1658.96</v>
      </c>
      <c r="P155" s="21">
        <v>1597.44</v>
      </c>
      <c r="Q155" s="21">
        <v>7084.47</v>
      </c>
      <c r="R155" s="20">
        <v>117.26</v>
      </c>
      <c r="S155" s="20">
        <v>113.9</v>
      </c>
      <c r="T155" s="21">
        <v>120.86</v>
      </c>
      <c r="V155" s="1">
        <v>116.94</v>
      </c>
      <c r="W155" s="1">
        <v>123.77</v>
      </c>
      <c r="X155" s="1">
        <v>123.79</v>
      </c>
      <c r="Y155" s="1">
        <v>117.84</v>
      </c>
      <c r="Z155" s="1">
        <v>118.07</v>
      </c>
      <c r="AA155" s="1">
        <v>120.25</v>
      </c>
      <c r="AB155" s="1">
        <v>123.68</v>
      </c>
      <c r="AE155" s="1">
        <v>132.59</v>
      </c>
      <c r="AF155" s="1">
        <v>132.79</v>
      </c>
      <c r="AG155" s="1">
        <v>119.77</v>
      </c>
      <c r="AN155" s="1">
        <v>4178.08</v>
      </c>
      <c r="AP155" s="1">
        <v>4120.45</v>
      </c>
      <c r="AQ155" s="1">
        <v>4099.68</v>
      </c>
      <c r="AR155" s="1">
        <v>3793.66</v>
      </c>
      <c r="AS155" s="1">
        <v>4141.41</v>
      </c>
      <c r="AT155" s="1">
        <v>4213.55</v>
      </c>
      <c r="AU155" s="1">
        <v>4097.1499999999996</v>
      </c>
      <c r="AW155" s="1">
        <v>3806.47</v>
      </c>
      <c r="AX155" s="1">
        <v>123.67</v>
      </c>
      <c r="AY155" s="1">
        <v>3990.29</v>
      </c>
      <c r="AZ155" s="1">
        <v>4236.25</v>
      </c>
      <c r="BA155" s="1">
        <v>123.84</v>
      </c>
      <c r="BB155" s="1">
        <v>133.69999999999999</v>
      </c>
      <c r="BC155" s="1">
        <v>130.37</v>
      </c>
      <c r="BD155" s="1">
        <v>132.9</v>
      </c>
      <c r="BE155" s="1">
        <v>127.66</v>
      </c>
      <c r="BF155" s="1">
        <v>123.64</v>
      </c>
      <c r="BG155" s="1">
        <v>133.81</v>
      </c>
      <c r="BH155" s="1">
        <v>124.15</v>
      </c>
      <c r="BI155" s="1">
        <v>127.47</v>
      </c>
      <c r="BJ155" s="1">
        <v>133.1</v>
      </c>
      <c r="BK155" s="1">
        <v>111.85</v>
      </c>
      <c r="BL155" s="1">
        <v>112.11</v>
      </c>
      <c r="BN155" s="1">
        <v>111.98</v>
      </c>
    </row>
    <row r="156" spans="1:66" x14ac:dyDescent="0.3">
      <c r="A156" s="2"/>
      <c r="C156" s="14" t="str">
        <f t="shared" si="3"/>
        <v>20258</v>
      </c>
      <c r="D156" s="3">
        <v>45884</v>
      </c>
      <c r="E156" s="21">
        <v>1638.43</v>
      </c>
      <c r="F156" s="21">
        <v>1587.14</v>
      </c>
      <c r="G156" s="21">
        <v>1584.05</v>
      </c>
      <c r="H156" s="21">
        <v>1756.24</v>
      </c>
      <c r="I156" s="21">
        <v>1561.6</v>
      </c>
      <c r="J156" s="21">
        <v>1682.16</v>
      </c>
      <c r="K156" s="21">
        <v>1575.17</v>
      </c>
      <c r="L156" s="21">
        <v>1581.7</v>
      </c>
      <c r="M156" s="21">
        <v>1473.62</v>
      </c>
      <c r="N156" s="21">
        <v>1569.13</v>
      </c>
      <c r="O156" s="21">
        <v>1679.04</v>
      </c>
      <c r="P156" s="21">
        <v>1606.83</v>
      </c>
      <c r="Q156" s="21">
        <v>7084.47</v>
      </c>
      <c r="R156" s="20">
        <v>117.26</v>
      </c>
      <c r="S156" s="20">
        <v>113.85</v>
      </c>
      <c r="T156" s="21">
        <v>121.24</v>
      </c>
      <c r="V156" s="1">
        <v>117.02</v>
      </c>
      <c r="W156" s="1">
        <v>122.82</v>
      </c>
      <c r="X156" s="1">
        <v>123.41</v>
      </c>
      <c r="Y156" s="1">
        <v>117.84</v>
      </c>
      <c r="Z156" s="1">
        <v>118.29</v>
      </c>
      <c r="AA156" s="1">
        <v>120.25</v>
      </c>
      <c r="AB156" s="1">
        <v>123.56</v>
      </c>
      <c r="AE156" s="1">
        <v>131.91999999999999</v>
      </c>
      <c r="AF156" s="1">
        <v>131.80000000000001</v>
      </c>
      <c r="AG156" s="1">
        <v>120.19</v>
      </c>
      <c r="AN156" s="1">
        <v>4153.8</v>
      </c>
      <c r="AP156" s="1">
        <v>4082.14</v>
      </c>
      <c r="AQ156" s="1">
        <v>4099.68</v>
      </c>
      <c r="AR156" s="1">
        <v>3721.58</v>
      </c>
      <c r="AS156" s="1">
        <v>4124.97</v>
      </c>
      <c r="AT156" s="1">
        <v>4173.12</v>
      </c>
      <c r="AU156" s="1">
        <v>4066.8</v>
      </c>
      <c r="AW156" s="1">
        <v>3753.19</v>
      </c>
      <c r="AX156" s="1">
        <v>122.58</v>
      </c>
      <c r="AY156" s="1">
        <v>4007.18</v>
      </c>
      <c r="AZ156" s="1">
        <v>4236.25</v>
      </c>
      <c r="BA156" s="1">
        <v>122.85</v>
      </c>
      <c r="BB156" s="1">
        <v>134.16999999999999</v>
      </c>
      <c r="BC156" s="1">
        <v>129.91999999999999</v>
      </c>
      <c r="BD156" s="1">
        <v>133.24</v>
      </c>
      <c r="BE156" s="1">
        <v>126</v>
      </c>
      <c r="BF156" s="1">
        <v>126.44</v>
      </c>
      <c r="BG156" s="1">
        <v>133.66999999999999</v>
      </c>
      <c r="BH156" s="1">
        <v>124.58</v>
      </c>
      <c r="BI156" s="1">
        <v>126.73</v>
      </c>
      <c r="BJ156" s="1">
        <v>133.05000000000001</v>
      </c>
      <c r="BK156" s="1">
        <v>112.18</v>
      </c>
      <c r="BL156" s="1">
        <v>112.44</v>
      </c>
      <c r="BN156" s="1">
        <v>112.31</v>
      </c>
    </row>
    <row r="157" spans="1:66" x14ac:dyDescent="0.3">
      <c r="A157" s="2"/>
      <c r="C157" s="14" t="str">
        <f t="shared" si="3"/>
        <v>20258</v>
      </c>
      <c r="D157" s="3">
        <v>45883</v>
      </c>
      <c r="E157" s="21">
        <v>1645.87</v>
      </c>
      <c r="F157" s="21">
        <v>1587.14</v>
      </c>
      <c r="G157" s="21">
        <v>1579.11</v>
      </c>
      <c r="H157" s="21">
        <v>1756.24</v>
      </c>
      <c r="I157" s="21">
        <v>1542.04</v>
      </c>
      <c r="J157" s="21">
        <v>1673.1</v>
      </c>
      <c r="K157" s="21">
        <v>1565.18</v>
      </c>
      <c r="L157" s="21">
        <v>1574.29</v>
      </c>
      <c r="M157" s="21">
        <v>1466.82</v>
      </c>
      <c r="N157" s="21">
        <v>1568.08</v>
      </c>
      <c r="O157" s="21">
        <v>1667.57</v>
      </c>
      <c r="P157" s="21">
        <v>1632.43</v>
      </c>
      <c r="Q157" s="21">
        <v>7069.47</v>
      </c>
      <c r="R157" s="20">
        <v>117.26</v>
      </c>
      <c r="S157" s="20">
        <v>113.84</v>
      </c>
      <c r="T157" s="21">
        <v>121.24</v>
      </c>
      <c r="V157" s="1">
        <v>117.11</v>
      </c>
      <c r="W157" s="1">
        <v>122.82</v>
      </c>
      <c r="X157" s="1">
        <v>124.19</v>
      </c>
      <c r="Y157" s="1">
        <v>118.15</v>
      </c>
      <c r="Z157" s="1">
        <v>118.32</v>
      </c>
      <c r="AA157" s="1">
        <v>120.05</v>
      </c>
      <c r="AB157" s="1">
        <v>124.25</v>
      </c>
      <c r="AE157" s="1">
        <v>131.68</v>
      </c>
      <c r="AF157" s="1">
        <v>132.80000000000001</v>
      </c>
      <c r="AG157" s="1">
        <v>120.18</v>
      </c>
      <c r="AN157" s="1">
        <v>4153.8</v>
      </c>
      <c r="AP157" s="1">
        <v>4082.14</v>
      </c>
      <c r="AQ157" s="1">
        <v>4099.68</v>
      </c>
      <c r="AR157" s="1">
        <v>3721.58</v>
      </c>
      <c r="AS157" s="1">
        <v>4124.97</v>
      </c>
      <c r="AT157" s="1">
        <v>4173.12</v>
      </c>
      <c r="AU157" s="1">
        <v>4066.8</v>
      </c>
      <c r="AX157" s="1">
        <v>122.26</v>
      </c>
      <c r="AY157" s="1">
        <v>4007.18</v>
      </c>
      <c r="AZ157" s="1">
        <v>4236.25</v>
      </c>
      <c r="BA157" s="1">
        <v>122.74</v>
      </c>
      <c r="BB157" s="1">
        <v>134.41999999999999</v>
      </c>
      <c r="BC157" s="1">
        <v>128.57</v>
      </c>
      <c r="BD157" s="1">
        <v>130.79</v>
      </c>
      <c r="BE157" s="1">
        <v>123.62</v>
      </c>
      <c r="BF157" s="1">
        <v>126.44</v>
      </c>
      <c r="BG157" s="1">
        <v>133.33000000000001</v>
      </c>
      <c r="BH157" s="1">
        <v>124.51</v>
      </c>
      <c r="BI157" s="1">
        <v>126.35</v>
      </c>
      <c r="BJ157" s="1">
        <v>133.03</v>
      </c>
      <c r="BK157" s="1">
        <v>112.85</v>
      </c>
      <c r="BL157" s="1">
        <v>113.44</v>
      </c>
      <c r="BN157" s="1">
        <v>112.98</v>
      </c>
    </row>
    <row r="158" spans="1:66" x14ac:dyDescent="0.3">
      <c r="A158" s="2"/>
      <c r="C158" s="14" t="str">
        <f t="shared" si="3"/>
        <v>20258</v>
      </c>
      <c r="D158" s="3">
        <v>45882</v>
      </c>
      <c r="E158" s="21">
        <v>1638.43</v>
      </c>
      <c r="F158" s="21">
        <v>1553.33</v>
      </c>
      <c r="G158" s="21">
        <v>1559.34</v>
      </c>
      <c r="H158" s="21">
        <v>1749.65</v>
      </c>
      <c r="I158" s="21">
        <v>1579.5</v>
      </c>
      <c r="J158" s="21">
        <v>1655.18</v>
      </c>
      <c r="K158" s="21">
        <v>1574.68</v>
      </c>
      <c r="L158" s="21">
        <v>1537.89</v>
      </c>
      <c r="M158" s="21">
        <v>1476.89</v>
      </c>
      <c r="N158" s="21">
        <v>1546.55</v>
      </c>
      <c r="O158" s="21">
        <v>1662.23</v>
      </c>
      <c r="P158" s="21">
        <v>1601.69</v>
      </c>
      <c r="Q158" s="21">
        <v>7069.47</v>
      </c>
      <c r="R158" s="20">
        <v>117.92</v>
      </c>
      <c r="S158" s="20">
        <v>112.16</v>
      </c>
      <c r="T158" s="21">
        <v>121.85</v>
      </c>
      <c r="V158" s="1">
        <v>115.8</v>
      </c>
      <c r="W158" s="1">
        <v>123.54</v>
      </c>
      <c r="X158" s="1">
        <v>124.04</v>
      </c>
      <c r="Y158" s="1">
        <v>117.72</v>
      </c>
      <c r="Z158" s="1">
        <v>118.95</v>
      </c>
      <c r="AA158" s="1">
        <v>120.4</v>
      </c>
      <c r="AB158" s="1">
        <v>123.46</v>
      </c>
      <c r="AE158" s="1">
        <v>132.34</v>
      </c>
      <c r="AF158" s="1">
        <v>132.49</v>
      </c>
      <c r="AG158" s="1">
        <v>119.55</v>
      </c>
      <c r="AN158" s="1">
        <v>4153.8</v>
      </c>
      <c r="AP158" s="1">
        <v>4053.33</v>
      </c>
      <c r="AQ158" s="1">
        <v>4099.68</v>
      </c>
      <c r="AR158" s="1">
        <v>3721.58</v>
      </c>
      <c r="AS158" s="1">
        <v>4124.97</v>
      </c>
      <c r="AT158" s="1">
        <v>4173.12</v>
      </c>
      <c r="AU158" s="1">
        <v>4021.28</v>
      </c>
      <c r="AW158" s="1">
        <v>4097.1499999999996</v>
      </c>
      <c r="AX158" s="1">
        <v>122.04</v>
      </c>
      <c r="AY158" s="1">
        <v>4007.18</v>
      </c>
      <c r="AZ158" s="1">
        <v>4236.25</v>
      </c>
      <c r="BA158" s="1">
        <v>123.31</v>
      </c>
      <c r="BB158" s="1">
        <v>134.09</v>
      </c>
      <c r="BC158" s="1">
        <v>129.62</v>
      </c>
      <c r="BD158" s="1">
        <v>131.21</v>
      </c>
      <c r="BE158" s="1">
        <v>124.02</v>
      </c>
      <c r="BF158" s="1">
        <v>126.94</v>
      </c>
      <c r="BG158" s="1">
        <v>133.38</v>
      </c>
      <c r="BH158" s="1">
        <v>124.51</v>
      </c>
      <c r="BI158" s="1">
        <v>126.35</v>
      </c>
      <c r="BJ158" s="1">
        <v>133.34</v>
      </c>
      <c r="BK158" s="1">
        <v>112.51</v>
      </c>
      <c r="BL158" s="1">
        <v>112.44</v>
      </c>
      <c r="BN158" s="1">
        <v>112.65</v>
      </c>
    </row>
    <row r="159" spans="1:66" x14ac:dyDescent="0.3">
      <c r="A159" s="2"/>
      <c r="C159" s="14" t="str">
        <f t="shared" si="3"/>
        <v>20258</v>
      </c>
      <c r="D159" s="3">
        <v>45881</v>
      </c>
      <c r="E159" s="21">
        <v>1657.37</v>
      </c>
      <c r="F159" s="21">
        <v>1540.9</v>
      </c>
      <c r="G159" s="21">
        <v>1559.34</v>
      </c>
      <c r="H159" s="21">
        <v>1743.06</v>
      </c>
      <c r="I159" s="21">
        <v>1578.96</v>
      </c>
      <c r="J159" s="21">
        <v>1649.16</v>
      </c>
      <c r="K159" s="21">
        <v>1564.47</v>
      </c>
      <c r="L159" s="21">
        <v>1529.65</v>
      </c>
      <c r="M159" s="21">
        <v>1451.64</v>
      </c>
      <c r="N159" s="21">
        <v>1547.39</v>
      </c>
      <c r="O159" s="21">
        <v>1661.57</v>
      </c>
      <c r="P159" s="21">
        <v>1601.54</v>
      </c>
      <c r="Q159" s="21">
        <v>7046.97</v>
      </c>
      <c r="R159" s="20">
        <v>117.26</v>
      </c>
      <c r="S159" s="20">
        <v>112.13</v>
      </c>
      <c r="T159" s="21">
        <v>121.66</v>
      </c>
      <c r="V159" s="1">
        <v>115.56</v>
      </c>
      <c r="W159" s="1">
        <v>123.1</v>
      </c>
      <c r="X159" s="1">
        <v>122.9</v>
      </c>
      <c r="Y159" s="1">
        <v>116.25</v>
      </c>
      <c r="Z159" s="1">
        <v>117.07</v>
      </c>
      <c r="AA159" s="1">
        <v>120.05</v>
      </c>
      <c r="AB159" s="1">
        <v>122.64</v>
      </c>
      <c r="AE159" s="1">
        <v>130.76</v>
      </c>
      <c r="AF159" s="1">
        <v>130.57</v>
      </c>
      <c r="AG159" s="1">
        <v>119.41</v>
      </c>
      <c r="AN159" s="1">
        <v>4117.38</v>
      </c>
      <c r="AP159" s="1">
        <v>4002.5</v>
      </c>
      <c r="AQ159" s="1">
        <v>4146.04</v>
      </c>
      <c r="AR159" s="1">
        <v>3721.58</v>
      </c>
      <c r="AS159" s="1">
        <v>4124.97</v>
      </c>
      <c r="AT159" s="1">
        <v>4108.28</v>
      </c>
      <c r="AU159" s="1">
        <v>4031.39</v>
      </c>
      <c r="AW159" s="1">
        <v>4097.1499999999996</v>
      </c>
      <c r="AX159" s="1">
        <v>121.74</v>
      </c>
      <c r="AY159" s="1">
        <v>3985.43</v>
      </c>
      <c r="BA159" s="1">
        <v>122.73</v>
      </c>
      <c r="BB159" s="1">
        <v>133.68</v>
      </c>
      <c r="BC159" s="1">
        <v>129.88999999999999</v>
      </c>
      <c r="BD159" s="1">
        <v>131.75</v>
      </c>
      <c r="BE159" s="1">
        <v>124.76</v>
      </c>
      <c r="BF159" s="1">
        <v>126.44</v>
      </c>
      <c r="BG159" s="1">
        <v>132.93</v>
      </c>
      <c r="BH159" s="1">
        <v>122.62</v>
      </c>
      <c r="BI159" s="1">
        <v>125.98</v>
      </c>
      <c r="BJ159" s="1">
        <v>132.66</v>
      </c>
      <c r="BK159" s="1">
        <v>110.51</v>
      </c>
      <c r="BL159" s="1">
        <v>111.11</v>
      </c>
      <c r="BN159" s="1">
        <v>110.65</v>
      </c>
    </row>
    <row r="160" spans="1:66" x14ac:dyDescent="0.3">
      <c r="A160" s="2"/>
      <c r="C160" s="14" t="str">
        <f t="shared" si="3"/>
        <v>20258</v>
      </c>
      <c r="D160" s="3">
        <v>45880</v>
      </c>
      <c r="E160" s="21">
        <v>1685.59</v>
      </c>
      <c r="F160" s="21">
        <v>1540.9</v>
      </c>
      <c r="G160" s="21">
        <v>1559.34</v>
      </c>
      <c r="H160" s="21">
        <v>1743.06</v>
      </c>
      <c r="I160" s="21">
        <v>1636.96</v>
      </c>
      <c r="J160" s="21">
        <v>1649.16</v>
      </c>
      <c r="K160" s="21">
        <v>1563.18</v>
      </c>
      <c r="L160" s="21">
        <v>1529.65</v>
      </c>
      <c r="M160" s="21">
        <v>1451.64</v>
      </c>
      <c r="N160" s="21">
        <v>1533.93</v>
      </c>
      <c r="O160" s="21">
        <v>1660.54</v>
      </c>
      <c r="P160" s="21">
        <v>1613.27</v>
      </c>
      <c r="Q160" s="21">
        <v>6955.87</v>
      </c>
      <c r="R160" s="20">
        <v>117.26</v>
      </c>
      <c r="S160" s="20">
        <v>112.13</v>
      </c>
      <c r="T160" s="21">
        <v>121.66</v>
      </c>
      <c r="V160" s="1">
        <v>114.74</v>
      </c>
      <c r="W160" s="1">
        <v>123.27</v>
      </c>
      <c r="X160" s="1">
        <v>123.33</v>
      </c>
      <c r="Y160" s="1">
        <v>116.45</v>
      </c>
      <c r="Z160" s="1">
        <v>117.07</v>
      </c>
      <c r="AA160" s="1">
        <v>119.22</v>
      </c>
      <c r="AB160" s="1">
        <v>122.89</v>
      </c>
      <c r="AE160" s="1">
        <v>131.01</v>
      </c>
      <c r="AF160" s="1">
        <v>130.57</v>
      </c>
      <c r="AG160" s="1">
        <v>117.59</v>
      </c>
      <c r="AN160" s="1">
        <v>4117.38</v>
      </c>
      <c r="AP160" s="1">
        <v>4002.5</v>
      </c>
      <c r="AQ160" s="1">
        <v>4056.68</v>
      </c>
      <c r="AR160" s="1">
        <v>3721.58</v>
      </c>
      <c r="AS160" s="1">
        <v>4089.56</v>
      </c>
      <c r="AT160" s="1">
        <v>4108.28</v>
      </c>
      <c r="AU160" s="1">
        <v>4031.39</v>
      </c>
      <c r="AW160" s="1">
        <v>4097.1499999999996</v>
      </c>
      <c r="AX160" s="1">
        <v>122.32</v>
      </c>
      <c r="AY160" s="1">
        <v>3987.07</v>
      </c>
      <c r="AZ160" s="1">
        <v>4173.0200000000004</v>
      </c>
      <c r="BA160" s="1">
        <v>122.73</v>
      </c>
      <c r="BB160" s="1">
        <v>133.56</v>
      </c>
      <c r="BC160" s="1">
        <v>129.49</v>
      </c>
      <c r="BD160" s="1">
        <v>132.18</v>
      </c>
      <c r="BE160" s="1">
        <v>122.13</v>
      </c>
      <c r="BF160" s="1">
        <v>123.64</v>
      </c>
      <c r="BG160" s="1">
        <v>132.93</v>
      </c>
      <c r="BH160" s="1">
        <v>122.62</v>
      </c>
      <c r="BI160" s="1">
        <v>125.98</v>
      </c>
      <c r="BJ160" s="1">
        <v>132.65</v>
      </c>
      <c r="BK160" s="1">
        <v>111.18</v>
      </c>
      <c r="BL160" s="1">
        <v>111.44</v>
      </c>
      <c r="BN160" s="1">
        <v>111.31</v>
      </c>
    </row>
    <row r="161" spans="1:66" x14ac:dyDescent="0.3">
      <c r="A161" s="2"/>
      <c r="C161" s="14" t="str">
        <f t="shared" si="3"/>
        <v>20258</v>
      </c>
      <c r="D161" s="3">
        <v>45877</v>
      </c>
      <c r="E161" s="21">
        <v>1683</v>
      </c>
      <c r="F161" s="21">
        <v>1541.72</v>
      </c>
      <c r="G161" s="21">
        <v>1584.05</v>
      </c>
      <c r="H161" s="21">
        <v>1729.88</v>
      </c>
      <c r="I161" s="21">
        <v>1628.4</v>
      </c>
      <c r="J161" s="21">
        <v>1649.14</v>
      </c>
      <c r="K161" s="21">
        <v>1561.96</v>
      </c>
      <c r="L161" s="21">
        <v>1566.06</v>
      </c>
      <c r="M161" s="21"/>
      <c r="N161" s="21">
        <v>1520.6</v>
      </c>
      <c r="O161" s="21">
        <v>1613.12</v>
      </c>
      <c r="P161" s="21">
        <v>1599.47</v>
      </c>
      <c r="Q161" s="21">
        <v>6975.87</v>
      </c>
      <c r="R161" s="20">
        <v>116.26</v>
      </c>
      <c r="S161" s="20">
        <v>111.92</v>
      </c>
      <c r="T161" s="21">
        <v>119.86</v>
      </c>
      <c r="V161" s="1">
        <v>113.65</v>
      </c>
      <c r="W161" s="1">
        <v>122.27</v>
      </c>
      <c r="X161" s="1">
        <v>122.83</v>
      </c>
      <c r="Y161" s="1">
        <v>115.83</v>
      </c>
      <c r="Z161" s="1">
        <v>116.4</v>
      </c>
      <c r="AA161" s="1">
        <v>118.09</v>
      </c>
      <c r="AB161" s="1">
        <v>122.73</v>
      </c>
      <c r="AE161" s="1">
        <v>131.68</v>
      </c>
      <c r="AF161" s="1">
        <v>132.07</v>
      </c>
      <c r="AG161" s="1">
        <v>118.6</v>
      </c>
      <c r="AP161" s="1">
        <v>4005</v>
      </c>
      <c r="AQ161" s="1">
        <v>4056.68</v>
      </c>
      <c r="AR161" s="1">
        <v>3721.58</v>
      </c>
      <c r="AS161" s="1">
        <v>4089.56</v>
      </c>
      <c r="AT161" s="1">
        <v>4146.8500000000004</v>
      </c>
      <c r="AU161" s="1">
        <v>3987.55</v>
      </c>
      <c r="AW161" s="1">
        <v>4093.35</v>
      </c>
      <c r="AX161" s="1">
        <v>121.55</v>
      </c>
      <c r="AY161" s="1">
        <v>3965.64</v>
      </c>
      <c r="AZ161" s="1">
        <v>4151.66</v>
      </c>
      <c r="BA161" s="1">
        <v>122.73</v>
      </c>
      <c r="BB161" s="1">
        <v>132.18</v>
      </c>
      <c r="BC161" s="1">
        <v>128.77000000000001</v>
      </c>
      <c r="BD161" s="1">
        <v>131.22999999999999</v>
      </c>
      <c r="BE161" s="1">
        <v>120.06</v>
      </c>
      <c r="BF161" s="1">
        <v>125.19</v>
      </c>
      <c r="BG161" s="1">
        <v>133.30000000000001</v>
      </c>
      <c r="BH161" s="1">
        <v>122.39</v>
      </c>
      <c r="BI161" s="1">
        <v>125.98</v>
      </c>
      <c r="BJ161" s="1">
        <v>132.76</v>
      </c>
      <c r="BK161" s="1">
        <v>110.18</v>
      </c>
      <c r="BL161" s="1">
        <v>110.78</v>
      </c>
      <c r="BN161" s="1">
        <v>110.31</v>
      </c>
    </row>
    <row r="162" spans="1:66" x14ac:dyDescent="0.3">
      <c r="A162" s="2"/>
      <c r="C162" s="14" t="str">
        <f t="shared" si="3"/>
        <v>20258</v>
      </c>
      <c r="D162" s="3">
        <v>45876</v>
      </c>
      <c r="E162" s="21">
        <v>1710.3</v>
      </c>
      <c r="F162" s="21">
        <v>1541.72</v>
      </c>
      <c r="G162" s="21">
        <v>1584.05</v>
      </c>
      <c r="H162" s="21">
        <v>1733.19</v>
      </c>
      <c r="I162" s="21">
        <v>1628.3</v>
      </c>
      <c r="J162" s="21">
        <v>1635.67</v>
      </c>
      <c r="K162" s="21">
        <v>1561.55</v>
      </c>
      <c r="L162" s="21">
        <v>1566.06</v>
      </c>
      <c r="M162" s="21">
        <v>1464.33</v>
      </c>
      <c r="N162" s="21">
        <v>1516.14</v>
      </c>
      <c r="O162" s="21">
        <v>1605.39</v>
      </c>
      <c r="P162" s="21">
        <v>1605.89</v>
      </c>
      <c r="Q162" s="21">
        <v>6975.87</v>
      </c>
      <c r="R162" s="20">
        <v>116.26</v>
      </c>
      <c r="S162" s="20">
        <v>111.9</v>
      </c>
      <c r="T162" s="21">
        <v>123.14</v>
      </c>
      <c r="V162" s="1">
        <v>113.48</v>
      </c>
      <c r="W162" s="1">
        <v>121.77</v>
      </c>
      <c r="X162" s="1">
        <v>122.12</v>
      </c>
      <c r="Y162" s="1">
        <v>116.09</v>
      </c>
      <c r="Z162" s="1">
        <v>116.11</v>
      </c>
      <c r="AA162" s="1">
        <v>118.18</v>
      </c>
      <c r="AB162" s="1">
        <v>122.44</v>
      </c>
      <c r="AE162" s="1">
        <v>131.35</v>
      </c>
      <c r="AF162" s="1">
        <v>132.07</v>
      </c>
      <c r="AG162" s="1">
        <v>118.59</v>
      </c>
      <c r="AI162" s="1">
        <v>20</v>
      </c>
      <c r="AN162" s="1">
        <v>4159.0200000000004</v>
      </c>
      <c r="AP162" s="1">
        <v>4082.5</v>
      </c>
      <c r="AQ162" s="1">
        <v>4056.68</v>
      </c>
      <c r="AR162" s="1">
        <v>3721.58</v>
      </c>
      <c r="AS162" s="1">
        <v>4089.56</v>
      </c>
      <c r="AT162" s="1">
        <v>4146.8500000000004</v>
      </c>
      <c r="AU162" s="1">
        <v>3987.55</v>
      </c>
      <c r="AW162" s="1">
        <v>4093.35</v>
      </c>
      <c r="AX162" s="1">
        <v>121.7</v>
      </c>
      <c r="AY162" s="1">
        <v>4002.39</v>
      </c>
      <c r="AZ162" s="1">
        <v>4151.66</v>
      </c>
      <c r="BA162" s="1">
        <v>122.58</v>
      </c>
      <c r="BB162" s="1">
        <v>132.5</v>
      </c>
      <c r="BC162" s="1">
        <v>128.36000000000001</v>
      </c>
      <c r="BD162" s="1">
        <v>130.28</v>
      </c>
      <c r="BE162" s="1">
        <v>120.06</v>
      </c>
      <c r="BF162" s="1">
        <v>125.19</v>
      </c>
      <c r="BG162" s="1">
        <v>133.30000000000001</v>
      </c>
      <c r="BH162" s="1">
        <v>122.39</v>
      </c>
      <c r="BI162" s="1">
        <v>125.98</v>
      </c>
      <c r="BJ162" s="1">
        <v>132.74</v>
      </c>
      <c r="BK162" s="1">
        <v>110.18</v>
      </c>
      <c r="BL162" s="1">
        <v>110.78</v>
      </c>
      <c r="BN162" s="1">
        <v>110.31</v>
      </c>
    </row>
    <row r="163" spans="1:66" x14ac:dyDescent="0.3">
      <c r="A163" s="2"/>
      <c r="C163" s="14" t="str">
        <f t="shared" si="3"/>
        <v>20258</v>
      </c>
      <c r="D163" s="3">
        <v>45875</v>
      </c>
      <c r="E163" s="21">
        <v>1717.78</v>
      </c>
      <c r="F163" s="21">
        <v>1554.15</v>
      </c>
      <c r="G163" s="21">
        <v>1589</v>
      </c>
      <c r="H163" s="21">
        <v>1729.88</v>
      </c>
      <c r="I163" s="21">
        <v>1628.21</v>
      </c>
      <c r="J163" s="21">
        <v>1629.63</v>
      </c>
      <c r="K163" s="21">
        <v>1543.12</v>
      </c>
      <c r="L163" s="21">
        <v>1566.06</v>
      </c>
      <c r="M163" s="21">
        <v>1452.69</v>
      </c>
      <c r="N163" s="21">
        <v>1516.11</v>
      </c>
      <c r="O163" s="21">
        <v>1609.65</v>
      </c>
      <c r="P163" s="21">
        <v>1583.29</v>
      </c>
      <c r="Q163" s="21">
        <v>6975.87</v>
      </c>
      <c r="R163" s="20">
        <v>116.26</v>
      </c>
      <c r="S163" s="20">
        <v>111.56</v>
      </c>
      <c r="T163" s="21">
        <v>123.14</v>
      </c>
      <c r="V163" s="1">
        <v>113.22</v>
      </c>
      <c r="W163" s="1">
        <v>121.77</v>
      </c>
      <c r="X163" s="1">
        <v>122.69</v>
      </c>
      <c r="Y163" s="1">
        <v>116.75</v>
      </c>
      <c r="Z163" s="1">
        <v>116.4</v>
      </c>
      <c r="AA163" s="1">
        <v>118.32</v>
      </c>
      <c r="AB163" s="1">
        <v>122.14</v>
      </c>
      <c r="AE163" s="1">
        <v>131.18</v>
      </c>
      <c r="AF163" s="1">
        <v>132.07</v>
      </c>
      <c r="AG163" s="1">
        <v>117.15</v>
      </c>
      <c r="AI163" s="1">
        <v>20</v>
      </c>
      <c r="AN163" s="1">
        <v>4090.15</v>
      </c>
      <c r="AP163" s="1">
        <v>4077.5</v>
      </c>
      <c r="AQ163" s="1">
        <v>4046.57</v>
      </c>
      <c r="AR163" s="1">
        <v>3721.58</v>
      </c>
      <c r="AS163" s="1">
        <v>4089.56</v>
      </c>
      <c r="AT163" s="1">
        <v>4104.92</v>
      </c>
      <c r="AU163" s="1">
        <v>3998.51</v>
      </c>
      <c r="AW163" s="1">
        <v>4085.01</v>
      </c>
      <c r="AX163" s="1">
        <v>122.87</v>
      </c>
      <c r="AY163" s="1">
        <v>4078.6</v>
      </c>
      <c r="AZ163" s="1">
        <v>4151.66</v>
      </c>
      <c r="BA163" s="1">
        <v>122.78</v>
      </c>
      <c r="BB163" s="1">
        <v>134.07</v>
      </c>
      <c r="BC163" s="1">
        <v>129.72</v>
      </c>
      <c r="BD163" s="1">
        <v>130.79</v>
      </c>
      <c r="BE163" s="1">
        <v>120.06</v>
      </c>
      <c r="BF163" s="1">
        <v>124.2</v>
      </c>
      <c r="BG163" s="1">
        <v>131.93</v>
      </c>
      <c r="BH163" s="1">
        <v>122.06</v>
      </c>
      <c r="BI163" s="1">
        <v>125.98</v>
      </c>
      <c r="BJ163" s="1">
        <v>132.56</v>
      </c>
      <c r="BK163" s="1">
        <v>110.85</v>
      </c>
      <c r="BL163" s="1">
        <v>111.11</v>
      </c>
      <c r="BN163" s="1">
        <v>110.98</v>
      </c>
    </row>
    <row r="164" spans="1:66" x14ac:dyDescent="0.3">
      <c r="A164" s="2"/>
      <c r="C164" s="14" t="str">
        <f t="shared" si="3"/>
        <v>20258</v>
      </c>
      <c r="D164" s="3">
        <v>45874</v>
      </c>
      <c r="E164" s="21">
        <v>1668.1</v>
      </c>
      <c r="F164" s="21">
        <v>1525.6</v>
      </c>
      <c r="G164" s="21">
        <v>1589</v>
      </c>
      <c r="H164" s="21">
        <v>1752.14</v>
      </c>
      <c r="I164" s="21">
        <v>1601.75</v>
      </c>
      <c r="J164" s="21">
        <v>1599.08</v>
      </c>
      <c r="K164" s="21">
        <v>1542.87</v>
      </c>
      <c r="L164" s="21">
        <v>1551.93</v>
      </c>
      <c r="M164" s="21">
        <v>1417.78</v>
      </c>
      <c r="N164" s="21">
        <v>1527.96</v>
      </c>
      <c r="O164" s="21">
        <v>1600.07</v>
      </c>
      <c r="P164" s="21">
        <v>1585.64</v>
      </c>
      <c r="Q164" s="21">
        <v>6934.53</v>
      </c>
      <c r="R164" s="20">
        <v>115.43</v>
      </c>
      <c r="S164" s="20">
        <v>111.54</v>
      </c>
      <c r="T164" s="21">
        <v>122.05</v>
      </c>
      <c r="V164" s="1">
        <v>113.21</v>
      </c>
      <c r="W164" s="1">
        <v>121.6</v>
      </c>
      <c r="X164" s="1">
        <v>122.69</v>
      </c>
      <c r="Y164" s="1">
        <v>116.73</v>
      </c>
      <c r="Z164" s="1">
        <v>117.18</v>
      </c>
      <c r="AA164" s="1">
        <v>117.93</v>
      </c>
      <c r="AB164" s="1">
        <v>121.26</v>
      </c>
      <c r="AE164" s="1">
        <v>131.52000000000001</v>
      </c>
      <c r="AF164" s="1">
        <v>131.08000000000001</v>
      </c>
      <c r="AG164" s="1">
        <v>116.17</v>
      </c>
      <c r="AI164" s="1">
        <v>20</v>
      </c>
      <c r="AN164" s="1">
        <v>4090.15</v>
      </c>
      <c r="AP164" s="1">
        <v>4077.5</v>
      </c>
      <c r="AQ164" s="1">
        <v>4046.57</v>
      </c>
      <c r="AR164" s="1">
        <v>3721.58</v>
      </c>
      <c r="AS164" s="1">
        <v>4089.56</v>
      </c>
      <c r="AT164" s="1">
        <v>4123.21</v>
      </c>
      <c r="AU164" s="1">
        <v>4008.63</v>
      </c>
      <c r="AW164" s="1">
        <v>4085.01</v>
      </c>
      <c r="AX164" s="1">
        <v>121.01</v>
      </c>
      <c r="AY164" s="1">
        <v>4011.5</v>
      </c>
      <c r="AZ164" s="1">
        <v>4151.66</v>
      </c>
      <c r="BA164" s="1">
        <v>122.06</v>
      </c>
      <c r="BB164" s="1">
        <v>133.91</v>
      </c>
      <c r="BC164" s="1">
        <v>129.46</v>
      </c>
      <c r="BD164" s="1">
        <v>130.86000000000001</v>
      </c>
      <c r="BE164" s="1">
        <v>119.66</v>
      </c>
      <c r="BF164" s="1">
        <v>118.83</v>
      </c>
      <c r="BG164" s="1">
        <v>131.74</v>
      </c>
      <c r="BH164" s="1">
        <v>122.22</v>
      </c>
      <c r="BI164" s="1">
        <v>125.98</v>
      </c>
      <c r="BJ164" s="1">
        <v>132.21</v>
      </c>
      <c r="BK164" s="1">
        <v>110.85</v>
      </c>
      <c r="BL164" s="1">
        <v>110.78</v>
      </c>
      <c r="BN164" s="1">
        <v>110.98</v>
      </c>
    </row>
    <row r="165" spans="1:66" x14ac:dyDescent="0.3">
      <c r="A165" s="2"/>
      <c r="C165" s="14" t="str">
        <f t="shared" si="3"/>
        <v>20258</v>
      </c>
      <c r="D165" s="3">
        <v>45873</v>
      </c>
      <c r="E165" s="21">
        <v>1721.47</v>
      </c>
      <c r="F165" s="21">
        <v>1525.6</v>
      </c>
      <c r="G165" s="21">
        <v>1607.94</v>
      </c>
      <c r="H165" s="21">
        <v>1762.86</v>
      </c>
      <c r="I165" s="21">
        <v>1601.35</v>
      </c>
      <c r="J165" s="21">
        <v>1616.35</v>
      </c>
      <c r="K165" s="21">
        <v>1541.89</v>
      </c>
      <c r="L165" s="21">
        <v>1551.93</v>
      </c>
      <c r="M165" s="21">
        <v>1403.84</v>
      </c>
      <c r="N165" s="21">
        <v>1509.38</v>
      </c>
      <c r="O165" s="21">
        <v>1592.27</v>
      </c>
      <c r="P165" s="21">
        <v>1580.13</v>
      </c>
      <c r="Q165" s="21">
        <v>6934.53</v>
      </c>
      <c r="R165" s="20">
        <v>115.43</v>
      </c>
      <c r="S165" s="20">
        <v>110.86</v>
      </c>
      <c r="T165" s="21">
        <v>121.15</v>
      </c>
      <c r="V165" s="1">
        <v>113.09</v>
      </c>
      <c r="W165" s="1">
        <v>120.94</v>
      </c>
      <c r="X165" s="1">
        <v>121.62</v>
      </c>
      <c r="Y165" s="1">
        <v>115.93</v>
      </c>
      <c r="Z165" s="1">
        <v>116.11</v>
      </c>
      <c r="AA165" s="1">
        <v>117.93</v>
      </c>
      <c r="AB165" s="1">
        <v>120.89</v>
      </c>
      <c r="AE165" s="1">
        <v>130.85</v>
      </c>
      <c r="AF165" s="1">
        <v>127.57</v>
      </c>
      <c r="AG165" s="1">
        <v>115.42</v>
      </c>
      <c r="AI165" s="1">
        <v>20</v>
      </c>
      <c r="AN165" s="1">
        <v>4090.15</v>
      </c>
      <c r="AP165" s="1">
        <v>4077.5</v>
      </c>
      <c r="AR165" s="1">
        <v>3775.95</v>
      </c>
      <c r="AS165" s="1">
        <v>4124.97</v>
      </c>
      <c r="AT165" s="1">
        <v>4123.21</v>
      </c>
      <c r="AU165" s="1">
        <v>4008.63</v>
      </c>
      <c r="AW165" s="1">
        <v>4085.01</v>
      </c>
      <c r="AX165" s="1">
        <v>120.48</v>
      </c>
      <c r="AY165" s="1">
        <v>4008.82</v>
      </c>
      <c r="AZ165" s="1">
        <v>4140.99</v>
      </c>
      <c r="BA165" s="1">
        <v>122.06</v>
      </c>
      <c r="BB165" s="1">
        <v>132.96</v>
      </c>
      <c r="BC165" s="1">
        <v>129.26</v>
      </c>
      <c r="BD165" s="1">
        <v>130.22999999999999</v>
      </c>
      <c r="BE165" s="1">
        <v>119.66</v>
      </c>
      <c r="BF165" s="1">
        <v>123.95</v>
      </c>
      <c r="BG165" s="1">
        <v>131.74</v>
      </c>
      <c r="BH165" s="1">
        <v>122.22</v>
      </c>
      <c r="BI165" s="1">
        <v>125.98</v>
      </c>
      <c r="BJ165" s="1">
        <v>132.19999999999999</v>
      </c>
      <c r="BK165" s="1">
        <v>110.18</v>
      </c>
      <c r="BL165" s="1">
        <v>110.44</v>
      </c>
      <c r="BN165" s="1">
        <v>110.31</v>
      </c>
    </row>
    <row r="166" spans="1:66" x14ac:dyDescent="0.3">
      <c r="A166" s="2"/>
      <c r="C166" s="14" t="str">
        <f t="shared" si="3"/>
        <v>20258</v>
      </c>
      <c r="D166" s="3">
        <v>45870</v>
      </c>
      <c r="E166" s="21">
        <v>1717.53</v>
      </c>
      <c r="F166" s="21">
        <v>1552.56</v>
      </c>
      <c r="G166" s="21">
        <v>1650.78</v>
      </c>
      <c r="H166" s="21">
        <v>1683.75</v>
      </c>
      <c r="I166" s="21">
        <v>1601.35</v>
      </c>
      <c r="J166" s="21">
        <v>1616.35</v>
      </c>
      <c r="K166" s="21">
        <v>1542.01</v>
      </c>
      <c r="L166" s="21"/>
      <c r="M166" s="21">
        <v>1403.84</v>
      </c>
      <c r="N166" s="21">
        <v>1488.96</v>
      </c>
      <c r="O166" s="21">
        <v>1611.48</v>
      </c>
      <c r="P166" s="21">
        <v>1596.95</v>
      </c>
      <c r="Q166" s="21">
        <v>6934.53</v>
      </c>
      <c r="R166" s="20">
        <v>115.43</v>
      </c>
      <c r="S166" s="20">
        <v>108.51</v>
      </c>
      <c r="T166" s="21">
        <v>119.27</v>
      </c>
      <c r="V166" s="1">
        <v>113.18</v>
      </c>
      <c r="W166" s="1">
        <v>120.94</v>
      </c>
      <c r="X166" s="1">
        <v>121.34</v>
      </c>
      <c r="Y166" s="1">
        <v>115.93</v>
      </c>
      <c r="Z166" s="1">
        <v>116.11</v>
      </c>
      <c r="AA166" s="1">
        <v>117.88</v>
      </c>
      <c r="AB166" s="1">
        <v>120.76</v>
      </c>
      <c r="AE166" s="1">
        <v>130.68</v>
      </c>
      <c r="AF166" s="1">
        <v>128.68</v>
      </c>
      <c r="AG166" s="1">
        <v>115.22</v>
      </c>
      <c r="AI166" s="1">
        <v>20</v>
      </c>
      <c r="AN166" s="1">
        <v>4090.15</v>
      </c>
      <c r="AP166" s="1">
        <v>4077.5</v>
      </c>
      <c r="AQ166" s="1">
        <v>4216.8599999999997</v>
      </c>
      <c r="AR166" s="1">
        <v>3797.03</v>
      </c>
      <c r="AT166" s="1">
        <v>4089.79</v>
      </c>
      <c r="AU166" s="1">
        <v>4028.86</v>
      </c>
      <c r="AW166" s="1">
        <v>4157.8500000000004</v>
      </c>
      <c r="AX166" s="1">
        <v>119.66</v>
      </c>
      <c r="AY166" s="1">
        <v>3978.28</v>
      </c>
      <c r="BA166" s="1">
        <v>122.06</v>
      </c>
      <c r="BB166" s="1">
        <v>133.11000000000001</v>
      </c>
      <c r="BC166" s="1">
        <v>129.57</v>
      </c>
      <c r="BD166" s="1">
        <v>132.05000000000001</v>
      </c>
      <c r="BE166" s="1">
        <v>119.66</v>
      </c>
      <c r="BF166" s="1">
        <v>123.95</v>
      </c>
      <c r="BG166" s="1">
        <v>131.74</v>
      </c>
      <c r="BH166" s="1">
        <v>119.14</v>
      </c>
      <c r="BI166" s="1">
        <v>125.98</v>
      </c>
      <c r="BJ166" s="1">
        <v>132.31</v>
      </c>
      <c r="BK166" s="1">
        <v>110.18</v>
      </c>
      <c r="BL166" s="1">
        <v>110.44</v>
      </c>
      <c r="BN166" s="1">
        <v>110.31</v>
      </c>
    </row>
    <row r="167" spans="1:66" x14ac:dyDescent="0.3">
      <c r="A167" s="2"/>
      <c r="C167" s="14" t="str">
        <f t="shared" si="3"/>
        <v>20257</v>
      </c>
      <c r="D167" s="3">
        <v>45869</v>
      </c>
      <c r="E167" s="21">
        <v>1715.98</v>
      </c>
      <c r="F167" s="21">
        <v>1596.03</v>
      </c>
      <c r="G167" s="21">
        <v>1648.95</v>
      </c>
      <c r="H167" s="21">
        <v>1678.6</v>
      </c>
      <c r="I167" s="21">
        <v>1599.45</v>
      </c>
      <c r="J167" s="21">
        <v>1606.81</v>
      </c>
      <c r="K167" s="21">
        <v>1557.3</v>
      </c>
      <c r="L167" s="21"/>
      <c r="M167" s="21">
        <v>1428.74</v>
      </c>
      <c r="N167" s="21">
        <v>1499.35</v>
      </c>
      <c r="O167" s="21">
        <v>1576.52</v>
      </c>
      <c r="P167" s="21">
        <v>1634.36</v>
      </c>
      <c r="Q167" s="21">
        <v>6931.95</v>
      </c>
      <c r="R167" s="20">
        <v>114.9</v>
      </c>
      <c r="S167" s="20">
        <v>108.28</v>
      </c>
      <c r="T167" s="21">
        <v>119.28</v>
      </c>
      <c r="V167" s="1">
        <v>113.47</v>
      </c>
      <c r="W167" s="1">
        <v>121.34</v>
      </c>
      <c r="X167" s="1">
        <v>121.31</v>
      </c>
      <c r="Y167" s="1">
        <v>115.92</v>
      </c>
      <c r="Z167" s="1">
        <v>116.14</v>
      </c>
      <c r="AA167" s="1">
        <v>118.11</v>
      </c>
      <c r="AB167" s="1">
        <v>120.56</v>
      </c>
      <c r="AE167" s="1">
        <v>130.94999999999999</v>
      </c>
      <c r="AF167" s="1">
        <v>128.03</v>
      </c>
      <c r="AG167" s="1">
        <v>115.09</v>
      </c>
      <c r="AN167" s="1">
        <v>4025.71</v>
      </c>
      <c r="AQ167" s="1">
        <v>4221.51</v>
      </c>
      <c r="AR167" s="1">
        <v>3801.22</v>
      </c>
      <c r="AT167" s="1">
        <v>4094.3</v>
      </c>
      <c r="AU167" s="1">
        <v>4033.31</v>
      </c>
      <c r="AW167" s="1">
        <v>4166.99</v>
      </c>
      <c r="AX167" s="1">
        <v>118.91</v>
      </c>
      <c r="AY167" s="1">
        <v>3969</v>
      </c>
      <c r="BA167" s="1">
        <v>121.48</v>
      </c>
      <c r="BB167" s="1">
        <v>133.62</v>
      </c>
      <c r="BC167" s="1">
        <v>129.04</v>
      </c>
      <c r="BD167" s="1">
        <v>131.77000000000001</v>
      </c>
      <c r="BE167" s="1">
        <v>119.03</v>
      </c>
      <c r="BF167" s="1">
        <v>123.42</v>
      </c>
      <c r="BG167" s="1">
        <v>131.51</v>
      </c>
      <c r="BH167" s="1">
        <v>119.5</v>
      </c>
      <c r="BI167" s="1">
        <v>125.94</v>
      </c>
      <c r="BJ167" s="1">
        <v>131.9</v>
      </c>
      <c r="BK167" s="1">
        <v>110.84</v>
      </c>
      <c r="BL167" s="1">
        <v>111.1</v>
      </c>
      <c r="BN167" s="1">
        <v>110.97</v>
      </c>
    </row>
    <row r="168" spans="1:66" x14ac:dyDescent="0.3">
      <c r="A168" s="2"/>
      <c r="C168" s="14" t="str">
        <f t="shared" si="3"/>
        <v>20257</v>
      </c>
      <c r="D168" s="3">
        <v>45868</v>
      </c>
      <c r="E168" s="21">
        <v>1713.5</v>
      </c>
      <c r="F168" s="21">
        <v>1596.03</v>
      </c>
      <c r="G168" s="21">
        <v>1650.89</v>
      </c>
      <c r="H168" s="21">
        <v>1681.07</v>
      </c>
      <c r="I168" s="21">
        <v>1619.32</v>
      </c>
      <c r="J168" s="21">
        <v>1587.94</v>
      </c>
      <c r="K168" s="21">
        <v>1547.8</v>
      </c>
      <c r="L168" s="21"/>
      <c r="M168" s="21">
        <v>1453.56</v>
      </c>
      <c r="N168" s="21">
        <v>1497.91</v>
      </c>
      <c r="O168" s="21">
        <v>1563.95</v>
      </c>
      <c r="P168" s="21">
        <v>1630.99</v>
      </c>
      <c r="Q168" s="21">
        <v>6972.94</v>
      </c>
      <c r="R168" s="20">
        <v>114.9</v>
      </c>
      <c r="S168" s="20">
        <v>107.95</v>
      </c>
      <c r="T168" s="21">
        <v>119.27</v>
      </c>
      <c r="V168" s="1">
        <v>113.8</v>
      </c>
      <c r="W168" s="1">
        <v>120.93</v>
      </c>
      <c r="X168" s="1">
        <v>121.17</v>
      </c>
      <c r="Y168" s="1">
        <v>115.87</v>
      </c>
      <c r="Z168" s="1">
        <v>116.39</v>
      </c>
      <c r="AA168" s="1">
        <v>118.03</v>
      </c>
      <c r="AB168" s="1">
        <v>120.93</v>
      </c>
      <c r="AE168" s="1">
        <v>130.94999999999999</v>
      </c>
      <c r="AF168" s="1">
        <v>128.69</v>
      </c>
      <c r="AG168" s="1">
        <v>115.18</v>
      </c>
      <c r="AP168" s="1">
        <v>4185</v>
      </c>
      <c r="AQ168" s="1">
        <v>4221.51</v>
      </c>
      <c r="AR168" s="1">
        <v>3801.22</v>
      </c>
      <c r="AU168" s="1">
        <v>4033.31</v>
      </c>
      <c r="AW168" s="1">
        <v>4244.47</v>
      </c>
      <c r="AX168" s="1">
        <v>119.15</v>
      </c>
      <c r="AY168" s="1">
        <v>3969</v>
      </c>
      <c r="BA168" s="1">
        <v>120.8</v>
      </c>
      <c r="BB168" s="1">
        <v>133.12</v>
      </c>
      <c r="BC168" s="1">
        <v>128.79</v>
      </c>
      <c r="BD168" s="1">
        <v>131.54</v>
      </c>
      <c r="BE168" s="1">
        <v>119.19</v>
      </c>
      <c r="BF168" s="1">
        <v>122.92</v>
      </c>
      <c r="BG168" s="1">
        <v>131.28</v>
      </c>
      <c r="BH168" s="1">
        <v>119.5</v>
      </c>
      <c r="BI168" s="1">
        <v>125.57</v>
      </c>
      <c r="BJ168" s="1">
        <v>132.08000000000001</v>
      </c>
      <c r="BK168" s="1">
        <v>110.84</v>
      </c>
      <c r="BL168" s="1">
        <v>111.77</v>
      </c>
      <c r="BN168" s="1">
        <v>110.97</v>
      </c>
    </row>
    <row r="169" spans="1:66" x14ac:dyDescent="0.3">
      <c r="A169" s="2"/>
      <c r="C169" s="14" t="str">
        <f t="shared" si="3"/>
        <v>20257</v>
      </c>
      <c r="D169" s="3">
        <v>45867</v>
      </c>
      <c r="E169" s="21">
        <v>1706.06</v>
      </c>
      <c r="F169" s="21">
        <v>1596.03</v>
      </c>
      <c r="G169" s="21">
        <v>1661.29</v>
      </c>
      <c r="H169" s="21">
        <v>1676.13</v>
      </c>
      <c r="I169" s="21">
        <v>1621.07</v>
      </c>
      <c r="J169" s="21">
        <v>1577.94</v>
      </c>
      <c r="K169" s="21">
        <v>1569.84</v>
      </c>
      <c r="L169" s="21"/>
      <c r="M169" s="21">
        <v>1444.61</v>
      </c>
      <c r="N169" s="21">
        <v>1485.6</v>
      </c>
      <c r="O169" s="21">
        <v>1564.91</v>
      </c>
      <c r="P169" s="21">
        <v>1587.94</v>
      </c>
      <c r="Q169" s="21">
        <v>6939.6</v>
      </c>
      <c r="R169" s="20">
        <v>114.9</v>
      </c>
      <c r="S169" s="20">
        <v>109.11</v>
      </c>
      <c r="T169" s="21">
        <v>119.27</v>
      </c>
      <c r="V169" s="1">
        <v>113.44</v>
      </c>
      <c r="W169" s="1">
        <v>121.1</v>
      </c>
      <c r="X169" s="1">
        <v>122.02</v>
      </c>
      <c r="Y169" s="1">
        <v>116.88</v>
      </c>
      <c r="Z169" s="1">
        <v>116.62</v>
      </c>
      <c r="AA169" s="1">
        <v>118.03</v>
      </c>
      <c r="AB169" s="1">
        <v>122.21</v>
      </c>
      <c r="AE169" s="1">
        <v>131.44999999999999</v>
      </c>
      <c r="AF169" s="1">
        <v>128.69</v>
      </c>
      <c r="AG169" s="1">
        <v>114.99</v>
      </c>
      <c r="AP169" s="1">
        <v>4185</v>
      </c>
      <c r="AQ169" s="1">
        <v>4221.51</v>
      </c>
      <c r="AR169" s="1">
        <v>3757.33</v>
      </c>
      <c r="AT169" s="1">
        <v>4116.8599999999997</v>
      </c>
      <c r="AU169" s="1">
        <v>4033.31</v>
      </c>
      <c r="AW169" s="1">
        <v>4225.37</v>
      </c>
      <c r="AX169" s="1">
        <v>118.15</v>
      </c>
      <c r="AY169" s="1">
        <v>3949.75</v>
      </c>
      <c r="BA169" s="1">
        <v>120.72</v>
      </c>
      <c r="BB169" s="1">
        <v>131.91999999999999</v>
      </c>
      <c r="BC169" s="1">
        <v>127.95</v>
      </c>
      <c r="BD169" s="1">
        <v>130.55000000000001</v>
      </c>
      <c r="BE169" s="1">
        <v>120.88</v>
      </c>
      <c r="BF169" s="1">
        <v>122.92</v>
      </c>
      <c r="BG169" s="1">
        <v>132.76</v>
      </c>
      <c r="BH169" s="1">
        <v>118.91</v>
      </c>
      <c r="BI169" s="1">
        <v>124.57</v>
      </c>
      <c r="BJ169" s="1">
        <v>131.57</v>
      </c>
      <c r="BK169" s="1">
        <v>110.84</v>
      </c>
      <c r="BL169" s="1">
        <v>111.77</v>
      </c>
      <c r="BN169" s="1">
        <v>110.97</v>
      </c>
    </row>
    <row r="170" spans="1:66" x14ac:dyDescent="0.3">
      <c r="A170" s="2"/>
      <c r="C170" s="14" t="str">
        <f t="shared" si="3"/>
        <v>20257</v>
      </c>
      <c r="D170" s="3">
        <v>45866</v>
      </c>
      <c r="E170" s="21">
        <v>1696.14</v>
      </c>
      <c r="F170" s="21">
        <v>1596.03</v>
      </c>
      <c r="G170" s="21">
        <v>1661.29</v>
      </c>
      <c r="H170" s="21">
        <v>1695.88</v>
      </c>
      <c r="I170" s="21">
        <v>1620.65</v>
      </c>
      <c r="J170" s="21">
        <v>1577.94</v>
      </c>
      <c r="K170" s="21">
        <v>1567.06</v>
      </c>
      <c r="L170" s="21"/>
      <c r="M170" s="21">
        <v>1481.67</v>
      </c>
      <c r="N170" s="21">
        <v>1445.63</v>
      </c>
      <c r="O170" s="21">
        <v>1554.47</v>
      </c>
      <c r="P170" s="21">
        <v>1571.08</v>
      </c>
      <c r="Q170" s="21">
        <v>6924.79</v>
      </c>
      <c r="R170" s="20">
        <v>115.89</v>
      </c>
      <c r="S170" s="20">
        <v>110.3</v>
      </c>
      <c r="T170" s="21">
        <v>118.78</v>
      </c>
      <c r="V170" s="1">
        <v>113.44</v>
      </c>
      <c r="W170" s="1">
        <v>121.43</v>
      </c>
      <c r="X170" s="1">
        <v>122.6</v>
      </c>
      <c r="Y170" s="1">
        <v>117.05</v>
      </c>
      <c r="Z170" s="1">
        <v>117.07</v>
      </c>
      <c r="AA170" s="1">
        <v>118.29</v>
      </c>
      <c r="AB170" s="1">
        <v>122.43</v>
      </c>
      <c r="AE170" s="1">
        <v>131.44999999999999</v>
      </c>
      <c r="AF170" s="1">
        <v>128.69</v>
      </c>
      <c r="AG170" s="1">
        <v>115.26</v>
      </c>
      <c r="AP170" s="1">
        <v>4185</v>
      </c>
      <c r="AQ170" s="1">
        <v>4177.62</v>
      </c>
      <c r="AR170" s="1">
        <v>3888.99</v>
      </c>
      <c r="AT170" s="1">
        <v>4116.8599999999997</v>
      </c>
      <c r="AU170" s="1">
        <v>4033.31</v>
      </c>
      <c r="AW170" s="1">
        <v>4225.37</v>
      </c>
      <c r="AX170" s="1">
        <v>117.64</v>
      </c>
      <c r="AY170" s="1">
        <v>3949.75</v>
      </c>
      <c r="BA170" s="1">
        <v>121.1</v>
      </c>
      <c r="BB170" s="1">
        <v>131.66999999999999</v>
      </c>
      <c r="BC170" s="1">
        <v>128</v>
      </c>
      <c r="BD170" s="1">
        <v>130.04</v>
      </c>
      <c r="BE170" s="1">
        <v>119.57</v>
      </c>
      <c r="BF170" s="1">
        <v>123.67</v>
      </c>
      <c r="BG170" s="1">
        <v>132.28</v>
      </c>
      <c r="BH170" s="1">
        <v>118.17</v>
      </c>
      <c r="BI170" s="1">
        <v>124.57</v>
      </c>
      <c r="BJ170" s="1">
        <v>131.55000000000001</v>
      </c>
      <c r="BK170" s="1">
        <v>111.51</v>
      </c>
      <c r="BL170" s="1">
        <v>112.1</v>
      </c>
      <c r="BN170" s="1">
        <v>111.64</v>
      </c>
    </row>
    <row r="171" spans="1:66" x14ac:dyDescent="0.3">
      <c r="A171" s="2"/>
      <c r="C171" s="14" t="str">
        <f t="shared" si="3"/>
        <v>20257</v>
      </c>
      <c r="D171" s="3">
        <v>45863</v>
      </c>
      <c r="E171" s="21">
        <v>1696.14</v>
      </c>
      <c r="F171" s="21">
        <v>1596.03</v>
      </c>
      <c r="G171" s="21">
        <v>1664.74</v>
      </c>
      <c r="H171" s="21">
        <v>1724.69</v>
      </c>
      <c r="I171" s="21">
        <v>1620.52</v>
      </c>
      <c r="J171" s="21">
        <v>1595.38</v>
      </c>
      <c r="K171" s="21">
        <v>1582.74</v>
      </c>
      <c r="L171" s="21"/>
      <c r="M171" s="21">
        <v>1491.55</v>
      </c>
      <c r="N171" s="21">
        <v>1459.67</v>
      </c>
      <c r="O171" s="21">
        <v>1534.12</v>
      </c>
      <c r="P171" s="21">
        <v>1522.64</v>
      </c>
      <c r="Q171" s="21">
        <v>6900.11</v>
      </c>
      <c r="R171" s="20">
        <v>116.22</v>
      </c>
      <c r="S171" s="20">
        <v>110.26</v>
      </c>
      <c r="T171" s="21">
        <v>119.85</v>
      </c>
      <c r="V171" s="1">
        <v>113.17</v>
      </c>
      <c r="W171" s="1">
        <v>122.1</v>
      </c>
      <c r="X171" s="1">
        <v>122.67</v>
      </c>
      <c r="Y171" s="1">
        <v>117.29</v>
      </c>
      <c r="Z171" s="1">
        <v>118.06</v>
      </c>
      <c r="AA171" s="1">
        <v>119</v>
      </c>
      <c r="AB171" s="1">
        <v>122.07</v>
      </c>
      <c r="AE171" s="1">
        <v>131.08000000000001</v>
      </c>
      <c r="AF171" s="1">
        <v>127.82</v>
      </c>
      <c r="AG171" s="1">
        <v>114.35</v>
      </c>
      <c r="AP171" s="1">
        <v>4185</v>
      </c>
      <c r="AQ171" s="1">
        <v>4213.07</v>
      </c>
      <c r="AR171" s="1">
        <v>3888.99</v>
      </c>
      <c r="AT171" s="1">
        <v>4224.46</v>
      </c>
      <c r="AU171" s="1">
        <v>4033.31</v>
      </c>
      <c r="AW171" s="1">
        <v>4137.21</v>
      </c>
      <c r="AX171" s="1">
        <v>117.04</v>
      </c>
      <c r="AY171" s="1">
        <v>4010.94</v>
      </c>
      <c r="BA171" s="1">
        <v>121.41</v>
      </c>
      <c r="BB171" s="1">
        <v>132.16</v>
      </c>
      <c r="BC171" s="1">
        <v>127.77</v>
      </c>
      <c r="BD171" s="1">
        <v>129.33000000000001</v>
      </c>
      <c r="BE171" s="1">
        <v>123.12</v>
      </c>
      <c r="BF171" s="1">
        <v>123.67</v>
      </c>
      <c r="BG171" s="1">
        <v>131.13</v>
      </c>
      <c r="BH171" s="1">
        <v>118.5</v>
      </c>
      <c r="BI171" s="1">
        <v>124.57</v>
      </c>
      <c r="BJ171" s="1">
        <v>131.49</v>
      </c>
      <c r="BL171" s="1">
        <v>112.44</v>
      </c>
      <c r="BN171" s="1">
        <v>112.3</v>
      </c>
    </row>
    <row r="172" spans="1:66" x14ac:dyDescent="0.3">
      <c r="A172" s="2"/>
      <c r="C172" s="14" t="str">
        <f t="shared" si="3"/>
        <v>20257</v>
      </c>
      <c r="D172" s="3">
        <v>45862</v>
      </c>
      <c r="E172" s="21">
        <v>1706.06</v>
      </c>
      <c r="F172" s="21">
        <v>1596.03</v>
      </c>
      <c r="G172" s="21">
        <v>1661.29</v>
      </c>
      <c r="H172" s="21">
        <v>1703.29</v>
      </c>
      <c r="I172" s="21">
        <v>1619.41</v>
      </c>
      <c r="J172" s="21">
        <v>1591.08</v>
      </c>
      <c r="K172" s="21">
        <v>1580.53</v>
      </c>
      <c r="L172" s="21"/>
      <c r="M172" s="21">
        <v>1491.55</v>
      </c>
      <c r="N172" s="21">
        <v>1482.68</v>
      </c>
      <c r="O172" s="21">
        <v>1501.97</v>
      </c>
      <c r="P172" s="21">
        <v>1580.34</v>
      </c>
      <c r="Q172" s="21">
        <v>6820.08</v>
      </c>
      <c r="R172" s="20">
        <v>116.22</v>
      </c>
      <c r="S172" s="20">
        <v>110.24</v>
      </c>
      <c r="T172" s="21">
        <v>120.44</v>
      </c>
      <c r="V172" s="1">
        <v>113.16</v>
      </c>
      <c r="W172" s="1">
        <v>122.26</v>
      </c>
      <c r="X172" s="1">
        <v>123.01</v>
      </c>
      <c r="Y172" s="1">
        <v>117.92</v>
      </c>
      <c r="Z172" s="1">
        <v>118.07</v>
      </c>
      <c r="AA172" s="1">
        <v>118.86</v>
      </c>
      <c r="AB172" s="1">
        <v>122.24</v>
      </c>
      <c r="AE172" s="1">
        <v>131.28</v>
      </c>
      <c r="AF172" s="1">
        <v>127.37</v>
      </c>
      <c r="AG172" s="1">
        <v>114.53</v>
      </c>
      <c r="AP172" s="1">
        <v>4185</v>
      </c>
      <c r="AQ172" s="1">
        <v>4213.07</v>
      </c>
      <c r="AR172" s="1">
        <v>3888.99</v>
      </c>
      <c r="AS172" s="1">
        <v>4253.58</v>
      </c>
      <c r="AT172" s="1">
        <v>4224.46</v>
      </c>
      <c r="AU172" s="1">
        <v>4033.31</v>
      </c>
      <c r="AW172" s="1">
        <v>4137.21</v>
      </c>
      <c r="AX172" s="1">
        <v>117</v>
      </c>
      <c r="AY172" s="1">
        <v>4010.94</v>
      </c>
      <c r="BA172" s="1">
        <v>121.41</v>
      </c>
      <c r="BB172" s="1">
        <v>133.44</v>
      </c>
      <c r="BC172" s="1">
        <v>127.88</v>
      </c>
      <c r="BD172" s="1">
        <v>128.97999999999999</v>
      </c>
      <c r="BE172" s="1">
        <v>123.46</v>
      </c>
      <c r="BF172" s="1">
        <v>123.67</v>
      </c>
      <c r="BG172" s="1">
        <v>131.46</v>
      </c>
      <c r="BH172" s="1">
        <v>118.83</v>
      </c>
      <c r="BI172" s="1">
        <v>124.57</v>
      </c>
      <c r="BJ172" s="1">
        <v>131.47</v>
      </c>
      <c r="BL172" s="1">
        <v>112.44</v>
      </c>
      <c r="BN172" s="1">
        <v>112.3</v>
      </c>
    </row>
    <row r="173" spans="1:66" x14ac:dyDescent="0.3">
      <c r="A173" s="2"/>
      <c r="C173" s="14" t="str">
        <f t="shared" si="3"/>
        <v>20257</v>
      </c>
      <c r="D173" s="3">
        <v>45861</v>
      </c>
      <c r="E173" s="21">
        <v>1715.98</v>
      </c>
      <c r="F173" s="21">
        <v>1596.03</v>
      </c>
      <c r="G173" s="21">
        <v>1661.29</v>
      </c>
      <c r="H173" s="21">
        <v>1693.41</v>
      </c>
      <c r="I173" s="21">
        <v>1623.36</v>
      </c>
      <c r="J173" s="21">
        <v>1597.54</v>
      </c>
      <c r="K173" s="21">
        <v>1584.51</v>
      </c>
      <c r="L173" s="21"/>
      <c r="M173" s="21">
        <v>1493.4</v>
      </c>
      <c r="N173" s="21">
        <v>1485.09</v>
      </c>
      <c r="O173" s="21">
        <v>1518.56</v>
      </c>
      <c r="P173" s="21">
        <v>1607.71</v>
      </c>
      <c r="Q173" s="21">
        <v>6957.14</v>
      </c>
      <c r="R173" s="20">
        <v>116.22</v>
      </c>
      <c r="S173" s="20">
        <v>111.45</v>
      </c>
      <c r="T173" s="21">
        <v>120.43</v>
      </c>
      <c r="V173" s="1">
        <v>113.23</v>
      </c>
      <c r="W173" s="1">
        <v>121.6</v>
      </c>
      <c r="X173" s="1">
        <v>123.24</v>
      </c>
      <c r="Y173" s="1">
        <v>117.8</v>
      </c>
      <c r="Z173" s="1">
        <v>118.06</v>
      </c>
      <c r="AA173" s="1">
        <v>118.86</v>
      </c>
      <c r="AB173" s="1">
        <v>122.68</v>
      </c>
      <c r="AE173" s="1">
        <v>130.85</v>
      </c>
      <c r="AF173" s="1">
        <v>128.33000000000001</v>
      </c>
      <c r="AG173" s="1">
        <v>114.98</v>
      </c>
      <c r="AN173" s="1">
        <v>4177.62</v>
      </c>
      <c r="AQ173" s="1">
        <v>4213.07</v>
      </c>
      <c r="AR173" s="1">
        <v>3888.99</v>
      </c>
      <c r="AS173" s="1">
        <v>4253.58</v>
      </c>
      <c r="AT173" s="1">
        <v>4224.46</v>
      </c>
      <c r="AU173" s="1">
        <v>4033.31</v>
      </c>
      <c r="AW173" s="1">
        <v>4137.21</v>
      </c>
      <c r="AX173" s="1">
        <v>117.61</v>
      </c>
      <c r="AY173" s="1">
        <v>4052.98</v>
      </c>
      <c r="BA173" s="1">
        <v>121.15</v>
      </c>
      <c r="BB173" s="1">
        <v>131.94999999999999</v>
      </c>
      <c r="BC173" s="1">
        <v>127.54</v>
      </c>
      <c r="BD173" s="1">
        <v>130.11000000000001</v>
      </c>
      <c r="BE173" s="1">
        <v>122.48</v>
      </c>
      <c r="BF173" s="1">
        <v>123.67</v>
      </c>
      <c r="BG173" s="1">
        <v>131.72</v>
      </c>
      <c r="BH173" s="1">
        <v>118.83</v>
      </c>
      <c r="BI173" s="1">
        <v>124.57</v>
      </c>
      <c r="BJ173" s="1">
        <v>131.86000000000001</v>
      </c>
      <c r="BL173" s="1">
        <v>112.1</v>
      </c>
      <c r="BN173" s="1">
        <v>111.97</v>
      </c>
    </row>
    <row r="174" spans="1:66" x14ac:dyDescent="0.3">
      <c r="A174" s="2"/>
      <c r="C174" s="14" t="str">
        <f t="shared" si="3"/>
        <v>20257</v>
      </c>
      <c r="D174" s="3">
        <v>45860</v>
      </c>
      <c r="E174" s="21">
        <v>1701.1</v>
      </c>
      <c r="F174" s="21">
        <v>1596.03</v>
      </c>
      <c r="G174" s="21">
        <v>1646.97</v>
      </c>
      <c r="H174" s="21">
        <v>1686.01</v>
      </c>
      <c r="I174" s="21">
        <v>1641.42</v>
      </c>
      <c r="J174" s="21">
        <v>1611.83</v>
      </c>
      <c r="K174" s="21">
        <v>1558.28</v>
      </c>
      <c r="L174" s="21"/>
      <c r="M174" s="21">
        <v>1476.11</v>
      </c>
      <c r="N174" s="21">
        <v>1463.57</v>
      </c>
      <c r="O174" s="21">
        <v>1482.73</v>
      </c>
      <c r="P174" s="21">
        <v>1604.94</v>
      </c>
      <c r="Q174" s="21">
        <v>6782.89</v>
      </c>
      <c r="R174" s="20">
        <v>115.56</v>
      </c>
      <c r="S174" s="20">
        <v>110.21</v>
      </c>
      <c r="T174" s="21">
        <v>121.25</v>
      </c>
      <c r="V174" s="1">
        <v>113.66</v>
      </c>
      <c r="W174" s="1">
        <v>121.6</v>
      </c>
      <c r="X174" s="1">
        <v>121.95</v>
      </c>
      <c r="Y174" s="1">
        <v>116.87</v>
      </c>
      <c r="Z174" s="1">
        <v>117.73</v>
      </c>
      <c r="AA174" s="1">
        <v>118.07</v>
      </c>
      <c r="AB174" s="1">
        <v>122.37</v>
      </c>
      <c r="AE174" s="1">
        <v>129.63</v>
      </c>
      <c r="AF174" s="1">
        <v>127.29</v>
      </c>
      <c r="AG174" s="1">
        <v>114.41</v>
      </c>
      <c r="AN174" s="1">
        <v>4177.62</v>
      </c>
      <c r="AQ174" s="1">
        <v>4147.24</v>
      </c>
      <c r="AR174" s="1">
        <v>3836.9</v>
      </c>
      <c r="AS174" s="1">
        <v>4253.58</v>
      </c>
      <c r="AT174" s="1">
        <v>4262.34</v>
      </c>
      <c r="AU174" s="1">
        <v>4101.67</v>
      </c>
      <c r="AW174" s="1">
        <v>4066.73</v>
      </c>
      <c r="AX174" s="1">
        <v>118.37</v>
      </c>
      <c r="AY174" s="1">
        <v>4031.34</v>
      </c>
      <c r="BA174" s="1">
        <v>121.5</v>
      </c>
      <c r="BB174" s="1">
        <v>130.59</v>
      </c>
      <c r="BC174" s="1">
        <v>127.71</v>
      </c>
      <c r="BD174" s="1">
        <v>128.44999999999999</v>
      </c>
      <c r="BE174" s="1">
        <v>121.67</v>
      </c>
      <c r="BF174" s="1">
        <v>123.42</v>
      </c>
      <c r="BG174" s="1">
        <v>132.43</v>
      </c>
      <c r="BH174" s="1">
        <v>118.92</v>
      </c>
      <c r="BI174" s="1">
        <v>124.2</v>
      </c>
      <c r="BJ174" s="1">
        <v>131.66999999999999</v>
      </c>
      <c r="BL174" s="1">
        <v>111.77</v>
      </c>
      <c r="BN174" s="1">
        <v>111.97</v>
      </c>
    </row>
    <row r="175" spans="1:66" x14ac:dyDescent="0.3">
      <c r="A175" s="2"/>
      <c r="C175" s="14" t="str">
        <f t="shared" si="3"/>
        <v>20257</v>
      </c>
      <c r="D175" s="3">
        <v>45859</v>
      </c>
      <c r="E175" s="21">
        <v>1699.85</v>
      </c>
      <c r="F175" s="21">
        <v>1596.03</v>
      </c>
      <c r="G175" s="21">
        <v>1666.72</v>
      </c>
      <c r="H175" s="21">
        <v>1686.01</v>
      </c>
      <c r="I175" s="21">
        <v>1642.43</v>
      </c>
      <c r="J175" s="21">
        <v>1604.68</v>
      </c>
      <c r="K175" s="21">
        <v>1560.68</v>
      </c>
      <c r="L175" s="21"/>
      <c r="M175" s="21">
        <v>1468.28</v>
      </c>
      <c r="N175" s="21">
        <v>1464.35</v>
      </c>
      <c r="O175" s="21">
        <v>1459.11</v>
      </c>
      <c r="P175" s="21">
        <v>1606.37</v>
      </c>
      <c r="Q175" s="21">
        <v>6782.89</v>
      </c>
      <c r="R175" s="20">
        <v>115.56</v>
      </c>
      <c r="S175" s="20">
        <v>109.86</v>
      </c>
      <c r="T175" s="21">
        <v>120.24</v>
      </c>
      <c r="V175" s="1">
        <v>114.1</v>
      </c>
      <c r="W175" s="1">
        <v>120.75</v>
      </c>
      <c r="X175" s="1">
        <v>122.81</v>
      </c>
      <c r="Y175" s="1">
        <v>117.47</v>
      </c>
      <c r="Z175" s="1">
        <v>117.84</v>
      </c>
      <c r="AA175" s="1">
        <v>118.58</v>
      </c>
      <c r="AB175" s="1">
        <v>122.3</v>
      </c>
      <c r="AE175" s="1">
        <v>129.91</v>
      </c>
      <c r="AF175" s="1">
        <v>126.14</v>
      </c>
      <c r="AG175" s="1">
        <v>113.81</v>
      </c>
      <c r="AN175" s="1">
        <v>4208.7700000000004</v>
      </c>
      <c r="AP175" s="1">
        <v>4339.63</v>
      </c>
      <c r="AQ175" s="1">
        <v>4114.33</v>
      </c>
      <c r="AR175" s="1">
        <v>3757.33</v>
      </c>
      <c r="AS175" s="1">
        <v>4253.58</v>
      </c>
      <c r="AT175" s="1">
        <v>4262.34</v>
      </c>
      <c r="AU175" s="1">
        <v>4010.52</v>
      </c>
      <c r="AW175" s="1">
        <v>4005.77</v>
      </c>
      <c r="AX175" s="1">
        <v>118.16</v>
      </c>
      <c r="AY175" s="1">
        <v>4031.34</v>
      </c>
      <c r="AZ175" s="1">
        <v>4218.13</v>
      </c>
      <c r="BA175" s="1">
        <v>120.48</v>
      </c>
      <c r="BB175" s="1">
        <v>130.47</v>
      </c>
      <c r="BC175" s="1">
        <v>127.98</v>
      </c>
      <c r="BD175" s="1">
        <v>128.86000000000001</v>
      </c>
      <c r="BE175" s="1">
        <v>123.92</v>
      </c>
      <c r="BF175" s="1">
        <v>123.42</v>
      </c>
      <c r="BG175" s="1">
        <v>132.43</v>
      </c>
      <c r="BH175" s="1">
        <v>119.41</v>
      </c>
      <c r="BI175" s="1">
        <v>123.2</v>
      </c>
      <c r="BJ175" s="1">
        <v>131.65</v>
      </c>
      <c r="BL175" s="1">
        <v>111.1</v>
      </c>
      <c r="BN175" s="1">
        <v>111.97</v>
      </c>
    </row>
    <row r="176" spans="1:66" x14ac:dyDescent="0.3">
      <c r="A176" s="2"/>
      <c r="C176" s="14" t="str">
        <f t="shared" si="3"/>
        <v>20257</v>
      </c>
      <c r="D176" s="3">
        <v>45856</v>
      </c>
      <c r="E176" s="21">
        <v>1718.46</v>
      </c>
      <c r="F176" s="21">
        <v>1641</v>
      </c>
      <c r="G176" s="21">
        <v>1649.04</v>
      </c>
      <c r="H176" s="21">
        <v>1721.4</v>
      </c>
      <c r="I176" s="21">
        <v>1668.69</v>
      </c>
      <c r="J176" s="21">
        <v>1588.01</v>
      </c>
      <c r="K176" s="21">
        <v>1547.8</v>
      </c>
      <c r="L176" s="21"/>
      <c r="M176" s="21">
        <v>1472.52</v>
      </c>
      <c r="N176" s="21">
        <v>1494.73</v>
      </c>
      <c r="O176" s="21">
        <v>1465.73</v>
      </c>
      <c r="P176" s="21">
        <v>1568.14</v>
      </c>
      <c r="Q176" s="21">
        <v>6707.91</v>
      </c>
      <c r="R176" s="20">
        <v>117.88</v>
      </c>
      <c r="S176" s="20">
        <v>109.4</v>
      </c>
      <c r="T176" s="21">
        <v>121.44</v>
      </c>
      <c r="V176" s="1">
        <v>114.6</v>
      </c>
      <c r="W176" s="1">
        <v>121.88</v>
      </c>
      <c r="X176" s="1">
        <v>121.81</v>
      </c>
      <c r="Y176" s="1">
        <v>117.13</v>
      </c>
      <c r="Z176" s="1">
        <v>117.84</v>
      </c>
      <c r="AA176" s="1">
        <v>118.4</v>
      </c>
      <c r="AB176" s="1">
        <v>121.62</v>
      </c>
      <c r="AE176" s="1">
        <v>129.59</v>
      </c>
      <c r="AF176" s="1">
        <v>126.63</v>
      </c>
      <c r="AG176" s="1">
        <v>114.31</v>
      </c>
      <c r="AN176" s="1">
        <v>4235.21</v>
      </c>
      <c r="AP176" s="1">
        <v>4339.63</v>
      </c>
      <c r="AQ176" s="1">
        <v>4145.9799999999996</v>
      </c>
      <c r="AR176" s="1">
        <v>3757.33</v>
      </c>
      <c r="AS176" s="1">
        <v>4118.55</v>
      </c>
      <c r="AT176" s="1">
        <v>4318.04</v>
      </c>
      <c r="AU176" s="1">
        <v>4010.52</v>
      </c>
      <c r="AW176" s="1">
        <v>4005.46</v>
      </c>
      <c r="AX176" s="1">
        <v>118.27</v>
      </c>
      <c r="AY176" s="1">
        <v>4113.0600000000004</v>
      </c>
      <c r="AZ176" s="1">
        <v>4218.13</v>
      </c>
      <c r="BA176" s="1">
        <v>121.14</v>
      </c>
      <c r="BB176" s="1">
        <v>132.19999999999999</v>
      </c>
      <c r="BC176" s="1">
        <v>127.81</v>
      </c>
      <c r="BD176" s="1">
        <v>129.30000000000001</v>
      </c>
      <c r="BE176" s="1">
        <v>125.41</v>
      </c>
      <c r="BF176" s="1">
        <v>125.41</v>
      </c>
      <c r="BG176" s="1">
        <v>131.63</v>
      </c>
      <c r="BH176" s="1">
        <v>119.74</v>
      </c>
      <c r="BI176" s="1">
        <v>122.95</v>
      </c>
      <c r="BJ176" s="1">
        <v>131</v>
      </c>
      <c r="BL176" s="1">
        <v>110.44</v>
      </c>
      <c r="BN176" s="1">
        <v>110.64</v>
      </c>
    </row>
    <row r="177" spans="1:66" x14ac:dyDescent="0.3">
      <c r="A177" s="2"/>
      <c r="C177" s="14" t="str">
        <f t="shared" si="3"/>
        <v>20257</v>
      </c>
      <c r="D177" s="3">
        <v>45855</v>
      </c>
      <c r="E177" s="21">
        <v>1711.02</v>
      </c>
      <c r="F177" s="21">
        <v>1641</v>
      </c>
      <c r="G177" s="21">
        <v>1656.85</v>
      </c>
      <c r="H177" s="21">
        <v>1683.79</v>
      </c>
      <c r="I177" s="21">
        <v>1660.53</v>
      </c>
      <c r="J177" s="21">
        <v>1604.01</v>
      </c>
      <c r="K177" s="21">
        <v>1564.64</v>
      </c>
      <c r="L177" s="21"/>
      <c r="M177" s="21">
        <v>1465.27</v>
      </c>
      <c r="N177" s="21">
        <v>1496.24</v>
      </c>
      <c r="O177" s="21">
        <v>1469.47</v>
      </c>
      <c r="P177" s="21">
        <v>1594.8</v>
      </c>
      <c r="Q177" s="21">
        <v>6633.86</v>
      </c>
      <c r="R177" s="20">
        <v>116.55</v>
      </c>
      <c r="S177" s="20">
        <v>108.55</v>
      </c>
      <c r="T177" s="21">
        <v>120.45</v>
      </c>
      <c r="V177" s="1">
        <v>113.6</v>
      </c>
      <c r="W177" s="1">
        <v>121.01</v>
      </c>
      <c r="X177" s="1">
        <v>121.03</v>
      </c>
      <c r="Y177" s="1">
        <v>115.39</v>
      </c>
      <c r="Z177" s="1">
        <v>116.62</v>
      </c>
      <c r="AA177" s="1">
        <v>118.07</v>
      </c>
      <c r="AB177" s="1">
        <v>120.78</v>
      </c>
      <c r="AE177" s="1">
        <v>129.26</v>
      </c>
      <c r="AF177" s="1">
        <v>126.66</v>
      </c>
      <c r="AG177" s="1">
        <v>114.32</v>
      </c>
      <c r="AN177" s="1">
        <v>4235.21</v>
      </c>
      <c r="AP177" s="1">
        <v>4339.63</v>
      </c>
      <c r="AQ177" s="1">
        <v>4145.9799999999996</v>
      </c>
      <c r="AR177" s="1">
        <v>3757.33</v>
      </c>
      <c r="AS177" s="1">
        <v>4247.79</v>
      </c>
      <c r="AT177" s="1">
        <v>4318.04</v>
      </c>
      <c r="AU177" s="1">
        <v>4010.52</v>
      </c>
      <c r="AW177" s="1">
        <v>4005.46</v>
      </c>
      <c r="AX177" s="1">
        <v>117.06</v>
      </c>
      <c r="AY177" s="1">
        <v>4113.0600000000004</v>
      </c>
      <c r="AZ177" s="1">
        <v>4218.13</v>
      </c>
      <c r="BA177" s="1">
        <v>121.14</v>
      </c>
      <c r="BB177" s="1">
        <v>130.69999999999999</v>
      </c>
      <c r="BC177" s="1">
        <v>127.08</v>
      </c>
      <c r="BD177" s="1">
        <v>129</v>
      </c>
      <c r="BE177" s="1">
        <v>119.49</v>
      </c>
      <c r="BF177" s="1">
        <v>124.41</v>
      </c>
      <c r="BG177" s="1">
        <v>129.47999999999999</v>
      </c>
      <c r="BH177" s="1">
        <v>119.11</v>
      </c>
      <c r="BI177" s="1">
        <v>122.95</v>
      </c>
      <c r="BJ177" s="1">
        <v>130.97999999999999</v>
      </c>
      <c r="BL177" s="1">
        <v>110.44</v>
      </c>
      <c r="BN177" s="1">
        <v>110.64</v>
      </c>
    </row>
    <row r="178" spans="1:66" x14ac:dyDescent="0.3">
      <c r="A178" s="2"/>
      <c r="C178" s="14" t="str">
        <f t="shared" si="3"/>
        <v>20257</v>
      </c>
      <c r="D178" s="3">
        <v>45854</v>
      </c>
      <c r="E178" s="21">
        <v>1718.46</v>
      </c>
      <c r="F178" s="21">
        <v>1641</v>
      </c>
      <c r="G178" s="21">
        <v>1656.85</v>
      </c>
      <c r="H178" s="21">
        <v>1684.1</v>
      </c>
      <c r="I178" s="21">
        <v>1667.11</v>
      </c>
      <c r="J178" s="21">
        <v>1604.01</v>
      </c>
      <c r="K178" s="21">
        <v>1564.64</v>
      </c>
      <c r="L178" s="21"/>
      <c r="M178" s="21">
        <v>1470.21</v>
      </c>
      <c r="N178" s="21">
        <v>1496.03</v>
      </c>
      <c r="O178" s="21">
        <v>1477.88</v>
      </c>
      <c r="P178" s="21">
        <v>1594.8</v>
      </c>
      <c r="Q178" s="21">
        <v>6633.86</v>
      </c>
      <c r="R178" s="20">
        <v>115.23</v>
      </c>
      <c r="S178" s="20">
        <v>108.86</v>
      </c>
      <c r="T178" s="21">
        <v>120.76</v>
      </c>
      <c r="V178" s="1">
        <v>113.35</v>
      </c>
      <c r="W178" s="1">
        <v>119.75</v>
      </c>
      <c r="X178" s="1">
        <v>120.17</v>
      </c>
      <c r="Y178" s="1">
        <v>115.14</v>
      </c>
      <c r="Z178" s="1">
        <v>115.07</v>
      </c>
      <c r="AA178" s="1">
        <v>117.73</v>
      </c>
      <c r="AB178" s="1">
        <v>120.24</v>
      </c>
      <c r="AE178" s="1">
        <v>129.26</v>
      </c>
      <c r="AF178" s="1">
        <v>126.22</v>
      </c>
      <c r="AG178" s="1">
        <v>113.64</v>
      </c>
      <c r="AN178" s="1">
        <v>4278.3900000000003</v>
      </c>
      <c r="AP178" s="1">
        <v>4339.63</v>
      </c>
      <c r="AQ178" s="1">
        <v>4145.9799999999996</v>
      </c>
      <c r="AR178" s="1">
        <v>3757.33</v>
      </c>
      <c r="AS178" s="1">
        <v>4247.79</v>
      </c>
      <c r="AT178" s="1">
        <v>4318.04</v>
      </c>
      <c r="AU178" s="1">
        <v>4010.52</v>
      </c>
      <c r="AW178" s="1">
        <v>4005.46</v>
      </c>
      <c r="AX178" s="1">
        <v>116.44</v>
      </c>
      <c r="AY178" s="1">
        <v>4128.67</v>
      </c>
      <c r="AZ178" s="1">
        <v>4218.13</v>
      </c>
      <c r="BA178" s="1">
        <v>120.73</v>
      </c>
      <c r="BB178" s="1">
        <v>129.15</v>
      </c>
      <c r="BC178" s="1">
        <v>126.3</v>
      </c>
      <c r="BD178" s="1">
        <v>127.66</v>
      </c>
      <c r="BE178" s="1">
        <v>118.25</v>
      </c>
      <c r="BF178" s="1">
        <v>123.42</v>
      </c>
      <c r="BG178" s="1">
        <v>129.47</v>
      </c>
      <c r="BH178" s="1">
        <v>119.11</v>
      </c>
      <c r="BI178" s="1">
        <v>122.58</v>
      </c>
      <c r="BJ178" s="1">
        <v>130.47</v>
      </c>
      <c r="BL178" s="1">
        <v>109.44</v>
      </c>
      <c r="BN178" s="1">
        <v>109.31</v>
      </c>
    </row>
    <row r="179" spans="1:66" x14ac:dyDescent="0.3">
      <c r="A179" s="2"/>
      <c r="C179" s="14" t="str">
        <f t="shared" si="3"/>
        <v>20257</v>
      </c>
      <c r="D179" s="3">
        <v>45853</v>
      </c>
      <c r="E179" s="21">
        <v>1718.46</v>
      </c>
      <c r="F179" s="21">
        <v>1623.05</v>
      </c>
      <c r="G179" s="21">
        <v>1646.97</v>
      </c>
      <c r="H179" s="21">
        <v>1673.91</v>
      </c>
      <c r="I179" s="21">
        <v>1668.61</v>
      </c>
      <c r="J179" s="21">
        <v>1604.01</v>
      </c>
      <c r="K179" s="21">
        <v>1564.39</v>
      </c>
      <c r="L179" s="21">
        <v>1550.36</v>
      </c>
      <c r="M179" s="21">
        <v>1470.77</v>
      </c>
      <c r="N179" s="21">
        <v>1513.37</v>
      </c>
      <c r="O179" s="21">
        <v>1445.09</v>
      </c>
      <c r="P179" s="21">
        <v>1633.51</v>
      </c>
      <c r="Q179" s="21">
        <v>6646.34</v>
      </c>
      <c r="R179" s="20">
        <v>114.56</v>
      </c>
      <c r="S179" s="20">
        <v>110</v>
      </c>
      <c r="T179" s="21">
        <v>120.75</v>
      </c>
      <c r="V179" s="1">
        <v>112.86</v>
      </c>
      <c r="W179" s="1">
        <v>120.26</v>
      </c>
      <c r="X179" s="1">
        <v>120.03</v>
      </c>
      <c r="Y179" s="1">
        <v>115.14</v>
      </c>
      <c r="Z179" s="1">
        <v>115.28</v>
      </c>
      <c r="AA179" s="1">
        <v>117.81</v>
      </c>
      <c r="AB179" s="1">
        <v>119.99</v>
      </c>
      <c r="AE179" s="1">
        <v>128.68</v>
      </c>
      <c r="AF179" s="1">
        <v>124.91</v>
      </c>
      <c r="AG179" s="1">
        <v>112.64</v>
      </c>
      <c r="AN179" s="1">
        <v>4278.3900000000003</v>
      </c>
      <c r="AP179" s="1">
        <v>4339.63</v>
      </c>
      <c r="AQ179" s="1">
        <v>4177.62</v>
      </c>
      <c r="AR179" s="1">
        <v>3823.16</v>
      </c>
      <c r="AS179" s="1">
        <v>4247.79</v>
      </c>
      <c r="AT179" s="1">
        <v>4263.71</v>
      </c>
      <c r="AU179" s="1">
        <v>4010.52</v>
      </c>
      <c r="AW179" s="1">
        <v>3919.37</v>
      </c>
      <c r="AX179" s="1">
        <v>115.21</v>
      </c>
      <c r="AY179" s="1">
        <v>4128.67</v>
      </c>
      <c r="AZ179" s="1">
        <v>4218.13</v>
      </c>
      <c r="BA179" s="1">
        <v>119.73</v>
      </c>
      <c r="BB179" s="1">
        <v>129.51</v>
      </c>
      <c r="BC179" s="1">
        <v>125.96</v>
      </c>
      <c r="BD179" s="1">
        <v>129.11000000000001</v>
      </c>
      <c r="BE179" s="1">
        <v>120.3</v>
      </c>
      <c r="BF179" s="1">
        <v>120.67</v>
      </c>
      <c r="BG179" s="1">
        <v>129.21</v>
      </c>
      <c r="BH179" s="1">
        <v>118.75</v>
      </c>
      <c r="BI179" s="1">
        <v>122.58</v>
      </c>
      <c r="BJ179" s="1">
        <v>130.29</v>
      </c>
      <c r="BL179" s="1">
        <v>109.44</v>
      </c>
      <c r="BN179" s="1">
        <v>109.31</v>
      </c>
    </row>
    <row r="180" spans="1:66" x14ac:dyDescent="0.3">
      <c r="A180" s="2"/>
      <c r="C180" s="14" t="str">
        <f t="shared" si="3"/>
        <v>20257</v>
      </c>
      <c r="D180" s="3">
        <v>45852</v>
      </c>
      <c r="E180" s="21">
        <v>1718.46</v>
      </c>
      <c r="F180" s="21">
        <v>1654.55</v>
      </c>
      <c r="G180" s="21">
        <v>1651.03</v>
      </c>
      <c r="H180" s="21">
        <v>1708.24</v>
      </c>
      <c r="I180" s="21">
        <v>1670.41</v>
      </c>
      <c r="J180" s="21">
        <v>1583.78</v>
      </c>
      <c r="K180" s="21">
        <v>1568.65</v>
      </c>
      <c r="L180" s="21">
        <v>1560.53</v>
      </c>
      <c r="M180" s="21">
        <v>1454.46</v>
      </c>
      <c r="N180" s="21">
        <v>1478.07</v>
      </c>
      <c r="O180" s="21">
        <v>1470.05</v>
      </c>
      <c r="P180" s="21">
        <v>1636.46</v>
      </c>
      <c r="Q180" s="21">
        <v>6596.36</v>
      </c>
      <c r="R180" s="20">
        <v>114.56</v>
      </c>
      <c r="S180" s="20">
        <v>109.98</v>
      </c>
      <c r="T180" s="21">
        <v>120.98</v>
      </c>
      <c r="V180" s="1">
        <v>112.85</v>
      </c>
      <c r="W180" s="1">
        <v>120.13</v>
      </c>
      <c r="X180" s="1">
        <v>120.03</v>
      </c>
      <c r="Y180" s="1">
        <v>115.35</v>
      </c>
      <c r="Z180" s="1">
        <v>115.28</v>
      </c>
      <c r="AA180" s="1">
        <v>117.57</v>
      </c>
      <c r="AB180" s="1">
        <v>120.21</v>
      </c>
      <c r="AE180" s="1">
        <v>129.02000000000001</v>
      </c>
      <c r="AF180" s="1">
        <v>125.15</v>
      </c>
      <c r="AG180" s="1">
        <v>112.34</v>
      </c>
      <c r="AN180" s="1">
        <v>4270.46</v>
      </c>
      <c r="AP180" s="1">
        <v>4355</v>
      </c>
      <c r="AQ180" s="1">
        <v>4177.62</v>
      </c>
      <c r="AR180" s="1">
        <v>3823.16</v>
      </c>
      <c r="AS180" s="1">
        <v>4247.79</v>
      </c>
      <c r="AT180" s="1">
        <v>4216.1099999999997</v>
      </c>
      <c r="AU180" s="1">
        <v>4028.66</v>
      </c>
      <c r="AW180" s="1">
        <v>3934.56</v>
      </c>
      <c r="AX180" s="1">
        <v>115.83</v>
      </c>
      <c r="AY180" s="1">
        <v>4128.67</v>
      </c>
      <c r="AZ180" s="1">
        <v>4326.5</v>
      </c>
      <c r="BA180" s="1">
        <v>118.62</v>
      </c>
      <c r="BB180" s="1">
        <v>129.27000000000001</v>
      </c>
      <c r="BC180" s="1">
        <v>126</v>
      </c>
      <c r="BD180" s="1">
        <v>128.24</v>
      </c>
      <c r="BE180" s="1">
        <v>122.6</v>
      </c>
      <c r="BF180" s="1">
        <v>120.67</v>
      </c>
      <c r="BG180" s="1">
        <v>128.97999999999999</v>
      </c>
      <c r="BH180" s="1">
        <v>117.79</v>
      </c>
      <c r="BI180" s="1">
        <v>122.58</v>
      </c>
      <c r="BJ180" s="1">
        <v>130.41999999999999</v>
      </c>
      <c r="BL180" s="1">
        <v>109.44</v>
      </c>
      <c r="BN180" s="1">
        <v>109.31</v>
      </c>
    </row>
    <row r="181" spans="1:66" x14ac:dyDescent="0.3">
      <c r="A181" s="2"/>
      <c r="C181" s="14" t="str">
        <f t="shared" si="3"/>
        <v>20257</v>
      </c>
      <c r="D181" s="3">
        <v>45849</v>
      </c>
      <c r="E181" s="21">
        <v>1714.74</v>
      </c>
      <c r="F181" s="21">
        <v>1680.58</v>
      </c>
      <c r="G181" s="21">
        <v>1673.63</v>
      </c>
      <c r="H181" s="21">
        <v>1648.99</v>
      </c>
      <c r="I181" s="21">
        <v>1651.71</v>
      </c>
      <c r="J181" s="21">
        <v>1583.78</v>
      </c>
      <c r="K181" s="21">
        <v>1563.33</v>
      </c>
      <c r="L181" s="21">
        <v>1591.06</v>
      </c>
      <c r="M181" s="21">
        <v>1459.28</v>
      </c>
      <c r="N181" s="21">
        <v>1517.75</v>
      </c>
      <c r="O181" s="21">
        <v>1474.76</v>
      </c>
      <c r="P181" s="21">
        <v>1575.95</v>
      </c>
      <c r="Q181" s="21">
        <v>6558.84</v>
      </c>
      <c r="R181" s="20">
        <v>115.89</v>
      </c>
      <c r="S181" s="20">
        <v>110.16</v>
      </c>
      <c r="T181" s="21">
        <v>121.47</v>
      </c>
      <c r="V181" s="1">
        <v>113.37</v>
      </c>
      <c r="W181" s="1">
        <v>120.13</v>
      </c>
      <c r="X181" s="1">
        <v>119.6</v>
      </c>
      <c r="Y181" s="1">
        <v>114.92</v>
      </c>
      <c r="Z181" s="1">
        <v>115.28</v>
      </c>
      <c r="AA181" s="1">
        <v>118.15</v>
      </c>
      <c r="AB181" s="1">
        <v>119.57</v>
      </c>
      <c r="AE181" s="1">
        <v>128.85</v>
      </c>
      <c r="AF181" s="1">
        <v>125.77</v>
      </c>
      <c r="AG181" s="1">
        <v>112.21</v>
      </c>
      <c r="AP181" s="1">
        <v>4355</v>
      </c>
      <c r="AQ181" s="1">
        <v>4261.18</v>
      </c>
      <c r="AR181" s="1">
        <v>3823.16</v>
      </c>
      <c r="AS181" s="1">
        <v>4326.5</v>
      </c>
      <c r="AT181" s="1">
        <v>4204.21</v>
      </c>
      <c r="AU181" s="1">
        <v>4028.66</v>
      </c>
      <c r="AW181" s="1">
        <v>3973.38</v>
      </c>
      <c r="AX181" s="1">
        <v>115.74</v>
      </c>
      <c r="AY181" s="1">
        <v>4134.58</v>
      </c>
      <c r="AZ181" s="1">
        <v>4392.47</v>
      </c>
      <c r="BA181" s="1">
        <v>118.28</v>
      </c>
      <c r="BB181" s="1">
        <v>130.66999999999999</v>
      </c>
      <c r="BC181" s="1">
        <v>126.23</v>
      </c>
      <c r="BD181" s="1">
        <v>127.86</v>
      </c>
      <c r="BE181" s="1">
        <v>122.45</v>
      </c>
      <c r="BF181" s="1">
        <v>120.92</v>
      </c>
      <c r="BG181" s="1">
        <v>128.35</v>
      </c>
      <c r="BH181" s="1">
        <v>117.13</v>
      </c>
      <c r="BI181" s="1">
        <v>122.58</v>
      </c>
      <c r="BJ181" s="1">
        <v>130.80000000000001</v>
      </c>
      <c r="BL181" s="1">
        <v>108.94</v>
      </c>
      <c r="BN181" s="1">
        <v>109.14</v>
      </c>
    </row>
    <row r="182" spans="1:66" x14ac:dyDescent="0.3">
      <c r="A182" s="2"/>
      <c r="C182" s="14" t="str">
        <f t="shared" si="3"/>
        <v>20257</v>
      </c>
      <c r="D182" s="3">
        <v>45848</v>
      </c>
      <c r="E182" s="21">
        <v>1739.57</v>
      </c>
      <c r="F182" s="21">
        <v>1680.58</v>
      </c>
      <c r="G182" s="21">
        <v>1673.63</v>
      </c>
      <c r="H182" s="21">
        <v>1620.79</v>
      </c>
      <c r="I182" s="21">
        <v>1651.6</v>
      </c>
      <c r="J182" s="21">
        <v>1583.78</v>
      </c>
      <c r="K182" s="21">
        <v>1563.06</v>
      </c>
      <c r="L182" s="21">
        <v>1692.5</v>
      </c>
      <c r="M182" s="21">
        <v>1459.28</v>
      </c>
      <c r="N182" s="21">
        <v>1514.63</v>
      </c>
      <c r="O182" s="21">
        <v>1471.01</v>
      </c>
      <c r="P182" s="21">
        <v>1575.69</v>
      </c>
      <c r="Q182" s="21">
        <v>6483.86</v>
      </c>
      <c r="R182" s="20">
        <v>113.9</v>
      </c>
      <c r="S182" s="20">
        <v>109.37</v>
      </c>
      <c r="T182" s="21">
        <v>121.98</v>
      </c>
      <c r="V182" s="1">
        <v>112.98</v>
      </c>
      <c r="W182" s="1">
        <v>119.4</v>
      </c>
      <c r="X182" s="1">
        <v>119.18</v>
      </c>
      <c r="Y182" s="1">
        <v>115.23</v>
      </c>
      <c r="Z182" s="1">
        <v>115.28</v>
      </c>
      <c r="AA182" s="1">
        <v>117.98</v>
      </c>
      <c r="AB182" s="1">
        <v>118.31</v>
      </c>
      <c r="AE182" s="1">
        <v>128.85</v>
      </c>
      <c r="AF182" s="1">
        <v>126.51</v>
      </c>
      <c r="AG182" s="1">
        <v>110.81</v>
      </c>
      <c r="AP182" s="1">
        <v>4355</v>
      </c>
      <c r="AQ182" s="1">
        <v>4261.18</v>
      </c>
      <c r="AR182" s="1">
        <v>3823.16</v>
      </c>
      <c r="AS182" s="1">
        <v>4344.7299999999996</v>
      </c>
      <c r="AT182" s="1">
        <v>4204.21</v>
      </c>
      <c r="AU182" s="1">
        <v>4028.66</v>
      </c>
      <c r="AW182" s="1">
        <v>3973.38</v>
      </c>
      <c r="AX182" s="1">
        <v>115.32</v>
      </c>
      <c r="AY182" s="1">
        <v>4134.58</v>
      </c>
      <c r="AZ182" s="1">
        <v>4392.47</v>
      </c>
      <c r="BA182" s="1">
        <v>116.6</v>
      </c>
      <c r="BB182" s="1">
        <v>130.74</v>
      </c>
      <c r="BC182" s="1">
        <v>126.05</v>
      </c>
      <c r="BD182" s="1">
        <v>127.52</v>
      </c>
      <c r="BE182" s="1">
        <v>121.95</v>
      </c>
      <c r="BF182" s="1">
        <v>119.92</v>
      </c>
      <c r="BG182" s="1">
        <v>128.16</v>
      </c>
      <c r="BH182" s="1">
        <v>117.2</v>
      </c>
      <c r="BI182" s="1">
        <v>122.58</v>
      </c>
      <c r="BJ182" s="1">
        <v>130.78</v>
      </c>
      <c r="BL182" s="1">
        <v>109.27</v>
      </c>
      <c r="BN182" s="1">
        <v>109.14</v>
      </c>
    </row>
    <row r="183" spans="1:66" x14ac:dyDescent="0.3">
      <c r="A183" s="2"/>
      <c r="C183" s="14" t="str">
        <f t="shared" si="3"/>
        <v>20257</v>
      </c>
      <c r="D183" s="3">
        <v>45847</v>
      </c>
      <c r="E183" s="21">
        <v>1709.77</v>
      </c>
      <c r="F183" s="21">
        <v>1680.58</v>
      </c>
      <c r="G183" s="21">
        <v>1673.63</v>
      </c>
      <c r="H183" s="21">
        <v>1620.79</v>
      </c>
      <c r="I183" s="21">
        <v>1650.59</v>
      </c>
      <c r="J183" s="21">
        <v>1582.35</v>
      </c>
      <c r="K183" s="21">
        <v>1560.68</v>
      </c>
      <c r="L183" s="21">
        <v>1692.5</v>
      </c>
      <c r="M183" s="21">
        <v>1453.6</v>
      </c>
      <c r="N183" s="21">
        <v>1519.73</v>
      </c>
      <c r="O183" s="21">
        <v>1462.66</v>
      </c>
      <c r="P183" s="21">
        <v>1575.35</v>
      </c>
      <c r="Q183" s="21">
        <v>6409.17</v>
      </c>
      <c r="R183" s="20">
        <v>113.9</v>
      </c>
      <c r="S183" s="20">
        <v>109.37</v>
      </c>
      <c r="T183" s="21">
        <v>120.16</v>
      </c>
      <c r="V183" s="1">
        <v>112.58</v>
      </c>
      <c r="W183" s="1">
        <v>119.64</v>
      </c>
      <c r="X183" s="1">
        <v>117.46</v>
      </c>
      <c r="Y183" s="1">
        <v>114.47</v>
      </c>
      <c r="Z183" s="1">
        <v>114.95</v>
      </c>
      <c r="AA183" s="1">
        <v>117.47</v>
      </c>
      <c r="AB183" s="1">
        <v>117.81</v>
      </c>
      <c r="AE183" s="1">
        <v>127.52</v>
      </c>
      <c r="AF183" s="1">
        <v>127.96</v>
      </c>
      <c r="AG183" s="1">
        <v>110.78</v>
      </c>
      <c r="AP183" s="1">
        <v>4402.8599999999997</v>
      </c>
      <c r="AQ183" s="1">
        <v>4261.18</v>
      </c>
      <c r="AR183" s="1">
        <v>3823.16</v>
      </c>
      <c r="AS183" s="1">
        <v>4344.7299999999996</v>
      </c>
      <c r="AT183" s="1">
        <v>4167.5</v>
      </c>
      <c r="AU183" s="1">
        <v>3992.16</v>
      </c>
      <c r="AW183" s="1">
        <v>3973.38</v>
      </c>
      <c r="AX183" s="1">
        <v>114.76</v>
      </c>
      <c r="AY183" s="1">
        <v>4109.26</v>
      </c>
      <c r="AZ183" s="1">
        <v>4392.47</v>
      </c>
      <c r="BA183" s="1">
        <v>116.6</v>
      </c>
      <c r="BB183" s="1">
        <v>128.09</v>
      </c>
      <c r="BC183" s="1">
        <v>124.93</v>
      </c>
      <c r="BD183" s="1">
        <v>126.48</v>
      </c>
      <c r="BE183" s="1">
        <v>122.77</v>
      </c>
      <c r="BF183" s="1">
        <v>119.92</v>
      </c>
      <c r="BG183" s="1">
        <v>128.16</v>
      </c>
      <c r="BH183" s="1">
        <v>116.4</v>
      </c>
      <c r="BI183" s="1">
        <v>122.2</v>
      </c>
      <c r="BJ183" s="1">
        <v>129.55000000000001</v>
      </c>
      <c r="BL183" s="1">
        <v>109.27</v>
      </c>
      <c r="BN183" s="1">
        <v>109.14</v>
      </c>
    </row>
    <row r="184" spans="1:66" x14ac:dyDescent="0.3">
      <c r="A184" s="2"/>
      <c r="C184" s="14" t="str">
        <f t="shared" si="3"/>
        <v>20257</v>
      </c>
      <c r="D184" s="3">
        <v>45846</v>
      </c>
      <c r="E184" s="21">
        <v>1709.77</v>
      </c>
      <c r="F184" s="21">
        <v>1680.58</v>
      </c>
      <c r="G184" s="21">
        <v>1673.63</v>
      </c>
      <c r="H184" s="21">
        <v>1677.78</v>
      </c>
      <c r="I184" s="21">
        <v>1655.53</v>
      </c>
      <c r="J184" s="21">
        <v>1583.76</v>
      </c>
      <c r="K184" s="21">
        <v>1588.45</v>
      </c>
      <c r="L184" s="21">
        <v>1634.71</v>
      </c>
      <c r="M184" s="21">
        <v>1446.1</v>
      </c>
      <c r="N184" s="21">
        <v>1492.44</v>
      </c>
      <c r="O184" s="21">
        <v>1464.99</v>
      </c>
      <c r="P184" s="21">
        <v>1599.17</v>
      </c>
      <c r="Q184" s="21">
        <v>6409.17</v>
      </c>
      <c r="R184" s="20">
        <v>113.9</v>
      </c>
      <c r="S184" s="20">
        <v>109.37</v>
      </c>
      <c r="T184" s="21">
        <v>120.16</v>
      </c>
      <c r="V184" s="1">
        <v>112.95</v>
      </c>
      <c r="W184" s="1">
        <v>119.64</v>
      </c>
      <c r="X184" s="1">
        <v>117.52</v>
      </c>
      <c r="Y184" s="1">
        <v>114.47</v>
      </c>
      <c r="Z184" s="1">
        <v>115.11</v>
      </c>
      <c r="AA184" s="1">
        <v>117.24</v>
      </c>
      <c r="AB184" s="1">
        <v>117.75</v>
      </c>
      <c r="AE184" s="1">
        <v>127.15</v>
      </c>
      <c r="AF184" s="1">
        <v>127.96</v>
      </c>
      <c r="AG184" s="1">
        <v>111.85</v>
      </c>
      <c r="AN184" s="1">
        <v>4177.62</v>
      </c>
      <c r="AP184" s="1">
        <v>4355</v>
      </c>
      <c r="AQ184" s="1">
        <v>4261.18</v>
      </c>
      <c r="AR184" s="1">
        <v>3896.58</v>
      </c>
      <c r="AS184" s="1">
        <v>4344.7299999999996</v>
      </c>
      <c r="AT184" s="1">
        <v>4240.92</v>
      </c>
      <c r="AU184" s="1">
        <v>3960.3</v>
      </c>
      <c r="AW184" s="1">
        <v>3973.38</v>
      </c>
      <c r="AX184" s="1">
        <v>114.74</v>
      </c>
      <c r="AY184" s="1">
        <v>4109.26</v>
      </c>
      <c r="AZ184" s="1">
        <v>4392.47</v>
      </c>
      <c r="BA184" s="1">
        <v>116.95</v>
      </c>
      <c r="BB184" s="1">
        <v>127.76</v>
      </c>
      <c r="BC184" s="1">
        <v>125.11</v>
      </c>
      <c r="BD184" s="1">
        <v>127.48</v>
      </c>
      <c r="BE184" s="1">
        <v>123.82</v>
      </c>
      <c r="BF184" s="1">
        <v>119.92</v>
      </c>
      <c r="BG184" s="1">
        <v>127.93</v>
      </c>
      <c r="BH184" s="1">
        <v>116.46</v>
      </c>
      <c r="BI184" s="1">
        <v>122.2</v>
      </c>
      <c r="BJ184" s="1">
        <v>129.53</v>
      </c>
      <c r="BL184" s="1">
        <v>109.27</v>
      </c>
      <c r="BN184" s="1">
        <v>109.14</v>
      </c>
    </row>
    <row r="185" spans="1:66" x14ac:dyDescent="0.3">
      <c r="A185" s="2"/>
      <c r="C185" s="14" t="str">
        <f t="shared" si="3"/>
        <v>20257</v>
      </c>
      <c r="D185" s="3">
        <v>45845</v>
      </c>
      <c r="E185" s="21">
        <v>1709.77</v>
      </c>
      <c r="F185" s="21">
        <v>1688.74</v>
      </c>
      <c r="G185" s="21">
        <v>1685.97</v>
      </c>
      <c r="H185" s="21">
        <v>1686.96</v>
      </c>
      <c r="I185" s="21">
        <v>1673.63</v>
      </c>
      <c r="J185" s="21">
        <v>1608.46</v>
      </c>
      <c r="K185" s="21">
        <v>1606.38</v>
      </c>
      <c r="L185" s="21">
        <v>1594.36</v>
      </c>
      <c r="M185" s="21">
        <v>1405.33</v>
      </c>
      <c r="N185" s="21">
        <v>1542.87</v>
      </c>
      <c r="O185" s="21">
        <v>1481.06</v>
      </c>
      <c r="P185" s="21">
        <v>1691.37</v>
      </c>
      <c r="Q185" s="21">
        <v>6404.8</v>
      </c>
      <c r="R185" s="20">
        <v>115.52</v>
      </c>
      <c r="S185" s="20">
        <v>107.76</v>
      </c>
      <c r="T185" s="21">
        <v>121.79</v>
      </c>
      <c r="V185" s="1">
        <v>113.13</v>
      </c>
      <c r="W185" s="1">
        <v>119.76</v>
      </c>
      <c r="X185" s="1">
        <v>117.68</v>
      </c>
      <c r="Y185" s="1">
        <v>114.14</v>
      </c>
      <c r="Z185" s="1">
        <v>115.28</v>
      </c>
      <c r="AA185" s="1">
        <v>118.15</v>
      </c>
      <c r="AB185" s="1">
        <v>118.25</v>
      </c>
      <c r="AE185" s="1">
        <v>126.86</v>
      </c>
      <c r="AF185" s="1">
        <v>126.51</v>
      </c>
      <c r="AG185" s="1">
        <v>111.37</v>
      </c>
      <c r="AP185" s="1">
        <v>4355</v>
      </c>
      <c r="AQ185" s="1">
        <v>4261.18</v>
      </c>
      <c r="AR185" s="1">
        <v>3896.58</v>
      </c>
      <c r="AS185" s="1">
        <v>4233.33</v>
      </c>
      <c r="AT185" s="1">
        <v>4314.3500000000004</v>
      </c>
      <c r="AU185" s="1">
        <v>3928.49</v>
      </c>
      <c r="AW185" s="1">
        <v>3966.21</v>
      </c>
      <c r="AX185" s="1">
        <v>114.93</v>
      </c>
      <c r="AY185" s="1">
        <v>4105.04</v>
      </c>
      <c r="AZ185" s="1">
        <v>4494.1099999999997</v>
      </c>
      <c r="BA185" s="1">
        <v>118.49</v>
      </c>
      <c r="BB185" s="1">
        <v>128.78</v>
      </c>
      <c r="BC185" s="1">
        <v>124.33</v>
      </c>
      <c r="BD185" s="1">
        <v>127.78</v>
      </c>
      <c r="BE185" s="1">
        <v>120.47</v>
      </c>
      <c r="BF185" s="1">
        <v>120.42</v>
      </c>
      <c r="BG185" s="1">
        <v>127.96</v>
      </c>
      <c r="BH185" s="1">
        <v>116.88</v>
      </c>
      <c r="BI185" s="1">
        <v>122.16</v>
      </c>
      <c r="BJ185" s="1">
        <v>129.51</v>
      </c>
      <c r="BL185" s="1">
        <v>109.44</v>
      </c>
      <c r="BN185" s="1">
        <v>108.64</v>
      </c>
    </row>
    <row r="186" spans="1:66" x14ac:dyDescent="0.3">
      <c r="A186" s="2"/>
      <c r="C186" s="14" t="str">
        <f t="shared" si="3"/>
        <v>20257</v>
      </c>
      <c r="D186" s="3">
        <v>45842</v>
      </c>
      <c r="E186" s="21">
        <v>1725.89</v>
      </c>
      <c r="F186" s="21">
        <v>1688.74</v>
      </c>
      <c r="G186" s="21">
        <v>1668.78</v>
      </c>
      <c r="H186" s="21">
        <v>1707.24</v>
      </c>
      <c r="I186" s="21">
        <v>1688.64</v>
      </c>
      <c r="J186" s="21">
        <v>1625.85</v>
      </c>
      <c r="K186" s="21">
        <v>1614.45</v>
      </c>
      <c r="L186" s="21">
        <v>1594.36</v>
      </c>
      <c r="M186" s="21">
        <v>1429.36</v>
      </c>
      <c r="N186" s="21">
        <v>1510.66</v>
      </c>
      <c r="O186" s="21">
        <v>1479.71</v>
      </c>
      <c r="P186" s="21">
        <v>1719.86</v>
      </c>
      <c r="Q186" s="21">
        <v>6380.12</v>
      </c>
      <c r="R186" s="20">
        <v>115.56</v>
      </c>
      <c r="S186" s="20">
        <v>107.76</v>
      </c>
      <c r="T186" s="21">
        <v>121.25</v>
      </c>
      <c r="V186" s="1">
        <v>113.37</v>
      </c>
      <c r="W186" s="1">
        <v>120.56</v>
      </c>
      <c r="X186" s="1">
        <v>119.03</v>
      </c>
      <c r="Y186" s="1">
        <v>115.47</v>
      </c>
      <c r="Z186" s="1">
        <v>116.14</v>
      </c>
      <c r="AA186" s="1">
        <v>118.15</v>
      </c>
      <c r="AB186" s="1">
        <v>118.75</v>
      </c>
      <c r="AE186" s="1">
        <v>128.02000000000001</v>
      </c>
      <c r="AF186" s="1">
        <v>123.16</v>
      </c>
      <c r="AG186" s="1">
        <v>111.32</v>
      </c>
      <c r="AN186" s="1">
        <v>4375.1099999999997</v>
      </c>
      <c r="AP186" s="1">
        <v>4355</v>
      </c>
      <c r="AR186" s="1">
        <v>3896.58</v>
      </c>
      <c r="AS186" s="1">
        <v>4233.33</v>
      </c>
      <c r="AT186" s="1">
        <v>4324.47</v>
      </c>
      <c r="AU186" s="1">
        <v>3909.7</v>
      </c>
      <c r="AW186" s="1">
        <v>4006.3</v>
      </c>
      <c r="AX186" s="1">
        <v>114.87</v>
      </c>
      <c r="AY186" s="1">
        <v>4102.93</v>
      </c>
      <c r="AZ186" s="1">
        <v>4430.8100000000004</v>
      </c>
      <c r="BA186" s="1">
        <v>118.49</v>
      </c>
      <c r="BB186" s="1">
        <v>129.69</v>
      </c>
      <c r="BC186" s="1">
        <v>126.61</v>
      </c>
      <c r="BD186" s="1">
        <v>127.63</v>
      </c>
      <c r="BE186" s="1">
        <v>120.97</v>
      </c>
      <c r="BF186" s="1">
        <v>120.92</v>
      </c>
      <c r="BG186" s="1">
        <v>128.35</v>
      </c>
      <c r="BH186" s="1">
        <v>117.13</v>
      </c>
      <c r="BI186" s="1">
        <v>122.16</v>
      </c>
      <c r="BJ186" s="1">
        <v>128.05000000000001</v>
      </c>
      <c r="BL186" s="1">
        <v>110.27</v>
      </c>
      <c r="BN186" s="1">
        <v>110.14</v>
      </c>
    </row>
    <row r="187" spans="1:66" x14ac:dyDescent="0.3">
      <c r="A187" s="2"/>
      <c r="C187" s="14" t="str">
        <f t="shared" si="3"/>
        <v>20257</v>
      </c>
      <c r="D187" s="3">
        <v>45841</v>
      </c>
      <c r="E187" s="21">
        <v>1719.7</v>
      </c>
      <c r="F187" s="21">
        <v>1688.74</v>
      </c>
      <c r="G187" s="21">
        <v>1685.97</v>
      </c>
      <c r="H187" s="21">
        <v>1707.24</v>
      </c>
      <c r="I187" s="21">
        <v>1708.19</v>
      </c>
      <c r="J187" s="21">
        <v>1642.75</v>
      </c>
      <c r="K187" s="21">
        <v>1624.08</v>
      </c>
      <c r="L187" s="21">
        <v>1594.36</v>
      </c>
      <c r="M187" s="21">
        <v>1422.48</v>
      </c>
      <c r="N187" s="21">
        <v>1518.25</v>
      </c>
      <c r="O187" s="21">
        <v>1519.91</v>
      </c>
      <c r="P187" s="21">
        <v>1719.86</v>
      </c>
      <c r="Q187" s="21">
        <v>6335.12</v>
      </c>
      <c r="R187" s="20">
        <v>115.56</v>
      </c>
      <c r="S187" s="20">
        <v>107.42</v>
      </c>
      <c r="T187" s="21">
        <v>121.05</v>
      </c>
      <c r="V187" s="1">
        <v>113.37</v>
      </c>
      <c r="W187" s="1">
        <v>120.88</v>
      </c>
      <c r="X187" s="1">
        <v>119.11</v>
      </c>
      <c r="Y187" s="1">
        <v>114.94</v>
      </c>
      <c r="Z187" s="1">
        <v>116.14</v>
      </c>
      <c r="AA187" s="1">
        <v>118.15</v>
      </c>
      <c r="AB187" s="1">
        <v>117.57</v>
      </c>
      <c r="AE187" s="1">
        <v>127.85</v>
      </c>
      <c r="AF187" s="1">
        <v>125.65</v>
      </c>
      <c r="AG187" s="1">
        <v>111.3</v>
      </c>
      <c r="AN187" s="1">
        <v>4396.38</v>
      </c>
      <c r="AP187" s="1">
        <v>4355</v>
      </c>
      <c r="AQ187" s="1">
        <v>4399.16</v>
      </c>
      <c r="AR187" s="1">
        <v>3896.58</v>
      </c>
      <c r="AS187" s="1">
        <v>4177.62</v>
      </c>
      <c r="AT187" s="1">
        <v>4324.47</v>
      </c>
      <c r="AU187" s="1">
        <v>3909.7</v>
      </c>
      <c r="AW187" s="1">
        <v>4006.3</v>
      </c>
      <c r="AX187" s="1">
        <v>114.35</v>
      </c>
      <c r="AY187" s="1">
        <v>4102.93</v>
      </c>
      <c r="AZ187" s="1">
        <v>4430.8100000000004</v>
      </c>
      <c r="BA187" s="1">
        <v>117.94</v>
      </c>
      <c r="BB187" s="1">
        <v>130.41</v>
      </c>
      <c r="BC187" s="1">
        <v>126.84</v>
      </c>
      <c r="BD187" s="1">
        <v>128.63</v>
      </c>
      <c r="BE187" s="1">
        <v>122.61</v>
      </c>
      <c r="BF187" s="1">
        <v>120.92</v>
      </c>
      <c r="BG187" s="1">
        <v>128.16</v>
      </c>
      <c r="BH187" s="1">
        <v>117.13</v>
      </c>
      <c r="BI187" s="1">
        <v>122.16</v>
      </c>
      <c r="BJ187" s="1">
        <v>128.03</v>
      </c>
      <c r="BL187" s="1">
        <v>109.77</v>
      </c>
      <c r="BN187" s="1">
        <v>110.14</v>
      </c>
    </row>
    <row r="188" spans="1:66" x14ac:dyDescent="0.3">
      <c r="A188" s="2"/>
      <c r="C188" s="14" t="str">
        <f t="shared" si="3"/>
        <v>20257</v>
      </c>
      <c r="D188" s="3">
        <v>45840</v>
      </c>
      <c r="E188" s="21">
        <v>1699.85</v>
      </c>
      <c r="F188" s="21">
        <v>1688.74</v>
      </c>
      <c r="G188" s="21">
        <v>1673.63</v>
      </c>
      <c r="H188" s="21"/>
      <c r="I188" s="21">
        <v>1708.19</v>
      </c>
      <c r="J188" s="21">
        <v>1636.78</v>
      </c>
      <c r="K188" s="21">
        <v>1624.08</v>
      </c>
      <c r="L188" s="21">
        <v>1725.63</v>
      </c>
      <c r="M188" s="21">
        <v>1495.14</v>
      </c>
      <c r="N188" s="21">
        <v>1545.84</v>
      </c>
      <c r="O188" s="21">
        <v>1640.55</v>
      </c>
      <c r="P188" s="21">
        <v>1719.86</v>
      </c>
      <c r="Q188" s="21">
        <v>6335.12</v>
      </c>
      <c r="R188" s="20">
        <v>115.56</v>
      </c>
      <c r="S188" s="20">
        <v>105.76</v>
      </c>
      <c r="T188" s="21">
        <v>120.55</v>
      </c>
      <c r="V188" s="1">
        <v>112.35</v>
      </c>
      <c r="W188" s="1">
        <v>119.89</v>
      </c>
      <c r="X188" s="1">
        <v>117.82</v>
      </c>
      <c r="Y188" s="1">
        <v>114.64</v>
      </c>
      <c r="Z188" s="1">
        <v>115</v>
      </c>
      <c r="AA188" s="1">
        <v>118.23</v>
      </c>
      <c r="AB188" s="1">
        <v>117.13</v>
      </c>
      <c r="AE188" s="1">
        <v>126.89</v>
      </c>
      <c r="AF188" s="1">
        <v>125.96</v>
      </c>
      <c r="AG188" s="1">
        <v>108.85</v>
      </c>
      <c r="AN188" s="1">
        <v>4431.83</v>
      </c>
      <c r="AP188" s="1">
        <v>4321.3999999999996</v>
      </c>
      <c r="AQ188" s="1">
        <v>4399.16</v>
      </c>
      <c r="AR188" s="1">
        <v>3896.58</v>
      </c>
      <c r="AS188" s="1">
        <v>4177.62</v>
      </c>
      <c r="AT188" s="1">
        <v>4400.43</v>
      </c>
      <c r="AU188" s="1">
        <v>3909.7</v>
      </c>
      <c r="AW188" s="1">
        <v>4018.11</v>
      </c>
      <c r="AX188" s="1">
        <v>112.7</v>
      </c>
      <c r="AY188" s="1">
        <v>4102.93</v>
      </c>
      <c r="AZ188" s="1">
        <v>4489.8900000000003</v>
      </c>
      <c r="BA188" s="1">
        <v>113.65</v>
      </c>
      <c r="BB188" s="1">
        <v>130.02000000000001</v>
      </c>
      <c r="BC188" s="1">
        <v>125.59</v>
      </c>
      <c r="BD188" s="1">
        <v>127.58</v>
      </c>
      <c r="BE188" s="1">
        <v>122.61</v>
      </c>
      <c r="BF188" s="1">
        <v>118.92</v>
      </c>
      <c r="BG188" s="1">
        <v>127.36</v>
      </c>
      <c r="BH188" s="1">
        <v>115.95</v>
      </c>
      <c r="BI188" s="1">
        <v>122.16</v>
      </c>
      <c r="BJ188" s="1">
        <v>128.01</v>
      </c>
      <c r="BL188" s="1">
        <v>109.6</v>
      </c>
      <c r="BN188" s="1">
        <v>109.81</v>
      </c>
    </row>
    <row r="189" spans="1:66" x14ac:dyDescent="0.3">
      <c r="A189" s="2"/>
      <c r="C189" s="14" t="str">
        <f t="shared" si="3"/>
        <v>20257</v>
      </c>
      <c r="D189" s="3">
        <v>45839</v>
      </c>
      <c r="E189" s="21">
        <v>1704.81</v>
      </c>
      <c r="F189" s="21">
        <v>1688.74</v>
      </c>
      <c r="G189" s="21">
        <v>1678.57</v>
      </c>
      <c r="H189" s="21"/>
      <c r="I189" s="21">
        <v>1708.19</v>
      </c>
      <c r="J189" s="21">
        <v>1612.49</v>
      </c>
      <c r="K189" s="21">
        <v>1624.08</v>
      </c>
      <c r="L189" s="21">
        <v>1661.67</v>
      </c>
      <c r="M189" s="21">
        <v>1571.86</v>
      </c>
      <c r="N189" s="21">
        <v>1554.4</v>
      </c>
      <c r="O189" s="21">
        <v>1682.52</v>
      </c>
      <c r="P189" s="21">
        <v>1704.9</v>
      </c>
      <c r="Q189" s="21">
        <v>6335.12</v>
      </c>
      <c r="R189" s="20">
        <v>114.09</v>
      </c>
      <c r="S189" s="20">
        <v>105.76</v>
      </c>
      <c r="T189" s="21">
        <v>120.75</v>
      </c>
      <c r="V189" s="1">
        <v>112.23</v>
      </c>
      <c r="W189" s="1">
        <v>118.6</v>
      </c>
      <c r="X189" s="1">
        <v>116.61</v>
      </c>
      <c r="Y189" s="1">
        <v>112.88</v>
      </c>
      <c r="Z189" s="1">
        <v>114.51</v>
      </c>
      <c r="AA189" s="1">
        <v>117.77</v>
      </c>
      <c r="AB189" s="1">
        <v>117.12</v>
      </c>
      <c r="AE189" s="1">
        <v>126.2</v>
      </c>
      <c r="AF189" s="1">
        <v>126.16</v>
      </c>
      <c r="AG189" s="1">
        <v>108.87</v>
      </c>
      <c r="AN189" s="1">
        <v>4431.83</v>
      </c>
      <c r="AP189" s="1">
        <v>4410.67</v>
      </c>
      <c r="AQ189" s="1">
        <v>4399.16</v>
      </c>
      <c r="AR189" s="1">
        <v>3896.58</v>
      </c>
      <c r="AS189" s="1">
        <v>4177.62</v>
      </c>
      <c r="AT189" s="1">
        <v>4331.2299999999996</v>
      </c>
      <c r="AU189" s="1">
        <v>3968.74</v>
      </c>
      <c r="AW189" s="1">
        <v>3994.31</v>
      </c>
      <c r="AX189" s="1">
        <v>112.92</v>
      </c>
      <c r="AY189" s="1">
        <v>4102.93</v>
      </c>
      <c r="AZ189" s="1">
        <v>4489.8900000000003</v>
      </c>
      <c r="BA189" s="1">
        <v>113.65</v>
      </c>
      <c r="BB189" s="1">
        <v>130.37</v>
      </c>
      <c r="BC189" s="1">
        <v>125.14</v>
      </c>
      <c r="BD189" s="1">
        <v>127.3</v>
      </c>
      <c r="BE189" s="1">
        <v>121.32</v>
      </c>
      <c r="BF189" s="1">
        <v>119.34</v>
      </c>
      <c r="BG189" s="1">
        <v>127.36</v>
      </c>
      <c r="BH189" s="1">
        <v>116.17</v>
      </c>
      <c r="BI189" s="1">
        <v>122.16</v>
      </c>
      <c r="BJ189" s="1">
        <v>127.99</v>
      </c>
      <c r="BL189" s="1">
        <v>108.27</v>
      </c>
      <c r="BN189" s="1">
        <v>107.84</v>
      </c>
    </row>
    <row r="190" spans="1:66" x14ac:dyDescent="0.3">
      <c r="A190" s="2"/>
      <c r="C190" s="14" t="str">
        <f t="shared" si="3"/>
        <v>20256</v>
      </c>
      <c r="D190" s="3">
        <v>45838</v>
      </c>
      <c r="E190" s="21">
        <v>1696.42</v>
      </c>
      <c r="F190" s="21">
        <v>1733.62</v>
      </c>
      <c r="G190" s="21">
        <v>1690.19</v>
      </c>
      <c r="H190" s="21"/>
      <c r="I190" s="21">
        <v>1726.56</v>
      </c>
      <c r="J190" s="21">
        <v>1621.64</v>
      </c>
      <c r="K190" s="21">
        <v>1624.88</v>
      </c>
      <c r="L190" s="21">
        <v>1723.77</v>
      </c>
      <c r="M190" s="21">
        <v>1530.5</v>
      </c>
      <c r="N190" s="21">
        <v>1555.23</v>
      </c>
      <c r="O190" s="21">
        <v>1662.58</v>
      </c>
      <c r="P190" s="21">
        <v>1645.8</v>
      </c>
      <c r="Q190" s="21">
        <v>6341.85</v>
      </c>
      <c r="R190" s="20">
        <v>114.93</v>
      </c>
      <c r="S190" s="20">
        <v>105.64</v>
      </c>
      <c r="T190" s="21">
        <v>120.77</v>
      </c>
      <c r="V190" s="1">
        <v>112.59</v>
      </c>
      <c r="W190" s="1">
        <v>119.4</v>
      </c>
      <c r="X190" s="1">
        <v>118.62</v>
      </c>
      <c r="Y190" s="1">
        <v>113.71</v>
      </c>
      <c r="Z190" s="1">
        <v>114.37</v>
      </c>
      <c r="AA190" s="1">
        <v>117.76</v>
      </c>
      <c r="AB190" s="1">
        <v>117.86</v>
      </c>
      <c r="AE190" s="1">
        <v>127.6</v>
      </c>
      <c r="AF190" s="1">
        <v>126.44</v>
      </c>
      <c r="AG190" s="1">
        <v>109.88</v>
      </c>
      <c r="AN190" s="1">
        <v>4426.9399999999996</v>
      </c>
      <c r="AP190" s="1">
        <v>4456.17</v>
      </c>
      <c r="AQ190" s="1">
        <v>4394.32</v>
      </c>
      <c r="AR190" s="1">
        <v>3892.29</v>
      </c>
      <c r="AT190" s="1">
        <v>4326.45</v>
      </c>
      <c r="AU190" s="1">
        <v>3975.75</v>
      </c>
      <c r="AW190" s="1">
        <v>3965.64</v>
      </c>
      <c r="AX190" s="1">
        <v>112.31</v>
      </c>
      <c r="AY190" s="1">
        <v>4004.41</v>
      </c>
      <c r="AZ190" s="1">
        <v>4602.97</v>
      </c>
      <c r="BA190" s="1">
        <v>115.93</v>
      </c>
      <c r="BB190" s="1">
        <v>129.54</v>
      </c>
      <c r="BC190" s="1">
        <v>126.55</v>
      </c>
      <c r="BD190" s="1">
        <v>127.52</v>
      </c>
      <c r="BE190" s="1">
        <v>121.06</v>
      </c>
      <c r="BF190" s="1">
        <v>119.32</v>
      </c>
      <c r="BG190" s="1">
        <v>127.69</v>
      </c>
      <c r="BH190" s="1">
        <v>116.21</v>
      </c>
      <c r="BI190" s="1">
        <v>121.77</v>
      </c>
      <c r="BJ190" s="1">
        <v>128.69999999999999</v>
      </c>
      <c r="BL190" s="1">
        <v>109.28</v>
      </c>
      <c r="BN190" s="1">
        <v>107.85</v>
      </c>
    </row>
    <row r="191" spans="1:66" x14ac:dyDescent="0.3">
      <c r="A191" s="2"/>
      <c r="C191" s="14" t="str">
        <f t="shared" si="3"/>
        <v>20256</v>
      </c>
      <c r="D191" s="3">
        <v>45835</v>
      </c>
      <c r="E191" s="21">
        <v>1701.39</v>
      </c>
      <c r="F191" s="21">
        <v>1733.62</v>
      </c>
      <c r="G191" s="21">
        <v>1699.69</v>
      </c>
      <c r="H191" s="21">
        <v>1792</v>
      </c>
      <c r="I191" s="21">
        <v>1736.45</v>
      </c>
      <c r="J191" s="21">
        <v>1621.64</v>
      </c>
      <c r="K191" s="21">
        <v>1624.88</v>
      </c>
      <c r="L191" s="21">
        <v>1846.19</v>
      </c>
      <c r="M191" s="21">
        <v>1510.98</v>
      </c>
      <c r="N191" s="21">
        <v>1575.57</v>
      </c>
      <c r="O191" s="21">
        <v>1644.43</v>
      </c>
      <c r="P191" s="21">
        <v>1645.8</v>
      </c>
      <c r="Q191" s="21">
        <v>6341.85</v>
      </c>
      <c r="R191" s="20">
        <v>114.6</v>
      </c>
      <c r="S191" s="20">
        <v>106.39</v>
      </c>
      <c r="T191" s="21">
        <v>120.77</v>
      </c>
      <c r="V191" s="1">
        <v>112.86</v>
      </c>
      <c r="W191" s="1">
        <v>119.33</v>
      </c>
      <c r="X191" s="1">
        <v>118.95</v>
      </c>
      <c r="Y191" s="1">
        <v>115.07</v>
      </c>
      <c r="Z191" s="1">
        <v>114.51</v>
      </c>
      <c r="AA191" s="1">
        <v>117.76</v>
      </c>
      <c r="AB191" s="1">
        <v>118.03</v>
      </c>
      <c r="AE191" s="1">
        <v>128.19</v>
      </c>
      <c r="AF191" s="1">
        <v>127.1</v>
      </c>
      <c r="AG191" s="1">
        <v>110.37</v>
      </c>
      <c r="AK191" s="1">
        <v>7</v>
      </c>
      <c r="AN191" s="1">
        <v>4398.95</v>
      </c>
      <c r="AP191" s="1">
        <v>4456.17</v>
      </c>
      <c r="AQ191" s="1">
        <v>4394.32</v>
      </c>
      <c r="AR191" s="1">
        <v>3892.29</v>
      </c>
      <c r="AS191" s="1">
        <v>4340.12</v>
      </c>
      <c r="AT191" s="1">
        <v>4248.8900000000003</v>
      </c>
      <c r="AU191" s="1">
        <v>3967.08</v>
      </c>
      <c r="AW191" s="1">
        <v>3894.82</v>
      </c>
      <c r="AX191" s="1">
        <v>114.29</v>
      </c>
      <c r="AY191" s="1">
        <v>4004.41</v>
      </c>
      <c r="AZ191" s="1">
        <v>4537.21</v>
      </c>
      <c r="BA191" s="1">
        <v>115.52</v>
      </c>
      <c r="BB191" s="1">
        <v>129.63</v>
      </c>
      <c r="BC191" s="1">
        <v>126.3</v>
      </c>
      <c r="BD191" s="1">
        <v>128.15</v>
      </c>
      <c r="BE191" s="1">
        <v>123.59</v>
      </c>
      <c r="BF191" s="1">
        <v>119.32</v>
      </c>
      <c r="BG191" s="1">
        <v>127.36</v>
      </c>
      <c r="BH191" s="1">
        <v>114.84</v>
      </c>
      <c r="BI191" s="1">
        <v>122.91</v>
      </c>
      <c r="BJ191" s="1">
        <v>129.63</v>
      </c>
      <c r="BL191" s="1">
        <v>110.44</v>
      </c>
      <c r="BN191" s="1">
        <v>109.68</v>
      </c>
    </row>
    <row r="192" spans="1:66" x14ac:dyDescent="0.3">
      <c r="A192" s="2"/>
      <c r="C192" s="14" t="str">
        <f t="shared" si="3"/>
        <v>20256</v>
      </c>
      <c r="D192" s="3">
        <v>45834</v>
      </c>
      <c r="E192" s="21">
        <v>1701.39</v>
      </c>
      <c r="F192" s="21">
        <v>1733.62</v>
      </c>
      <c r="G192" s="21">
        <v>1712.56</v>
      </c>
      <c r="H192" s="21">
        <v>1790.46</v>
      </c>
      <c r="I192" s="21">
        <v>1729.33</v>
      </c>
      <c r="J192" s="21">
        <v>1652.35</v>
      </c>
      <c r="K192" s="21">
        <v>1646.25</v>
      </c>
      <c r="L192" s="21">
        <v>1816.36</v>
      </c>
      <c r="M192" s="21">
        <v>1517.34</v>
      </c>
      <c r="N192" s="21">
        <v>1544</v>
      </c>
      <c r="O192" s="21">
        <v>1582.21</v>
      </c>
      <c r="P192" s="21">
        <v>1680.14</v>
      </c>
      <c r="Q192" s="21">
        <v>6291.85</v>
      </c>
      <c r="R192" s="20">
        <v>114.6</v>
      </c>
      <c r="S192" s="20">
        <v>108.19</v>
      </c>
      <c r="T192" s="21">
        <v>120.75</v>
      </c>
      <c r="V192" s="1">
        <v>112.86</v>
      </c>
      <c r="W192" s="1">
        <v>120.04</v>
      </c>
      <c r="X192" s="1">
        <v>119.48</v>
      </c>
      <c r="Y192" s="1">
        <v>115.89</v>
      </c>
      <c r="Z192" s="1">
        <v>115.95</v>
      </c>
      <c r="AA192" s="1">
        <v>117.68</v>
      </c>
      <c r="AB192" s="1">
        <v>119.27</v>
      </c>
      <c r="AE192" s="1">
        <v>128.58000000000001</v>
      </c>
      <c r="AF192" s="1">
        <v>124.99</v>
      </c>
      <c r="AG192" s="1">
        <v>112.05</v>
      </c>
      <c r="AN192" s="1">
        <v>4350.0600000000004</v>
      </c>
      <c r="AP192" s="1">
        <v>4456.17</v>
      </c>
      <c r="AR192" s="1">
        <v>3892.29</v>
      </c>
      <c r="AS192" s="1">
        <v>4379.3999999999996</v>
      </c>
      <c r="AT192" s="1">
        <v>4248.8900000000003</v>
      </c>
      <c r="AU192" s="1">
        <v>3967.08</v>
      </c>
      <c r="AW192" s="1">
        <v>3894.82</v>
      </c>
      <c r="AX192" s="1">
        <v>114.06</v>
      </c>
      <c r="AY192" s="1">
        <v>4004.41</v>
      </c>
      <c r="AZ192" s="1">
        <v>4537.21</v>
      </c>
      <c r="BA192" s="1">
        <v>115.37</v>
      </c>
      <c r="BB192" s="1">
        <v>130.21</v>
      </c>
      <c r="BC192" s="1">
        <v>127.18</v>
      </c>
      <c r="BD192" s="1">
        <v>127.87</v>
      </c>
      <c r="BE192" s="1">
        <v>121.06</v>
      </c>
      <c r="BF192" s="1">
        <v>119.32</v>
      </c>
      <c r="BG192" s="1">
        <v>129.81</v>
      </c>
      <c r="BH192" s="1">
        <v>115.62</v>
      </c>
      <c r="BI192" s="1">
        <v>122.91</v>
      </c>
      <c r="BJ192" s="1">
        <v>129.61000000000001</v>
      </c>
      <c r="BL192" s="1">
        <v>111.44</v>
      </c>
      <c r="BN192" s="1">
        <v>111.35</v>
      </c>
    </row>
    <row r="193" spans="1:66" x14ac:dyDescent="0.3">
      <c r="A193" s="2"/>
      <c r="C193" s="14" t="str">
        <f t="shared" si="3"/>
        <v>20256</v>
      </c>
      <c r="D193" s="3">
        <v>45833</v>
      </c>
      <c r="E193" s="21">
        <v>1716.28</v>
      </c>
      <c r="F193" s="21">
        <v>1733.62</v>
      </c>
      <c r="G193" s="21">
        <v>1712.56</v>
      </c>
      <c r="H193" s="21">
        <v>1784.28</v>
      </c>
      <c r="I193" s="21">
        <v>1724.37</v>
      </c>
      <c r="J193" s="21">
        <v>1652.35</v>
      </c>
      <c r="K193" s="21">
        <v>1634.33</v>
      </c>
      <c r="L193" s="21">
        <v>1726.88</v>
      </c>
      <c r="M193" s="21">
        <v>1514.32</v>
      </c>
      <c r="N193" s="21">
        <v>1570.48</v>
      </c>
      <c r="O193" s="21">
        <v>1608.46</v>
      </c>
      <c r="P193" s="21">
        <v>1685.1</v>
      </c>
      <c r="Q193" s="21">
        <v>6292.45</v>
      </c>
      <c r="R193" s="20">
        <v>114.27</v>
      </c>
      <c r="S193" s="20">
        <v>108.94</v>
      </c>
      <c r="T193" s="21">
        <v>121.56</v>
      </c>
      <c r="V193" s="1">
        <v>113.06</v>
      </c>
      <c r="W193" s="1">
        <v>120.04</v>
      </c>
      <c r="X193" s="1">
        <v>119.91</v>
      </c>
      <c r="Y193" s="1">
        <v>116.07</v>
      </c>
      <c r="Z193" s="1">
        <v>116.42</v>
      </c>
      <c r="AA193" s="1">
        <v>117.61</v>
      </c>
      <c r="AB193" s="1">
        <v>119.77</v>
      </c>
      <c r="AE193" s="1">
        <v>128.58000000000001</v>
      </c>
      <c r="AF193" s="1">
        <v>124.87</v>
      </c>
      <c r="AG193" s="1">
        <v>111.42</v>
      </c>
      <c r="AP193" s="1">
        <v>4501.67</v>
      </c>
      <c r="AR193" s="1">
        <v>3892.29</v>
      </c>
      <c r="AS193" s="1">
        <v>4379.3999999999996</v>
      </c>
      <c r="AT193" s="1">
        <v>4248.8900000000003</v>
      </c>
      <c r="AU193" s="1">
        <v>3967.08</v>
      </c>
      <c r="AW193" s="1">
        <v>3894.82</v>
      </c>
      <c r="AX193" s="1">
        <v>114.05</v>
      </c>
      <c r="AY193" s="1">
        <v>4004.41</v>
      </c>
      <c r="AZ193" s="1">
        <v>4471.46</v>
      </c>
      <c r="BA193" s="1">
        <v>115.37</v>
      </c>
      <c r="BB193" s="1">
        <v>130.31</v>
      </c>
      <c r="BC193" s="1">
        <v>124.94</v>
      </c>
      <c r="BD193" s="1">
        <v>125.39</v>
      </c>
      <c r="BE193" s="1">
        <v>120.56</v>
      </c>
      <c r="BF193" s="1">
        <v>119.03</v>
      </c>
      <c r="BG193" s="1">
        <v>129.81</v>
      </c>
      <c r="BH193" s="1">
        <v>117.37</v>
      </c>
      <c r="BI193" s="1">
        <v>124.19</v>
      </c>
      <c r="BJ193" s="1">
        <v>130.38</v>
      </c>
      <c r="BL193" s="1">
        <v>111.11</v>
      </c>
      <c r="BN193" s="1">
        <v>110.68</v>
      </c>
    </row>
    <row r="194" spans="1:66" x14ac:dyDescent="0.3">
      <c r="A194" s="2"/>
      <c r="C194" s="14" t="str">
        <f t="shared" si="3"/>
        <v>20256</v>
      </c>
      <c r="D194" s="3">
        <v>45832</v>
      </c>
      <c r="E194" s="21">
        <v>1750.92</v>
      </c>
      <c r="F194" s="21">
        <v>1739.8</v>
      </c>
      <c r="G194" s="21">
        <v>1744.68</v>
      </c>
      <c r="H194" s="21">
        <v>1759.56</v>
      </c>
      <c r="I194" s="21">
        <v>1724.37</v>
      </c>
      <c r="J194" s="21">
        <v>1660.55</v>
      </c>
      <c r="K194" s="21">
        <v>1646.89</v>
      </c>
      <c r="L194" s="21">
        <v>1862.66</v>
      </c>
      <c r="M194" s="21">
        <v>1600.02</v>
      </c>
      <c r="N194" s="21">
        <v>1575.58</v>
      </c>
      <c r="O194" s="21">
        <v>1573.32</v>
      </c>
      <c r="P194" s="21">
        <v>1713.29</v>
      </c>
      <c r="Q194" s="21">
        <v>6299.66</v>
      </c>
      <c r="R194" s="20">
        <v>115.76</v>
      </c>
      <c r="S194" s="20">
        <v>107.88</v>
      </c>
      <c r="T194" s="21">
        <v>120.77</v>
      </c>
      <c r="V194" s="1">
        <v>113.8</v>
      </c>
      <c r="W194" s="1">
        <v>120.23</v>
      </c>
      <c r="X194" s="1">
        <v>119.91</v>
      </c>
      <c r="Y194" s="1">
        <v>115.95</v>
      </c>
      <c r="Z194" s="1">
        <v>116.38</v>
      </c>
      <c r="AA194" s="1">
        <v>119.6</v>
      </c>
      <c r="AB194" s="1">
        <v>120.03</v>
      </c>
      <c r="AE194" s="1">
        <v>128.58000000000001</v>
      </c>
      <c r="AF194" s="1">
        <v>124.52</v>
      </c>
      <c r="AG194" s="1">
        <v>110.39</v>
      </c>
      <c r="AP194" s="1">
        <v>4501.67</v>
      </c>
      <c r="AS194" s="1">
        <v>4425.83</v>
      </c>
      <c r="AT194" s="1">
        <v>4147.7299999999996</v>
      </c>
      <c r="AU194" s="1">
        <v>3967.08</v>
      </c>
      <c r="AW194" s="1">
        <v>3922.64</v>
      </c>
      <c r="AX194" s="1">
        <v>112.93</v>
      </c>
      <c r="AY194" s="1">
        <v>4031.39</v>
      </c>
      <c r="AZ194" s="1">
        <v>4471.46</v>
      </c>
      <c r="BA194" s="1">
        <v>113.31</v>
      </c>
      <c r="BB194" s="1">
        <v>129.85</v>
      </c>
      <c r="BC194" s="1">
        <v>127.91</v>
      </c>
      <c r="BD194" s="1">
        <v>128.52000000000001</v>
      </c>
      <c r="BE194" s="1">
        <v>123.59</v>
      </c>
      <c r="BF194" s="1">
        <v>119.36</v>
      </c>
      <c r="BG194" s="1">
        <v>130.88</v>
      </c>
      <c r="BH194" s="1">
        <v>117.12</v>
      </c>
      <c r="BI194" s="1">
        <v>123.05</v>
      </c>
      <c r="BJ194" s="1">
        <v>130.36000000000001</v>
      </c>
      <c r="BL194" s="1">
        <v>111.08</v>
      </c>
      <c r="BN194" s="1">
        <v>110.68</v>
      </c>
    </row>
    <row r="195" spans="1:66" x14ac:dyDescent="0.3">
      <c r="A195" s="2"/>
      <c r="C195" s="14" t="str">
        <f t="shared" si="3"/>
        <v>20256</v>
      </c>
      <c r="D195" s="3">
        <v>45831</v>
      </c>
      <c r="E195" s="21">
        <v>1745.96</v>
      </c>
      <c r="F195" s="21">
        <v>1783.15</v>
      </c>
      <c r="G195" s="21">
        <v>1757.04</v>
      </c>
      <c r="H195" s="21">
        <v>1764.5</v>
      </c>
      <c r="I195" s="21">
        <v>1724.37</v>
      </c>
      <c r="J195" s="21">
        <v>1646.58</v>
      </c>
      <c r="K195" s="21">
        <v>1644.26</v>
      </c>
      <c r="L195" s="21">
        <v>1862.66</v>
      </c>
      <c r="M195" s="21">
        <v>1638.09</v>
      </c>
      <c r="N195" s="21">
        <v>1597.6</v>
      </c>
      <c r="O195" s="21">
        <v>1569.46</v>
      </c>
      <c r="P195" s="21">
        <v>1701.27</v>
      </c>
      <c r="Q195" s="21">
        <v>6299.66</v>
      </c>
      <c r="R195" s="20">
        <v>116.43</v>
      </c>
      <c r="S195" s="20">
        <v>107.88</v>
      </c>
      <c r="T195" s="21">
        <v>121.78</v>
      </c>
      <c r="V195" s="1">
        <v>113.59</v>
      </c>
      <c r="W195" s="1">
        <v>120.61</v>
      </c>
      <c r="X195" s="1">
        <v>121.19</v>
      </c>
      <c r="Y195" s="1">
        <v>116.42</v>
      </c>
      <c r="Z195" s="1">
        <v>116.94</v>
      </c>
      <c r="AA195" s="1">
        <v>119.75</v>
      </c>
      <c r="AB195" s="1">
        <v>120.45</v>
      </c>
      <c r="AE195" s="1">
        <v>129</v>
      </c>
      <c r="AF195" s="1">
        <v>125.25</v>
      </c>
      <c r="AG195" s="1">
        <v>110.39</v>
      </c>
      <c r="AN195" s="1">
        <v>4248.8900000000003</v>
      </c>
      <c r="AP195" s="1">
        <v>4471.88</v>
      </c>
      <c r="AQ195" s="1">
        <v>4425.93</v>
      </c>
      <c r="AS195" s="1">
        <v>4437.0600000000004</v>
      </c>
      <c r="AT195" s="1">
        <v>4240.46</v>
      </c>
      <c r="AU195" s="1">
        <v>3967.08</v>
      </c>
      <c r="AW195" s="1">
        <v>3922.64</v>
      </c>
      <c r="AX195" s="1">
        <v>113.95</v>
      </c>
      <c r="AY195" s="1">
        <v>4071.86</v>
      </c>
      <c r="AZ195" s="1">
        <v>4430.99</v>
      </c>
      <c r="BA195" s="1">
        <v>116.13</v>
      </c>
      <c r="BB195" s="1">
        <v>130.69999999999999</v>
      </c>
      <c r="BC195" s="1">
        <v>127.65</v>
      </c>
      <c r="BD195" s="1">
        <v>129.24</v>
      </c>
      <c r="BE195" s="1">
        <v>123.92</v>
      </c>
      <c r="BF195" s="1">
        <v>120.03</v>
      </c>
      <c r="BG195" s="1">
        <v>129.1</v>
      </c>
      <c r="BH195" s="1">
        <v>120.78</v>
      </c>
      <c r="BI195" s="1">
        <v>123.05</v>
      </c>
      <c r="BJ195" s="1">
        <v>130.94</v>
      </c>
      <c r="BL195" s="1">
        <v>111.36</v>
      </c>
      <c r="BN195" s="1">
        <v>111.35</v>
      </c>
    </row>
    <row r="196" spans="1:66" x14ac:dyDescent="0.3">
      <c r="A196" s="2"/>
      <c r="C196" s="14" t="str">
        <f t="shared" si="3"/>
        <v>20256</v>
      </c>
      <c r="D196" s="3">
        <v>45828</v>
      </c>
      <c r="E196" s="21">
        <v>1751.18</v>
      </c>
      <c r="F196" s="21">
        <v>1783.41</v>
      </c>
      <c r="G196" s="21">
        <v>1757.36</v>
      </c>
      <c r="H196" s="21">
        <v>1813.72</v>
      </c>
      <c r="I196" s="21">
        <v>1726.11</v>
      </c>
      <c r="J196" s="21">
        <v>1670.71</v>
      </c>
      <c r="K196" s="21">
        <v>1640.44</v>
      </c>
      <c r="L196" s="21">
        <v>1629.1</v>
      </c>
      <c r="M196" s="21">
        <v>1600.3</v>
      </c>
      <c r="N196" s="21">
        <v>1557.12</v>
      </c>
      <c r="O196" s="21">
        <v>1572.93</v>
      </c>
      <c r="P196" s="21">
        <v>1717.43</v>
      </c>
      <c r="Q196" s="21">
        <v>6224.93</v>
      </c>
      <c r="R196" s="20">
        <v>118.43</v>
      </c>
      <c r="S196" s="20">
        <v>107.4</v>
      </c>
      <c r="T196" s="21">
        <v>121.53</v>
      </c>
      <c r="V196" s="1">
        <v>113.88</v>
      </c>
      <c r="W196" s="1">
        <v>120.47</v>
      </c>
      <c r="X196" s="1">
        <v>121.2</v>
      </c>
      <c r="Y196" s="1">
        <v>116.14</v>
      </c>
      <c r="Z196" s="1">
        <v>116.15</v>
      </c>
      <c r="AA196" s="1">
        <v>120.07</v>
      </c>
      <c r="AB196" s="1">
        <v>120.64</v>
      </c>
      <c r="AE196" s="1">
        <v>129.66</v>
      </c>
      <c r="AF196" s="1">
        <v>124.51</v>
      </c>
      <c r="AG196" s="1">
        <v>109.68</v>
      </c>
      <c r="AN196" s="1">
        <v>4248.12</v>
      </c>
      <c r="AP196" s="1">
        <v>4471.88</v>
      </c>
      <c r="AQ196" s="1">
        <v>4425.13</v>
      </c>
      <c r="AR196" s="1">
        <v>3982.62</v>
      </c>
      <c r="AS196" s="1">
        <v>4391.95</v>
      </c>
      <c r="AT196" s="1">
        <v>4235.4799999999996</v>
      </c>
      <c r="AU196" s="1">
        <v>3944.69</v>
      </c>
      <c r="AW196" s="1">
        <v>3950.38</v>
      </c>
      <c r="AX196" s="1">
        <v>112.24</v>
      </c>
      <c r="AY196" s="1">
        <v>4071.12</v>
      </c>
      <c r="AZ196" s="1">
        <v>4422.6000000000004</v>
      </c>
      <c r="BA196" s="1">
        <v>115.45</v>
      </c>
      <c r="BB196" s="1">
        <v>129.86000000000001</v>
      </c>
      <c r="BC196" s="1">
        <v>127.23</v>
      </c>
      <c r="BD196" s="1">
        <v>129.21</v>
      </c>
      <c r="BE196" s="1">
        <v>124.6</v>
      </c>
      <c r="BF196" s="1">
        <v>121.3</v>
      </c>
      <c r="BG196" s="1">
        <v>130.52000000000001</v>
      </c>
      <c r="BH196" s="1">
        <v>117.25</v>
      </c>
      <c r="BI196" s="1">
        <v>123.05</v>
      </c>
      <c r="BJ196" s="1">
        <v>129.69999999999999</v>
      </c>
      <c r="BL196" s="1">
        <v>111.2</v>
      </c>
      <c r="BN196" s="1">
        <v>111.03</v>
      </c>
    </row>
    <row r="197" spans="1:66" x14ac:dyDescent="0.3">
      <c r="A197" s="2"/>
      <c r="C197" s="14" t="str">
        <f t="shared" si="3"/>
        <v>20256</v>
      </c>
      <c r="D197" s="3">
        <v>45826</v>
      </c>
      <c r="E197" s="21">
        <v>1751.18</v>
      </c>
      <c r="F197" s="21">
        <v>1783.41</v>
      </c>
      <c r="G197" s="21">
        <v>1757.36</v>
      </c>
      <c r="H197" s="21">
        <v>1847.58</v>
      </c>
      <c r="I197" s="21">
        <v>1739.5</v>
      </c>
      <c r="J197" s="21">
        <v>1670.71</v>
      </c>
      <c r="K197" s="21">
        <v>1640.44</v>
      </c>
      <c r="L197" s="21">
        <v>1654.37</v>
      </c>
      <c r="M197" s="21">
        <v>1581.15</v>
      </c>
      <c r="N197" s="21">
        <v>1587.49</v>
      </c>
      <c r="O197" s="21">
        <v>1574.92</v>
      </c>
      <c r="P197" s="21">
        <v>1765.94</v>
      </c>
      <c r="Q197" s="21">
        <v>6224.93</v>
      </c>
      <c r="R197" s="20">
        <v>116.43</v>
      </c>
      <c r="S197" s="20">
        <v>107.23</v>
      </c>
      <c r="T197" s="21">
        <v>120.75</v>
      </c>
      <c r="V197" s="1">
        <v>113.62</v>
      </c>
      <c r="W197" s="1">
        <v>120.47</v>
      </c>
      <c r="X197" s="1">
        <v>121.2</v>
      </c>
      <c r="Y197" s="1">
        <v>115.93</v>
      </c>
      <c r="Z197" s="1">
        <v>115.99</v>
      </c>
      <c r="AA197" s="1">
        <v>119.76</v>
      </c>
      <c r="AB197" s="1">
        <v>120.64</v>
      </c>
      <c r="AE197" s="1">
        <v>129.66</v>
      </c>
      <c r="AF197" s="1">
        <v>124.49</v>
      </c>
      <c r="AG197" s="1">
        <v>110.64</v>
      </c>
      <c r="AN197" s="1">
        <v>4325.38</v>
      </c>
      <c r="AP197" s="1">
        <v>4449.6400000000003</v>
      </c>
      <c r="AQ197" s="1">
        <v>4425.13</v>
      </c>
      <c r="AR197" s="1">
        <v>3982.62</v>
      </c>
      <c r="AS197" s="1">
        <v>4378.88</v>
      </c>
      <c r="AT197" s="1">
        <v>4235.4799999999996</v>
      </c>
      <c r="AU197" s="1">
        <v>3944.69</v>
      </c>
      <c r="AW197" s="1">
        <v>3950.38</v>
      </c>
      <c r="AX197" s="1">
        <v>114.9</v>
      </c>
      <c r="AY197" s="1">
        <v>4057.21</v>
      </c>
      <c r="AZ197" s="1">
        <v>4422.6000000000004</v>
      </c>
      <c r="BA197" s="1">
        <v>118.07</v>
      </c>
      <c r="BB197" s="1">
        <v>129.01</v>
      </c>
      <c r="BC197" s="1">
        <v>127.3</v>
      </c>
      <c r="BD197" s="1">
        <v>127.84</v>
      </c>
      <c r="BE197" s="1">
        <v>124.18</v>
      </c>
      <c r="BF197" s="1">
        <v>120.37</v>
      </c>
      <c r="BG197" s="1">
        <v>130.52000000000001</v>
      </c>
      <c r="BH197" s="1">
        <v>117.75</v>
      </c>
      <c r="BI197" s="1">
        <v>123.05</v>
      </c>
      <c r="BJ197" s="1">
        <v>129.66</v>
      </c>
      <c r="BL197" s="1">
        <v>110.78</v>
      </c>
      <c r="BN197" s="1">
        <v>110.35</v>
      </c>
    </row>
    <row r="198" spans="1:66" x14ac:dyDescent="0.3">
      <c r="A198" s="2"/>
      <c r="C198" s="14" t="str">
        <f t="shared" ref="C198:C261" si="4">YEAR(D198)&amp;MONTH(D198)</f>
        <v>20256</v>
      </c>
      <c r="D198" s="3">
        <v>45825</v>
      </c>
      <c r="E198" s="21">
        <v>1741.25</v>
      </c>
      <c r="F198" s="21">
        <v>1783.41</v>
      </c>
      <c r="G198" s="21">
        <v>1765.76</v>
      </c>
      <c r="H198" s="21">
        <v>1828.93</v>
      </c>
      <c r="I198" s="21">
        <v>1732.64</v>
      </c>
      <c r="J198" s="21">
        <v>1719.46</v>
      </c>
      <c r="K198" s="21">
        <v>1657.23</v>
      </c>
      <c r="L198" s="21">
        <v>1730.17</v>
      </c>
      <c r="M198" s="21">
        <v>1598.06</v>
      </c>
      <c r="N198" s="21">
        <v>1611.78</v>
      </c>
      <c r="O198" s="21">
        <v>1553.3</v>
      </c>
      <c r="P198" s="21">
        <v>1699.59</v>
      </c>
      <c r="Q198" s="21">
        <v>6224.93</v>
      </c>
      <c r="R198" s="20">
        <v>115.77</v>
      </c>
      <c r="S198" s="20">
        <v>107.23</v>
      </c>
      <c r="T198" s="21">
        <v>120.75</v>
      </c>
      <c r="V198" s="1">
        <v>113.4</v>
      </c>
      <c r="W198" s="1">
        <v>120.61</v>
      </c>
      <c r="X198" s="1">
        <v>121.2</v>
      </c>
      <c r="Y198" s="1">
        <v>115.95</v>
      </c>
      <c r="Z198" s="1">
        <v>116.11</v>
      </c>
      <c r="AA198" s="1">
        <v>119.61</v>
      </c>
      <c r="AB198" s="1">
        <v>120.39</v>
      </c>
      <c r="AE198" s="1">
        <v>129.66</v>
      </c>
      <c r="AF198" s="1">
        <v>121.53</v>
      </c>
      <c r="AG198" s="1">
        <v>110.23</v>
      </c>
      <c r="AN198" s="1">
        <v>4325.38</v>
      </c>
      <c r="AP198" s="1">
        <v>4449.6400000000003</v>
      </c>
      <c r="AQ198" s="1">
        <v>4425.13</v>
      </c>
      <c r="AR198" s="1">
        <v>3951.01</v>
      </c>
      <c r="AS198" s="1">
        <v>4390.3599999999997</v>
      </c>
      <c r="AU198" s="1">
        <v>3944.69</v>
      </c>
      <c r="AW198" s="1">
        <v>3819.67</v>
      </c>
      <c r="AX198" s="1">
        <v>114.9</v>
      </c>
      <c r="AY198" s="1">
        <v>4049.88</v>
      </c>
      <c r="AZ198" s="1">
        <v>4418.63</v>
      </c>
      <c r="BA198" s="1">
        <v>118.07</v>
      </c>
      <c r="BB198" s="1">
        <v>129.5</v>
      </c>
      <c r="BC198" s="1">
        <v>127.17</v>
      </c>
      <c r="BD198" s="1">
        <v>127.89</v>
      </c>
      <c r="BE198" s="1">
        <v>121.07</v>
      </c>
      <c r="BF198" s="1">
        <v>119.7</v>
      </c>
      <c r="BG198" s="1">
        <v>129.91999999999999</v>
      </c>
      <c r="BH198" s="1">
        <v>117.83</v>
      </c>
      <c r="BI198" s="1">
        <v>123.05</v>
      </c>
      <c r="BJ198" s="1">
        <v>129.04</v>
      </c>
      <c r="BL198" s="1">
        <v>111.44</v>
      </c>
      <c r="BN198" s="1">
        <v>111.02</v>
      </c>
    </row>
    <row r="199" spans="1:66" x14ac:dyDescent="0.3">
      <c r="A199" s="2"/>
      <c r="C199" s="14" t="str">
        <f t="shared" si="4"/>
        <v>20256</v>
      </c>
      <c r="D199" s="3">
        <v>45824</v>
      </c>
      <c r="E199" s="21">
        <v>1771.04</v>
      </c>
      <c r="F199" s="21">
        <v>1783.41</v>
      </c>
      <c r="G199" s="21">
        <v>1773.6</v>
      </c>
      <c r="H199" s="21">
        <v>1828.93</v>
      </c>
      <c r="I199" s="21">
        <v>1737.58</v>
      </c>
      <c r="J199" s="21">
        <v>1721.85</v>
      </c>
      <c r="K199" s="21">
        <v>1641.44</v>
      </c>
      <c r="L199" s="21">
        <v>1663.16</v>
      </c>
      <c r="M199" s="21">
        <v>1590.12</v>
      </c>
      <c r="N199" s="21">
        <v>1618.51</v>
      </c>
      <c r="O199" s="21">
        <v>1578.39</v>
      </c>
      <c r="P199" s="21">
        <v>1702.06</v>
      </c>
      <c r="Q199" s="21">
        <v>6237.43</v>
      </c>
      <c r="R199" s="20">
        <v>116.43</v>
      </c>
      <c r="S199" s="20">
        <v>108.45</v>
      </c>
      <c r="T199" s="21">
        <v>120.74</v>
      </c>
      <c r="V199" s="1">
        <v>112.87</v>
      </c>
      <c r="W199" s="1">
        <v>121.33</v>
      </c>
      <c r="X199" s="1">
        <v>121.05</v>
      </c>
      <c r="Y199" s="1">
        <v>116.13</v>
      </c>
      <c r="Z199" s="1">
        <v>116.73</v>
      </c>
      <c r="AA199" s="1">
        <v>119.68</v>
      </c>
      <c r="AB199" s="1">
        <v>120.4</v>
      </c>
      <c r="AE199" s="1">
        <v>128.69999999999999</v>
      </c>
      <c r="AF199" s="1">
        <v>121.96</v>
      </c>
      <c r="AG199" s="1">
        <v>110.93</v>
      </c>
      <c r="AN199" s="1">
        <v>4273.78</v>
      </c>
      <c r="AP199" s="1">
        <v>4420</v>
      </c>
      <c r="AQ199" s="1">
        <v>4470.6400000000003</v>
      </c>
      <c r="AR199" s="1">
        <v>3951.01</v>
      </c>
      <c r="AS199" s="1">
        <v>4316.3999999999996</v>
      </c>
      <c r="AT199" s="1">
        <v>3883.3</v>
      </c>
      <c r="AU199" s="1">
        <v>3944.69</v>
      </c>
      <c r="AW199" s="1">
        <v>3832.21</v>
      </c>
      <c r="AX199" s="1">
        <v>114.9</v>
      </c>
      <c r="AY199" s="1">
        <v>4066.78</v>
      </c>
      <c r="AZ199" s="1">
        <v>4413.33</v>
      </c>
      <c r="BA199" s="1">
        <v>116.19</v>
      </c>
      <c r="BB199" s="1">
        <v>128.52000000000001</v>
      </c>
      <c r="BC199" s="1">
        <v>127.31</v>
      </c>
      <c r="BD199" s="1">
        <v>128.91</v>
      </c>
      <c r="BE199" s="1">
        <v>121.97</v>
      </c>
      <c r="BF199" s="1">
        <v>120.37</v>
      </c>
      <c r="BG199" s="1">
        <v>129.56</v>
      </c>
      <c r="BH199" s="1">
        <v>117.83</v>
      </c>
      <c r="BI199" s="1">
        <v>123.05</v>
      </c>
      <c r="BJ199" s="1">
        <v>128.63</v>
      </c>
      <c r="BL199" s="1">
        <v>111.78</v>
      </c>
      <c r="BN199" s="1">
        <v>111.68</v>
      </c>
    </row>
    <row r="200" spans="1:66" x14ac:dyDescent="0.3">
      <c r="A200" s="2"/>
      <c r="C200" s="14" t="str">
        <f t="shared" si="4"/>
        <v>20256</v>
      </c>
      <c r="D200" s="3">
        <v>45821</v>
      </c>
      <c r="E200" s="21">
        <v>1780.97</v>
      </c>
      <c r="F200" s="21">
        <v>1783.41</v>
      </c>
      <c r="G200" s="21">
        <v>1779.8</v>
      </c>
      <c r="H200" s="21">
        <v>1823.98</v>
      </c>
      <c r="I200" s="21">
        <v>1756.53</v>
      </c>
      <c r="J200" s="21">
        <v>1721.85</v>
      </c>
      <c r="K200" s="21">
        <v>1648.2</v>
      </c>
      <c r="L200" s="21">
        <v>1756.53</v>
      </c>
      <c r="M200" s="21">
        <v>1565.89</v>
      </c>
      <c r="N200" s="21">
        <v>1615.49</v>
      </c>
      <c r="O200" s="21">
        <v>1659.34</v>
      </c>
      <c r="P200" s="21">
        <v>1745.45</v>
      </c>
      <c r="Q200" s="21">
        <v>6237.43</v>
      </c>
      <c r="R200" s="20">
        <v>116.43</v>
      </c>
      <c r="S200" s="20">
        <v>108.2</v>
      </c>
      <c r="T200" s="21">
        <v>120.81</v>
      </c>
      <c r="V200" s="1">
        <v>112.73</v>
      </c>
      <c r="W200" s="1">
        <v>121.12</v>
      </c>
      <c r="X200" s="1">
        <v>120.63</v>
      </c>
      <c r="Y200" s="1">
        <v>116.37</v>
      </c>
      <c r="Z200" s="1">
        <v>116.7</v>
      </c>
      <c r="AA200" s="1">
        <v>119.68</v>
      </c>
      <c r="AB200" s="1">
        <v>119.8</v>
      </c>
      <c r="AE200" s="1">
        <v>127.7</v>
      </c>
      <c r="AF200" s="1">
        <v>124.04</v>
      </c>
      <c r="AG200" s="1">
        <v>111.59</v>
      </c>
      <c r="AI200" s="1">
        <v>7</v>
      </c>
      <c r="AN200" s="1">
        <v>4261.91</v>
      </c>
      <c r="AP200" s="1">
        <v>4352</v>
      </c>
      <c r="AQ200" s="1">
        <v>4470.6400000000003</v>
      </c>
      <c r="AR200" s="1">
        <v>3919.4</v>
      </c>
      <c r="AS200" s="1">
        <v>4311.34</v>
      </c>
      <c r="AT200" s="1">
        <v>3883.3</v>
      </c>
      <c r="AW200" s="1">
        <v>3762.62</v>
      </c>
      <c r="AX200" s="1">
        <v>111.55</v>
      </c>
      <c r="AY200" s="1">
        <v>4066.78</v>
      </c>
      <c r="AZ200" s="1">
        <v>4335.8999999999996</v>
      </c>
      <c r="BA200" s="1">
        <v>115.77</v>
      </c>
      <c r="BB200" s="1">
        <v>128.94999999999999</v>
      </c>
      <c r="BC200" s="1">
        <v>126.59</v>
      </c>
      <c r="BD200" s="1">
        <v>127.87</v>
      </c>
      <c r="BE200" s="1">
        <v>123.72</v>
      </c>
      <c r="BF200" s="1">
        <v>120.7</v>
      </c>
      <c r="BG200" s="1">
        <v>129.76</v>
      </c>
      <c r="BH200" s="1">
        <v>116.83</v>
      </c>
      <c r="BI200" s="1">
        <v>123.05</v>
      </c>
      <c r="BJ200" s="1">
        <v>128.91999999999999</v>
      </c>
      <c r="BL200" s="1">
        <v>111.78</v>
      </c>
      <c r="BN200" s="1">
        <v>111.98</v>
      </c>
    </row>
    <row r="201" spans="1:66" x14ac:dyDescent="0.3">
      <c r="A201" s="2"/>
      <c r="C201" s="14" t="str">
        <f t="shared" si="4"/>
        <v>20256</v>
      </c>
      <c r="D201" s="3">
        <v>45820</v>
      </c>
      <c r="E201" s="21">
        <v>1780.97</v>
      </c>
      <c r="F201" s="21">
        <v>1783.41</v>
      </c>
      <c r="G201" s="21">
        <v>1779.8</v>
      </c>
      <c r="H201" s="21">
        <v>1822.16</v>
      </c>
      <c r="I201" s="21">
        <v>1756.53</v>
      </c>
      <c r="J201" s="21">
        <v>1721.85</v>
      </c>
      <c r="K201" s="21">
        <v>1648.2</v>
      </c>
      <c r="L201" s="21">
        <v>1743.35</v>
      </c>
      <c r="M201" s="21">
        <v>1565.89</v>
      </c>
      <c r="N201" s="21">
        <v>1618.56</v>
      </c>
      <c r="O201" s="21">
        <v>1644.87</v>
      </c>
      <c r="P201" s="21">
        <v>1716.66</v>
      </c>
      <c r="Q201" s="21">
        <v>6275.08</v>
      </c>
      <c r="R201" s="20">
        <v>116.1</v>
      </c>
      <c r="S201" s="20">
        <v>107.15</v>
      </c>
      <c r="T201" s="21">
        <v>119.9</v>
      </c>
      <c r="V201" s="1">
        <v>112.36</v>
      </c>
      <c r="W201" s="1">
        <v>121.26</v>
      </c>
      <c r="X201" s="1">
        <v>119.95</v>
      </c>
      <c r="Y201" s="1">
        <v>115.95</v>
      </c>
      <c r="Z201" s="1">
        <v>115.99</v>
      </c>
      <c r="AA201" s="1">
        <v>119.45</v>
      </c>
      <c r="AB201" s="1">
        <v>118.87</v>
      </c>
      <c r="AE201" s="1">
        <v>127.14</v>
      </c>
      <c r="AF201" s="1">
        <v>121.1</v>
      </c>
      <c r="AG201" s="1">
        <v>110.94</v>
      </c>
      <c r="AI201" s="1">
        <v>7</v>
      </c>
      <c r="AN201" s="1">
        <v>4269.54</v>
      </c>
      <c r="AP201" s="1">
        <v>4420</v>
      </c>
      <c r="AQ201" s="1">
        <v>4470.6400000000003</v>
      </c>
      <c r="AR201" s="1">
        <v>3919.4</v>
      </c>
      <c r="AS201" s="1">
        <v>4323.9799999999996</v>
      </c>
      <c r="AT201" s="1">
        <v>3883.3</v>
      </c>
      <c r="AW201" s="1">
        <v>3762.62</v>
      </c>
      <c r="AX201" s="1">
        <v>112.83</v>
      </c>
      <c r="AY201" s="1">
        <v>4064.22</v>
      </c>
      <c r="AZ201" s="1">
        <v>4335.8999999999996</v>
      </c>
      <c r="BA201" s="1">
        <v>115.77</v>
      </c>
      <c r="BB201" s="1">
        <v>128.86000000000001</v>
      </c>
      <c r="BC201" s="1">
        <v>126.08</v>
      </c>
      <c r="BD201" s="1">
        <v>127.22</v>
      </c>
      <c r="BE201" s="1">
        <v>121.32</v>
      </c>
      <c r="BF201" s="1">
        <v>120.37</v>
      </c>
      <c r="BG201" s="1">
        <v>128.43</v>
      </c>
      <c r="BH201" s="1">
        <v>116.5</v>
      </c>
      <c r="BI201" s="1">
        <v>123.05</v>
      </c>
      <c r="BJ201" s="1">
        <v>128.91</v>
      </c>
      <c r="BL201" s="1">
        <v>111.44</v>
      </c>
      <c r="BN201" s="1">
        <v>111.32</v>
      </c>
    </row>
    <row r="202" spans="1:66" x14ac:dyDescent="0.3">
      <c r="A202" s="2"/>
      <c r="C202" s="14" t="str">
        <f t="shared" si="4"/>
        <v>20256</v>
      </c>
      <c r="D202" s="3">
        <v>45819</v>
      </c>
      <c r="E202" s="21">
        <v>1776</v>
      </c>
      <c r="F202" s="21">
        <v>1782.37</v>
      </c>
      <c r="G202" s="21">
        <v>1767.24</v>
      </c>
      <c r="H202" s="21">
        <v>1809.73</v>
      </c>
      <c r="I202" s="21">
        <v>1745.42</v>
      </c>
      <c r="J202" s="21">
        <v>1721.85</v>
      </c>
      <c r="K202" s="21">
        <v>1642.43</v>
      </c>
      <c r="L202" s="21">
        <v>1636.52</v>
      </c>
      <c r="M202" s="21">
        <v>1574.25</v>
      </c>
      <c r="N202" s="21">
        <v>1621.38</v>
      </c>
      <c r="O202" s="21">
        <v>1633.6</v>
      </c>
      <c r="P202" s="21">
        <v>1713.43</v>
      </c>
      <c r="Q202" s="21">
        <v>6337.43</v>
      </c>
      <c r="R202" s="20">
        <v>116.1</v>
      </c>
      <c r="S202" s="20">
        <v>106.98</v>
      </c>
      <c r="T202" s="21">
        <v>119.9</v>
      </c>
      <c r="V202" s="1">
        <v>112.74</v>
      </c>
      <c r="W202" s="1">
        <v>121.57</v>
      </c>
      <c r="X202" s="1">
        <v>121.34</v>
      </c>
      <c r="Y202" s="1">
        <v>115.93</v>
      </c>
      <c r="Z202" s="1">
        <v>116.11</v>
      </c>
      <c r="AA202" s="1">
        <v>119.45</v>
      </c>
      <c r="AB202" s="1">
        <v>120.21</v>
      </c>
      <c r="AE202" s="1">
        <v>127.18</v>
      </c>
      <c r="AF202" s="1">
        <v>123.02</v>
      </c>
      <c r="AG202" s="1">
        <v>110.67</v>
      </c>
      <c r="AI202" s="1">
        <v>7</v>
      </c>
      <c r="AN202" s="1">
        <v>4207.96</v>
      </c>
      <c r="AP202" s="1">
        <v>4370</v>
      </c>
      <c r="AQ202" s="1">
        <v>4490.87</v>
      </c>
      <c r="AR202" s="1">
        <v>3919.4</v>
      </c>
      <c r="AS202" s="1">
        <v>4323.9799999999996</v>
      </c>
      <c r="AT202" s="1">
        <v>3883.3</v>
      </c>
      <c r="AW202" s="1">
        <v>3762.62</v>
      </c>
      <c r="AX202" s="1">
        <v>112.83</v>
      </c>
      <c r="AY202" s="1">
        <v>4076.18</v>
      </c>
      <c r="AZ202" s="1">
        <v>4335.8999999999996</v>
      </c>
      <c r="BA202" s="1">
        <v>115.77</v>
      </c>
      <c r="BB202" s="1">
        <v>128.91</v>
      </c>
      <c r="BC202" s="1">
        <v>126.4</v>
      </c>
      <c r="BD202" s="1">
        <v>126.89</v>
      </c>
      <c r="BE202" s="1">
        <v>122.56</v>
      </c>
      <c r="BF202" s="1">
        <v>120.37</v>
      </c>
      <c r="BG202" s="1">
        <v>128.94999999999999</v>
      </c>
      <c r="BH202" s="1">
        <v>116.5</v>
      </c>
      <c r="BI202" s="1">
        <v>123.05</v>
      </c>
      <c r="BJ202" s="1">
        <v>128.9</v>
      </c>
      <c r="BL202" s="1">
        <v>111.44</v>
      </c>
      <c r="BN202" s="1">
        <v>111.32</v>
      </c>
    </row>
    <row r="203" spans="1:66" x14ac:dyDescent="0.3">
      <c r="A203" s="2"/>
      <c r="C203" s="14" t="str">
        <f t="shared" si="4"/>
        <v>20256</v>
      </c>
      <c r="D203" s="3">
        <v>45818</v>
      </c>
      <c r="E203" s="21">
        <v>1776</v>
      </c>
      <c r="F203" s="21">
        <v>1812.15</v>
      </c>
      <c r="G203" s="21">
        <v>1767.24</v>
      </c>
      <c r="H203" s="21">
        <v>1789.92</v>
      </c>
      <c r="I203" s="21">
        <v>1754.3</v>
      </c>
      <c r="J203" s="21">
        <v>1752.58</v>
      </c>
      <c r="K203" s="21">
        <v>1651.86</v>
      </c>
      <c r="L203" s="21">
        <v>1637.07</v>
      </c>
      <c r="M203" s="21">
        <v>1565.87</v>
      </c>
      <c r="N203" s="21">
        <v>1621.85</v>
      </c>
      <c r="O203" s="21">
        <v>1642.99</v>
      </c>
      <c r="P203" s="21">
        <v>1716.44</v>
      </c>
      <c r="Q203" s="21">
        <v>6312.43</v>
      </c>
      <c r="R203" s="20">
        <v>117.1</v>
      </c>
      <c r="S203" s="20">
        <v>106.98</v>
      </c>
      <c r="T203" s="21">
        <v>120.83</v>
      </c>
      <c r="V203" s="1">
        <v>112.79</v>
      </c>
      <c r="W203" s="1">
        <v>121.57</v>
      </c>
      <c r="X203" s="1">
        <v>121.34</v>
      </c>
      <c r="Y203" s="1">
        <v>115.93</v>
      </c>
      <c r="Z203" s="1">
        <v>116.24</v>
      </c>
      <c r="AA203" s="1">
        <v>119.68</v>
      </c>
      <c r="AB203" s="1">
        <v>120.21</v>
      </c>
      <c r="AE203" s="1">
        <v>127.38</v>
      </c>
      <c r="AF203" s="1">
        <v>123.01</v>
      </c>
      <c r="AG203" s="1">
        <v>110.97</v>
      </c>
      <c r="AI203" s="1">
        <v>7</v>
      </c>
      <c r="AN203" s="1">
        <v>4207.96</v>
      </c>
      <c r="AP203" s="1">
        <v>4370</v>
      </c>
      <c r="AQ203" s="1">
        <v>4490.87</v>
      </c>
      <c r="AR203" s="1">
        <v>3943</v>
      </c>
      <c r="AS203" s="1">
        <v>4301.2299999999996</v>
      </c>
      <c r="AT203" s="1">
        <v>3860.46</v>
      </c>
      <c r="AW203" s="1">
        <v>3762.62</v>
      </c>
      <c r="AX203" s="1">
        <v>114.61</v>
      </c>
      <c r="AY203" s="1">
        <v>4109.05</v>
      </c>
      <c r="AZ203" s="1">
        <v>4297.18</v>
      </c>
      <c r="BA203" s="1">
        <v>114.89</v>
      </c>
      <c r="BB203" s="1">
        <v>129.16</v>
      </c>
      <c r="BC203" s="1">
        <v>126.38</v>
      </c>
      <c r="BD203" s="1">
        <v>127.31</v>
      </c>
      <c r="BE203" s="1">
        <v>123.16</v>
      </c>
      <c r="BF203" s="1">
        <v>121.36</v>
      </c>
      <c r="BG203" s="1">
        <v>128.94</v>
      </c>
      <c r="BH203" s="1">
        <v>117.16</v>
      </c>
      <c r="BI203" s="1">
        <v>122.76</v>
      </c>
      <c r="BJ203" s="1">
        <v>129.69</v>
      </c>
      <c r="BL203" s="1">
        <v>111.44</v>
      </c>
      <c r="BN203" s="1">
        <v>111.18</v>
      </c>
    </row>
    <row r="204" spans="1:66" x14ac:dyDescent="0.3">
      <c r="A204" s="2"/>
      <c r="C204" s="14" t="str">
        <f t="shared" si="4"/>
        <v>20256</v>
      </c>
      <c r="D204" s="3">
        <v>45817</v>
      </c>
      <c r="E204" s="21">
        <v>1776</v>
      </c>
      <c r="F204" s="21">
        <v>1784.61</v>
      </c>
      <c r="G204" s="21">
        <v>1767.24</v>
      </c>
      <c r="H204" s="21">
        <v>1798.11</v>
      </c>
      <c r="I204" s="21">
        <v>1764.61</v>
      </c>
      <c r="J204" s="21">
        <v>1759.35</v>
      </c>
      <c r="K204" s="21">
        <v>1650.85</v>
      </c>
      <c r="L204" s="21">
        <v>1638.73</v>
      </c>
      <c r="M204" s="21">
        <v>1555.98</v>
      </c>
      <c r="N204" s="21">
        <v>1638.42</v>
      </c>
      <c r="O204" s="21">
        <v>1643.63</v>
      </c>
      <c r="P204" s="21">
        <v>1715.9</v>
      </c>
      <c r="Q204" s="21">
        <v>6312.43</v>
      </c>
      <c r="R204" s="20">
        <v>116.27</v>
      </c>
      <c r="S204" s="20">
        <v>106.07</v>
      </c>
      <c r="T204" s="21">
        <v>120.82</v>
      </c>
      <c r="V204" s="1">
        <v>113.11</v>
      </c>
      <c r="W204" s="1">
        <v>121.4</v>
      </c>
      <c r="X204" s="1">
        <v>121.34</v>
      </c>
      <c r="Y204" s="1">
        <v>115.93</v>
      </c>
      <c r="Z204" s="1">
        <v>116.96</v>
      </c>
      <c r="AA204" s="1">
        <v>118.99</v>
      </c>
      <c r="AB204" s="1">
        <v>120.21</v>
      </c>
      <c r="AE204" s="1">
        <v>127.71</v>
      </c>
      <c r="AF204" s="1">
        <v>123</v>
      </c>
      <c r="AG204" s="1">
        <v>109.91</v>
      </c>
      <c r="AI204" s="1">
        <v>7</v>
      </c>
      <c r="AN204" s="1">
        <v>4240.1400000000003</v>
      </c>
      <c r="AP204" s="1">
        <v>4325</v>
      </c>
      <c r="AQ204" s="1">
        <v>4503.01</v>
      </c>
      <c r="AR204" s="1">
        <v>3943</v>
      </c>
      <c r="AS204" s="1">
        <v>4301.2299999999996</v>
      </c>
      <c r="AU204" s="1">
        <v>4177.32</v>
      </c>
      <c r="AW204" s="1">
        <v>3682.66</v>
      </c>
      <c r="AX204" s="1">
        <v>114.24</v>
      </c>
      <c r="AZ204" s="1">
        <v>4315.3100000000004</v>
      </c>
      <c r="BA204" s="1">
        <v>115.89</v>
      </c>
      <c r="BB204" s="1">
        <v>128.49</v>
      </c>
      <c r="BC204" s="1">
        <v>125.71</v>
      </c>
      <c r="BD204" s="1">
        <v>127.48</v>
      </c>
      <c r="BE204" s="1">
        <v>122.76</v>
      </c>
      <c r="BF204" s="1">
        <v>120.7</v>
      </c>
      <c r="BG204" s="1">
        <v>128.76</v>
      </c>
      <c r="BH204" s="1">
        <v>117.16</v>
      </c>
      <c r="BI204" s="1">
        <v>124.09</v>
      </c>
      <c r="BJ204" s="1">
        <v>129.66999999999999</v>
      </c>
      <c r="BL204" s="1">
        <v>111.44</v>
      </c>
      <c r="BN204" s="1">
        <v>111.18</v>
      </c>
    </row>
    <row r="205" spans="1:66" x14ac:dyDescent="0.3">
      <c r="A205" s="2"/>
      <c r="C205" s="14" t="str">
        <f t="shared" si="4"/>
        <v>20256</v>
      </c>
      <c r="D205" s="3">
        <v>45814</v>
      </c>
      <c r="E205" s="21">
        <v>1782.22</v>
      </c>
      <c r="F205" s="21">
        <v>1784.61</v>
      </c>
      <c r="G205" s="21">
        <v>1774.66</v>
      </c>
      <c r="H205" s="21">
        <v>1829.29</v>
      </c>
      <c r="I205" s="21">
        <v>1771.69</v>
      </c>
      <c r="J205" s="21">
        <v>1759.35</v>
      </c>
      <c r="K205" s="21">
        <v>1648.2</v>
      </c>
      <c r="L205" s="21">
        <v>1625.55</v>
      </c>
      <c r="M205" s="21">
        <v>1586.53</v>
      </c>
      <c r="N205" s="21">
        <v>1632.75</v>
      </c>
      <c r="O205" s="21">
        <v>1660.66</v>
      </c>
      <c r="P205" s="21">
        <v>1750.33</v>
      </c>
      <c r="Q205" s="21">
        <v>6337.43</v>
      </c>
      <c r="R205" s="20">
        <v>116.27</v>
      </c>
      <c r="S205" s="20">
        <v>104.91</v>
      </c>
      <c r="T205" s="21">
        <v>120.8</v>
      </c>
      <c r="V205" s="1">
        <v>113.12</v>
      </c>
      <c r="W205" s="1">
        <v>121.19</v>
      </c>
      <c r="X205" s="1">
        <v>121.28</v>
      </c>
      <c r="Y205" s="1">
        <v>115.93</v>
      </c>
      <c r="Z205" s="1">
        <v>116.96</v>
      </c>
      <c r="AA205" s="1">
        <v>118.94</v>
      </c>
      <c r="AB205" s="1">
        <v>120.09</v>
      </c>
      <c r="AE205" s="1">
        <v>128.04</v>
      </c>
      <c r="AF205" s="1">
        <v>121.28</v>
      </c>
      <c r="AG205" s="1">
        <v>109.44</v>
      </c>
      <c r="AI205" s="1">
        <v>7</v>
      </c>
      <c r="AN205" s="1">
        <v>4241.8100000000004</v>
      </c>
      <c r="AP205" s="1">
        <v>4277.5</v>
      </c>
      <c r="AQ205" s="1">
        <v>4503.01</v>
      </c>
      <c r="AR205" s="1">
        <v>3943</v>
      </c>
      <c r="AS205" s="1">
        <v>4301.2299999999996</v>
      </c>
      <c r="AT205" s="1">
        <v>3939.03</v>
      </c>
      <c r="AU205" s="1">
        <v>4177.32</v>
      </c>
      <c r="AW205" s="1">
        <v>3701.3</v>
      </c>
      <c r="AX205" s="1">
        <v>114.2</v>
      </c>
      <c r="AY205" s="1">
        <v>3919.17</v>
      </c>
      <c r="AZ205" s="1">
        <v>4244.8900000000003</v>
      </c>
      <c r="BA205" s="1">
        <v>115.89</v>
      </c>
      <c r="BB205" s="1">
        <v>127.96</v>
      </c>
      <c r="BC205" s="1">
        <v>124.69</v>
      </c>
      <c r="BD205" s="1">
        <v>126.8</v>
      </c>
      <c r="BE205" s="1">
        <v>121.57</v>
      </c>
      <c r="BF205" s="1">
        <v>120.7</v>
      </c>
      <c r="BG205" s="1">
        <v>128.57</v>
      </c>
      <c r="BH205" s="1">
        <v>116.66</v>
      </c>
      <c r="BI205" s="1">
        <v>124.09</v>
      </c>
      <c r="BJ205" s="1">
        <v>128.29</v>
      </c>
      <c r="BL205" s="1">
        <v>111.11</v>
      </c>
      <c r="BN205" s="1">
        <v>110.85</v>
      </c>
    </row>
    <row r="206" spans="1:66" x14ac:dyDescent="0.3">
      <c r="A206" s="2"/>
      <c r="C206" s="14" t="str">
        <f t="shared" si="4"/>
        <v>20256</v>
      </c>
      <c r="D206" s="3">
        <v>45813</v>
      </c>
      <c r="E206" s="21">
        <v>1790.9</v>
      </c>
      <c r="F206" s="21">
        <v>1782.37</v>
      </c>
      <c r="G206" s="21">
        <v>1774.66</v>
      </c>
      <c r="H206" s="21">
        <v>1823.52</v>
      </c>
      <c r="I206" s="21">
        <v>1757.81</v>
      </c>
      <c r="J206" s="21">
        <v>1760.76</v>
      </c>
      <c r="K206" s="21">
        <v>1695.27</v>
      </c>
      <c r="L206" s="21">
        <v>1638.73</v>
      </c>
      <c r="M206" s="21">
        <v>1599.72</v>
      </c>
      <c r="N206" s="21">
        <v>1646.79</v>
      </c>
      <c r="O206" s="21">
        <v>1670.89</v>
      </c>
      <c r="P206" s="21">
        <v>1760.9</v>
      </c>
      <c r="Q206" s="21">
        <v>6320.16</v>
      </c>
      <c r="R206" s="20">
        <v>115.94</v>
      </c>
      <c r="S206" s="20">
        <v>104.91</v>
      </c>
      <c r="T206" s="21">
        <v>119.87</v>
      </c>
      <c r="V206" s="1">
        <v>113.59</v>
      </c>
      <c r="W206" s="1">
        <v>121.33</v>
      </c>
      <c r="X206" s="1">
        <v>121.03</v>
      </c>
      <c r="Y206" s="1">
        <v>115.93</v>
      </c>
      <c r="Z206" s="1">
        <v>116.11</v>
      </c>
      <c r="AA206" s="1">
        <v>118.92</v>
      </c>
      <c r="AB206" s="1">
        <v>119.96</v>
      </c>
      <c r="AE206" s="1">
        <v>128.04</v>
      </c>
      <c r="AF206" s="1">
        <v>121.27</v>
      </c>
      <c r="AG206" s="1">
        <v>109.73</v>
      </c>
      <c r="AI206" s="1">
        <v>7</v>
      </c>
      <c r="AN206" s="1">
        <v>4168.25</v>
      </c>
      <c r="AP206" s="1">
        <v>4277.5</v>
      </c>
      <c r="AQ206" s="1">
        <v>4503.01</v>
      </c>
      <c r="AR206" s="1">
        <v>3943</v>
      </c>
      <c r="AS206" s="1">
        <v>4301.2299999999996</v>
      </c>
      <c r="AT206" s="1">
        <v>3939.03</v>
      </c>
      <c r="AU206" s="1">
        <v>4177.32</v>
      </c>
      <c r="AW206" s="1">
        <v>3701.3</v>
      </c>
      <c r="AX206" s="1">
        <v>110.93</v>
      </c>
      <c r="AY206" s="1">
        <v>3919.17</v>
      </c>
      <c r="AZ206" s="1">
        <v>4244.8900000000003</v>
      </c>
      <c r="BA206" s="1">
        <v>115.83</v>
      </c>
      <c r="BB206" s="1">
        <v>128.53</v>
      </c>
      <c r="BC206" s="1">
        <v>124.9</v>
      </c>
      <c r="BD206" s="1">
        <v>125.78</v>
      </c>
      <c r="BE206" s="1">
        <v>121.57</v>
      </c>
      <c r="BF206" s="1">
        <v>120.37</v>
      </c>
      <c r="BG206" s="1">
        <v>128.16999999999999</v>
      </c>
      <c r="BH206" s="1">
        <v>116.17</v>
      </c>
      <c r="BI206" s="1">
        <v>124.09</v>
      </c>
      <c r="BJ206" s="1">
        <v>127.58</v>
      </c>
      <c r="BL206" s="1">
        <v>111.11</v>
      </c>
      <c r="BN206" s="1">
        <v>110.85</v>
      </c>
    </row>
    <row r="207" spans="1:66" x14ac:dyDescent="0.3">
      <c r="A207" s="2"/>
      <c r="C207" s="14" t="str">
        <f t="shared" si="4"/>
        <v>20256</v>
      </c>
      <c r="D207" s="3">
        <v>45812</v>
      </c>
      <c r="E207" s="21">
        <v>1790.9</v>
      </c>
      <c r="F207" s="21">
        <v>1782.37</v>
      </c>
      <c r="G207" s="21">
        <v>1774.66</v>
      </c>
      <c r="H207" s="21">
        <v>1823.52</v>
      </c>
      <c r="I207" s="21">
        <v>1750.45</v>
      </c>
      <c r="J207" s="21">
        <v>1754.23</v>
      </c>
      <c r="K207" s="21">
        <v>1692.76</v>
      </c>
      <c r="L207" s="21">
        <v>1638.73</v>
      </c>
      <c r="M207" s="21">
        <v>1599.72</v>
      </c>
      <c r="N207" s="21">
        <v>1636.06</v>
      </c>
      <c r="O207" s="21">
        <v>1684.6</v>
      </c>
      <c r="P207" s="21">
        <v>1757.35</v>
      </c>
      <c r="Q207" s="21">
        <v>6320.16</v>
      </c>
      <c r="R207" s="20">
        <v>116.27</v>
      </c>
      <c r="S207" s="20">
        <v>102.74</v>
      </c>
      <c r="T207" s="21">
        <v>119.98</v>
      </c>
      <c r="V207" s="1">
        <v>113.12</v>
      </c>
      <c r="W207" s="1">
        <v>121.4</v>
      </c>
      <c r="X207" s="1">
        <v>120.66</v>
      </c>
      <c r="Y207" s="1">
        <v>115.93</v>
      </c>
      <c r="Z207" s="1">
        <v>116.11</v>
      </c>
      <c r="AA207" s="1">
        <v>119.07</v>
      </c>
      <c r="AB207" s="1">
        <v>119.84</v>
      </c>
      <c r="AE207" s="1">
        <v>127.38</v>
      </c>
      <c r="AF207" s="1">
        <v>121.25</v>
      </c>
      <c r="AG207" s="1">
        <v>109.53</v>
      </c>
      <c r="AI207" s="1">
        <v>7</v>
      </c>
      <c r="AN207" s="1">
        <v>4124.74</v>
      </c>
      <c r="AP207" s="1">
        <v>4269</v>
      </c>
      <c r="AR207" s="1">
        <v>3943</v>
      </c>
      <c r="AS207" s="1">
        <v>4319.9399999999996</v>
      </c>
      <c r="AT207" s="1">
        <v>3939.03</v>
      </c>
      <c r="AU207" s="1">
        <v>4177.32</v>
      </c>
      <c r="AW207" s="1">
        <v>3701.3</v>
      </c>
      <c r="AX207" s="1">
        <v>111.86</v>
      </c>
      <c r="AY207" s="1">
        <v>3908.58</v>
      </c>
      <c r="AZ207" s="1">
        <v>4244.8900000000003</v>
      </c>
      <c r="BA207" s="1">
        <v>116.57</v>
      </c>
      <c r="BB207" s="1">
        <v>128.66999999999999</v>
      </c>
      <c r="BC207" s="1">
        <v>125.25</v>
      </c>
      <c r="BD207" s="1">
        <v>127.26</v>
      </c>
      <c r="BE207" s="1">
        <v>121.82</v>
      </c>
      <c r="BF207" s="1">
        <v>120.7</v>
      </c>
      <c r="BG207" s="1">
        <v>128.16999999999999</v>
      </c>
      <c r="BH207" s="1">
        <v>116.5</v>
      </c>
      <c r="BI207" s="1">
        <v>124.46</v>
      </c>
      <c r="BJ207" s="1">
        <v>127.7</v>
      </c>
      <c r="BL207" s="1">
        <v>111.44</v>
      </c>
      <c r="BN207" s="1">
        <v>111.18</v>
      </c>
    </row>
    <row r="208" spans="1:66" x14ac:dyDescent="0.3">
      <c r="A208" s="2"/>
      <c r="C208" s="14" t="str">
        <f t="shared" si="4"/>
        <v>20256</v>
      </c>
      <c r="D208" s="3">
        <v>45811</v>
      </c>
      <c r="E208" s="21">
        <v>1800.83</v>
      </c>
      <c r="F208" s="21">
        <v>1782.37</v>
      </c>
      <c r="G208" s="21">
        <v>1787.02</v>
      </c>
      <c r="H208" s="21">
        <v>1856.93</v>
      </c>
      <c r="I208" s="21">
        <v>1763.21</v>
      </c>
      <c r="J208" s="21">
        <v>1753.61</v>
      </c>
      <c r="K208" s="21">
        <v>1758.79</v>
      </c>
      <c r="L208" s="21">
        <v>1668.79</v>
      </c>
      <c r="M208" s="21">
        <v>1616.86</v>
      </c>
      <c r="N208" s="21">
        <v>1663.93</v>
      </c>
      <c r="O208" s="21">
        <v>1653.83</v>
      </c>
      <c r="P208" s="21">
        <v>1765.4</v>
      </c>
      <c r="Q208" s="21">
        <v>6240.16</v>
      </c>
      <c r="R208" s="20">
        <v>115.94</v>
      </c>
      <c r="S208" s="20">
        <v>102.74</v>
      </c>
      <c r="T208" s="21">
        <v>119.86</v>
      </c>
      <c r="V208" s="1">
        <v>112.99</v>
      </c>
      <c r="W208" s="1">
        <v>120.9</v>
      </c>
      <c r="X208" s="1">
        <v>120.41</v>
      </c>
      <c r="Y208" s="1">
        <v>115.93</v>
      </c>
      <c r="Z208" s="1">
        <v>116.11</v>
      </c>
      <c r="AA208" s="1">
        <v>118.84</v>
      </c>
      <c r="AB208" s="1">
        <v>120.08</v>
      </c>
      <c r="AE208" s="1">
        <v>127.52</v>
      </c>
      <c r="AF208" s="1">
        <v>122.79</v>
      </c>
      <c r="AG208" s="1">
        <v>109.53</v>
      </c>
      <c r="AI208" s="1">
        <v>7</v>
      </c>
      <c r="AN208" s="1">
        <v>4124.74</v>
      </c>
      <c r="AP208" s="1">
        <v>4269</v>
      </c>
      <c r="AR208" s="1">
        <v>3891.58</v>
      </c>
      <c r="AS208" s="1">
        <v>4319.9399999999996</v>
      </c>
      <c r="AT208" s="1">
        <v>4031.33</v>
      </c>
      <c r="AU208" s="1">
        <v>4177.32</v>
      </c>
      <c r="AW208" s="1">
        <v>3701.3</v>
      </c>
      <c r="AX208" s="1">
        <v>111.84</v>
      </c>
      <c r="AY208" s="1">
        <v>3908.58</v>
      </c>
      <c r="AZ208" s="1">
        <v>4244.8900000000003</v>
      </c>
      <c r="BA208" s="1">
        <v>116.57</v>
      </c>
      <c r="BB208" s="1">
        <v>128.62</v>
      </c>
      <c r="BC208" s="1">
        <v>125.46</v>
      </c>
      <c r="BD208" s="1">
        <v>127.38</v>
      </c>
      <c r="BE208" s="1">
        <v>123.32</v>
      </c>
      <c r="BF208" s="1">
        <v>120.37</v>
      </c>
      <c r="BG208" s="1">
        <v>127.71</v>
      </c>
      <c r="BH208" s="1">
        <v>116.5</v>
      </c>
      <c r="BI208" s="1">
        <v>123.05</v>
      </c>
      <c r="BJ208" s="1">
        <v>128.16999999999999</v>
      </c>
      <c r="BL208" s="1">
        <v>111.44</v>
      </c>
      <c r="BN208" s="1">
        <v>111.18</v>
      </c>
    </row>
    <row r="209" spans="1:66" x14ac:dyDescent="0.3">
      <c r="A209" s="2"/>
      <c r="C209" s="14" t="str">
        <f t="shared" si="4"/>
        <v>20256</v>
      </c>
      <c r="D209" s="3">
        <v>45810</v>
      </c>
      <c r="E209" s="21">
        <v>1800.83</v>
      </c>
      <c r="F209" s="21">
        <v>1782.37</v>
      </c>
      <c r="G209" s="21">
        <v>1774.66</v>
      </c>
      <c r="H209" s="21">
        <v>1847.92</v>
      </c>
      <c r="I209" s="21">
        <v>1763.21</v>
      </c>
      <c r="J209" s="21">
        <v>1761.78</v>
      </c>
      <c r="K209" s="21">
        <v>1774.71</v>
      </c>
      <c r="L209" s="21">
        <v>1668.79</v>
      </c>
      <c r="M209" s="21">
        <v>1624.61</v>
      </c>
      <c r="N209" s="21">
        <v>1651.52</v>
      </c>
      <c r="O209" s="21">
        <v>1702.63</v>
      </c>
      <c r="P209" s="21">
        <v>1765.4</v>
      </c>
      <c r="Q209" s="21">
        <v>6187.43</v>
      </c>
      <c r="R209" s="20">
        <v>114.94</v>
      </c>
      <c r="S209" s="20">
        <v>102.99</v>
      </c>
      <c r="T209" s="21">
        <v>119.86</v>
      </c>
      <c r="V209" s="1">
        <v>112.74</v>
      </c>
      <c r="W209" s="1">
        <v>121.33</v>
      </c>
      <c r="X209" s="1">
        <v>121.28</v>
      </c>
      <c r="Y209" s="1">
        <v>115.83</v>
      </c>
      <c r="Z209" s="1">
        <v>116.11</v>
      </c>
      <c r="AA209" s="1">
        <v>118.1</v>
      </c>
      <c r="AB209" s="1">
        <v>119.9</v>
      </c>
      <c r="AE209" s="1">
        <v>128.28</v>
      </c>
      <c r="AF209" s="1">
        <v>122.54</v>
      </c>
      <c r="AG209" s="1">
        <v>108.98</v>
      </c>
      <c r="AI209" s="1">
        <v>7</v>
      </c>
      <c r="AN209" s="1">
        <v>4116.74</v>
      </c>
      <c r="AP209" s="1">
        <v>4286.25</v>
      </c>
      <c r="AQ209" s="1">
        <v>4506.05</v>
      </c>
      <c r="AR209" s="1">
        <v>3891.58</v>
      </c>
      <c r="AS209" s="1">
        <v>4332.41</v>
      </c>
      <c r="AT209" s="1">
        <v>4074.42</v>
      </c>
      <c r="AU209" s="1">
        <v>4162.78</v>
      </c>
      <c r="AW209" s="1">
        <v>3696.88</v>
      </c>
      <c r="AX209" s="1">
        <v>112.12</v>
      </c>
      <c r="AY209" s="1">
        <v>3943.36</v>
      </c>
      <c r="AZ209" s="1">
        <v>4200.08</v>
      </c>
      <c r="BA209" s="1">
        <v>115.21</v>
      </c>
      <c r="BB209" s="1">
        <v>129.44</v>
      </c>
      <c r="BC209" s="1">
        <v>125.47</v>
      </c>
      <c r="BD209" s="1">
        <v>126.61</v>
      </c>
      <c r="BE209" s="1">
        <v>121.07</v>
      </c>
      <c r="BF209" s="1">
        <v>119.03</v>
      </c>
      <c r="BG209" s="1">
        <v>127.87</v>
      </c>
      <c r="BH209" s="1">
        <v>116.93</v>
      </c>
      <c r="BI209" s="1">
        <v>123.05</v>
      </c>
      <c r="BJ209" s="1">
        <v>128.15</v>
      </c>
      <c r="BL209" s="1">
        <v>111.44</v>
      </c>
      <c r="BN209" s="1">
        <v>111.18</v>
      </c>
    </row>
    <row r="210" spans="1:66" x14ac:dyDescent="0.3">
      <c r="A210" s="2"/>
      <c r="C210" s="14" t="str">
        <f t="shared" si="4"/>
        <v>20255</v>
      </c>
      <c r="D210" s="3">
        <v>45807</v>
      </c>
      <c r="E210" s="21">
        <v>1786.39</v>
      </c>
      <c r="F210" s="21">
        <v>1783.96</v>
      </c>
      <c r="G210" s="21">
        <v>1773.7</v>
      </c>
      <c r="H210" s="21">
        <v>1840.77</v>
      </c>
      <c r="I210" s="21">
        <v>1757.37</v>
      </c>
      <c r="J210" s="21">
        <v>1755.54</v>
      </c>
      <c r="K210" s="21">
        <v>1774.27</v>
      </c>
      <c r="L210" s="21">
        <v>1674.48</v>
      </c>
      <c r="M210" s="21">
        <v>1623.8</v>
      </c>
      <c r="N210" s="21">
        <v>1646.5</v>
      </c>
      <c r="O210" s="21">
        <v>1699.07</v>
      </c>
      <c r="P210" s="21">
        <v>1776.13</v>
      </c>
      <c r="Q210" s="21">
        <v>6236.61</v>
      </c>
      <c r="R210" s="20">
        <v>115.25</v>
      </c>
      <c r="S210" s="20">
        <v>104.39</v>
      </c>
      <c r="T210" s="21">
        <v>120.62</v>
      </c>
      <c r="V210" s="1">
        <v>112.61</v>
      </c>
      <c r="W210" s="1">
        <v>121.47</v>
      </c>
      <c r="X210" s="1">
        <v>121.33</v>
      </c>
      <c r="Y210" s="1">
        <v>115.81</v>
      </c>
      <c r="Z210" s="1">
        <v>116.95</v>
      </c>
      <c r="AA210" s="1">
        <v>118.25</v>
      </c>
      <c r="AB210" s="1">
        <v>119.89</v>
      </c>
      <c r="AE210" s="1">
        <v>127.93</v>
      </c>
      <c r="AF210" s="1">
        <v>122.57</v>
      </c>
      <c r="AG210" s="1">
        <v>109.73</v>
      </c>
      <c r="AN210" s="1">
        <v>4161.63</v>
      </c>
      <c r="AP210" s="1">
        <v>4269</v>
      </c>
      <c r="AQ210" s="1">
        <v>4508.49</v>
      </c>
      <c r="AR210" s="1">
        <v>3893.7</v>
      </c>
      <c r="AS210" s="1">
        <v>4334.76</v>
      </c>
      <c r="AT210" s="1">
        <v>4117.8900000000003</v>
      </c>
      <c r="AU210" s="1">
        <v>4209.95</v>
      </c>
      <c r="AW210" s="1">
        <v>3698.89</v>
      </c>
      <c r="AY210" s="1">
        <v>3999.96</v>
      </c>
      <c r="AZ210" s="1">
        <v>4235.25</v>
      </c>
      <c r="BA210" s="1">
        <v>114.73</v>
      </c>
      <c r="BB210" s="1">
        <v>129.27000000000001</v>
      </c>
      <c r="BC210" s="1">
        <v>125.24</v>
      </c>
      <c r="BD210" s="1">
        <v>127.14</v>
      </c>
      <c r="BE210" s="1">
        <v>122.27</v>
      </c>
      <c r="BF210" s="1">
        <v>120.68</v>
      </c>
      <c r="BG210" s="1">
        <v>127.84</v>
      </c>
      <c r="BH210" s="1">
        <v>116.44</v>
      </c>
      <c r="BI210" s="1">
        <v>122.61</v>
      </c>
      <c r="BL210" s="1">
        <v>111.11</v>
      </c>
      <c r="BN210" s="1">
        <v>110.84</v>
      </c>
    </row>
    <row r="211" spans="1:66" x14ac:dyDescent="0.3">
      <c r="A211" s="2"/>
      <c r="C211" s="14" t="str">
        <f t="shared" si="4"/>
        <v>20255</v>
      </c>
      <c r="D211" s="3">
        <v>45806</v>
      </c>
      <c r="E211" s="21">
        <v>1783.91</v>
      </c>
      <c r="F211" s="21">
        <v>1781.54</v>
      </c>
      <c r="G211" s="21">
        <v>1773.7</v>
      </c>
      <c r="H211" s="21">
        <v>1809.73</v>
      </c>
      <c r="I211" s="21">
        <v>1760.69</v>
      </c>
      <c r="J211" s="21">
        <v>1764.11</v>
      </c>
      <c r="K211" s="21">
        <v>1694.74</v>
      </c>
      <c r="L211" s="21">
        <v>1664.6</v>
      </c>
      <c r="M211" s="21">
        <v>1623.8</v>
      </c>
      <c r="N211" s="21">
        <v>1645.44</v>
      </c>
      <c r="O211" s="21">
        <v>1683.99</v>
      </c>
      <c r="P211" s="21">
        <v>1722.81</v>
      </c>
      <c r="Q211" s="21">
        <v>6286.61</v>
      </c>
      <c r="R211" s="20">
        <v>114.92</v>
      </c>
      <c r="S211" s="20">
        <v>104.64</v>
      </c>
      <c r="T211" s="21">
        <v>120.62</v>
      </c>
      <c r="V211" s="1">
        <v>112.61</v>
      </c>
      <c r="W211" s="1">
        <v>121.61</v>
      </c>
      <c r="X211" s="1">
        <v>121.33</v>
      </c>
      <c r="Y211" s="1">
        <v>115.75</v>
      </c>
      <c r="Z211" s="1">
        <v>116.95</v>
      </c>
      <c r="AA211" s="1">
        <v>118.17</v>
      </c>
      <c r="AB211" s="1">
        <v>119.89</v>
      </c>
      <c r="AE211" s="1">
        <v>128.41999999999999</v>
      </c>
      <c r="AF211" s="1">
        <v>122.56</v>
      </c>
      <c r="AG211" s="1">
        <v>109.72</v>
      </c>
      <c r="AN211" s="1">
        <v>4161.63</v>
      </c>
      <c r="AP211" s="1">
        <v>4269</v>
      </c>
      <c r="AQ211" s="1">
        <v>4508.49</v>
      </c>
      <c r="AR211" s="1">
        <v>3893.7</v>
      </c>
      <c r="AS211" s="1">
        <v>4334.76</v>
      </c>
      <c r="AT211" s="1">
        <v>4117.8900000000003</v>
      </c>
      <c r="AU211" s="1">
        <v>4209.95</v>
      </c>
      <c r="AW211" s="1">
        <v>3698.89</v>
      </c>
      <c r="AY211" s="1">
        <v>3999.96</v>
      </c>
      <c r="AZ211" s="1">
        <v>4235.25</v>
      </c>
      <c r="BA211" s="1">
        <v>115.03</v>
      </c>
      <c r="BB211" s="1">
        <v>130.09</v>
      </c>
      <c r="BC211" s="1">
        <v>125.07</v>
      </c>
      <c r="BD211" s="1">
        <v>125.72</v>
      </c>
      <c r="BE211" s="1">
        <v>121.31</v>
      </c>
      <c r="BF211" s="1">
        <v>120.35</v>
      </c>
      <c r="BG211" s="1">
        <v>128.63999999999999</v>
      </c>
      <c r="BH211" s="1">
        <v>116.44</v>
      </c>
      <c r="BI211" s="1">
        <v>122.61</v>
      </c>
      <c r="BJ211" s="1">
        <v>126.51</v>
      </c>
      <c r="BL211" s="1">
        <v>110.77</v>
      </c>
      <c r="BN211" s="1">
        <v>110.18</v>
      </c>
    </row>
    <row r="212" spans="1:66" x14ac:dyDescent="0.3">
      <c r="A212" s="2"/>
      <c r="C212" s="14" t="str">
        <f t="shared" si="4"/>
        <v>20255</v>
      </c>
      <c r="D212" s="3">
        <v>45805</v>
      </c>
      <c r="E212" s="21">
        <v>1790.12</v>
      </c>
      <c r="F212" s="21">
        <v>1781.54</v>
      </c>
      <c r="G212" s="21">
        <v>1766.29</v>
      </c>
      <c r="H212" s="21">
        <v>1767.72</v>
      </c>
      <c r="I212" s="21">
        <v>1757.37</v>
      </c>
      <c r="J212" s="21">
        <v>1764.11</v>
      </c>
      <c r="K212" s="21">
        <v>1702.7</v>
      </c>
      <c r="L212" s="21">
        <v>1660.98</v>
      </c>
      <c r="M212" s="21">
        <v>1611.27</v>
      </c>
      <c r="N212" s="21">
        <v>1644.94</v>
      </c>
      <c r="O212" s="21">
        <v>1680.35</v>
      </c>
      <c r="P212" s="21">
        <v>1722.81</v>
      </c>
      <c r="Q212" s="21">
        <v>6286.61</v>
      </c>
      <c r="R212" s="20">
        <v>114.92</v>
      </c>
      <c r="S212" s="20">
        <v>104.64</v>
      </c>
      <c r="T212" s="21">
        <v>120.62</v>
      </c>
      <c r="V212" s="1">
        <v>112.87</v>
      </c>
      <c r="W212" s="1">
        <v>121.3</v>
      </c>
      <c r="X212" s="1">
        <v>121.39</v>
      </c>
      <c r="Y212" s="1">
        <v>115.95</v>
      </c>
      <c r="Z212" s="1">
        <v>117.21</v>
      </c>
      <c r="AA212" s="1">
        <v>118.17</v>
      </c>
      <c r="AB212" s="1">
        <v>119.89</v>
      </c>
      <c r="AE212" s="1">
        <v>128.71</v>
      </c>
      <c r="AF212" s="1">
        <v>122.54</v>
      </c>
      <c r="AG212" s="1">
        <v>109.71</v>
      </c>
      <c r="AN212" s="1">
        <v>4110.6499999999996</v>
      </c>
      <c r="AP212" s="1">
        <v>4235</v>
      </c>
      <c r="AQ212" s="1">
        <v>4447.7700000000004</v>
      </c>
      <c r="AR212" s="1">
        <v>3822.86</v>
      </c>
      <c r="AT212" s="1">
        <v>4117.8900000000003</v>
      </c>
      <c r="AU212" s="1">
        <v>4209.95</v>
      </c>
      <c r="AW212" s="1">
        <v>3698.89</v>
      </c>
      <c r="AX212" s="1">
        <v>108.1</v>
      </c>
      <c r="AY212" s="1">
        <v>4061.52</v>
      </c>
      <c r="AZ212" s="1">
        <v>4235.25</v>
      </c>
      <c r="BA212" s="1">
        <v>114.91</v>
      </c>
      <c r="BB212" s="1">
        <v>130.25</v>
      </c>
      <c r="BC212" s="1">
        <v>124.94</v>
      </c>
      <c r="BD212" s="1">
        <v>126.07</v>
      </c>
      <c r="BE212" s="1">
        <v>122.02</v>
      </c>
      <c r="BF212" s="1">
        <v>120.35</v>
      </c>
      <c r="BG212" s="1">
        <v>128.63999999999999</v>
      </c>
      <c r="BH212" s="1">
        <v>116.77</v>
      </c>
      <c r="BI212" s="1">
        <v>122.61</v>
      </c>
      <c r="BJ212" s="1">
        <v>126.58</v>
      </c>
      <c r="BL212" s="1">
        <v>111.11</v>
      </c>
      <c r="BN212" s="1">
        <v>110.84</v>
      </c>
    </row>
    <row r="213" spans="1:66" x14ac:dyDescent="0.3">
      <c r="A213" s="2"/>
      <c r="C213" s="14" t="str">
        <f t="shared" si="4"/>
        <v>20255</v>
      </c>
      <c r="D213" s="3">
        <v>45804</v>
      </c>
      <c r="E213" s="21">
        <v>1783.91</v>
      </c>
      <c r="F213" s="21">
        <v>1759.07</v>
      </c>
      <c r="G213" s="21">
        <v>1773.7</v>
      </c>
      <c r="H213" s="21">
        <v>1779.03</v>
      </c>
      <c r="I213" s="21">
        <v>1765.66</v>
      </c>
      <c r="J213" s="21">
        <v>1748.38</v>
      </c>
      <c r="K213" s="21">
        <v>1702.7</v>
      </c>
      <c r="L213" s="21">
        <v>1640.61</v>
      </c>
      <c r="M213" s="21">
        <v>1608.96</v>
      </c>
      <c r="N213" s="21">
        <v>1602.59</v>
      </c>
      <c r="O213" s="21">
        <v>1698</v>
      </c>
      <c r="P213" s="21">
        <v>1722.81</v>
      </c>
      <c r="Q213" s="21">
        <v>6311.61</v>
      </c>
      <c r="R213" s="20">
        <v>115.25</v>
      </c>
      <c r="S213" s="20">
        <v>105.28</v>
      </c>
      <c r="T213" s="21">
        <v>120.22</v>
      </c>
      <c r="V213" s="1">
        <v>112.87</v>
      </c>
      <c r="W213" s="1">
        <v>120.74</v>
      </c>
      <c r="X213" s="1">
        <v>121.27</v>
      </c>
      <c r="Y213" s="1">
        <v>116.12</v>
      </c>
      <c r="Z213" s="1">
        <v>116.62</v>
      </c>
      <c r="AA213" s="1">
        <v>117.97</v>
      </c>
      <c r="AB213" s="1">
        <v>119.88</v>
      </c>
      <c r="AE213" s="1">
        <v>128.41999999999999</v>
      </c>
      <c r="AF213" s="1">
        <v>121.38</v>
      </c>
      <c r="AG213" s="1">
        <v>108.93</v>
      </c>
      <c r="AN213" s="1">
        <v>4110.6499999999996</v>
      </c>
      <c r="AP213" s="1">
        <v>4235</v>
      </c>
      <c r="AQ213" s="1">
        <v>4523.67</v>
      </c>
      <c r="AR213" s="1">
        <v>3896.23</v>
      </c>
      <c r="AS213" s="1">
        <v>4144.17</v>
      </c>
      <c r="AT213" s="1">
        <v>4197.3</v>
      </c>
      <c r="AU213" s="1">
        <v>4209.95</v>
      </c>
      <c r="AX213" s="1">
        <v>108.37</v>
      </c>
      <c r="AY213" s="1">
        <v>4058.15</v>
      </c>
      <c r="AZ213" s="1">
        <v>4235.25</v>
      </c>
      <c r="BA213" s="1">
        <v>114.63</v>
      </c>
      <c r="BB213" s="1">
        <v>129.19999999999999</v>
      </c>
      <c r="BC213" s="1">
        <v>124.67</v>
      </c>
      <c r="BD213" s="1">
        <v>126.04</v>
      </c>
      <c r="BE213" s="1">
        <v>122.27</v>
      </c>
      <c r="BF213" s="1">
        <v>119.35</v>
      </c>
      <c r="BG213" s="1">
        <v>128.63999999999999</v>
      </c>
      <c r="BH213" s="1">
        <v>114.73</v>
      </c>
      <c r="BI213" s="1">
        <v>122.61</v>
      </c>
      <c r="BJ213" s="1">
        <v>126.86</v>
      </c>
      <c r="BL213" s="1">
        <v>111.11</v>
      </c>
      <c r="BN213" s="1">
        <v>111.08</v>
      </c>
    </row>
    <row r="214" spans="1:66" x14ac:dyDescent="0.3">
      <c r="A214" s="2"/>
      <c r="C214" s="14" t="str">
        <f t="shared" si="4"/>
        <v>20255</v>
      </c>
      <c r="D214" s="3">
        <v>45803</v>
      </c>
      <c r="E214" s="21">
        <v>1770.24</v>
      </c>
      <c r="F214" s="21">
        <v>1691.55</v>
      </c>
      <c r="G214" s="21">
        <v>1741.59</v>
      </c>
      <c r="H214" s="21">
        <v>1801.89</v>
      </c>
      <c r="I214" s="21">
        <v>1765.66</v>
      </c>
      <c r="J214" s="21">
        <v>1750.88</v>
      </c>
      <c r="K214" s="21">
        <v>1702.7</v>
      </c>
      <c r="L214" s="21">
        <v>1640.61</v>
      </c>
      <c r="M214" s="21">
        <v>1608.96</v>
      </c>
      <c r="N214" s="21">
        <v>1611.86</v>
      </c>
      <c r="O214" s="21">
        <v>1699.07</v>
      </c>
      <c r="P214" s="21">
        <v>1722.81</v>
      </c>
      <c r="Q214" s="21">
        <v>6311.61</v>
      </c>
      <c r="R214" s="20">
        <v>114.92</v>
      </c>
      <c r="S214" s="20">
        <v>104.85</v>
      </c>
      <c r="T214" s="21">
        <v>120.48</v>
      </c>
      <c r="V214" s="1">
        <v>112.87</v>
      </c>
      <c r="W214" s="1">
        <v>120.74</v>
      </c>
      <c r="X214" s="1">
        <v>121.27</v>
      </c>
      <c r="Y214" s="1">
        <v>116.12</v>
      </c>
      <c r="Z214" s="1">
        <v>116.62</v>
      </c>
      <c r="AA214" s="1">
        <v>117.89</v>
      </c>
      <c r="AB214" s="1">
        <v>119.88</v>
      </c>
      <c r="AE214" s="1">
        <v>128.26</v>
      </c>
      <c r="AF214" s="1">
        <v>121.23</v>
      </c>
      <c r="AG214" s="1">
        <v>108.36</v>
      </c>
      <c r="AN214" s="1">
        <v>4098.63</v>
      </c>
      <c r="AP214" s="1">
        <v>4245</v>
      </c>
      <c r="AQ214" s="1">
        <v>4554.03</v>
      </c>
      <c r="AR214" s="1">
        <v>3896.23</v>
      </c>
      <c r="AS214" s="1">
        <v>4144.17</v>
      </c>
      <c r="AT214" s="1">
        <v>4250.43</v>
      </c>
      <c r="AU214" s="1">
        <v>4209.95</v>
      </c>
      <c r="AW214" s="1">
        <v>4341.51</v>
      </c>
      <c r="AX214" s="1">
        <v>109.78</v>
      </c>
      <c r="AY214" s="1">
        <v>4055.62</v>
      </c>
      <c r="AZ214" s="1">
        <v>4235.25</v>
      </c>
      <c r="BA214" s="1">
        <v>114.76</v>
      </c>
      <c r="BB214" s="1">
        <v>129.4</v>
      </c>
      <c r="BC214" s="1">
        <v>125.13</v>
      </c>
      <c r="BD214" s="1">
        <v>127.37</v>
      </c>
      <c r="BE214" s="1">
        <v>121.03</v>
      </c>
      <c r="BF214" s="1">
        <v>119.02</v>
      </c>
      <c r="BG214" s="1">
        <v>128.24</v>
      </c>
      <c r="BH214" s="1">
        <v>114.73</v>
      </c>
      <c r="BI214" s="1">
        <v>122.18</v>
      </c>
      <c r="BJ214" s="1">
        <v>127.98</v>
      </c>
      <c r="BL214" s="1">
        <v>111.11</v>
      </c>
      <c r="BN214" s="1">
        <v>111.08</v>
      </c>
    </row>
    <row r="215" spans="1:66" x14ac:dyDescent="0.3">
      <c r="A215" s="2"/>
      <c r="C215" s="14" t="str">
        <f t="shared" si="4"/>
        <v>20255</v>
      </c>
      <c r="D215" s="3">
        <v>45800</v>
      </c>
      <c r="E215" s="21">
        <v>1771.51</v>
      </c>
      <c r="F215" s="21">
        <v>1691.55</v>
      </c>
      <c r="G215" s="21">
        <v>1741.59</v>
      </c>
      <c r="H215" s="21">
        <v>1805.85</v>
      </c>
      <c r="I215" s="21">
        <v>1765.66</v>
      </c>
      <c r="J215" s="21">
        <v>1750.88</v>
      </c>
      <c r="K215" s="21">
        <v>1717.51</v>
      </c>
      <c r="L215" s="21">
        <v>1624.27</v>
      </c>
      <c r="M215" s="21">
        <v>1618.85</v>
      </c>
      <c r="N215" s="21">
        <v>1596.28</v>
      </c>
      <c r="O215" s="21">
        <v>1681.3</v>
      </c>
      <c r="P215" s="21">
        <v>1722.81</v>
      </c>
      <c r="Q215" s="21">
        <v>6361.61</v>
      </c>
      <c r="R215" s="20">
        <v>115.58</v>
      </c>
      <c r="S215" s="20">
        <v>104.85</v>
      </c>
      <c r="T215" s="21">
        <v>120.62</v>
      </c>
      <c r="V215" s="1">
        <v>112.86</v>
      </c>
      <c r="W215" s="1">
        <v>120.82</v>
      </c>
      <c r="X215" s="1">
        <v>121.27</v>
      </c>
      <c r="Y215" s="1">
        <v>115.95</v>
      </c>
      <c r="Z215" s="1">
        <v>116.43</v>
      </c>
      <c r="AA215" s="1">
        <v>118.06</v>
      </c>
      <c r="AB215" s="1">
        <v>120.43</v>
      </c>
      <c r="AE215" s="1">
        <v>128.26</v>
      </c>
      <c r="AF215" s="1">
        <v>121.18</v>
      </c>
      <c r="AG215" s="1">
        <v>108.36</v>
      </c>
      <c r="AI215" s="1">
        <v>32.5</v>
      </c>
      <c r="AN215" s="1">
        <v>4109.41</v>
      </c>
      <c r="AP215" s="1">
        <v>4210.71</v>
      </c>
      <c r="AQ215" s="1">
        <v>4468.01</v>
      </c>
      <c r="AR215" s="1">
        <v>3896.23</v>
      </c>
      <c r="AS215" s="1">
        <v>4144.17</v>
      </c>
      <c r="AT215" s="1">
        <v>4250.43</v>
      </c>
      <c r="AU215" s="1">
        <v>4156.82</v>
      </c>
      <c r="AW215" s="1">
        <v>4341.51</v>
      </c>
      <c r="AX215" s="1">
        <v>112.6</v>
      </c>
      <c r="AY215" s="1">
        <v>4055.62</v>
      </c>
      <c r="AZ215" s="1">
        <v>4268.8500000000004</v>
      </c>
      <c r="BA215" s="1">
        <v>114.76</v>
      </c>
      <c r="BB215" s="1">
        <v>129.34</v>
      </c>
      <c r="BC215" s="1">
        <v>124.88</v>
      </c>
      <c r="BD215" s="1">
        <v>127.35</v>
      </c>
      <c r="BE215" s="1">
        <v>121.53</v>
      </c>
      <c r="BF215" s="1">
        <v>119.68</v>
      </c>
      <c r="BG215" s="1">
        <v>128.51</v>
      </c>
      <c r="BH215" s="1">
        <v>115.58</v>
      </c>
      <c r="BI215" s="1">
        <v>122.18</v>
      </c>
      <c r="BJ215" s="1">
        <v>127.91</v>
      </c>
      <c r="BL215" s="1">
        <v>110.77</v>
      </c>
      <c r="BN215" s="1">
        <v>111.08</v>
      </c>
    </row>
    <row r="216" spans="1:66" x14ac:dyDescent="0.3">
      <c r="A216" s="2"/>
      <c r="C216" s="14" t="str">
        <f t="shared" si="4"/>
        <v>20255</v>
      </c>
      <c r="D216" s="3">
        <v>45799</v>
      </c>
      <c r="E216" s="21">
        <v>1771.51</v>
      </c>
      <c r="F216" s="21">
        <v>1691.55</v>
      </c>
      <c r="G216" s="21">
        <v>1741.59</v>
      </c>
      <c r="H216" s="21">
        <v>1800.17</v>
      </c>
      <c r="I216" s="21">
        <v>1757.37</v>
      </c>
      <c r="J216" s="21">
        <v>1744.63</v>
      </c>
      <c r="K216" s="21">
        <v>1758.42</v>
      </c>
      <c r="L216" s="21">
        <v>1624.27</v>
      </c>
      <c r="M216" s="21">
        <v>1624.45</v>
      </c>
      <c r="N216" s="21">
        <v>1591.96</v>
      </c>
      <c r="O216" s="21">
        <v>1645.15</v>
      </c>
      <c r="P216" s="21">
        <v>1772.52</v>
      </c>
      <c r="Q216" s="21">
        <v>6411.61</v>
      </c>
      <c r="R216" s="20">
        <v>114.92</v>
      </c>
      <c r="S216" s="20">
        <v>104.73</v>
      </c>
      <c r="T216" s="21">
        <v>119.84</v>
      </c>
      <c r="V216" s="1">
        <v>112.72</v>
      </c>
      <c r="W216" s="1">
        <v>120.82</v>
      </c>
      <c r="X216" s="1">
        <v>120.71</v>
      </c>
      <c r="Y216" s="1">
        <v>115.59</v>
      </c>
      <c r="Z216" s="1">
        <v>116.23</v>
      </c>
      <c r="AA216" s="1">
        <v>117.89</v>
      </c>
      <c r="AB216" s="1">
        <v>120.33</v>
      </c>
      <c r="AE216" s="1">
        <v>127.76</v>
      </c>
      <c r="AF216" s="1">
        <v>121.17</v>
      </c>
      <c r="AG216" s="1">
        <v>108.27</v>
      </c>
      <c r="AI216" s="1">
        <v>32.5</v>
      </c>
      <c r="AN216" s="1">
        <v>4109.41</v>
      </c>
      <c r="AP216" s="1">
        <v>4210.71</v>
      </c>
      <c r="AQ216" s="1">
        <v>4468.01</v>
      </c>
      <c r="AR216" s="1">
        <v>3896.23</v>
      </c>
      <c r="AS216" s="1">
        <v>4144.17</v>
      </c>
      <c r="AT216" s="1">
        <v>4250.43</v>
      </c>
      <c r="AU216" s="1">
        <v>4156.82</v>
      </c>
      <c r="AW216" s="1">
        <v>4299.76</v>
      </c>
      <c r="AX216" s="1">
        <v>113.35</v>
      </c>
      <c r="AY216" s="1">
        <v>4055.62</v>
      </c>
      <c r="AZ216" s="1">
        <v>4268.8500000000004</v>
      </c>
      <c r="BA216" s="1">
        <v>114.76</v>
      </c>
      <c r="BB216" s="1">
        <v>129.32</v>
      </c>
      <c r="BC216" s="1">
        <v>124.32</v>
      </c>
      <c r="BD216" s="1">
        <v>126.03</v>
      </c>
      <c r="BE216" s="1">
        <v>121.03</v>
      </c>
      <c r="BF216" s="1">
        <v>119.02</v>
      </c>
      <c r="BG216" s="1">
        <v>128.1</v>
      </c>
      <c r="BH216" s="1">
        <v>115.23</v>
      </c>
      <c r="BI216" s="1">
        <v>122.18</v>
      </c>
      <c r="BJ216" s="1">
        <v>127.89</v>
      </c>
      <c r="BL216" s="1">
        <v>110.77</v>
      </c>
      <c r="BN216" s="1">
        <v>111.08</v>
      </c>
    </row>
    <row r="217" spans="1:66" x14ac:dyDescent="0.3">
      <c r="A217" s="2"/>
      <c r="C217" s="14" t="str">
        <f t="shared" si="4"/>
        <v>20255</v>
      </c>
      <c r="D217" s="3">
        <v>45798</v>
      </c>
      <c r="E217" s="21">
        <v>1764.06</v>
      </c>
      <c r="F217" s="21">
        <v>1691.55</v>
      </c>
      <c r="G217" s="21">
        <v>1741.59</v>
      </c>
      <c r="H217" s="21">
        <v>1800.17</v>
      </c>
      <c r="I217" s="21">
        <v>1781.11</v>
      </c>
      <c r="J217" s="21">
        <v>1744.63</v>
      </c>
      <c r="K217" s="21">
        <v>1724.03</v>
      </c>
      <c r="L217" s="21">
        <v>1624.27</v>
      </c>
      <c r="M217" s="21">
        <v>1599.07</v>
      </c>
      <c r="N217" s="21">
        <v>1595.07</v>
      </c>
      <c r="O217" s="21">
        <v>1643.98</v>
      </c>
      <c r="P217" s="21">
        <v>1783.27</v>
      </c>
      <c r="Q217" s="21">
        <v>6411.61</v>
      </c>
      <c r="R217" s="20">
        <v>114.59</v>
      </c>
      <c r="S217" s="20">
        <v>104.23</v>
      </c>
      <c r="T217" s="21">
        <v>119.73</v>
      </c>
      <c r="V217" s="1">
        <v>112.72</v>
      </c>
      <c r="W217" s="1">
        <v>121.47</v>
      </c>
      <c r="X217" s="1">
        <v>120.27</v>
      </c>
      <c r="Y217" s="1">
        <v>115.93</v>
      </c>
      <c r="Z217" s="1">
        <v>116.11</v>
      </c>
      <c r="AA217" s="1">
        <v>117.47</v>
      </c>
      <c r="AB217" s="1">
        <v>120</v>
      </c>
      <c r="AE217" s="1">
        <v>127.43</v>
      </c>
      <c r="AF217" s="1">
        <v>121.23</v>
      </c>
      <c r="AG217" s="1">
        <v>108.11</v>
      </c>
      <c r="AI217" s="1">
        <v>32.5</v>
      </c>
      <c r="AN217" s="1">
        <v>4109.41</v>
      </c>
      <c r="AP217" s="1">
        <v>4187.78</v>
      </c>
      <c r="AQ217" s="1">
        <v>4425</v>
      </c>
      <c r="AS217" s="1">
        <v>4144.17</v>
      </c>
      <c r="AU217" s="1">
        <v>4160.1899999999996</v>
      </c>
      <c r="AW217" s="1">
        <v>4299.76</v>
      </c>
      <c r="AX217" s="1">
        <v>112.24</v>
      </c>
      <c r="AY217" s="1">
        <v>4055.62</v>
      </c>
      <c r="AZ217" s="1">
        <v>4268.8500000000004</v>
      </c>
      <c r="BA217" s="1">
        <v>114.09</v>
      </c>
      <c r="BB217" s="1">
        <v>129.13</v>
      </c>
      <c r="BC217" s="1">
        <v>124.65</v>
      </c>
      <c r="BD217" s="1">
        <v>126.69</v>
      </c>
      <c r="BE217" s="1">
        <v>121.03</v>
      </c>
      <c r="BF217" s="1">
        <v>119.02</v>
      </c>
      <c r="BG217" s="1">
        <v>127.94</v>
      </c>
      <c r="BH217" s="1">
        <v>115.15</v>
      </c>
      <c r="BI217" s="1">
        <v>122.18</v>
      </c>
      <c r="BJ217" s="1">
        <v>127.87</v>
      </c>
      <c r="BL217" s="1">
        <v>111.11</v>
      </c>
      <c r="BN217" s="1">
        <v>111.08</v>
      </c>
    </row>
    <row r="218" spans="1:66" x14ac:dyDescent="0.3">
      <c r="A218" s="2"/>
      <c r="C218" s="14" t="str">
        <f t="shared" si="4"/>
        <v>20255</v>
      </c>
      <c r="D218" s="3">
        <v>45797</v>
      </c>
      <c r="E218" s="21">
        <v>1756.62</v>
      </c>
      <c r="F218" s="21">
        <v>1721.04</v>
      </c>
      <c r="G218" s="21">
        <v>1736.64</v>
      </c>
      <c r="H218" s="21">
        <v>1800.05</v>
      </c>
      <c r="I218" s="21">
        <v>1887.33</v>
      </c>
      <c r="J218" s="21">
        <v>1792.51</v>
      </c>
      <c r="K218" s="21">
        <v>1740.63</v>
      </c>
      <c r="L218" s="21">
        <v>1625.73</v>
      </c>
      <c r="M218" s="21">
        <v>1601.34</v>
      </c>
      <c r="N218" s="21">
        <v>1602.45</v>
      </c>
      <c r="O218" s="21">
        <v>1652.41</v>
      </c>
      <c r="P218" s="21">
        <v>1786.43</v>
      </c>
      <c r="Q218" s="21">
        <v>6361.61</v>
      </c>
      <c r="R218" s="20">
        <v>113.26</v>
      </c>
      <c r="S218" s="20">
        <v>103.98</v>
      </c>
      <c r="T218" s="21">
        <v>118.55</v>
      </c>
      <c r="V218" s="1">
        <v>112.02</v>
      </c>
      <c r="W218" s="1">
        <v>120.47</v>
      </c>
      <c r="X218" s="1">
        <v>119.77</v>
      </c>
      <c r="Y218" s="1">
        <v>114.93</v>
      </c>
      <c r="Z218" s="1">
        <v>115.11</v>
      </c>
      <c r="AA218" s="1">
        <v>116.76</v>
      </c>
      <c r="AB218" s="1">
        <v>119.83</v>
      </c>
      <c r="AE218" s="1">
        <v>127.68</v>
      </c>
      <c r="AF218" s="1">
        <v>120.22</v>
      </c>
      <c r="AG218" s="1">
        <v>108.11</v>
      </c>
      <c r="AI218" s="1">
        <v>32.5</v>
      </c>
      <c r="AN218" s="1">
        <v>4109.41</v>
      </c>
      <c r="AP218" s="1">
        <v>4187.78</v>
      </c>
      <c r="AQ218" s="1">
        <v>4425</v>
      </c>
      <c r="AT218" s="1">
        <v>4056.32</v>
      </c>
      <c r="AU218" s="1">
        <v>4160.1899999999996</v>
      </c>
      <c r="AW218" s="1">
        <v>4299.76</v>
      </c>
      <c r="AX218" s="1">
        <v>112.61</v>
      </c>
      <c r="AY218" s="1">
        <v>4030.32</v>
      </c>
      <c r="AZ218" s="1">
        <v>4268.8500000000004</v>
      </c>
      <c r="BA218" s="1">
        <v>113.88</v>
      </c>
      <c r="BB218" s="1">
        <v>128</v>
      </c>
      <c r="BC218" s="1">
        <v>124.03</v>
      </c>
      <c r="BD218" s="1">
        <v>126.37</v>
      </c>
      <c r="BE218" s="1">
        <v>120.03</v>
      </c>
      <c r="BF218" s="1">
        <v>117.69</v>
      </c>
      <c r="BG218" s="1">
        <v>128.03</v>
      </c>
      <c r="BH218" s="1">
        <v>112.89</v>
      </c>
      <c r="BI218" s="1">
        <v>121.75</v>
      </c>
      <c r="BJ218" s="1">
        <v>125.49</v>
      </c>
      <c r="BL218" s="1">
        <v>110.44</v>
      </c>
      <c r="BN218" s="1">
        <v>110.41</v>
      </c>
    </row>
    <row r="219" spans="1:66" x14ac:dyDescent="0.3">
      <c r="A219" s="2"/>
      <c r="C219" s="14" t="str">
        <f t="shared" si="4"/>
        <v>20255</v>
      </c>
      <c r="D219" s="3">
        <v>45796</v>
      </c>
      <c r="E219" s="21">
        <v>1727.21</v>
      </c>
      <c r="F219" s="21">
        <v>1741.79</v>
      </c>
      <c r="G219" s="21">
        <v>1744.06</v>
      </c>
      <c r="H219" s="21">
        <v>1844.05</v>
      </c>
      <c r="I219" s="21">
        <v>1841.43</v>
      </c>
      <c r="J219" s="21">
        <v>1791.26</v>
      </c>
      <c r="K219" s="21">
        <v>1752.42</v>
      </c>
      <c r="L219" s="21">
        <v>1663.22</v>
      </c>
      <c r="M219" s="21">
        <v>1601.34</v>
      </c>
      <c r="N219" s="21">
        <v>1640.35</v>
      </c>
      <c r="O219" s="21">
        <v>1677.64</v>
      </c>
      <c r="P219" s="21">
        <v>1752.52</v>
      </c>
      <c r="Q219" s="21">
        <v>6361.61</v>
      </c>
      <c r="R219" s="20">
        <v>113.92</v>
      </c>
      <c r="S219" s="20">
        <v>103.98</v>
      </c>
      <c r="T219" s="21">
        <v>118.75</v>
      </c>
      <c r="V219" s="1">
        <v>113.54</v>
      </c>
      <c r="W219" s="1">
        <v>120.61</v>
      </c>
      <c r="X219" s="1">
        <v>120.42</v>
      </c>
      <c r="Y219" s="1">
        <v>115.03</v>
      </c>
      <c r="Z219" s="1">
        <v>115.11</v>
      </c>
      <c r="AA219" s="1">
        <v>117.75</v>
      </c>
      <c r="AB219" s="1">
        <v>119.83</v>
      </c>
      <c r="AE219" s="1">
        <v>127.68</v>
      </c>
      <c r="AF219" s="1">
        <v>120.21</v>
      </c>
      <c r="AG219" s="1">
        <v>108.11</v>
      </c>
      <c r="AI219" s="1">
        <v>32.5</v>
      </c>
      <c r="AN219" s="1">
        <v>4185.4799999999996</v>
      </c>
      <c r="AP219" s="1">
        <v>4269.5</v>
      </c>
      <c r="AQ219" s="1">
        <v>4425</v>
      </c>
      <c r="AR219" s="1">
        <v>3896.23</v>
      </c>
      <c r="AS219" s="1">
        <v>4235.25</v>
      </c>
      <c r="AT219" s="1">
        <v>4048.03</v>
      </c>
      <c r="AU219" s="1">
        <v>4094.83</v>
      </c>
      <c r="AW219" s="1">
        <v>4270.0200000000004</v>
      </c>
      <c r="AX219" s="1">
        <v>113.9</v>
      </c>
      <c r="AY219" s="1">
        <v>4030.32</v>
      </c>
      <c r="AZ219" s="1">
        <v>4268.8500000000004</v>
      </c>
      <c r="BA219" s="1">
        <v>113.88</v>
      </c>
      <c r="BB219" s="1">
        <v>127.75</v>
      </c>
      <c r="BC219" s="1">
        <v>123.99</v>
      </c>
      <c r="BD219" s="1">
        <v>126.46</v>
      </c>
      <c r="BE219" s="1">
        <v>120.03</v>
      </c>
      <c r="BF219" s="1">
        <v>117.69</v>
      </c>
      <c r="BG219" s="1">
        <v>128.01</v>
      </c>
      <c r="BH219" s="1">
        <v>112.89</v>
      </c>
      <c r="BI219" s="1">
        <v>121.75</v>
      </c>
      <c r="BL219" s="1">
        <v>110.15</v>
      </c>
      <c r="BN219" s="1">
        <v>110.41</v>
      </c>
    </row>
    <row r="220" spans="1:66" x14ac:dyDescent="0.3">
      <c r="A220" s="2"/>
      <c r="C220" s="14" t="str">
        <f t="shared" si="4"/>
        <v>20255</v>
      </c>
      <c r="D220" s="3">
        <v>45793</v>
      </c>
      <c r="E220" s="21">
        <v>1778.96</v>
      </c>
      <c r="F220" s="21">
        <v>1735.94</v>
      </c>
      <c r="G220" s="21">
        <v>1773.7</v>
      </c>
      <c r="H220" s="21">
        <v>1804.99</v>
      </c>
      <c r="I220" s="21">
        <v>1843.08</v>
      </c>
      <c r="J220" s="21">
        <v>1805.11</v>
      </c>
      <c r="K220" s="21">
        <v>1748.44</v>
      </c>
      <c r="L220" s="21">
        <v>1640.91</v>
      </c>
      <c r="M220" s="21">
        <v>1606.28</v>
      </c>
      <c r="N220" s="21">
        <v>1623.3</v>
      </c>
      <c r="O220" s="21">
        <v>1691.67</v>
      </c>
      <c r="P220" s="21">
        <v>1757.49</v>
      </c>
      <c r="Q220" s="21">
        <v>6373.47</v>
      </c>
      <c r="R220" s="20">
        <v>113.92</v>
      </c>
      <c r="S220" s="20">
        <v>103.98</v>
      </c>
      <c r="T220" s="21">
        <v>117.86</v>
      </c>
      <c r="V220" s="1">
        <v>113.76</v>
      </c>
      <c r="W220" s="1">
        <v>120.18</v>
      </c>
      <c r="X220" s="1">
        <v>119.9</v>
      </c>
      <c r="Y220" s="1">
        <v>114.96</v>
      </c>
      <c r="Z220" s="1">
        <v>114.66</v>
      </c>
      <c r="AA220" s="1">
        <v>117.51</v>
      </c>
      <c r="AB220" s="1">
        <v>119.93</v>
      </c>
      <c r="AE220" s="1">
        <v>127.68</v>
      </c>
      <c r="AF220" s="1">
        <v>120.49</v>
      </c>
      <c r="AG220" s="1">
        <v>108.11</v>
      </c>
      <c r="AN220" s="1">
        <v>4271.93</v>
      </c>
      <c r="AP220" s="1">
        <v>4328.93</v>
      </c>
      <c r="AQ220" s="1">
        <v>4440.18</v>
      </c>
      <c r="AR220" s="1">
        <v>3896.23</v>
      </c>
      <c r="AS220" s="1">
        <v>4220.07</v>
      </c>
      <c r="AT220" s="1">
        <v>4118.87</v>
      </c>
      <c r="AU220" s="1">
        <v>4166.9399999999996</v>
      </c>
      <c r="AW220" s="1">
        <v>4278.95</v>
      </c>
      <c r="AX220" s="1">
        <v>113.9</v>
      </c>
      <c r="AY220" s="1">
        <v>4030.32</v>
      </c>
      <c r="BA220" s="1">
        <v>114.83</v>
      </c>
      <c r="BB220" s="1">
        <v>126.89</v>
      </c>
      <c r="BC220" s="1">
        <v>123.84</v>
      </c>
      <c r="BD220" s="1">
        <v>126.52</v>
      </c>
      <c r="BE220" s="1">
        <v>120.03</v>
      </c>
      <c r="BF220" s="1">
        <v>118.02</v>
      </c>
      <c r="BG220" s="1">
        <v>128.15</v>
      </c>
      <c r="BH220" s="1">
        <v>112.64</v>
      </c>
      <c r="BI220" s="1">
        <v>122.75</v>
      </c>
      <c r="BJ220" s="1">
        <v>125.59</v>
      </c>
      <c r="BL220" s="1">
        <v>110.44</v>
      </c>
      <c r="BN220" s="1">
        <v>110.08</v>
      </c>
    </row>
    <row r="221" spans="1:66" x14ac:dyDescent="0.3">
      <c r="A221" s="2"/>
      <c r="C221" s="14" t="str">
        <f t="shared" si="4"/>
        <v>20255</v>
      </c>
      <c r="D221" s="3">
        <v>45792</v>
      </c>
      <c r="E221" s="21">
        <v>1780.19</v>
      </c>
      <c r="F221" s="21">
        <v>1735.94</v>
      </c>
      <c r="G221" s="21">
        <v>1761.35</v>
      </c>
      <c r="H221" s="21">
        <v>1807.86</v>
      </c>
      <c r="I221" s="21">
        <v>1852.97</v>
      </c>
      <c r="J221" s="21">
        <v>1807.88</v>
      </c>
      <c r="K221" s="21">
        <v>1760.38</v>
      </c>
      <c r="L221" s="21">
        <v>1634.33</v>
      </c>
      <c r="M221" s="21">
        <v>1603.81</v>
      </c>
      <c r="N221" s="21">
        <v>1622.39</v>
      </c>
      <c r="O221" s="21">
        <v>1651.61</v>
      </c>
      <c r="P221" s="21">
        <v>1741.12</v>
      </c>
      <c r="Q221" s="21">
        <v>6374.11</v>
      </c>
      <c r="R221" s="20">
        <v>113.26</v>
      </c>
      <c r="S221" s="20">
        <v>103.98</v>
      </c>
      <c r="T221" s="21">
        <v>117.63</v>
      </c>
      <c r="V221" s="1">
        <v>113.65</v>
      </c>
      <c r="W221" s="1">
        <v>120.47</v>
      </c>
      <c r="X221" s="1">
        <v>119.64</v>
      </c>
      <c r="Y221" s="1">
        <v>114.89</v>
      </c>
      <c r="Z221" s="1">
        <v>114.32</v>
      </c>
      <c r="AA221" s="1">
        <v>116.68</v>
      </c>
      <c r="AB221" s="1">
        <v>117.69</v>
      </c>
      <c r="AE221" s="1">
        <v>127.12</v>
      </c>
      <c r="AF221" s="1">
        <v>121.48</v>
      </c>
      <c r="AG221" s="1">
        <v>108.11</v>
      </c>
      <c r="AN221" s="1">
        <v>4271.93</v>
      </c>
      <c r="AP221" s="1">
        <v>4333.8100000000004</v>
      </c>
      <c r="AQ221" s="1">
        <v>4440.18</v>
      </c>
      <c r="AR221" s="1">
        <v>3896.23</v>
      </c>
      <c r="AS221" s="1">
        <v>4220.07</v>
      </c>
      <c r="AT221" s="1">
        <v>4118.87</v>
      </c>
      <c r="AU221" s="1">
        <v>4166.9399999999996</v>
      </c>
      <c r="AW221" s="1">
        <v>4216.34</v>
      </c>
      <c r="AX221" s="1">
        <v>114.65</v>
      </c>
      <c r="AY221" s="1">
        <v>4008.81</v>
      </c>
      <c r="AZ221" s="1">
        <v>4175.54</v>
      </c>
      <c r="BA221" s="1">
        <v>115.59</v>
      </c>
      <c r="BB221" s="1">
        <v>127.13</v>
      </c>
      <c r="BC221" s="1">
        <v>124.32</v>
      </c>
      <c r="BD221" s="1">
        <v>127.16</v>
      </c>
      <c r="BE221" s="1">
        <v>120.13</v>
      </c>
      <c r="BF221" s="1">
        <v>117.36</v>
      </c>
      <c r="BG221" s="1">
        <v>127.43</v>
      </c>
      <c r="BH221" s="1">
        <v>112.61</v>
      </c>
      <c r="BI221" s="1">
        <v>122.75</v>
      </c>
      <c r="BJ221" s="1">
        <v>125.88</v>
      </c>
      <c r="BL221" s="1">
        <v>114.61</v>
      </c>
      <c r="BN221" s="1">
        <v>110.75</v>
      </c>
    </row>
    <row r="222" spans="1:66" x14ac:dyDescent="0.3">
      <c r="A222" s="2"/>
      <c r="C222" s="14" t="str">
        <f t="shared" si="4"/>
        <v>20255</v>
      </c>
      <c r="D222" s="3">
        <v>45791</v>
      </c>
      <c r="E222" s="21">
        <v>1780.19</v>
      </c>
      <c r="F222" s="21">
        <v>1735.94</v>
      </c>
      <c r="G222" s="21">
        <v>1772.05</v>
      </c>
      <c r="H222" s="21">
        <v>1820.06</v>
      </c>
      <c r="I222" s="21">
        <v>1871.52</v>
      </c>
      <c r="J222" s="21">
        <v>1807.88</v>
      </c>
      <c r="K222" s="21">
        <v>1745.41</v>
      </c>
      <c r="L222" s="21">
        <v>1634.33</v>
      </c>
      <c r="M222" s="21">
        <v>1603.81</v>
      </c>
      <c r="N222" s="21">
        <v>1623.14</v>
      </c>
      <c r="O222" s="21">
        <v>1660.1</v>
      </c>
      <c r="P222" s="21">
        <v>1812.45</v>
      </c>
      <c r="Q222" s="21">
        <v>6374.11</v>
      </c>
      <c r="R222" s="20">
        <v>114.92</v>
      </c>
      <c r="S222" s="20">
        <v>107.85</v>
      </c>
      <c r="T222" s="21">
        <v>119.68</v>
      </c>
      <c r="V222" s="1">
        <v>114.1</v>
      </c>
      <c r="W222" s="1">
        <v>121.07</v>
      </c>
      <c r="X222" s="1">
        <v>119.76</v>
      </c>
      <c r="Y222" s="1">
        <v>115.64</v>
      </c>
      <c r="Z222" s="1">
        <v>116.19</v>
      </c>
      <c r="AA222" s="1">
        <v>117.82</v>
      </c>
      <c r="AB222" s="1">
        <v>118.36</v>
      </c>
      <c r="AE222" s="1">
        <v>127.59</v>
      </c>
      <c r="AF222" s="1">
        <v>121.47</v>
      </c>
      <c r="AG222" s="1">
        <v>110.31</v>
      </c>
      <c r="AN222" s="1">
        <v>4337.8999999999996</v>
      </c>
      <c r="AP222" s="1">
        <v>4359.1899999999996</v>
      </c>
      <c r="AQ222" s="1">
        <v>4440.18</v>
      </c>
      <c r="AR222" s="1">
        <v>3896.23</v>
      </c>
      <c r="AS222" s="1">
        <v>4220.07</v>
      </c>
      <c r="AT222" s="1">
        <v>4118.87</v>
      </c>
      <c r="AU222" s="1">
        <v>4204.8900000000003</v>
      </c>
      <c r="AW222" s="1">
        <v>4216.34</v>
      </c>
      <c r="AX222" s="1">
        <v>115.43</v>
      </c>
      <c r="AY222" s="1">
        <v>4008.81</v>
      </c>
      <c r="AZ222" s="1">
        <v>4175.54</v>
      </c>
      <c r="BA222" s="1">
        <v>115.21</v>
      </c>
      <c r="BB222" s="1">
        <v>128.16</v>
      </c>
      <c r="BC222" s="1">
        <v>124.98</v>
      </c>
      <c r="BD222" s="1">
        <v>127.35</v>
      </c>
      <c r="BE222" s="1">
        <v>121.72</v>
      </c>
      <c r="BF222" s="1">
        <v>119.31</v>
      </c>
      <c r="BG222" s="1">
        <v>129.13999999999999</v>
      </c>
      <c r="BH222" s="1">
        <v>113.26</v>
      </c>
      <c r="BI222" s="1">
        <v>123.24</v>
      </c>
      <c r="BJ222" s="1">
        <v>127.03</v>
      </c>
      <c r="BL222" s="1">
        <v>116.97</v>
      </c>
      <c r="BN222" s="1">
        <v>112.08</v>
      </c>
    </row>
    <row r="223" spans="1:66" x14ac:dyDescent="0.3">
      <c r="A223" s="2"/>
      <c r="C223" s="14" t="str">
        <f t="shared" si="4"/>
        <v>20255</v>
      </c>
      <c r="D223" s="3">
        <v>45790</v>
      </c>
      <c r="E223" s="21">
        <v>1791.36</v>
      </c>
      <c r="F223" s="21">
        <v>1756.71</v>
      </c>
      <c r="G223" s="21">
        <v>1788.52</v>
      </c>
      <c r="H223" s="21">
        <v>1864.18</v>
      </c>
      <c r="I223" s="21">
        <v>1879.66</v>
      </c>
      <c r="J223" s="21">
        <v>1815.67</v>
      </c>
      <c r="K223" s="21">
        <v>1777.65</v>
      </c>
      <c r="L223" s="21"/>
      <c r="M223" s="21">
        <v>1614.29</v>
      </c>
      <c r="N223" s="21">
        <v>1635.5</v>
      </c>
      <c r="O223" s="21">
        <v>1683.75</v>
      </c>
      <c r="P223" s="21">
        <v>1771.82</v>
      </c>
      <c r="Q223" s="21">
        <v>6458.34</v>
      </c>
      <c r="R223" s="20">
        <v>114.26</v>
      </c>
      <c r="S223" s="20">
        <v>108.97</v>
      </c>
      <c r="T223" s="21">
        <v>119.17</v>
      </c>
      <c r="V223" s="1">
        <v>114.57</v>
      </c>
      <c r="W223" s="1">
        <v>122.79</v>
      </c>
      <c r="X223" s="1">
        <v>120.33</v>
      </c>
      <c r="Y223" s="1">
        <v>114.88</v>
      </c>
      <c r="Z223" s="1">
        <v>116.13</v>
      </c>
      <c r="AA223" s="1">
        <v>118.14</v>
      </c>
      <c r="AB223" s="1">
        <v>118.86</v>
      </c>
      <c r="AE223" s="1">
        <v>127.76</v>
      </c>
      <c r="AF223" s="1">
        <v>121.54</v>
      </c>
      <c r="AG223" s="1">
        <v>111.95</v>
      </c>
      <c r="AN223" s="1">
        <v>4337.8999999999996</v>
      </c>
      <c r="AP223" s="1">
        <v>4370.0200000000004</v>
      </c>
      <c r="AQ223" s="1">
        <v>4440.18</v>
      </c>
      <c r="AR223" s="1">
        <v>3896.23</v>
      </c>
      <c r="AS223" s="1">
        <v>4220.07</v>
      </c>
      <c r="AT223" s="1">
        <v>4118.87</v>
      </c>
      <c r="AU223" s="1">
        <v>4204.8900000000003</v>
      </c>
      <c r="AW223" s="1">
        <v>4216.34</v>
      </c>
      <c r="AX223" s="1">
        <v>114.54</v>
      </c>
      <c r="AY223" s="1">
        <v>4044.65</v>
      </c>
      <c r="AZ223" s="1">
        <v>4175.54</v>
      </c>
      <c r="BA223" s="1">
        <v>114.88</v>
      </c>
      <c r="BB223" s="1">
        <v>129.47999999999999</v>
      </c>
      <c r="BC223" s="1">
        <v>126.35</v>
      </c>
      <c r="BD223" s="1">
        <v>126.69</v>
      </c>
      <c r="BE223" s="1">
        <v>120.6</v>
      </c>
      <c r="BF223" s="1">
        <v>116.71</v>
      </c>
      <c r="BG223" s="1">
        <v>129.18</v>
      </c>
      <c r="BH223" s="1">
        <v>115.23</v>
      </c>
      <c r="BI223" s="1">
        <v>123.78</v>
      </c>
      <c r="BJ223" s="1">
        <v>128.68</v>
      </c>
      <c r="BL223" s="1">
        <v>116.55</v>
      </c>
      <c r="BN223" s="1">
        <v>112.08</v>
      </c>
    </row>
    <row r="224" spans="1:66" x14ac:dyDescent="0.3">
      <c r="A224" s="2"/>
      <c r="C224" s="14" t="str">
        <f t="shared" si="4"/>
        <v>20255</v>
      </c>
      <c r="D224" s="3">
        <v>45789</v>
      </c>
      <c r="E224" s="21">
        <v>1818.55</v>
      </c>
      <c r="F224" s="21">
        <v>1756.52</v>
      </c>
      <c r="G224" s="21">
        <v>1821.46</v>
      </c>
      <c r="H224" s="21">
        <v>1904.27</v>
      </c>
      <c r="I224" s="21">
        <v>1830.32</v>
      </c>
      <c r="J224" s="21">
        <v>1825.39</v>
      </c>
      <c r="K224" s="21">
        <v>1790.91</v>
      </c>
      <c r="L224" s="21">
        <v>1699.58</v>
      </c>
      <c r="M224" s="21"/>
      <c r="N224" s="21">
        <v>1660.15</v>
      </c>
      <c r="O224" s="21">
        <v>1698.98</v>
      </c>
      <c r="P224" s="21">
        <v>1791.71</v>
      </c>
      <c r="Q224" s="21">
        <v>6516.67</v>
      </c>
      <c r="R224" s="20">
        <v>114.26</v>
      </c>
      <c r="S224" s="20">
        <v>107.38</v>
      </c>
      <c r="T224" s="21">
        <v>119.63</v>
      </c>
      <c r="V224" s="1">
        <v>114.6</v>
      </c>
      <c r="W224" s="1">
        <v>119.79</v>
      </c>
      <c r="X224" s="1">
        <v>120.05</v>
      </c>
      <c r="Y224" s="1">
        <v>115.62</v>
      </c>
      <c r="Z224" s="1">
        <v>116.71</v>
      </c>
      <c r="AA224" s="1">
        <v>119.14</v>
      </c>
      <c r="AB224" s="1">
        <v>118.45</v>
      </c>
      <c r="AE224" s="1">
        <v>127.19</v>
      </c>
      <c r="AF224" s="1">
        <v>121.79</v>
      </c>
      <c r="AG224" s="1">
        <v>110.96</v>
      </c>
      <c r="AN224" s="1">
        <v>4425.51</v>
      </c>
      <c r="AP224" s="1">
        <v>4337.6099999999997</v>
      </c>
      <c r="AQ224" s="1">
        <v>4440.18</v>
      </c>
      <c r="AR224" s="1">
        <v>3833.03</v>
      </c>
      <c r="AS224" s="1">
        <v>4242.84</v>
      </c>
      <c r="AT224" s="1">
        <v>4189.71</v>
      </c>
      <c r="AU224" s="1">
        <v>4204.8900000000003</v>
      </c>
      <c r="AW224" s="1">
        <v>4142.72</v>
      </c>
      <c r="AX224" s="1">
        <v>113.18</v>
      </c>
      <c r="AY224" s="1">
        <v>4044.65</v>
      </c>
      <c r="AZ224" s="1">
        <v>4175.54</v>
      </c>
      <c r="BA224" s="1">
        <v>114.74</v>
      </c>
      <c r="BB224" s="1">
        <v>129.44</v>
      </c>
      <c r="BC224" s="1">
        <v>125.03</v>
      </c>
      <c r="BD224" s="1">
        <v>127.32</v>
      </c>
      <c r="BE224" s="1">
        <v>119.83</v>
      </c>
      <c r="BF224" s="1">
        <v>117.39</v>
      </c>
      <c r="BG224" s="1">
        <v>130.41999999999999</v>
      </c>
      <c r="BH224" s="1">
        <v>114.79</v>
      </c>
      <c r="BI224" s="1">
        <v>123.28</v>
      </c>
      <c r="BJ224" s="1">
        <v>128.66</v>
      </c>
      <c r="BL224" s="1">
        <v>115.29</v>
      </c>
      <c r="BN224" s="1">
        <v>112.74</v>
      </c>
    </row>
    <row r="225" spans="1:66" x14ac:dyDescent="0.3">
      <c r="A225" s="2"/>
      <c r="C225" s="14" t="str">
        <f t="shared" si="4"/>
        <v>20255</v>
      </c>
      <c r="D225" s="3">
        <v>45786</v>
      </c>
      <c r="E225" s="21">
        <v>1816.07</v>
      </c>
      <c r="F225" s="21">
        <v>1774.5</v>
      </c>
      <c r="G225" s="21">
        <v>1828.28</v>
      </c>
      <c r="H225" s="21">
        <v>1896.64</v>
      </c>
      <c r="I225" s="21">
        <v>1782.93</v>
      </c>
      <c r="J225" s="21">
        <v>1825.39</v>
      </c>
      <c r="K225" s="21">
        <v>1804.21</v>
      </c>
      <c r="L225" s="21">
        <v>1697.51</v>
      </c>
      <c r="M225" s="21"/>
      <c r="N225" s="21">
        <v>1662.37</v>
      </c>
      <c r="O225" s="21">
        <v>1702.7</v>
      </c>
      <c r="P225" s="21">
        <v>1761.86</v>
      </c>
      <c r="Q225" s="21">
        <v>6419.11</v>
      </c>
      <c r="R225" s="20">
        <v>114.43</v>
      </c>
      <c r="S225" s="20">
        <v>104.56</v>
      </c>
      <c r="T225" s="21">
        <v>118.61</v>
      </c>
      <c r="V225" s="1">
        <v>113.43</v>
      </c>
      <c r="W225" s="1">
        <v>119.91</v>
      </c>
      <c r="X225" s="1">
        <v>118.11</v>
      </c>
      <c r="Y225" s="1">
        <v>114.73</v>
      </c>
      <c r="Z225" s="1">
        <v>116.54</v>
      </c>
      <c r="AA225" s="1">
        <v>118.67</v>
      </c>
      <c r="AB225" s="1">
        <v>117.23</v>
      </c>
      <c r="AE225" s="1">
        <v>127.74</v>
      </c>
      <c r="AF225" s="1">
        <v>122.12</v>
      </c>
      <c r="AG225" s="1">
        <v>109.19</v>
      </c>
      <c r="AN225" s="1">
        <v>4425.84</v>
      </c>
      <c r="AP225" s="1">
        <v>4312.66</v>
      </c>
      <c r="AQ225" s="1">
        <v>4427.53</v>
      </c>
      <c r="AR225" s="1">
        <v>3856.78</v>
      </c>
      <c r="AS225" s="1">
        <v>4260.55</v>
      </c>
      <c r="AT225" s="1">
        <v>4189.71</v>
      </c>
      <c r="AU225" s="1">
        <v>4204.8900000000003</v>
      </c>
      <c r="AW225" s="1">
        <v>4090.68</v>
      </c>
      <c r="AX225" s="1">
        <v>111.41</v>
      </c>
      <c r="AY225" s="1">
        <v>4044.65</v>
      </c>
      <c r="AZ225" s="1">
        <v>4269.91</v>
      </c>
      <c r="BA225" s="1">
        <v>114.25</v>
      </c>
      <c r="BB225" s="1">
        <v>128.68</v>
      </c>
      <c r="BC225" s="1">
        <v>127.48</v>
      </c>
      <c r="BD225" s="1">
        <v>125.67</v>
      </c>
      <c r="BE225" s="1">
        <v>118.66</v>
      </c>
      <c r="BF225" s="1">
        <v>120.79</v>
      </c>
      <c r="BG225" s="1">
        <v>131.19</v>
      </c>
      <c r="BH225" s="1">
        <v>114.54</v>
      </c>
      <c r="BI225" s="1">
        <v>123.28</v>
      </c>
      <c r="BJ225" s="1">
        <v>128.61000000000001</v>
      </c>
      <c r="BL225" s="1">
        <v>114.96</v>
      </c>
      <c r="BN225" s="1">
        <v>112.08</v>
      </c>
    </row>
    <row r="226" spans="1:66" x14ac:dyDescent="0.3">
      <c r="A226" s="2"/>
      <c r="C226" s="14" t="str">
        <f t="shared" si="4"/>
        <v>20255</v>
      </c>
      <c r="D226" s="3">
        <v>45785</v>
      </c>
      <c r="E226" s="21">
        <v>1828.45</v>
      </c>
      <c r="F226" s="21">
        <v>1776.69</v>
      </c>
      <c r="G226" s="21"/>
      <c r="H226" s="21">
        <v>1900.46</v>
      </c>
      <c r="I226" s="21">
        <v>1789.38</v>
      </c>
      <c r="J226" s="21">
        <v>1825.73</v>
      </c>
      <c r="K226" s="21">
        <v>1788.57</v>
      </c>
      <c r="L226" s="21">
        <v>1693.38</v>
      </c>
      <c r="M226" s="21"/>
      <c r="N226" s="21">
        <v>1703.97</v>
      </c>
      <c r="O226" s="21">
        <v>1707.01</v>
      </c>
      <c r="P226" s="21">
        <v>1785.11</v>
      </c>
      <c r="Q226" s="21">
        <v>6457.2</v>
      </c>
      <c r="R226" s="20">
        <v>113.94</v>
      </c>
      <c r="S226" s="20">
        <v>104.18</v>
      </c>
      <c r="T226" s="21">
        <v>118.62</v>
      </c>
      <c r="V226" s="1">
        <v>113.43</v>
      </c>
      <c r="W226" s="1">
        <v>119.91</v>
      </c>
      <c r="X226" s="1">
        <v>118.2</v>
      </c>
      <c r="Y226" s="1">
        <v>115.08</v>
      </c>
      <c r="Z226" s="1">
        <v>116.51</v>
      </c>
      <c r="AA226" s="1">
        <v>116.89</v>
      </c>
      <c r="AB226" s="1">
        <v>117.89</v>
      </c>
      <c r="AE226" s="1">
        <v>127.7</v>
      </c>
      <c r="AF226" s="1">
        <v>121.48</v>
      </c>
      <c r="AG226" s="1">
        <v>109.02</v>
      </c>
      <c r="AN226" s="1">
        <v>4424.1499999999996</v>
      </c>
      <c r="AP226" s="1">
        <v>4280.88</v>
      </c>
      <c r="AQ226" s="1">
        <v>4398.0200000000004</v>
      </c>
      <c r="AR226" s="1">
        <v>3872.62</v>
      </c>
      <c r="AS226" s="1">
        <v>4258.92</v>
      </c>
      <c r="AT226" s="1">
        <v>4188.1099999999997</v>
      </c>
      <c r="AU226" s="1">
        <v>4203.28</v>
      </c>
      <c r="AW226" s="1">
        <v>3901.06</v>
      </c>
      <c r="AX226" s="1">
        <v>111.44</v>
      </c>
      <c r="AY226" s="1">
        <v>4058.62</v>
      </c>
      <c r="AZ226" s="1">
        <v>4362.6099999999997</v>
      </c>
      <c r="BA226" s="1">
        <v>113.24</v>
      </c>
      <c r="BB226" s="1">
        <v>127.01</v>
      </c>
      <c r="BC226" s="1">
        <v>127.56</v>
      </c>
      <c r="BD226" s="1">
        <v>126.55</v>
      </c>
      <c r="BE226" s="1">
        <v>119.08</v>
      </c>
      <c r="BF226" s="1">
        <v>118.37</v>
      </c>
      <c r="BG226" s="1">
        <v>128.56</v>
      </c>
      <c r="BH226" s="1">
        <v>116.04</v>
      </c>
      <c r="BI226" s="1">
        <v>123.04</v>
      </c>
      <c r="BJ226" s="1">
        <v>128.26</v>
      </c>
      <c r="BL226" s="1">
        <v>115.7</v>
      </c>
      <c r="BN226" s="1">
        <v>113.55</v>
      </c>
    </row>
    <row r="227" spans="1:66" x14ac:dyDescent="0.3">
      <c r="A227" s="2"/>
      <c r="C227" s="14" t="str">
        <f t="shared" si="4"/>
        <v>20255</v>
      </c>
      <c r="D227" s="3">
        <v>45784</v>
      </c>
      <c r="E227" s="21">
        <v>1831.53</v>
      </c>
      <c r="F227" s="21">
        <v>1786.64</v>
      </c>
      <c r="G227" s="21">
        <v>1799.1</v>
      </c>
      <c r="H227" s="21">
        <v>1880.33</v>
      </c>
      <c r="I227" s="21">
        <v>1789.38</v>
      </c>
      <c r="J227" s="21">
        <v>1841.87</v>
      </c>
      <c r="K227" s="21">
        <v>1780.61</v>
      </c>
      <c r="L227" s="21">
        <v>1684.46</v>
      </c>
      <c r="M227" s="21"/>
      <c r="N227" s="21">
        <v>1703.97</v>
      </c>
      <c r="O227" s="21">
        <v>1733.57</v>
      </c>
      <c r="P227" s="21">
        <v>1785.11</v>
      </c>
      <c r="Q227" s="21">
        <v>6657.2</v>
      </c>
      <c r="R227" s="20">
        <v>113.94</v>
      </c>
      <c r="S227" s="20">
        <v>104.18</v>
      </c>
      <c r="T227" s="21">
        <v>118.6</v>
      </c>
      <c r="V227" s="1">
        <v>113.21</v>
      </c>
      <c r="W227" s="1">
        <v>119.59</v>
      </c>
      <c r="X227" s="1">
        <v>118.11</v>
      </c>
      <c r="Y227" s="1">
        <v>114.26</v>
      </c>
      <c r="Z227" s="1">
        <v>115.66</v>
      </c>
      <c r="AA227" s="1">
        <v>116.11</v>
      </c>
      <c r="AB227" s="1">
        <v>118.02</v>
      </c>
      <c r="AE227" s="1">
        <v>128.72999999999999</v>
      </c>
      <c r="AF227" s="1">
        <v>121.47</v>
      </c>
      <c r="AG227" s="1">
        <v>109.02</v>
      </c>
      <c r="AP227" s="1">
        <v>4321.25</v>
      </c>
      <c r="AQ227" s="1">
        <v>4398.0200000000004</v>
      </c>
      <c r="AR227" s="1">
        <v>3872.62</v>
      </c>
      <c r="AS227" s="1">
        <v>4258.92</v>
      </c>
      <c r="AT227" s="1">
        <v>4188.1099999999997</v>
      </c>
      <c r="AW227" s="1">
        <v>3901.06</v>
      </c>
      <c r="AX227" s="1">
        <v>112.27</v>
      </c>
      <c r="AY227" s="1">
        <v>4058.62</v>
      </c>
      <c r="AZ227" s="1">
        <v>4362.6099999999997</v>
      </c>
      <c r="BA227" s="1">
        <v>112.77</v>
      </c>
      <c r="BB227" s="1">
        <v>127.56</v>
      </c>
      <c r="BC227" s="1">
        <v>124.95</v>
      </c>
      <c r="BD227" s="1">
        <v>126.66</v>
      </c>
      <c r="BE227" s="1">
        <v>118.31</v>
      </c>
      <c r="BF227" s="1">
        <v>118.37</v>
      </c>
      <c r="BG227" s="1">
        <v>128.56</v>
      </c>
      <c r="BH227" s="1">
        <v>116.37</v>
      </c>
      <c r="BI227" s="1">
        <v>122.67</v>
      </c>
      <c r="BJ227" s="1">
        <v>129.78</v>
      </c>
      <c r="BK227" s="1">
        <v>111.48</v>
      </c>
      <c r="BL227" s="1">
        <v>113.59</v>
      </c>
      <c r="BN227" s="1">
        <v>112.28</v>
      </c>
    </row>
    <row r="228" spans="1:66" x14ac:dyDescent="0.3">
      <c r="A228" s="2"/>
      <c r="C228" s="14" t="str">
        <f t="shared" si="4"/>
        <v>20255</v>
      </c>
      <c r="D228" s="3">
        <v>45783</v>
      </c>
      <c r="E228" s="21">
        <v>1846.43</v>
      </c>
      <c r="F228" s="21">
        <v>1781.91</v>
      </c>
      <c r="G228" s="21">
        <v>1799.1</v>
      </c>
      <c r="H228" s="21">
        <v>1868.37</v>
      </c>
      <c r="I228" s="21">
        <v>1802.56</v>
      </c>
      <c r="J228" s="21">
        <v>1841.87</v>
      </c>
      <c r="K228" s="21">
        <v>1776.63</v>
      </c>
      <c r="L228" s="21">
        <v>1678.43</v>
      </c>
      <c r="M228" s="21"/>
      <c r="N228" s="21">
        <v>1669.22</v>
      </c>
      <c r="O228" s="21">
        <v>1739.79</v>
      </c>
      <c r="P228" s="21">
        <v>1782.63</v>
      </c>
      <c r="Q228" s="21">
        <v>6657.2</v>
      </c>
      <c r="R228" s="20">
        <v>113.79</v>
      </c>
      <c r="S228" s="20">
        <v>103.98</v>
      </c>
      <c r="T228" s="21">
        <v>117.82</v>
      </c>
      <c r="V228" s="1">
        <v>113.21</v>
      </c>
      <c r="W228" s="1">
        <v>120.82</v>
      </c>
      <c r="X228" s="1">
        <v>117.8</v>
      </c>
      <c r="Y228" s="1">
        <v>113.86</v>
      </c>
      <c r="Z228" s="1">
        <v>114.4</v>
      </c>
      <c r="AA228" s="1">
        <v>116.25</v>
      </c>
      <c r="AB228" s="1">
        <v>117.91</v>
      </c>
      <c r="AE228" s="1">
        <v>127.03</v>
      </c>
      <c r="AF228" s="1">
        <v>122.14</v>
      </c>
      <c r="AG228" s="1">
        <v>108.93</v>
      </c>
      <c r="AP228" s="1">
        <v>4322</v>
      </c>
      <c r="AQ228" s="1">
        <v>4398.0200000000004</v>
      </c>
      <c r="AR228" s="1">
        <v>3872.62</v>
      </c>
      <c r="AS228" s="1">
        <v>4258.92</v>
      </c>
      <c r="AT228" s="1">
        <v>4188.1099999999997</v>
      </c>
      <c r="AU228" s="1">
        <v>4191.4799999999996</v>
      </c>
      <c r="AW228" s="1">
        <v>3849.22</v>
      </c>
      <c r="AX228" s="1">
        <v>112.27</v>
      </c>
      <c r="AY228" s="1">
        <v>4011.08</v>
      </c>
      <c r="AZ228" s="1">
        <v>4393.47</v>
      </c>
      <c r="BA228" s="1">
        <v>113.37</v>
      </c>
      <c r="BB228" s="1">
        <v>127.54</v>
      </c>
      <c r="BC228" s="1">
        <v>124.78</v>
      </c>
      <c r="BD228" s="1">
        <v>126.72</v>
      </c>
      <c r="BE228" s="1">
        <v>118.99</v>
      </c>
      <c r="BF228" s="1">
        <v>118.37</v>
      </c>
      <c r="BG228" s="1">
        <v>128.56</v>
      </c>
      <c r="BH228" s="1">
        <v>116.37</v>
      </c>
      <c r="BI228" s="1">
        <v>122.67</v>
      </c>
      <c r="BJ228" s="1">
        <v>129.76</v>
      </c>
      <c r="BK228" s="1">
        <v>111.56</v>
      </c>
      <c r="BL228" s="1">
        <v>113.59</v>
      </c>
      <c r="BN228" s="1">
        <v>112.28</v>
      </c>
    </row>
    <row r="229" spans="1:66" x14ac:dyDescent="0.3">
      <c r="A229" s="2"/>
      <c r="C229" s="14" t="str">
        <f t="shared" si="4"/>
        <v>20255</v>
      </c>
      <c r="D229" s="3">
        <v>45782</v>
      </c>
      <c r="E229" s="21">
        <v>1846.43</v>
      </c>
      <c r="F229" s="21">
        <v>1786.03</v>
      </c>
      <c r="G229" s="21">
        <v>1799.1</v>
      </c>
      <c r="H229" s="21">
        <v>1859.18</v>
      </c>
      <c r="I229" s="21">
        <v>1808.99</v>
      </c>
      <c r="J229" s="21">
        <v>1818.59</v>
      </c>
      <c r="K229" s="21">
        <v>1774.14</v>
      </c>
      <c r="L229" s="21">
        <v>1727.06</v>
      </c>
      <c r="M229" s="21"/>
      <c r="N229" s="21">
        <v>1666.96</v>
      </c>
      <c r="O229" s="21">
        <v>1760.16</v>
      </c>
      <c r="P229" s="21">
        <v>1796.79</v>
      </c>
      <c r="Q229" s="21">
        <v>6612.2</v>
      </c>
      <c r="R229" s="20">
        <v>114.27</v>
      </c>
      <c r="S229" s="20">
        <v>102.87</v>
      </c>
      <c r="T229" s="21">
        <v>119.25</v>
      </c>
      <c r="V229" s="1">
        <v>113.32</v>
      </c>
      <c r="W229" s="1">
        <v>121.86</v>
      </c>
      <c r="X229" s="1">
        <v>118.3</v>
      </c>
      <c r="Y229" s="1">
        <v>113.9</v>
      </c>
      <c r="Z229" s="1">
        <v>114.69</v>
      </c>
      <c r="AA229" s="1">
        <v>117.77</v>
      </c>
      <c r="AB229" s="1">
        <v>118.02</v>
      </c>
      <c r="AE229" s="1">
        <v>127.2</v>
      </c>
      <c r="AF229" s="1">
        <v>120.53</v>
      </c>
      <c r="AG229" s="1">
        <v>109.47</v>
      </c>
      <c r="AN229" s="1">
        <v>4097.0600000000004</v>
      </c>
      <c r="AP229" s="1">
        <v>4360.5</v>
      </c>
      <c r="AQ229" s="1">
        <v>4466.3100000000004</v>
      </c>
      <c r="AR229" s="1">
        <v>3939</v>
      </c>
      <c r="AS229" s="1">
        <v>4298.38</v>
      </c>
      <c r="AT229" s="1">
        <v>4188.1099999999997</v>
      </c>
      <c r="AU229" s="1">
        <v>4191.4799999999996</v>
      </c>
      <c r="AW229" s="1">
        <v>3837.41</v>
      </c>
      <c r="AX229" s="1">
        <v>111.94</v>
      </c>
      <c r="AY229" s="1">
        <v>3997.07</v>
      </c>
      <c r="AZ229" s="1">
        <v>4393.47</v>
      </c>
      <c r="BA229" s="1">
        <v>113.37</v>
      </c>
      <c r="BB229" s="1">
        <v>128.88</v>
      </c>
      <c r="BC229" s="1">
        <v>125.28</v>
      </c>
      <c r="BD229" s="1">
        <v>126.93</v>
      </c>
      <c r="BE229" s="1">
        <v>119.06</v>
      </c>
      <c r="BF229" s="1">
        <v>118.37</v>
      </c>
      <c r="BG229" s="1">
        <v>128.56</v>
      </c>
      <c r="BH229" s="1">
        <v>116.37</v>
      </c>
      <c r="BI229" s="1">
        <v>122.82</v>
      </c>
      <c r="BJ229" s="1">
        <v>129.75</v>
      </c>
      <c r="BK229" s="1">
        <v>111.82</v>
      </c>
      <c r="BL229" s="1">
        <v>113.59</v>
      </c>
      <c r="BN229" s="1">
        <v>112.28</v>
      </c>
    </row>
    <row r="230" spans="1:66" x14ac:dyDescent="0.3">
      <c r="A230" s="2"/>
      <c r="C230" s="14" t="str">
        <f t="shared" si="4"/>
        <v>20255</v>
      </c>
      <c r="D230" s="3">
        <v>45779</v>
      </c>
      <c r="E230" s="21">
        <v>1820.36</v>
      </c>
      <c r="F230" s="21">
        <v>1803.07</v>
      </c>
      <c r="G230" s="21">
        <v>1811.46</v>
      </c>
      <c r="H230" s="21">
        <v>1849.31</v>
      </c>
      <c r="I230" s="21">
        <v>1809.15</v>
      </c>
      <c r="J230" s="21">
        <v>1833.91</v>
      </c>
      <c r="K230" s="21">
        <v>1776.63</v>
      </c>
      <c r="L230" s="21">
        <v>1723.1</v>
      </c>
      <c r="M230" s="21"/>
      <c r="N230" s="21">
        <v>1678.83</v>
      </c>
      <c r="O230" s="21">
        <v>1761.13</v>
      </c>
      <c r="P230" s="21">
        <v>1792.69</v>
      </c>
      <c r="Q230" s="21">
        <v>6624.7</v>
      </c>
      <c r="R230" s="20">
        <v>114.93</v>
      </c>
      <c r="S230" s="20">
        <v>103.86</v>
      </c>
      <c r="T230" s="21">
        <v>118.86</v>
      </c>
      <c r="V230" s="1">
        <v>113.32</v>
      </c>
      <c r="W230" s="1">
        <v>122.46</v>
      </c>
      <c r="X230" s="1">
        <v>120.17</v>
      </c>
      <c r="Y230" s="1">
        <v>113.85</v>
      </c>
      <c r="Z230" s="1">
        <v>115.57</v>
      </c>
      <c r="AA230" s="1">
        <v>117.95</v>
      </c>
      <c r="AB230" s="1">
        <v>120.58</v>
      </c>
      <c r="AE230" s="1">
        <v>127.67</v>
      </c>
      <c r="AF230" s="1">
        <v>122.21</v>
      </c>
      <c r="AG230" s="1">
        <v>109.17</v>
      </c>
      <c r="AN230" s="1">
        <v>4097.0600000000004</v>
      </c>
      <c r="AP230" s="1">
        <v>4395.63</v>
      </c>
      <c r="AQ230" s="1">
        <v>4486.54</v>
      </c>
      <c r="AR230" s="1">
        <v>3979.72</v>
      </c>
      <c r="AS230" s="1">
        <v>4339.8500000000004</v>
      </c>
      <c r="AT230" s="1">
        <v>4219.78</v>
      </c>
      <c r="AU230" s="1">
        <v>4191.4799999999996</v>
      </c>
      <c r="AW230" s="1">
        <v>3801.52</v>
      </c>
      <c r="AX230" s="1">
        <v>111.59</v>
      </c>
      <c r="AY230" s="1">
        <v>3997.07</v>
      </c>
      <c r="AZ230" s="1">
        <v>4403.08</v>
      </c>
      <c r="BA230" s="1">
        <v>113.52</v>
      </c>
      <c r="BB230" s="1">
        <v>127.63</v>
      </c>
      <c r="BC230" s="1">
        <v>126.01</v>
      </c>
      <c r="BD230" s="1">
        <v>127.4</v>
      </c>
      <c r="BE230" s="1">
        <v>120.49</v>
      </c>
      <c r="BF230" s="1">
        <v>119.03</v>
      </c>
      <c r="BG230" s="1">
        <v>129.56</v>
      </c>
      <c r="BH230" s="1">
        <v>116.37</v>
      </c>
      <c r="BI230" s="1">
        <v>123.14</v>
      </c>
      <c r="BJ230" s="1">
        <v>129.69</v>
      </c>
      <c r="BK230" s="1">
        <v>112.58</v>
      </c>
      <c r="BL230" s="1">
        <v>114.05</v>
      </c>
      <c r="BN230" s="1">
        <v>112.53</v>
      </c>
    </row>
    <row r="231" spans="1:66" x14ac:dyDescent="0.3">
      <c r="A231" s="2"/>
      <c r="C231" s="14" t="str">
        <f t="shared" si="4"/>
        <v>20254</v>
      </c>
      <c r="D231" s="3">
        <v>45777</v>
      </c>
      <c r="E231" s="21">
        <v>1822.85</v>
      </c>
      <c r="F231" s="21">
        <v>1786.03</v>
      </c>
      <c r="G231" s="21">
        <v>1811.46</v>
      </c>
      <c r="H231" s="21">
        <v>1839.18</v>
      </c>
      <c r="I231" s="21">
        <v>1809.15</v>
      </c>
      <c r="J231" s="21">
        <v>1833.91</v>
      </c>
      <c r="K231" s="21">
        <v>1760.72</v>
      </c>
      <c r="L231" s="21">
        <v>1738.92</v>
      </c>
      <c r="M231" s="21"/>
      <c r="N231" s="21">
        <v>1684.98</v>
      </c>
      <c r="O231" s="21">
        <v>1778.96</v>
      </c>
      <c r="P231" s="21">
        <v>1782.74</v>
      </c>
      <c r="Q231" s="21">
        <v>6649.42</v>
      </c>
      <c r="R231" s="20">
        <v>114.93</v>
      </c>
      <c r="S231" s="20">
        <v>105.2</v>
      </c>
      <c r="T231" s="21">
        <v>119.28</v>
      </c>
      <c r="V231" s="1">
        <v>113.43</v>
      </c>
      <c r="W231" s="1">
        <v>122.46</v>
      </c>
      <c r="X231" s="1">
        <v>120.17</v>
      </c>
      <c r="Y231" s="1">
        <v>113.55</v>
      </c>
      <c r="Z231" s="1">
        <v>115.57</v>
      </c>
      <c r="AA231" s="1">
        <v>118.25</v>
      </c>
      <c r="AB231" s="1">
        <v>120.91</v>
      </c>
      <c r="AE231" s="1">
        <v>127.64</v>
      </c>
      <c r="AF231" s="1">
        <v>122.9</v>
      </c>
      <c r="AG231" s="1">
        <v>109.34</v>
      </c>
      <c r="AJ231" s="1">
        <v>30</v>
      </c>
      <c r="AN231" s="1">
        <v>4097.0600000000004</v>
      </c>
      <c r="AP231" s="1">
        <v>4430.95</v>
      </c>
      <c r="AQ231" s="1">
        <v>4410.67</v>
      </c>
      <c r="AR231" s="1">
        <v>3952.83</v>
      </c>
      <c r="AS231" s="1">
        <v>4272.6499999999996</v>
      </c>
      <c r="AT231" s="1">
        <v>4219.78</v>
      </c>
      <c r="AU231" s="1">
        <v>4191.4799999999996</v>
      </c>
      <c r="AW231" s="1">
        <v>3800.46</v>
      </c>
      <c r="AX231" s="1">
        <v>111.94</v>
      </c>
      <c r="AY231" s="1">
        <v>3936.58</v>
      </c>
      <c r="AZ231" s="1">
        <v>4403.08</v>
      </c>
      <c r="BA231" s="1">
        <v>113.52</v>
      </c>
      <c r="BB231" s="1">
        <v>127.61</v>
      </c>
      <c r="BC231" s="1">
        <v>125.31</v>
      </c>
      <c r="BD231" s="1">
        <v>126.69</v>
      </c>
      <c r="BE231" s="1">
        <v>121.09</v>
      </c>
      <c r="BF231" s="1">
        <v>119.03</v>
      </c>
      <c r="BG231" s="1">
        <v>129.56</v>
      </c>
      <c r="BH231" s="1">
        <v>116.37</v>
      </c>
      <c r="BI231" s="1">
        <v>123.14</v>
      </c>
      <c r="BJ231" s="1">
        <v>129</v>
      </c>
      <c r="BK231" s="1">
        <v>112.58</v>
      </c>
      <c r="BL231" s="1">
        <v>114.25</v>
      </c>
      <c r="BN231" s="1">
        <v>112.53</v>
      </c>
    </row>
    <row r="232" spans="1:66" x14ac:dyDescent="0.3">
      <c r="A232" s="2"/>
      <c r="C232" s="14" t="str">
        <f t="shared" si="4"/>
        <v>20254</v>
      </c>
      <c r="D232" s="3">
        <v>45776</v>
      </c>
      <c r="E232" s="21">
        <v>1822.85</v>
      </c>
      <c r="F232" s="21">
        <v>1803.07</v>
      </c>
      <c r="G232" s="21">
        <v>1811.46</v>
      </c>
      <c r="H232" s="21">
        <v>1900.25</v>
      </c>
      <c r="I232" s="21">
        <v>1809.15</v>
      </c>
      <c r="J232" s="21">
        <v>1833.2</v>
      </c>
      <c r="K232" s="21">
        <v>1792.54</v>
      </c>
      <c r="L232" s="21">
        <v>1739.91</v>
      </c>
      <c r="M232" s="21">
        <v>1654.39</v>
      </c>
      <c r="N232" s="21">
        <v>1712.08</v>
      </c>
      <c r="O232" s="21">
        <v>1759.48</v>
      </c>
      <c r="P232" s="21">
        <v>1802.63</v>
      </c>
      <c r="Q232" s="21">
        <v>6615.92</v>
      </c>
      <c r="R232" s="20">
        <v>116.26</v>
      </c>
      <c r="S232" s="20">
        <v>104.27</v>
      </c>
      <c r="T232" s="21">
        <v>118.21</v>
      </c>
      <c r="V232" s="1">
        <v>113.88</v>
      </c>
      <c r="W232" s="1">
        <v>122.05</v>
      </c>
      <c r="X232" s="1">
        <v>123.02</v>
      </c>
      <c r="Y232" s="1">
        <v>114.74</v>
      </c>
      <c r="Z232" s="1">
        <v>115.91</v>
      </c>
      <c r="AA232" s="1">
        <v>118.95</v>
      </c>
      <c r="AB232" s="1">
        <v>122.46</v>
      </c>
      <c r="AE232" s="1">
        <v>128.72</v>
      </c>
      <c r="AF232" s="1">
        <v>123.03</v>
      </c>
      <c r="AG232" s="1">
        <v>107.95</v>
      </c>
      <c r="AJ232" s="1">
        <v>30</v>
      </c>
      <c r="AN232" s="1">
        <v>4097.0600000000004</v>
      </c>
      <c r="AP232" s="1">
        <v>4442.76</v>
      </c>
      <c r="AQ232" s="1">
        <v>4410.67</v>
      </c>
      <c r="AR232" s="1">
        <v>3952.83</v>
      </c>
      <c r="AS232" s="1">
        <v>4233.63</v>
      </c>
      <c r="AT232" s="1">
        <v>4259.58</v>
      </c>
      <c r="AU232" s="1">
        <v>4208.34</v>
      </c>
      <c r="AW232" s="1">
        <v>3761.68</v>
      </c>
      <c r="AX232" s="1">
        <v>113.69</v>
      </c>
      <c r="AY232" s="1">
        <v>3871.61</v>
      </c>
      <c r="AZ232" s="1">
        <v>4370.2</v>
      </c>
      <c r="BA232" s="1">
        <v>114.77</v>
      </c>
      <c r="BB232" s="1">
        <v>128.88999999999999</v>
      </c>
      <c r="BC232" s="1">
        <v>126.26</v>
      </c>
      <c r="BD232" s="1">
        <v>129.27000000000001</v>
      </c>
      <c r="BE232" s="1">
        <v>121.49</v>
      </c>
      <c r="BF232" s="1">
        <v>120.69</v>
      </c>
      <c r="BG232" s="1">
        <v>131.15</v>
      </c>
      <c r="BH232" s="1">
        <v>116.54</v>
      </c>
      <c r="BI232" s="1">
        <v>124.64</v>
      </c>
      <c r="BJ232" s="1">
        <v>130.80000000000001</v>
      </c>
      <c r="BK232" s="1">
        <v>112.25</v>
      </c>
      <c r="BL232" s="1">
        <v>115.72</v>
      </c>
      <c r="BN232" s="1">
        <v>112.03</v>
      </c>
    </row>
    <row r="233" spans="1:66" x14ac:dyDescent="0.3">
      <c r="A233" s="2"/>
      <c r="C233" s="14" t="str">
        <f t="shared" si="4"/>
        <v>20254</v>
      </c>
      <c r="D233" s="3">
        <v>45775</v>
      </c>
      <c r="E233" s="21">
        <v>1826.57</v>
      </c>
      <c r="F233" s="21">
        <v>1803.07</v>
      </c>
      <c r="G233" s="21">
        <v>1811.46</v>
      </c>
      <c r="H233" s="21">
        <v>1900.25</v>
      </c>
      <c r="I233" s="21">
        <v>1817.41</v>
      </c>
      <c r="J233" s="21">
        <v>1819.1</v>
      </c>
      <c r="K233" s="21">
        <v>1792.54</v>
      </c>
      <c r="L233" s="21">
        <v>1733.94</v>
      </c>
      <c r="M233" s="21">
        <v>1659.33</v>
      </c>
      <c r="N233" s="21">
        <v>1741.54</v>
      </c>
      <c r="O233" s="21">
        <v>1749.53</v>
      </c>
      <c r="P233" s="21">
        <v>1797.66</v>
      </c>
      <c r="Q233" s="21">
        <v>6632.4</v>
      </c>
      <c r="R233" s="20">
        <v>116.26</v>
      </c>
      <c r="S233" s="20">
        <v>104.53</v>
      </c>
      <c r="T233" s="21">
        <v>119.41</v>
      </c>
      <c r="V233" s="1">
        <v>114.51</v>
      </c>
      <c r="W233" s="1">
        <v>123.16</v>
      </c>
      <c r="X233" s="1">
        <v>122.42</v>
      </c>
      <c r="Y233" s="1">
        <v>116.68</v>
      </c>
      <c r="Z233" s="1">
        <v>117.84</v>
      </c>
      <c r="AA233" s="1">
        <v>118.95</v>
      </c>
      <c r="AB233" s="1">
        <v>122.8</v>
      </c>
      <c r="AE233" s="1">
        <v>129.08000000000001</v>
      </c>
      <c r="AF233" s="1">
        <v>122.5</v>
      </c>
      <c r="AG233" s="1">
        <v>107.86</v>
      </c>
      <c r="AI233" s="1">
        <v>30</v>
      </c>
      <c r="AJ233" s="1">
        <v>30</v>
      </c>
      <c r="AN233" s="1">
        <v>4000</v>
      </c>
      <c r="AP233" s="1">
        <v>4414.2700000000004</v>
      </c>
      <c r="AQ233" s="1">
        <v>4362.6099999999997</v>
      </c>
      <c r="AR233" s="1">
        <v>3856.67</v>
      </c>
      <c r="AS233" s="1">
        <v>4194.01</v>
      </c>
      <c r="AT233" s="1">
        <v>4259.58</v>
      </c>
      <c r="AU233" s="1">
        <v>4208.34</v>
      </c>
      <c r="AW233" s="1">
        <v>3786.64</v>
      </c>
      <c r="AX233" s="1">
        <v>112.67</v>
      </c>
      <c r="AY233" s="1">
        <v>3774.88</v>
      </c>
      <c r="AZ233" s="1">
        <v>4370.2</v>
      </c>
      <c r="BA233" s="1">
        <v>114.72</v>
      </c>
      <c r="BB233" s="1">
        <v>128.63999999999999</v>
      </c>
      <c r="BC233" s="1">
        <v>127.63</v>
      </c>
      <c r="BD233" s="1">
        <v>129.49</v>
      </c>
      <c r="BE233" s="1">
        <v>122.24</v>
      </c>
      <c r="BF233" s="1">
        <v>120.69</v>
      </c>
      <c r="BG233" s="1">
        <v>131.15</v>
      </c>
      <c r="BH233" s="1">
        <v>116.87</v>
      </c>
      <c r="BI233" s="1">
        <v>124.64</v>
      </c>
      <c r="BJ233" s="1">
        <v>130.78</v>
      </c>
      <c r="BK233" s="1">
        <v>112.78</v>
      </c>
      <c r="BL233" s="1">
        <v>118.07</v>
      </c>
      <c r="BN233" s="1">
        <v>112.75</v>
      </c>
    </row>
    <row r="234" spans="1:66" x14ac:dyDescent="0.3">
      <c r="A234" s="2"/>
      <c r="C234" s="14" t="str">
        <f t="shared" si="4"/>
        <v>20254</v>
      </c>
      <c r="D234" s="3">
        <v>45772</v>
      </c>
      <c r="E234" s="21">
        <v>1840.26</v>
      </c>
      <c r="F234" s="21">
        <v>1833.88</v>
      </c>
      <c r="G234" s="21">
        <v>1823.82</v>
      </c>
      <c r="H234" s="21">
        <v>1981.73</v>
      </c>
      <c r="I234" s="21">
        <v>1817.41</v>
      </c>
      <c r="J234" s="21">
        <v>1819.1</v>
      </c>
      <c r="K234" s="21">
        <v>1820.39</v>
      </c>
      <c r="L234" s="21">
        <v>1701.68</v>
      </c>
      <c r="M234" s="21">
        <v>1674.16</v>
      </c>
      <c r="N234" s="21">
        <v>1728.08</v>
      </c>
      <c r="O234" s="21">
        <v>1751.7</v>
      </c>
      <c r="P234" s="21">
        <v>1801.26</v>
      </c>
      <c r="Q234" s="21">
        <v>6698.84</v>
      </c>
      <c r="R234" s="20">
        <v>116.26</v>
      </c>
      <c r="S234" s="20">
        <v>104.53</v>
      </c>
      <c r="T234" s="21">
        <v>121.34</v>
      </c>
      <c r="V234" s="1">
        <v>114.43</v>
      </c>
      <c r="W234" s="1">
        <v>122.96</v>
      </c>
      <c r="X234" s="1">
        <v>122.98</v>
      </c>
      <c r="Y234" s="1">
        <v>117.35</v>
      </c>
      <c r="Z234" s="1">
        <v>118.46</v>
      </c>
      <c r="AA234" s="1">
        <v>118.81</v>
      </c>
      <c r="AB234" s="1">
        <v>123.07</v>
      </c>
      <c r="AE234" s="1">
        <v>129.25</v>
      </c>
      <c r="AF234" s="1">
        <v>122.52</v>
      </c>
      <c r="AG234" s="1">
        <v>109.31</v>
      </c>
      <c r="AI234" s="1">
        <v>30</v>
      </c>
      <c r="AJ234" s="1">
        <v>30</v>
      </c>
      <c r="AN234" s="1">
        <v>4000</v>
      </c>
      <c r="AP234" s="1">
        <v>4442.8900000000003</v>
      </c>
      <c r="AQ234" s="1">
        <v>4362.6099999999997</v>
      </c>
      <c r="AR234" s="1">
        <v>3856.67</v>
      </c>
      <c r="AS234" s="1">
        <v>4194.01</v>
      </c>
      <c r="AT234" s="1">
        <v>4299.3900000000003</v>
      </c>
      <c r="AU234" s="1">
        <v>4208.34</v>
      </c>
      <c r="AW234" s="1">
        <v>3774.61</v>
      </c>
      <c r="AX234" s="1">
        <v>113.69</v>
      </c>
      <c r="AY234" s="1">
        <v>3774.88</v>
      </c>
      <c r="AZ234" s="1">
        <v>4370.2</v>
      </c>
      <c r="BA234" s="1">
        <v>114.72</v>
      </c>
      <c r="BB234" s="1">
        <v>128.97</v>
      </c>
      <c r="BC234" s="1">
        <v>127.62</v>
      </c>
      <c r="BD234" s="1">
        <v>129.38</v>
      </c>
      <c r="BE234" s="1">
        <v>122.12</v>
      </c>
      <c r="BF234" s="1">
        <v>120.69</v>
      </c>
      <c r="BG234" s="1">
        <v>131.34</v>
      </c>
      <c r="BH234" s="1">
        <v>116.87</v>
      </c>
      <c r="BI234" s="1">
        <v>124.64</v>
      </c>
      <c r="BJ234" s="1">
        <v>130.71</v>
      </c>
      <c r="BK234" s="1">
        <v>113.48</v>
      </c>
      <c r="BL234" s="1">
        <v>116.96</v>
      </c>
      <c r="BN234" s="1">
        <v>113.41</v>
      </c>
    </row>
    <row r="235" spans="1:66" x14ac:dyDescent="0.3">
      <c r="A235" s="2"/>
      <c r="C235" s="14" t="str">
        <f t="shared" si="4"/>
        <v>20254</v>
      </c>
      <c r="D235" s="3">
        <v>45771</v>
      </c>
      <c r="E235" s="21">
        <v>1852.39</v>
      </c>
      <c r="F235" s="21">
        <v>1833.88</v>
      </c>
      <c r="G235" s="21">
        <v>1823.82</v>
      </c>
      <c r="H235" s="21">
        <v>1971.32</v>
      </c>
      <c r="I235" s="21">
        <v>1830.59</v>
      </c>
      <c r="J235" s="21">
        <v>1841.05</v>
      </c>
      <c r="K235" s="21">
        <v>1820.39</v>
      </c>
      <c r="L235" s="21">
        <v>1721.45</v>
      </c>
      <c r="M235" s="21">
        <v>1679.08</v>
      </c>
      <c r="N235" s="21">
        <v>1733.5</v>
      </c>
      <c r="O235" s="21">
        <v>1766.1</v>
      </c>
      <c r="P235" s="21">
        <v>1805</v>
      </c>
      <c r="Q235" s="21">
        <v>6698.84</v>
      </c>
      <c r="R235" s="20">
        <v>116.26</v>
      </c>
      <c r="S235" s="20">
        <v>104.2</v>
      </c>
      <c r="T235" s="21">
        <v>121.02</v>
      </c>
      <c r="V235" s="1">
        <v>114.1</v>
      </c>
      <c r="W235" s="1">
        <v>122.5</v>
      </c>
      <c r="X235" s="1">
        <v>123.1</v>
      </c>
      <c r="Y235" s="1">
        <v>117.2</v>
      </c>
      <c r="Z235" s="1">
        <v>118.46</v>
      </c>
      <c r="AA235" s="1">
        <v>118.83</v>
      </c>
      <c r="AB235" s="1">
        <v>123.8</v>
      </c>
      <c r="AE235" s="1">
        <v>129.41</v>
      </c>
      <c r="AF235" s="1">
        <v>122.91</v>
      </c>
      <c r="AG235" s="1">
        <v>109.24</v>
      </c>
      <c r="AI235" s="1">
        <v>30</v>
      </c>
      <c r="AJ235" s="1">
        <v>30</v>
      </c>
      <c r="AN235" s="1">
        <v>4000</v>
      </c>
      <c r="AP235" s="1">
        <v>4474.4399999999996</v>
      </c>
      <c r="AQ235" s="1">
        <v>4362.6099999999997</v>
      </c>
      <c r="AR235" s="1">
        <v>3856.67</v>
      </c>
      <c r="AS235" s="1">
        <v>4194.01</v>
      </c>
      <c r="AT235" s="1">
        <v>4299.3900000000003</v>
      </c>
      <c r="AU235" s="1">
        <v>4208.34</v>
      </c>
      <c r="AW235" s="1">
        <v>3755.64</v>
      </c>
      <c r="AX235" s="1">
        <v>113.26</v>
      </c>
      <c r="AY235" s="1">
        <v>3743.5</v>
      </c>
      <c r="AZ235" s="1">
        <v>4370.2</v>
      </c>
      <c r="BA235" s="1">
        <v>114.28</v>
      </c>
      <c r="BB235" s="1">
        <v>128.65</v>
      </c>
      <c r="BC235" s="1">
        <v>126.61</v>
      </c>
      <c r="BD235" s="1">
        <v>127.28</v>
      </c>
      <c r="BE235" s="1">
        <v>121.39</v>
      </c>
      <c r="BF235" s="1">
        <v>121.52</v>
      </c>
      <c r="BG235" s="1">
        <v>132.13999999999999</v>
      </c>
      <c r="BH235" s="1">
        <v>117.04</v>
      </c>
      <c r="BI235" s="1">
        <v>124.64</v>
      </c>
      <c r="BJ235" s="1">
        <v>130.69999999999999</v>
      </c>
      <c r="BK235" s="1">
        <v>114.58</v>
      </c>
      <c r="BL235" s="1">
        <v>117.25</v>
      </c>
      <c r="BN235" s="1">
        <v>114.53</v>
      </c>
    </row>
    <row r="236" spans="1:66" x14ac:dyDescent="0.3">
      <c r="A236" s="2"/>
      <c r="C236" s="14" t="str">
        <f t="shared" si="4"/>
        <v>20254</v>
      </c>
      <c r="D236" s="3">
        <v>45770</v>
      </c>
      <c r="E236" s="21">
        <v>1870</v>
      </c>
      <c r="F236" s="21">
        <v>1833.88</v>
      </c>
      <c r="G236" s="21">
        <v>1836.17</v>
      </c>
      <c r="H236" s="21">
        <v>2003.18</v>
      </c>
      <c r="I236" s="21">
        <v>1830.59</v>
      </c>
      <c r="J236" s="21">
        <v>1841.05</v>
      </c>
      <c r="K236" s="21">
        <v>1820.39</v>
      </c>
      <c r="L236" s="21">
        <v>1721.8</v>
      </c>
      <c r="M236" s="21">
        <v>1679.08</v>
      </c>
      <c r="N236" s="21">
        <v>1767.25</v>
      </c>
      <c r="O236" s="21">
        <v>1767.92</v>
      </c>
      <c r="P236" s="21">
        <v>1801.26</v>
      </c>
      <c r="Q236" s="21">
        <v>6723.56</v>
      </c>
      <c r="R236" s="20">
        <v>116.26</v>
      </c>
      <c r="S236" s="20">
        <v>108.06</v>
      </c>
      <c r="T236" s="21">
        <v>120.75</v>
      </c>
      <c r="V236" s="1">
        <v>114.44</v>
      </c>
      <c r="W236" s="1">
        <v>122.93</v>
      </c>
      <c r="X236" s="1">
        <v>124.1</v>
      </c>
      <c r="Y236" s="1">
        <v>118.79</v>
      </c>
      <c r="Z236" s="1">
        <v>118.49</v>
      </c>
      <c r="AA236" s="1">
        <v>119.28</v>
      </c>
      <c r="AB236" s="1">
        <v>124.68</v>
      </c>
      <c r="AE236" s="1">
        <v>129.75</v>
      </c>
      <c r="AF236" s="1">
        <v>122.9</v>
      </c>
      <c r="AG236" s="1">
        <v>110.87</v>
      </c>
      <c r="AI236" s="1">
        <v>30</v>
      </c>
      <c r="AL236" s="1">
        <v>30</v>
      </c>
      <c r="AN236" s="1">
        <v>4000</v>
      </c>
      <c r="AP236" s="1">
        <v>4576.67</v>
      </c>
      <c r="AS236" s="1">
        <v>4165.3500000000004</v>
      </c>
      <c r="AT236" s="1">
        <v>4299.3900000000003</v>
      </c>
      <c r="AU236" s="1">
        <v>4208.34</v>
      </c>
      <c r="AX236" s="1">
        <v>113.91</v>
      </c>
      <c r="AY236" s="1">
        <v>3743.5</v>
      </c>
      <c r="AZ236" s="1">
        <v>4396.7</v>
      </c>
      <c r="BA236" s="1">
        <v>114.23</v>
      </c>
      <c r="BB236" s="1">
        <v>129.38999999999999</v>
      </c>
      <c r="BC236" s="1">
        <v>126.68</v>
      </c>
      <c r="BD236" s="1">
        <v>128.91</v>
      </c>
      <c r="BE236" s="1">
        <v>122.11</v>
      </c>
      <c r="BF236" s="1">
        <v>121.52</v>
      </c>
      <c r="BG236" s="1">
        <v>132.13999999999999</v>
      </c>
      <c r="BH236" s="1">
        <v>118.04</v>
      </c>
      <c r="BI236" s="1">
        <v>124.39</v>
      </c>
      <c r="BJ236" s="1">
        <v>130.47999999999999</v>
      </c>
      <c r="BK236" s="1">
        <v>115.24</v>
      </c>
      <c r="BL236" s="1">
        <v>118.05</v>
      </c>
      <c r="BN236" s="1">
        <v>115.02</v>
      </c>
    </row>
    <row r="237" spans="1:66" x14ac:dyDescent="0.3">
      <c r="A237" s="2"/>
      <c r="C237" s="14" t="str">
        <f t="shared" si="4"/>
        <v>20254</v>
      </c>
      <c r="D237" s="3">
        <v>45769</v>
      </c>
      <c r="E237" s="21">
        <v>1899.79</v>
      </c>
      <c r="F237" s="21">
        <v>1862.71</v>
      </c>
      <c r="G237" s="21">
        <v>1848.53</v>
      </c>
      <c r="H237" s="21">
        <v>1961.8</v>
      </c>
      <c r="I237" s="21">
        <v>1837.22</v>
      </c>
      <c r="J237" s="21">
        <v>1858.28</v>
      </c>
      <c r="K237" s="21">
        <v>1820.39</v>
      </c>
      <c r="L237" s="21">
        <v>1750.68</v>
      </c>
      <c r="M237" s="21">
        <v>1688.98</v>
      </c>
      <c r="N237" s="21">
        <v>1744.21</v>
      </c>
      <c r="O237" s="21">
        <v>1797.18</v>
      </c>
      <c r="P237" s="21">
        <v>1807.82</v>
      </c>
      <c r="Q237" s="21">
        <v>6640.64</v>
      </c>
      <c r="R237" s="20">
        <v>116.93</v>
      </c>
      <c r="S237" s="20">
        <v>108.01</v>
      </c>
      <c r="T237" s="21">
        <v>121.3</v>
      </c>
      <c r="V237" s="1">
        <v>114.63</v>
      </c>
      <c r="W237" s="1">
        <v>124.16</v>
      </c>
      <c r="X237" s="1">
        <v>126.37</v>
      </c>
      <c r="Y237" s="1">
        <v>119.68</v>
      </c>
      <c r="Z237" s="1">
        <v>120.39</v>
      </c>
      <c r="AA237" s="1">
        <v>119.32</v>
      </c>
      <c r="AB237" s="1">
        <v>124.66</v>
      </c>
      <c r="AE237" s="1">
        <v>130.77000000000001</v>
      </c>
      <c r="AF237" s="1">
        <v>122.89</v>
      </c>
      <c r="AG237" s="1">
        <v>111.36</v>
      </c>
      <c r="AI237" s="1">
        <v>30</v>
      </c>
      <c r="AL237" s="1">
        <v>30</v>
      </c>
      <c r="AN237" s="1">
        <v>4000</v>
      </c>
      <c r="AP237" s="1">
        <v>4716.63</v>
      </c>
      <c r="AS237" s="1">
        <v>4314.5600000000004</v>
      </c>
      <c r="AU237" s="1">
        <v>4076.83</v>
      </c>
      <c r="AV237" s="1">
        <v>30</v>
      </c>
      <c r="AW237" s="1">
        <v>4284</v>
      </c>
      <c r="AX237" s="1">
        <v>112.85</v>
      </c>
      <c r="AY237" s="1">
        <v>3763.23</v>
      </c>
      <c r="AZ237" s="1">
        <v>4402</v>
      </c>
      <c r="BA237" s="1">
        <v>117.43</v>
      </c>
      <c r="BB237" s="1">
        <v>130.6</v>
      </c>
      <c r="BC237" s="1">
        <v>127.53</v>
      </c>
      <c r="BD237" s="1">
        <v>129.01</v>
      </c>
      <c r="BE237" s="1">
        <v>122.34</v>
      </c>
      <c r="BF237" s="1">
        <v>121.52</v>
      </c>
      <c r="BG237" s="1">
        <v>132.56</v>
      </c>
      <c r="BH237" s="1">
        <v>118.04</v>
      </c>
      <c r="BI237" s="1">
        <v>124.39</v>
      </c>
      <c r="BJ237" s="1">
        <v>130.51</v>
      </c>
      <c r="BK237" s="1">
        <v>116.68</v>
      </c>
      <c r="BL237" s="1">
        <v>118.05</v>
      </c>
      <c r="BN237" s="1">
        <v>116.22</v>
      </c>
    </row>
    <row r="238" spans="1:66" x14ac:dyDescent="0.3">
      <c r="A238" s="2"/>
      <c r="C238" s="14" t="str">
        <f t="shared" si="4"/>
        <v>20254</v>
      </c>
      <c r="D238" s="3">
        <v>45764</v>
      </c>
      <c r="E238" s="21">
        <v>1902.27</v>
      </c>
      <c r="F238" s="21">
        <v>1856.3</v>
      </c>
      <c r="G238" s="21">
        <v>1848.53</v>
      </c>
      <c r="H238" s="21">
        <v>1955.09</v>
      </c>
      <c r="I238" s="21">
        <v>1837.22</v>
      </c>
      <c r="J238" s="21">
        <v>1863.14</v>
      </c>
      <c r="K238" s="21">
        <v>1820.39</v>
      </c>
      <c r="L238" s="21">
        <v>1750.68</v>
      </c>
      <c r="M238" s="21">
        <v>1723.25</v>
      </c>
      <c r="N238" s="21">
        <v>1737.28</v>
      </c>
      <c r="O238" s="21">
        <v>1816.15</v>
      </c>
      <c r="P238" s="21">
        <v>1816.18</v>
      </c>
      <c r="Q238" s="21">
        <v>6624</v>
      </c>
      <c r="R238" s="20">
        <v>116.93</v>
      </c>
      <c r="S238" s="20">
        <v>107.76</v>
      </c>
      <c r="T238" s="21">
        <v>121.25</v>
      </c>
      <c r="V238" s="1">
        <v>115.39</v>
      </c>
      <c r="W238" s="1">
        <v>125.61</v>
      </c>
      <c r="X238" s="1">
        <v>126.78</v>
      </c>
      <c r="Y238" s="1">
        <v>120.29</v>
      </c>
      <c r="Z238" s="1">
        <v>121.96</v>
      </c>
      <c r="AA238" s="1">
        <v>119.76</v>
      </c>
      <c r="AB238" s="1">
        <v>126.45</v>
      </c>
      <c r="AE238" s="1">
        <v>131.81</v>
      </c>
      <c r="AF238" s="1">
        <v>122.42</v>
      </c>
      <c r="AG238" s="1">
        <v>111.71</v>
      </c>
      <c r="AL238" s="1">
        <v>30</v>
      </c>
      <c r="AN238" s="1">
        <v>4097.0600000000004</v>
      </c>
      <c r="AP238" s="1">
        <v>4930</v>
      </c>
      <c r="AQ238" s="1">
        <v>4370.2</v>
      </c>
      <c r="AR238" s="1">
        <v>3945.32</v>
      </c>
      <c r="AS238" s="1">
        <v>4319.62</v>
      </c>
      <c r="AT238" s="1">
        <v>3945.32</v>
      </c>
      <c r="AU238" s="1">
        <v>3969.17</v>
      </c>
      <c r="AV238" s="1">
        <v>30</v>
      </c>
      <c r="AW238" s="1">
        <v>4284</v>
      </c>
      <c r="AX238" s="1">
        <v>112.85</v>
      </c>
      <c r="AY238" s="1">
        <v>3805.72</v>
      </c>
      <c r="AZ238" s="1">
        <v>4402</v>
      </c>
      <c r="BA238" s="1">
        <v>119.51</v>
      </c>
      <c r="BB238" s="1">
        <v>132.43</v>
      </c>
      <c r="BC238" s="1">
        <v>129.4</v>
      </c>
      <c r="BD238" s="1">
        <v>130.63</v>
      </c>
      <c r="BE238" s="1">
        <v>121.61</v>
      </c>
      <c r="BF238" s="1">
        <v>119.76</v>
      </c>
      <c r="BG238" s="1">
        <v>133.93</v>
      </c>
      <c r="BH238" s="1">
        <v>117.39</v>
      </c>
      <c r="BI238" s="1">
        <v>126.38</v>
      </c>
      <c r="BJ238" s="1">
        <v>131.78</v>
      </c>
      <c r="BK238" s="1">
        <v>118.01</v>
      </c>
      <c r="BL238" s="1">
        <v>119.44</v>
      </c>
      <c r="BN238" s="1">
        <v>118.47</v>
      </c>
    </row>
    <row r="239" spans="1:66" x14ac:dyDescent="0.3">
      <c r="A239" s="2"/>
      <c r="C239" s="14" t="str">
        <f t="shared" si="4"/>
        <v>20254</v>
      </c>
      <c r="D239" s="3">
        <v>45763</v>
      </c>
      <c r="E239" s="21">
        <v>1899.79</v>
      </c>
      <c r="F239" s="21">
        <v>1862.71</v>
      </c>
      <c r="G239" s="21">
        <v>1878.66</v>
      </c>
      <c r="H239" s="21">
        <v>1947.46</v>
      </c>
      <c r="I239" s="21">
        <v>1837.22</v>
      </c>
      <c r="J239" s="21">
        <v>1871.88</v>
      </c>
      <c r="K239" s="21">
        <v>1816.41</v>
      </c>
      <c r="L239" s="21">
        <v>1749.54</v>
      </c>
      <c r="M239" s="21">
        <v>1712.79</v>
      </c>
      <c r="N239" s="21">
        <v>1768.43</v>
      </c>
      <c r="O239" s="21">
        <v>1815.65</v>
      </c>
      <c r="P239" s="21">
        <v>1818.67</v>
      </c>
      <c r="Q239" s="21">
        <v>6721.46</v>
      </c>
      <c r="R239" s="20">
        <v>117.59</v>
      </c>
      <c r="S239" s="20">
        <v>109.68</v>
      </c>
      <c r="T239" s="21">
        <v>122.37</v>
      </c>
      <c r="V239" s="1">
        <v>115.39</v>
      </c>
      <c r="W239" s="1">
        <v>124.61</v>
      </c>
      <c r="X239" s="1">
        <v>126.78</v>
      </c>
      <c r="Y239" s="1">
        <v>120.51</v>
      </c>
      <c r="Z239" s="1">
        <v>121.14</v>
      </c>
      <c r="AA239" s="1">
        <v>119.97</v>
      </c>
      <c r="AB239" s="1">
        <v>126.45</v>
      </c>
      <c r="AE239" s="1">
        <v>132.02000000000001</v>
      </c>
      <c r="AF239" s="1">
        <v>121.68</v>
      </c>
      <c r="AG239" s="1">
        <v>111.71</v>
      </c>
      <c r="AN239" s="1">
        <v>4097.0600000000004</v>
      </c>
      <c r="AQ239" s="1">
        <v>4370.2</v>
      </c>
      <c r="AR239" s="1">
        <v>3945.32</v>
      </c>
      <c r="AS239" s="1">
        <v>4289.6099999999997</v>
      </c>
      <c r="AT239" s="1">
        <v>3945.32</v>
      </c>
      <c r="AU239" s="1">
        <v>3969.17</v>
      </c>
      <c r="AV239" s="1">
        <v>30</v>
      </c>
      <c r="AW239" s="1">
        <v>4284</v>
      </c>
      <c r="AX239" s="1">
        <v>112.85</v>
      </c>
      <c r="AY239" s="1">
        <v>3805.72</v>
      </c>
      <c r="AZ239" s="1">
        <v>4339.8500000000004</v>
      </c>
      <c r="BA239" s="1">
        <v>117.22</v>
      </c>
      <c r="BB239" s="1">
        <v>132.22</v>
      </c>
      <c r="BC239" s="1">
        <v>130.30000000000001</v>
      </c>
      <c r="BD239" s="1">
        <v>130.55000000000001</v>
      </c>
      <c r="BE239" s="1">
        <v>122.01</v>
      </c>
      <c r="BF239" s="1">
        <v>120.63</v>
      </c>
      <c r="BG239" s="1">
        <v>133.93</v>
      </c>
      <c r="BH239" s="1">
        <v>117.56</v>
      </c>
      <c r="BI239" s="1">
        <v>126.38</v>
      </c>
      <c r="BJ239" s="1">
        <v>131.76</v>
      </c>
      <c r="BK239" s="1">
        <v>117.68</v>
      </c>
      <c r="BL239" s="1">
        <v>119.25</v>
      </c>
      <c r="BN239" s="1">
        <v>117.97</v>
      </c>
    </row>
    <row r="240" spans="1:66" x14ac:dyDescent="0.3">
      <c r="A240" s="2"/>
      <c r="C240" s="14" t="str">
        <f t="shared" si="4"/>
        <v>20254</v>
      </c>
      <c r="D240" s="3">
        <v>45762</v>
      </c>
      <c r="E240" s="21">
        <v>1887.38</v>
      </c>
      <c r="F240" s="21">
        <v>1862.71</v>
      </c>
      <c r="G240" s="21">
        <v>1848.53</v>
      </c>
      <c r="H240" s="21">
        <v>1930.84</v>
      </c>
      <c r="I240" s="21">
        <v>1846.55</v>
      </c>
      <c r="J240" s="21">
        <v>1874.74</v>
      </c>
      <c r="K240" s="21">
        <v>1800.64</v>
      </c>
      <c r="L240" s="21">
        <v>1814.81</v>
      </c>
      <c r="M240" s="21">
        <v>1752.26</v>
      </c>
      <c r="N240" s="21">
        <v>1758.22</v>
      </c>
      <c r="O240" s="21">
        <v>1837.55</v>
      </c>
      <c r="P240" s="21">
        <v>1811.54</v>
      </c>
      <c r="Q240" s="21">
        <v>6798.27</v>
      </c>
      <c r="R240" s="20">
        <v>116.93</v>
      </c>
      <c r="S240" s="20">
        <v>108.02</v>
      </c>
      <c r="T240" s="21">
        <v>123.77</v>
      </c>
      <c r="V240" s="1">
        <v>114.89</v>
      </c>
      <c r="W240" s="1">
        <v>124.17</v>
      </c>
      <c r="X240" s="1">
        <v>126.54</v>
      </c>
      <c r="Y240" s="1">
        <v>119.95</v>
      </c>
      <c r="Z240" s="1">
        <v>120.59</v>
      </c>
      <c r="AA240" s="1">
        <v>120.02</v>
      </c>
      <c r="AB240" s="1">
        <v>126.68</v>
      </c>
      <c r="AE240" s="1">
        <v>131.51</v>
      </c>
      <c r="AF240" s="1">
        <v>123.04</v>
      </c>
      <c r="AG240" s="1">
        <v>112.22</v>
      </c>
      <c r="AN240" s="1">
        <v>4046.48</v>
      </c>
      <c r="AP240" s="1">
        <v>4420</v>
      </c>
      <c r="AQ240" s="1">
        <v>4370.2</v>
      </c>
      <c r="AR240" s="1">
        <v>3945.32</v>
      </c>
      <c r="AS240" s="1">
        <v>4286.82</v>
      </c>
      <c r="AT240" s="1">
        <v>3945.32</v>
      </c>
      <c r="AU240" s="1">
        <v>3912.44</v>
      </c>
      <c r="AW240" s="1">
        <v>4339.8500000000004</v>
      </c>
      <c r="AX240" s="1">
        <v>112.52</v>
      </c>
      <c r="AY240" s="1">
        <v>3771.9</v>
      </c>
      <c r="AZ240" s="1">
        <v>4339.8500000000004</v>
      </c>
      <c r="BA240" s="1">
        <v>116.51</v>
      </c>
      <c r="BB240" s="1">
        <v>132.49</v>
      </c>
      <c r="BC240" s="1">
        <v>129.03</v>
      </c>
      <c r="BD240" s="1">
        <v>129.6</v>
      </c>
      <c r="BE240" s="1">
        <v>122.31</v>
      </c>
      <c r="BF240" s="1">
        <v>121.02</v>
      </c>
      <c r="BG240" s="1">
        <v>132.41</v>
      </c>
      <c r="BH240" s="1">
        <v>117.56</v>
      </c>
      <c r="BI240" s="1">
        <v>126.38</v>
      </c>
      <c r="BJ240" s="1">
        <v>131.74</v>
      </c>
      <c r="BK240" s="1">
        <v>117.68</v>
      </c>
      <c r="BL240" s="1">
        <v>119.05</v>
      </c>
      <c r="BN240" s="1">
        <v>117.97</v>
      </c>
    </row>
    <row r="241" spans="1:66" x14ac:dyDescent="0.3">
      <c r="A241" s="2"/>
      <c r="C241" s="14" t="str">
        <f t="shared" si="4"/>
        <v>20254</v>
      </c>
      <c r="D241" s="3">
        <v>45761</v>
      </c>
      <c r="E241" s="21">
        <v>1902.27</v>
      </c>
      <c r="F241" s="21">
        <v>1844.82</v>
      </c>
      <c r="G241" s="21">
        <v>1836.17</v>
      </c>
      <c r="H241" s="21">
        <v>1993.6</v>
      </c>
      <c r="I241" s="21">
        <v>1833.94</v>
      </c>
      <c r="J241" s="21">
        <v>1882.04</v>
      </c>
      <c r="K241" s="21">
        <v>1832.32</v>
      </c>
      <c r="L241" s="21">
        <v>1957.19</v>
      </c>
      <c r="M241" s="21">
        <v>1764.23</v>
      </c>
      <c r="N241" s="21">
        <v>1779.62</v>
      </c>
      <c r="O241" s="21">
        <v>1829.3</v>
      </c>
      <c r="P241" s="21">
        <v>1826.13</v>
      </c>
      <c r="Q241" s="21">
        <v>6772.82</v>
      </c>
      <c r="R241" s="20">
        <v>118.26</v>
      </c>
      <c r="S241" s="20">
        <v>108.02</v>
      </c>
      <c r="T241" s="21">
        <v>121.54</v>
      </c>
      <c r="V241" s="1">
        <v>114.69</v>
      </c>
      <c r="W241" s="1">
        <v>121.24</v>
      </c>
      <c r="X241" s="1">
        <v>126.78</v>
      </c>
      <c r="Y241" s="1">
        <v>120.32</v>
      </c>
      <c r="Z241" s="1">
        <v>117.9</v>
      </c>
      <c r="AA241" s="1">
        <v>120.8</v>
      </c>
      <c r="AB241" s="1">
        <v>126.45</v>
      </c>
      <c r="AE241" s="1">
        <v>131.68</v>
      </c>
      <c r="AF241" s="1">
        <v>121.11</v>
      </c>
      <c r="AG241" s="1">
        <v>112.5</v>
      </c>
      <c r="AN241" s="1">
        <v>3945.32</v>
      </c>
      <c r="AO241" s="1">
        <v>30</v>
      </c>
      <c r="AP241" s="1">
        <v>4420</v>
      </c>
      <c r="AQ241" s="1">
        <v>4416.8500000000004</v>
      </c>
      <c r="AR241" s="1">
        <v>3875.95</v>
      </c>
      <c r="AS241" s="1">
        <v>4286.82</v>
      </c>
      <c r="AT241" s="1">
        <v>3900</v>
      </c>
      <c r="AU241" s="1">
        <v>3947.85</v>
      </c>
      <c r="AW241" s="1">
        <v>4339.8500000000004</v>
      </c>
      <c r="AX241" s="1">
        <v>111.14</v>
      </c>
      <c r="AY241" s="1">
        <v>3805.72</v>
      </c>
      <c r="AZ241" s="1">
        <v>4339.8500000000004</v>
      </c>
      <c r="BA241" s="1">
        <v>118.43</v>
      </c>
      <c r="BB241" s="1">
        <v>133.36000000000001</v>
      </c>
      <c r="BC241" s="1">
        <v>128.57</v>
      </c>
      <c r="BD241" s="1">
        <v>131.38</v>
      </c>
      <c r="BE241" s="1">
        <v>122</v>
      </c>
      <c r="BF241" s="1">
        <v>121.52</v>
      </c>
      <c r="BG241" s="1">
        <v>132.41</v>
      </c>
      <c r="BH241" s="1">
        <v>117.27</v>
      </c>
      <c r="BI241" s="1">
        <v>126.63</v>
      </c>
      <c r="BJ241" s="1">
        <v>131.35</v>
      </c>
      <c r="BK241" s="1">
        <v>117.34</v>
      </c>
      <c r="BL241" s="1">
        <v>119.24</v>
      </c>
      <c r="BN241" s="1">
        <v>118.47</v>
      </c>
    </row>
    <row r="242" spans="1:66" x14ac:dyDescent="0.3">
      <c r="A242" s="2"/>
      <c r="C242" s="14" t="str">
        <f t="shared" si="4"/>
        <v>20254</v>
      </c>
      <c r="D242" s="3">
        <v>45758</v>
      </c>
      <c r="E242" s="21">
        <v>1897.31</v>
      </c>
      <c r="F242" s="21">
        <v>1844.96</v>
      </c>
      <c r="G242" s="21">
        <v>1836.17</v>
      </c>
      <c r="H242" s="21">
        <v>1905.94</v>
      </c>
      <c r="I242" s="21">
        <v>1814.17</v>
      </c>
      <c r="J242" s="21">
        <v>1882.04</v>
      </c>
      <c r="K242" s="21">
        <v>1824.36</v>
      </c>
      <c r="L242" s="21">
        <v>1921.48</v>
      </c>
      <c r="M242" s="21">
        <v>1766.7</v>
      </c>
      <c r="N242" s="21">
        <v>1784.15</v>
      </c>
      <c r="O242" s="21">
        <v>1830.28</v>
      </c>
      <c r="P242" s="21">
        <v>1831.1</v>
      </c>
      <c r="Q242" s="21">
        <v>6789.3</v>
      </c>
      <c r="R242" s="20">
        <v>118.26</v>
      </c>
      <c r="S242" s="20">
        <v>106.78</v>
      </c>
      <c r="T242" s="21">
        <v>120.28</v>
      </c>
      <c r="V242" s="1">
        <v>114.96</v>
      </c>
      <c r="W242" s="1">
        <v>124.59</v>
      </c>
      <c r="X242" s="1">
        <v>126.78</v>
      </c>
      <c r="Y242" s="1">
        <v>120.51</v>
      </c>
      <c r="Z242" s="1">
        <v>121.61</v>
      </c>
      <c r="AA242" s="1">
        <v>120.85</v>
      </c>
      <c r="AB242" s="1">
        <v>126.69</v>
      </c>
      <c r="AE242" s="1">
        <v>131.88999999999999</v>
      </c>
      <c r="AF242" s="1">
        <v>119.63</v>
      </c>
      <c r="AG242" s="1">
        <v>111.46</v>
      </c>
      <c r="AN242" s="1">
        <v>3945.32</v>
      </c>
      <c r="AO242" s="1">
        <v>30</v>
      </c>
      <c r="AP242" s="1">
        <v>4420</v>
      </c>
      <c r="AQ242" s="1">
        <v>4416.8500000000004</v>
      </c>
      <c r="AR242" s="1">
        <v>3823.93</v>
      </c>
      <c r="AS242" s="1">
        <v>4265.6000000000004</v>
      </c>
      <c r="AT242" s="1">
        <v>3900</v>
      </c>
      <c r="AU242" s="1">
        <v>3913.08</v>
      </c>
      <c r="AW242" s="1">
        <v>4339.8500000000004</v>
      </c>
      <c r="AX242" s="1">
        <v>112.64</v>
      </c>
      <c r="AY242" s="1">
        <v>3816.85</v>
      </c>
      <c r="AZ242" s="1">
        <v>4339.8500000000004</v>
      </c>
      <c r="BA242" s="1">
        <v>118.43</v>
      </c>
      <c r="BB242" s="1">
        <v>133.05000000000001</v>
      </c>
      <c r="BC242" s="1">
        <v>129.22</v>
      </c>
      <c r="BD242" s="1">
        <v>130.09</v>
      </c>
      <c r="BE242" s="1">
        <v>121.57</v>
      </c>
      <c r="BF242" s="1">
        <v>121.52</v>
      </c>
      <c r="BG242" s="1">
        <v>132.41</v>
      </c>
      <c r="BH242" s="1">
        <v>116.6</v>
      </c>
      <c r="BI242" s="1">
        <v>126.53</v>
      </c>
      <c r="BJ242" s="1">
        <v>131.29</v>
      </c>
      <c r="BK242" s="1">
        <v>117.34</v>
      </c>
      <c r="BL242" s="1">
        <v>119.68</v>
      </c>
      <c r="BN242" s="1">
        <v>118.47</v>
      </c>
    </row>
    <row r="243" spans="1:66" x14ac:dyDescent="0.3">
      <c r="A243" s="2"/>
      <c r="C243" s="14" t="str">
        <f t="shared" si="4"/>
        <v>20254</v>
      </c>
      <c r="D243" s="3">
        <v>45757</v>
      </c>
      <c r="E243" s="21">
        <v>1907.24</v>
      </c>
      <c r="F243" s="21">
        <v>1786.03</v>
      </c>
      <c r="G243" s="21">
        <v>1811.46</v>
      </c>
      <c r="H243" s="21">
        <v>1951.16</v>
      </c>
      <c r="I243" s="21">
        <v>1805.88</v>
      </c>
      <c r="J243" s="21">
        <v>1882.04</v>
      </c>
      <c r="K243" s="21">
        <v>1836.3</v>
      </c>
      <c r="L243" s="21">
        <v>1830.1</v>
      </c>
      <c r="M243" s="21">
        <v>1763.28</v>
      </c>
      <c r="N243" s="21">
        <v>1778.63</v>
      </c>
      <c r="O243" s="21">
        <v>1838.29</v>
      </c>
      <c r="P243" s="21">
        <v>1841.2</v>
      </c>
      <c r="Q243" s="21">
        <v>6723.39</v>
      </c>
      <c r="R243" s="20">
        <v>118.92</v>
      </c>
      <c r="S243" s="20">
        <v>106.45</v>
      </c>
      <c r="T243" s="21">
        <v>118.05</v>
      </c>
      <c r="V243" s="1">
        <v>114.83</v>
      </c>
      <c r="W243" s="1">
        <v>121.6</v>
      </c>
      <c r="X243" s="1">
        <v>126.1</v>
      </c>
      <c r="Y243" s="1">
        <v>119.69</v>
      </c>
      <c r="Z243" s="1">
        <v>121.67</v>
      </c>
      <c r="AA243" s="1">
        <v>120.35</v>
      </c>
      <c r="AB243" s="1">
        <v>126.34</v>
      </c>
      <c r="AE243" s="1">
        <v>131.19999999999999</v>
      </c>
      <c r="AF243" s="1">
        <v>119.61</v>
      </c>
      <c r="AG243" s="1">
        <v>111.24</v>
      </c>
      <c r="AN243" s="1">
        <v>3945.32</v>
      </c>
      <c r="AO243" s="1">
        <v>30</v>
      </c>
      <c r="AP243" s="1">
        <v>4420</v>
      </c>
      <c r="AQ243" s="1">
        <v>4416.8500000000004</v>
      </c>
      <c r="AR243" s="1">
        <v>3823.93</v>
      </c>
      <c r="AS243" s="1">
        <v>4265.6000000000004</v>
      </c>
      <c r="AT243" s="1">
        <v>3900</v>
      </c>
      <c r="AU243" s="1">
        <v>3913.08</v>
      </c>
      <c r="AW243" s="1">
        <v>4250.83</v>
      </c>
      <c r="AX243" s="1">
        <v>112.64</v>
      </c>
      <c r="AY243" s="1">
        <v>3816.85</v>
      </c>
      <c r="AZ243" s="1">
        <v>4339.8500000000004</v>
      </c>
      <c r="BA243" s="1">
        <v>119.07</v>
      </c>
      <c r="BB243" s="1">
        <v>132.19</v>
      </c>
      <c r="BC243" s="1">
        <v>127</v>
      </c>
      <c r="BD243" s="1">
        <v>129.22999999999999</v>
      </c>
      <c r="BE243" s="1">
        <v>121.96</v>
      </c>
      <c r="BF243" s="1">
        <v>122.02</v>
      </c>
      <c r="BG243" s="1">
        <v>132.81</v>
      </c>
      <c r="BH243" s="1">
        <v>116.6</v>
      </c>
      <c r="BI243" s="1">
        <v>126.15</v>
      </c>
      <c r="BJ243" s="1">
        <v>131.80000000000001</v>
      </c>
      <c r="BK243" s="1">
        <v>117.34</v>
      </c>
      <c r="BL243" s="1">
        <v>118.84</v>
      </c>
      <c r="BN243" s="1">
        <v>118.47</v>
      </c>
    </row>
    <row r="244" spans="1:66" x14ac:dyDescent="0.3">
      <c r="A244" s="2"/>
      <c r="C244" s="14" t="str">
        <f t="shared" si="4"/>
        <v>20254</v>
      </c>
      <c r="D244" s="3">
        <v>45756</v>
      </c>
      <c r="E244" s="21">
        <v>1897.31</v>
      </c>
      <c r="F244" s="21">
        <v>1786.03</v>
      </c>
      <c r="G244" s="21">
        <v>1811.46</v>
      </c>
      <c r="H244" s="21">
        <v>1949.64</v>
      </c>
      <c r="I244" s="21">
        <v>1822.46</v>
      </c>
      <c r="J244" s="21">
        <v>1891.92</v>
      </c>
      <c r="K244" s="21">
        <v>1850.91</v>
      </c>
      <c r="L244" s="21">
        <v>1783.81</v>
      </c>
      <c r="M244" s="21">
        <v>1723.14</v>
      </c>
      <c r="N244" s="21">
        <v>1738.78</v>
      </c>
      <c r="O244" s="21">
        <v>1858.39</v>
      </c>
      <c r="P244" s="21">
        <v>1853.25</v>
      </c>
      <c r="Q244" s="21">
        <v>6723.39</v>
      </c>
      <c r="R244" s="20">
        <v>116.93</v>
      </c>
      <c r="S244" s="20">
        <v>106.38</v>
      </c>
      <c r="T244" s="21">
        <v>117.88</v>
      </c>
      <c r="V244" s="1">
        <v>114.05</v>
      </c>
      <c r="W244" s="1">
        <v>121.39</v>
      </c>
      <c r="X244" s="1">
        <v>125.88</v>
      </c>
      <c r="Y244" s="1">
        <v>120.69</v>
      </c>
      <c r="Z244" s="1">
        <v>121.67</v>
      </c>
      <c r="AA244" s="1">
        <v>118.19</v>
      </c>
      <c r="AB244" s="1">
        <v>126.3</v>
      </c>
      <c r="AE244" s="1">
        <v>131.28</v>
      </c>
      <c r="AF244" s="1">
        <v>120.42</v>
      </c>
      <c r="AG244" s="1">
        <v>110.25</v>
      </c>
      <c r="AL244" s="1">
        <v>30</v>
      </c>
      <c r="AN244" s="1">
        <v>3945.32</v>
      </c>
      <c r="AO244" s="1">
        <v>30</v>
      </c>
      <c r="AP244" s="1">
        <v>4392.5</v>
      </c>
      <c r="AQ244" s="1">
        <v>4416.8500000000004</v>
      </c>
      <c r="AR244" s="1">
        <v>3823.93</v>
      </c>
      <c r="AT244" s="1">
        <v>3900</v>
      </c>
      <c r="AU244" s="1">
        <v>3913.08</v>
      </c>
      <c r="AW244" s="1">
        <v>4250.83</v>
      </c>
      <c r="AX244" s="1">
        <v>112.64</v>
      </c>
      <c r="AY244" s="1">
        <v>3816.85</v>
      </c>
      <c r="AZ244" s="1">
        <v>4290</v>
      </c>
      <c r="BA244" s="1">
        <v>116.49</v>
      </c>
      <c r="BB244" s="1">
        <v>131.85</v>
      </c>
      <c r="BC244" s="1">
        <v>126.95</v>
      </c>
      <c r="BD244" s="1">
        <v>128.6</v>
      </c>
      <c r="BE244" s="1">
        <v>121.76</v>
      </c>
      <c r="BF244" s="1">
        <v>120.63</v>
      </c>
      <c r="BG244" s="1">
        <v>133.15</v>
      </c>
      <c r="BH244" s="1">
        <v>116.6</v>
      </c>
      <c r="BI244" s="1">
        <v>126.15</v>
      </c>
      <c r="BJ244" s="1">
        <v>131.69999999999999</v>
      </c>
      <c r="BK244" s="1">
        <v>116.68</v>
      </c>
      <c r="BL244" s="1">
        <v>119.18</v>
      </c>
      <c r="BN244" s="1">
        <v>117.47</v>
      </c>
    </row>
    <row r="245" spans="1:66" x14ac:dyDescent="0.3">
      <c r="A245" s="2"/>
      <c r="C245" s="14" t="str">
        <f t="shared" si="4"/>
        <v>20254</v>
      </c>
      <c r="D245" s="3">
        <v>45755</v>
      </c>
      <c r="E245" s="21">
        <v>1897.31</v>
      </c>
      <c r="F245" s="21">
        <v>1786.03</v>
      </c>
      <c r="G245" s="21">
        <v>1811.46</v>
      </c>
      <c r="H245" s="21">
        <v>1903.57</v>
      </c>
      <c r="I245" s="21">
        <v>1810.85</v>
      </c>
      <c r="J245" s="21">
        <v>1867.85</v>
      </c>
      <c r="K245" s="21">
        <v>1844.28</v>
      </c>
      <c r="L245" s="21">
        <v>1744.91</v>
      </c>
      <c r="M245" s="21">
        <v>1718.1</v>
      </c>
      <c r="N245" s="21">
        <v>1738.79</v>
      </c>
      <c r="O245" s="21">
        <v>1819.8</v>
      </c>
      <c r="P245" s="21">
        <v>1836.88</v>
      </c>
      <c r="Q245" s="21">
        <v>6822.98</v>
      </c>
      <c r="R245" s="20">
        <v>115.93</v>
      </c>
      <c r="S245" s="20">
        <v>106.26</v>
      </c>
      <c r="T245" s="21">
        <v>120.08</v>
      </c>
      <c r="V245" s="1">
        <v>113.49</v>
      </c>
      <c r="W245" s="1">
        <v>120.99</v>
      </c>
      <c r="X245" s="1">
        <v>124.55</v>
      </c>
      <c r="Y245" s="1">
        <v>118.13</v>
      </c>
      <c r="Z245" s="1">
        <v>119.75</v>
      </c>
      <c r="AA245" s="1">
        <v>118.06</v>
      </c>
      <c r="AB245" s="1">
        <v>123.89</v>
      </c>
      <c r="AE245" s="1">
        <v>130.91999999999999</v>
      </c>
      <c r="AF245" s="1">
        <v>120.4</v>
      </c>
      <c r="AG245" s="1">
        <v>109.07</v>
      </c>
      <c r="AL245" s="1">
        <v>30</v>
      </c>
      <c r="AO245" s="1">
        <v>30</v>
      </c>
      <c r="AP245" s="1">
        <v>4378.8900000000003</v>
      </c>
      <c r="AQ245" s="1">
        <v>4416.8500000000004</v>
      </c>
      <c r="AR245" s="1">
        <v>3823.93</v>
      </c>
      <c r="AS245" s="1">
        <v>4125.7299999999996</v>
      </c>
      <c r="AT245" s="1">
        <v>3900</v>
      </c>
      <c r="AU245" s="1">
        <v>3932.52</v>
      </c>
      <c r="AW245" s="1">
        <v>4294.6899999999996</v>
      </c>
      <c r="AX245" s="1">
        <v>111.59</v>
      </c>
      <c r="AY245" s="1">
        <v>3816.85</v>
      </c>
      <c r="AZ245" s="1">
        <v>4290</v>
      </c>
      <c r="BA245" s="1">
        <v>116.1</v>
      </c>
      <c r="BB245" s="1">
        <v>130.05000000000001</v>
      </c>
      <c r="BC245" s="1">
        <v>126.38</v>
      </c>
      <c r="BD245" s="1">
        <v>127.38</v>
      </c>
      <c r="BE245" s="1">
        <v>121.15</v>
      </c>
      <c r="BF245" s="1">
        <v>118.27</v>
      </c>
      <c r="BG245" s="1">
        <v>130.41</v>
      </c>
      <c r="BH245" s="1">
        <v>114.54</v>
      </c>
      <c r="BI245" s="1">
        <v>125.4</v>
      </c>
      <c r="BJ245" s="1">
        <v>130.94999999999999</v>
      </c>
      <c r="BK245" s="1">
        <v>116.34</v>
      </c>
      <c r="BL245" s="1">
        <v>117.43</v>
      </c>
      <c r="BN245" s="1">
        <v>116.97</v>
      </c>
    </row>
    <row r="246" spans="1:66" x14ac:dyDescent="0.3">
      <c r="A246" s="2"/>
      <c r="C246" s="14" t="str">
        <f t="shared" si="4"/>
        <v>20254</v>
      </c>
      <c r="D246" s="3">
        <v>45754</v>
      </c>
      <c r="E246" s="21">
        <v>1894.83</v>
      </c>
      <c r="F246" s="21">
        <v>1786.03</v>
      </c>
      <c r="G246" s="21">
        <v>1811.46</v>
      </c>
      <c r="H246" s="21">
        <v>1903.57</v>
      </c>
      <c r="I246" s="21">
        <v>1805.88</v>
      </c>
      <c r="J246" s="21">
        <v>1850.54</v>
      </c>
      <c r="K246" s="21">
        <v>1824.39</v>
      </c>
      <c r="L246" s="21">
        <v>1808.88</v>
      </c>
      <c r="M246" s="21">
        <v>1607.38</v>
      </c>
      <c r="N246" s="21">
        <v>1699.77</v>
      </c>
      <c r="O246" s="21">
        <v>1800.4</v>
      </c>
      <c r="P246" s="21">
        <v>1813.47</v>
      </c>
      <c r="Q246" s="21">
        <v>6786.06</v>
      </c>
      <c r="R246" s="20">
        <v>115.27</v>
      </c>
      <c r="S246" s="20">
        <v>103.1</v>
      </c>
      <c r="T246" s="21">
        <v>116.4</v>
      </c>
      <c r="V246" s="1">
        <v>112.05</v>
      </c>
      <c r="W246" s="1">
        <v>116.63</v>
      </c>
      <c r="X246" s="1">
        <v>123.66</v>
      </c>
      <c r="Y246" s="1">
        <v>117.13</v>
      </c>
      <c r="Z246" s="1">
        <v>118.53</v>
      </c>
      <c r="AA246" s="1">
        <v>117.76</v>
      </c>
      <c r="AB246" s="1">
        <v>123.39</v>
      </c>
      <c r="AE246" s="1">
        <v>129.61000000000001</v>
      </c>
      <c r="AF246" s="1">
        <v>122.03</v>
      </c>
      <c r="AG246" s="1">
        <v>107.85</v>
      </c>
      <c r="AL246" s="1">
        <v>30</v>
      </c>
      <c r="AN246" s="1">
        <v>4117.3</v>
      </c>
      <c r="AP246" s="1">
        <v>4378.8900000000003</v>
      </c>
      <c r="AQ246" s="1">
        <v>4278.3100000000004</v>
      </c>
      <c r="AR246" s="1">
        <v>3823.93</v>
      </c>
      <c r="AS246" s="1">
        <v>4149.29</v>
      </c>
      <c r="AU246" s="1">
        <v>3866.29</v>
      </c>
      <c r="AW246" s="1">
        <v>4243.43</v>
      </c>
      <c r="AX246" s="1">
        <v>112.09</v>
      </c>
      <c r="AY246" s="1">
        <v>3816.85</v>
      </c>
      <c r="AZ246" s="1">
        <v>4290</v>
      </c>
      <c r="BA246" s="1">
        <v>114.9</v>
      </c>
      <c r="BB246" s="1">
        <v>130.15</v>
      </c>
      <c r="BC246" s="1">
        <v>127.06</v>
      </c>
      <c r="BD246" s="1">
        <v>127.39</v>
      </c>
      <c r="BE246" s="1">
        <v>120.34</v>
      </c>
      <c r="BF246" s="1">
        <v>117.27</v>
      </c>
      <c r="BG246" s="1">
        <v>129.91</v>
      </c>
      <c r="BH246" s="1">
        <v>115.56</v>
      </c>
      <c r="BI246" s="1">
        <v>124.9</v>
      </c>
      <c r="BJ246" s="1">
        <v>130.44</v>
      </c>
      <c r="BK246" s="1">
        <v>115.68</v>
      </c>
      <c r="BL246" s="1">
        <v>116.93</v>
      </c>
      <c r="BN246" s="1">
        <v>115.98</v>
      </c>
    </row>
    <row r="247" spans="1:66" x14ac:dyDescent="0.3">
      <c r="A247" s="2"/>
      <c r="C247" s="14" t="str">
        <f t="shared" si="4"/>
        <v>20254</v>
      </c>
      <c r="D247" s="3">
        <v>45751</v>
      </c>
      <c r="E247" s="21">
        <v>1863.8</v>
      </c>
      <c r="F247" s="21">
        <v>1786.03</v>
      </c>
      <c r="G247" s="21">
        <v>1811.46</v>
      </c>
      <c r="H247" s="21">
        <v>1884.53</v>
      </c>
      <c r="I247" s="21">
        <v>1792.7</v>
      </c>
      <c r="J247" s="21">
        <v>1850.54</v>
      </c>
      <c r="K247" s="21">
        <v>1796.51</v>
      </c>
      <c r="L247" s="21">
        <v>1713.29</v>
      </c>
      <c r="M247" s="21">
        <v>1607.38</v>
      </c>
      <c r="N247" s="21">
        <v>1709.48</v>
      </c>
      <c r="O247" s="21">
        <v>1767.22</v>
      </c>
      <c r="P247" s="21">
        <v>1811.35</v>
      </c>
      <c r="Q247" s="21">
        <v>6761.06</v>
      </c>
      <c r="R247" s="20">
        <v>112.61</v>
      </c>
      <c r="S247" s="20">
        <v>101.01</v>
      </c>
      <c r="T247" s="21">
        <v>117.41</v>
      </c>
      <c r="V247" s="1">
        <v>111.82</v>
      </c>
      <c r="W247" s="1">
        <v>119.02</v>
      </c>
      <c r="X247" s="1">
        <v>122.88</v>
      </c>
      <c r="Y247" s="1">
        <v>115.47</v>
      </c>
      <c r="Z247" s="1">
        <v>115.63</v>
      </c>
      <c r="AA247" s="1">
        <v>115.93</v>
      </c>
      <c r="AB247" s="1">
        <v>122.35</v>
      </c>
      <c r="AC247" s="1">
        <v>112.79</v>
      </c>
      <c r="AE247" s="1">
        <v>127.44</v>
      </c>
      <c r="AF247" s="1">
        <v>122.4</v>
      </c>
      <c r="AG247" s="1">
        <v>107.04</v>
      </c>
      <c r="AL247" s="1">
        <v>30</v>
      </c>
      <c r="AN247" s="1">
        <v>4117.3</v>
      </c>
      <c r="AP247" s="1">
        <v>4330</v>
      </c>
      <c r="AQ247" s="1">
        <v>4278.3100000000004</v>
      </c>
      <c r="AR247" s="1">
        <v>3806.73</v>
      </c>
      <c r="AS247" s="1">
        <v>4193.24</v>
      </c>
      <c r="AT247" s="1">
        <v>4275.8500000000004</v>
      </c>
      <c r="AU247" s="1">
        <v>3907.39</v>
      </c>
      <c r="AW247" s="1">
        <v>4285.4799999999996</v>
      </c>
      <c r="AX247" s="1">
        <v>111.35</v>
      </c>
      <c r="AY247" s="1">
        <v>3778.4</v>
      </c>
      <c r="AZ247" s="1">
        <v>4290</v>
      </c>
      <c r="BA247" s="1">
        <v>114.9</v>
      </c>
      <c r="BB247" s="1">
        <v>128.11000000000001</v>
      </c>
      <c r="BC247" s="1">
        <v>123.23</v>
      </c>
      <c r="BD247" s="1">
        <v>126.67</v>
      </c>
      <c r="BE247" s="1">
        <v>118.92</v>
      </c>
      <c r="BF247" s="1">
        <v>115.78</v>
      </c>
      <c r="BG247" s="1">
        <v>128.44</v>
      </c>
      <c r="BH247" s="1">
        <v>115.21</v>
      </c>
      <c r="BI247" s="1">
        <v>124.9</v>
      </c>
      <c r="BJ247" s="1">
        <v>129.4</v>
      </c>
      <c r="BK247" s="1">
        <v>114.35</v>
      </c>
      <c r="BL247" s="1">
        <v>114.31</v>
      </c>
      <c r="BN247" s="1">
        <v>114.48</v>
      </c>
    </row>
    <row r="248" spans="1:66" x14ac:dyDescent="0.3">
      <c r="A248" s="2"/>
      <c r="C248" s="14" t="str">
        <f t="shared" si="4"/>
        <v>20254</v>
      </c>
      <c r="D248" s="3">
        <v>45750</v>
      </c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>
        <v>6718.16</v>
      </c>
      <c r="R248" s="20">
        <v>112.61</v>
      </c>
      <c r="S248" s="20">
        <v>102.29</v>
      </c>
      <c r="T248" s="21">
        <v>117.25</v>
      </c>
      <c r="V248" s="1">
        <v>111.7</v>
      </c>
      <c r="W248" s="1">
        <v>118.9</v>
      </c>
      <c r="X248" s="1">
        <v>123.55</v>
      </c>
      <c r="Y248" s="1">
        <v>115.06</v>
      </c>
      <c r="Z248" s="1">
        <v>115.7</v>
      </c>
      <c r="AA248" s="1">
        <v>115.76</v>
      </c>
      <c r="AB248" s="1">
        <v>123.44</v>
      </c>
      <c r="AC248" s="1">
        <v>113.69</v>
      </c>
      <c r="AE248" s="1">
        <v>127.39</v>
      </c>
      <c r="AF248" s="1">
        <v>121.65</v>
      </c>
      <c r="AG248" s="1">
        <v>108.22</v>
      </c>
      <c r="AL248" s="1">
        <v>30</v>
      </c>
      <c r="AN248" s="1">
        <v>4117.3</v>
      </c>
      <c r="AP248" s="1">
        <v>4294.29</v>
      </c>
      <c r="AQ248" s="1">
        <v>4278.3100000000004</v>
      </c>
      <c r="AR248" s="1">
        <v>3806.73</v>
      </c>
      <c r="AS248" s="1">
        <v>4193.24</v>
      </c>
      <c r="AT248" s="1">
        <v>4116.9399999999996</v>
      </c>
      <c r="AU248" s="1">
        <v>3907.39</v>
      </c>
      <c r="AW248" s="1">
        <v>4269.88</v>
      </c>
      <c r="AX248" s="1">
        <v>111.6</v>
      </c>
      <c r="AY248" s="1">
        <v>3778.4</v>
      </c>
      <c r="AZ248" s="1">
        <v>4290</v>
      </c>
      <c r="BA248" s="1">
        <v>115.68</v>
      </c>
      <c r="BB248" s="1">
        <v>128.12</v>
      </c>
      <c r="BC248" s="1">
        <v>122.96</v>
      </c>
      <c r="BD248" s="1">
        <v>125.74</v>
      </c>
      <c r="BE248" s="1">
        <v>119.31</v>
      </c>
      <c r="BF248" s="1">
        <v>115.78</v>
      </c>
      <c r="BG248" s="1">
        <v>128.49</v>
      </c>
      <c r="BH248" s="1">
        <v>115.65</v>
      </c>
      <c r="BI248" s="1">
        <v>124.9</v>
      </c>
      <c r="BJ248" s="1">
        <v>129.87</v>
      </c>
      <c r="BK248" s="1">
        <v>114.35</v>
      </c>
      <c r="BL248" s="1">
        <v>114.95</v>
      </c>
      <c r="BN248" s="1">
        <v>114.48</v>
      </c>
    </row>
    <row r="249" spans="1:66" x14ac:dyDescent="0.3">
      <c r="A249" s="2"/>
      <c r="C249" s="14" t="str">
        <f t="shared" si="4"/>
        <v>20254</v>
      </c>
      <c r="D249" s="3">
        <v>45749</v>
      </c>
      <c r="E249" s="21">
        <v>1910.75</v>
      </c>
      <c r="F249" s="21">
        <v>1804.15</v>
      </c>
      <c r="G249" s="21">
        <v>1860.89</v>
      </c>
      <c r="H249" s="21">
        <v>1907.69</v>
      </c>
      <c r="I249" s="21">
        <v>1789.22</v>
      </c>
      <c r="J249" s="21">
        <v>1851.17</v>
      </c>
      <c r="K249" s="21">
        <v>1811.13</v>
      </c>
      <c r="L249" s="21">
        <v>1748.99</v>
      </c>
      <c r="M249" s="21">
        <v>1642.53</v>
      </c>
      <c r="N249" s="21">
        <v>1740.5</v>
      </c>
      <c r="O249" s="21">
        <v>1795.29</v>
      </c>
      <c r="P249" s="21">
        <v>1853.38</v>
      </c>
      <c r="Q249" s="21">
        <v>6701.5</v>
      </c>
      <c r="R249" s="20">
        <v>113.27</v>
      </c>
      <c r="S249" s="20">
        <v>102.29</v>
      </c>
      <c r="T249" s="21">
        <v>118.17</v>
      </c>
      <c r="V249" s="1">
        <v>112.2</v>
      </c>
      <c r="W249" s="1">
        <v>119.5</v>
      </c>
      <c r="X249" s="1">
        <v>125.32</v>
      </c>
      <c r="Y249" s="1">
        <v>114.89</v>
      </c>
      <c r="Z249" s="1">
        <v>116.17</v>
      </c>
      <c r="AA249" s="1">
        <v>116.6</v>
      </c>
      <c r="AB249" s="1">
        <v>125.77</v>
      </c>
      <c r="AC249" s="1">
        <v>112.69</v>
      </c>
      <c r="AE249" s="1">
        <v>129.38</v>
      </c>
      <c r="AF249" s="1">
        <v>122.37</v>
      </c>
      <c r="AG249" s="1">
        <v>108.85</v>
      </c>
      <c r="AL249" s="1">
        <v>30</v>
      </c>
      <c r="AN249" s="1">
        <v>4117.3</v>
      </c>
      <c r="AP249" s="1">
        <v>4141.42</v>
      </c>
      <c r="AQ249" s="1">
        <v>4278.3100000000004</v>
      </c>
      <c r="AR249" s="1">
        <v>3839.73</v>
      </c>
      <c r="AS249" s="1">
        <v>4193.24</v>
      </c>
      <c r="AT249" s="1">
        <v>4116.9399999999996</v>
      </c>
      <c r="AU249" s="1">
        <v>3931.83</v>
      </c>
      <c r="AW249" s="1">
        <v>4269.88</v>
      </c>
      <c r="AX249" s="1">
        <v>112.13</v>
      </c>
      <c r="AY249" s="1">
        <v>3778.4</v>
      </c>
      <c r="AZ249" s="1">
        <v>4290</v>
      </c>
      <c r="BA249" s="1">
        <v>116.1</v>
      </c>
      <c r="BB249" s="1">
        <v>129.16</v>
      </c>
      <c r="BC249" s="1">
        <v>124.01</v>
      </c>
      <c r="BD249" s="1">
        <v>125.14</v>
      </c>
      <c r="BE249" s="1">
        <v>119.27</v>
      </c>
      <c r="BF249" s="1">
        <v>117.03</v>
      </c>
      <c r="BG249" s="1">
        <v>130.66</v>
      </c>
      <c r="BH249" s="1">
        <v>115.21</v>
      </c>
      <c r="BI249" s="1">
        <v>124.92</v>
      </c>
      <c r="BJ249" s="1">
        <v>129.86000000000001</v>
      </c>
      <c r="BK249" s="1">
        <v>113.68</v>
      </c>
      <c r="BL249" s="1">
        <v>114.75</v>
      </c>
      <c r="BN249" s="1">
        <v>113.98</v>
      </c>
    </row>
    <row r="250" spans="1:66" x14ac:dyDescent="0.3">
      <c r="A250" s="2"/>
      <c r="C250" s="14" t="str">
        <f t="shared" si="4"/>
        <v>20254</v>
      </c>
      <c r="D250" s="3">
        <v>45748</v>
      </c>
      <c r="E250" s="21">
        <v>1915.71</v>
      </c>
      <c r="F250" s="21">
        <v>1794.27</v>
      </c>
      <c r="G250" s="21">
        <v>1860.89</v>
      </c>
      <c r="H250" s="21">
        <v>1885.48</v>
      </c>
      <c r="I250" s="21">
        <v>1835.51</v>
      </c>
      <c r="J250" s="21">
        <v>1856.34</v>
      </c>
      <c r="K250" s="21">
        <v>1806.45</v>
      </c>
      <c r="L250" s="21">
        <v>1754.92</v>
      </c>
      <c r="M250" s="21">
        <v>1664.56</v>
      </c>
      <c r="N250" s="21">
        <v>1771.83</v>
      </c>
      <c r="O250" s="21">
        <v>1771.51</v>
      </c>
      <c r="P250" s="21">
        <v>1843.63</v>
      </c>
      <c r="Q250" s="21">
        <v>6710.89</v>
      </c>
      <c r="R250" s="20">
        <v>113.94</v>
      </c>
      <c r="S250" s="20">
        <v>103.69</v>
      </c>
      <c r="T250" s="21">
        <v>114.08</v>
      </c>
      <c r="V250" s="1">
        <v>111.8</v>
      </c>
      <c r="W250" s="1">
        <v>119.78</v>
      </c>
      <c r="X250" s="1">
        <v>125.21</v>
      </c>
      <c r="Y250" s="1">
        <v>114.43</v>
      </c>
      <c r="Z250" s="1">
        <v>114.34</v>
      </c>
      <c r="AA250" s="1">
        <v>117.56</v>
      </c>
      <c r="AB250" s="1">
        <v>126.01</v>
      </c>
      <c r="AC250" s="1">
        <v>113.38</v>
      </c>
      <c r="AE250" s="1">
        <v>129.04</v>
      </c>
      <c r="AF250" s="1">
        <v>122.46</v>
      </c>
      <c r="AG250" s="1">
        <v>108.75</v>
      </c>
      <c r="AL250" s="1">
        <v>30</v>
      </c>
      <c r="AN250" s="1">
        <v>4117.3</v>
      </c>
      <c r="AP250" s="1">
        <v>4091.9</v>
      </c>
      <c r="AQ250" s="1">
        <v>4268.32</v>
      </c>
      <c r="AR250" s="1">
        <v>3839.73</v>
      </c>
      <c r="AS250" s="1">
        <v>4160.33</v>
      </c>
      <c r="AT250" s="1">
        <v>4047.73</v>
      </c>
      <c r="AU250" s="1">
        <v>3933.76</v>
      </c>
      <c r="AW250" s="1">
        <v>4208.97</v>
      </c>
      <c r="AX250" s="1">
        <v>111.4</v>
      </c>
      <c r="AY250" s="1">
        <v>3778.4</v>
      </c>
      <c r="AZ250" s="1">
        <v>4290</v>
      </c>
      <c r="BA250" s="1">
        <v>114.72</v>
      </c>
      <c r="BB250" s="1">
        <v>128.97</v>
      </c>
      <c r="BC250" s="1">
        <v>123.34</v>
      </c>
      <c r="BD250" s="1">
        <v>125.51</v>
      </c>
      <c r="BE250" s="1">
        <v>119.55</v>
      </c>
      <c r="BF250" s="1">
        <v>117.53</v>
      </c>
      <c r="BG250" s="1">
        <v>130.09</v>
      </c>
      <c r="BH250" s="1">
        <v>115.87</v>
      </c>
      <c r="BI250" s="1">
        <v>124.92</v>
      </c>
      <c r="BJ250" s="1">
        <v>130.16999999999999</v>
      </c>
      <c r="BK250" s="1">
        <v>113.35</v>
      </c>
      <c r="BL250" s="1">
        <v>114.75</v>
      </c>
      <c r="BN250" s="1">
        <v>113.48</v>
      </c>
    </row>
    <row r="251" spans="1:66" x14ac:dyDescent="0.3">
      <c r="A251" s="2"/>
      <c r="C251" s="14" t="str">
        <f t="shared" si="4"/>
        <v>20253</v>
      </c>
      <c r="D251" s="3">
        <v>45747</v>
      </c>
      <c r="E251" s="21">
        <v>1923.94</v>
      </c>
      <c r="F251" s="21">
        <v>1795.07</v>
      </c>
      <c r="G251" s="21">
        <v>1874.2</v>
      </c>
      <c r="H251" s="21">
        <v>1914.14</v>
      </c>
      <c r="I251" s="21">
        <v>1847.98</v>
      </c>
      <c r="J251" s="21">
        <v>1850.21</v>
      </c>
      <c r="K251" s="21">
        <v>1810.85</v>
      </c>
      <c r="L251" s="21">
        <v>1755.64</v>
      </c>
      <c r="M251" s="21">
        <v>1663.23</v>
      </c>
      <c r="N251" s="21">
        <v>1770.35</v>
      </c>
      <c r="O251" s="21">
        <v>1794.44</v>
      </c>
      <c r="P251" s="21">
        <v>1848.94</v>
      </c>
      <c r="Q251" s="21">
        <v>6687.16</v>
      </c>
      <c r="R251" s="20">
        <v>113.96</v>
      </c>
      <c r="S251" s="20">
        <v>104.32</v>
      </c>
      <c r="T251" s="21">
        <v>116.58</v>
      </c>
      <c r="V251" s="1">
        <v>111.68</v>
      </c>
      <c r="W251" s="1">
        <v>119.17</v>
      </c>
      <c r="X251" s="1">
        <v>125.78</v>
      </c>
      <c r="Y251" s="1">
        <v>115.63</v>
      </c>
      <c r="Z251" s="1">
        <v>116.53</v>
      </c>
      <c r="AA251" s="1">
        <v>117.29</v>
      </c>
      <c r="AB251" s="1">
        <v>126.02</v>
      </c>
      <c r="AC251" s="1">
        <v>113.46</v>
      </c>
      <c r="AE251" s="1">
        <v>128.87</v>
      </c>
      <c r="AF251" s="1">
        <v>122.87</v>
      </c>
      <c r="AG251" s="1">
        <v>108.97</v>
      </c>
      <c r="AN251" s="1">
        <v>4026.66</v>
      </c>
      <c r="AP251" s="1">
        <v>4093.32</v>
      </c>
      <c r="AQ251" s="1">
        <v>4206.13</v>
      </c>
      <c r="AR251" s="1">
        <v>3899.92</v>
      </c>
      <c r="AS251" s="1">
        <v>4163.16</v>
      </c>
      <c r="AT251" s="1">
        <v>4045.61</v>
      </c>
      <c r="AU251" s="1">
        <v>3935.16</v>
      </c>
      <c r="AW251" s="1">
        <v>4180.33</v>
      </c>
      <c r="AX251" s="1">
        <v>110.52</v>
      </c>
      <c r="AY251" s="1">
        <v>3853.16</v>
      </c>
      <c r="AZ251" s="1">
        <v>4170.74</v>
      </c>
      <c r="BA251" s="1">
        <v>114.52</v>
      </c>
      <c r="BB251" s="1">
        <v>129.41</v>
      </c>
      <c r="BC251" s="1">
        <v>124.38</v>
      </c>
      <c r="BD251" s="1">
        <v>125.21</v>
      </c>
      <c r="BE251" s="1">
        <v>119.16</v>
      </c>
      <c r="BF251" s="1">
        <v>118.04</v>
      </c>
      <c r="BG251" s="1">
        <v>129.81</v>
      </c>
      <c r="BH251" s="1">
        <v>114.46</v>
      </c>
      <c r="BI251" s="1">
        <v>124.93</v>
      </c>
      <c r="BJ251" s="1">
        <v>130.22</v>
      </c>
      <c r="BK251" s="1">
        <v>114.35</v>
      </c>
      <c r="BL251" s="1">
        <v>115.15</v>
      </c>
      <c r="BN251" s="1">
        <v>113.98</v>
      </c>
    </row>
    <row r="252" spans="1:66" x14ac:dyDescent="0.3">
      <c r="A252" s="2"/>
      <c r="C252" s="14" t="str">
        <f t="shared" si="4"/>
        <v>20253</v>
      </c>
      <c r="D252" s="3">
        <v>45744</v>
      </c>
      <c r="E252" s="21">
        <v>1916.5</v>
      </c>
      <c r="F252" s="21">
        <v>1795.07</v>
      </c>
      <c r="G252" s="21">
        <v>1874.2</v>
      </c>
      <c r="H252" s="21">
        <v>1895.91</v>
      </c>
      <c r="I252" s="21">
        <v>1836.37</v>
      </c>
      <c r="J252" s="21">
        <v>1844.52</v>
      </c>
      <c r="K252" s="21">
        <v>1803.44</v>
      </c>
      <c r="L252" s="21">
        <v>1775.69</v>
      </c>
      <c r="M252" s="21">
        <v>1659.23</v>
      </c>
      <c r="N252" s="21">
        <v>1780.49</v>
      </c>
      <c r="O252" s="21">
        <v>1771.93</v>
      </c>
      <c r="P252" s="21">
        <v>1843.97</v>
      </c>
      <c r="Q252" s="21">
        <v>6487.71</v>
      </c>
      <c r="R252" s="20">
        <v>113.96</v>
      </c>
      <c r="S252" s="20">
        <v>104.32</v>
      </c>
      <c r="T252" s="21">
        <v>116.17</v>
      </c>
      <c r="V252" s="1">
        <v>112.08</v>
      </c>
      <c r="W252" s="1">
        <v>120.74</v>
      </c>
      <c r="X252" s="1">
        <v>125.67</v>
      </c>
      <c r="Y252" s="1">
        <v>115.02</v>
      </c>
      <c r="Z252" s="1">
        <v>116.03</v>
      </c>
      <c r="AA252" s="1">
        <v>117.13</v>
      </c>
      <c r="AB252" s="1">
        <v>126.02</v>
      </c>
      <c r="AC252" s="1">
        <v>113.67</v>
      </c>
      <c r="AE252" s="1">
        <v>128.66999999999999</v>
      </c>
      <c r="AF252" s="1">
        <v>122.79</v>
      </c>
      <c r="AG252" s="1">
        <v>109.76</v>
      </c>
      <c r="AN252" s="1">
        <v>4026.66</v>
      </c>
      <c r="AP252" s="1">
        <v>3971.34</v>
      </c>
      <c r="AQ252" s="1">
        <v>4206.13</v>
      </c>
      <c r="AR252" s="1">
        <v>3899.92</v>
      </c>
      <c r="AS252" s="1">
        <v>4163.16</v>
      </c>
      <c r="AT252" s="1">
        <v>4055.93</v>
      </c>
      <c r="AU252" s="1">
        <v>3988.03</v>
      </c>
      <c r="AW252" s="1">
        <v>4216.62</v>
      </c>
      <c r="AX252" s="1">
        <v>110.9</v>
      </c>
      <c r="AY252" s="1">
        <v>3835.67</v>
      </c>
      <c r="AZ252" s="1">
        <v>4170.74</v>
      </c>
      <c r="BA252" s="1">
        <v>113.92</v>
      </c>
      <c r="BB252" s="1">
        <v>129.36000000000001</v>
      </c>
      <c r="BC252" s="1">
        <v>123.67</v>
      </c>
      <c r="BD252" s="1">
        <v>125.86</v>
      </c>
      <c r="BE252" s="1">
        <v>119.78</v>
      </c>
      <c r="BF252" s="1">
        <v>117.71</v>
      </c>
      <c r="BG252" s="1">
        <v>130.12</v>
      </c>
      <c r="BH252" s="1">
        <v>114.85</v>
      </c>
      <c r="BI252" s="1">
        <v>124.81</v>
      </c>
      <c r="BJ252" s="1">
        <v>130.26</v>
      </c>
      <c r="BK252" s="1">
        <v>114.35</v>
      </c>
      <c r="BL252" s="1">
        <v>114.95</v>
      </c>
      <c r="BN252" s="1">
        <v>113.98</v>
      </c>
    </row>
    <row r="253" spans="1:66" x14ac:dyDescent="0.3">
      <c r="A253" s="2"/>
      <c r="C253" s="14" t="str">
        <f t="shared" si="4"/>
        <v>20253</v>
      </c>
      <c r="D253" s="3">
        <v>45743</v>
      </c>
      <c r="E253" s="21">
        <v>1921.47</v>
      </c>
      <c r="F253" s="21">
        <v>1795.52</v>
      </c>
      <c r="G253" s="21">
        <v>1874.2</v>
      </c>
      <c r="H253" s="21">
        <v>1857.43</v>
      </c>
      <c r="I253" s="21">
        <v>1809.91</v>
      </c>
      <c r="J253" s="21">
        <v>1870.58</v>
      </c>
      <c r="K253" s="21">
        <v>1772.31</v>
      </c>
      <c r="L253" s="21">
        <v>1821</v>
      </c>
      <c r="M253" s="21">
        <v>1631.13</v>
      </c>
      <c r="N253" s="21">
        <v>1812.96</v>
      </c>
      <c r="O253" s="21">
        <v>1776.81</v>
      </c>
      <c r="P253" s="21">
        <v>1828.54</v>
      </c>
      <c r="Q253" s="21">
        <v>6487.71</v>
      </c>
      <c r="R253" s="20">
        <v>114.45</v>
      </c>
      <c r="S253" s="20">
        <v>103</v>
      </c>
      <c r="T253" s="21">
        <v>117.2</v>
      </c>
      <c r="V253" s="1">
        <v>112.16</v>
      </c>
      <c r="W253" s="1">
        <v>118.99</v>
      </c>
      <c r="X253" s="1">
        <v>125.29</v>
      </c>
      <c r="Y253" s="1">
        <v>114.89</v>
      </c>
      <c r="Z253" s="1">
        <v>115.82</v>
      </c>
      <c r="AA253" s="1">
        <v>116.69</v>
      </c>
      <c r="AB253" s="1">
        <v>125.12</v>
      </c>
      <c r="AE253" s="1">
        <v>128.44999999999999</v>
      </c>
      <c r="AF253" s="1">
        <v>121.92</v>
      </c>
      <c r="AG253" s="1">
        <v>110.07</v>
      </c>
      <c r="AN253" s="1">
        <v>4026.66</v>
      </c>
      <c r="AP253" s="1">
        <v>3971.34</v>
      </c>
      <c r="AQ253" s="1">
        <v>4206.13</v>
      </c>
      <c r="AR253" s="1">
        <v>3854.78</v>
      </c>
      <c r="AS253" s="1">
        <v>4163.16</v>
      </c>
      <c r="AT253" s="1">
        <v>3987.48</v>
      </c>
      <c r="AU253" s="1">
        <v>3933.14</v>
      </c>
      <c r="AW253" s="1">
        <v>4159.49</v>
      </c>
      <c r="AX253" s="1">
        <v>111.35</v>
      </c>
      <c r="AY253" s="1">
        <v>3835.67</v>
      </c>
      <c r="AZ253" s="1">
        <v>4170.74</v>
      </c>
      <c r="BA253" s="1">
        <v>110.02</v>
      </c>
      <c r="BB253" s="1">
        <v>129.72</v>
      </c>
      <c r="BC253" s="1">
        <v>123.46</v>
      </c>
      <c r="BD253" s="1">
        <v>125.44</v>
      </c>
      <c r="BE253" s="1">
        <v>120.57</v>
      </c>
      <c r="BF253" s="1">
        <v>118.38</v>
      </c>
      <c r="BG253" s="1">
        <v>128.84</v>
      </c>
      <c r="BH253" s="1">
        <v>114.08</v>
      </c>
      <c r="BI253" s="1">
        <v>124.67</v>
      </c>
      <c r="BJ253" s="1">
        <v>130.38999999999999</v>
      </c>
      <c r="BK253" s="1">
        <v>114.75</v>
      </c>
      <c r="BL253" s="1">
        <v>114.72</v>
      </c>
      <c r="BN253" s="1">
        <v>113.68</v>
      </c>
    </row>
    <row r="254" spans="1:66" x14ac:dyDescent="0.3">
      <c r="A254" s="2"/>
      <c r="C254" s="14" t="str">
        <f t="shared" si="4"/>
        <v>20253</v>
      </c>
      <c r="D254" s="3">
        <v>45742</v>
      </c>
      <c r="E254" s="21">
        <v>1918.99</v>
      </c>
      <c r="F254" s="21">
        <v>1795.07</v>
      </c>
      <c r="G254" s="21">
        <v>1874.2</v>
      </c>
      <c r="H254" s="21">
        <v>1911</v>
      </c>
      <c r="I254" s="21">
        <v>1849.47</v>
      </c>
      <c r="J254" s="21">
        <v>1858.61</v>
      </c>
      <c r="K254" s="21">
        <v>1801.05</v>
      </c>
      <c r="L254" s="21">
        <v>1801.35</v>
      </c>
      <c r="M254" s="21">
        <v>1672.32</v>
      </c>
      <c r="N254" s="21">
        <v>1787.08</v>
      </c>
      <c r="O254" s="21">
        <v>1779.77</v>
      </c>
      <c r="P254" s="21">
        <v>1861.71</v>
      </c>
      <c r="Q254" s="21">
        <v>6487.71</v>
      </c>
      <c r="R254" s="20">
        <v>113.96</v>
      </c>
      <c r="S254" s="20">
        <v>103</v>
      </c>
      <c r="T254" s="21">
        <v>118.05</v>
      </c>
      <c r="V254" s="1">
        <v>112.52</v>
      </c>
      <c r="W254" s="1">
        <v>119.14</v>
      </c>
      <c r="X254" s="1">
        <v>125.45</v>
      </c>
      <c r="Y254" s="1">
        <v>114.89</v>
      </c>
      <c r="Z254" s="1">
        <v>115.56</v>
      </c>
      <c r="AA254" s="1">
        <v>117.66</v>
      </c>
      <c r="AB254" s="1">
        <v>126.13</v>
      </c>
      <c r="AE254" s="1">
        <v>128.18</v>
      </c>
      <c r="AF254" s="1">
        <v>121.66</v>
      </c>
      <c r="AG254" s="1">
        <v>109.32</v>
      </c>
      <c r="AN254" s="1">
        <v>4026.66</v>
      </c>
      <c r="AP254" s="1">
        <v>4055.03</v>
      </c>
      <c r="AR254" s="1">
        <v>3741.03</v>
      </c>
      <c r="AS254" s="1">
        <v>4163.16</v>
      </c>
      <c r="AT254" s="1">
        <v>4120.1899999999996</v>
      </c>
      <c r="AU254" s="1">
        <v>3866.51</v>
      </c>
      <c r="AW254" s="1">
        <v>4159.49</v>
      </c>
      <c r="AX254" s="1">
        <v>111.34</v>
      </c>
      <c r="AY254" s="1">
        <v>3835.67</v>
      </c>
      <c r="AZ254" s="1">
        <v>4170.74</v>
      </c>
      <c r="BA254" s="1">
        <v>113.85</v>
      </c>
      <c r="BB254" s="1">
        <v>128.72</v>
      </c>
      <c r="BC254" s="1">
        <v>123.8</v>
      </c>
      <c r="BD254" s="1">
        <v>125.33</v>
      </c>
      <c r="BE254" s="1">
        <v>120.24</v>
      </c>
      <c r="BF254" s="1">
        <v>117.38</v>
      </c>
      <c r="BG254" s="1">
        <v>129.22</v>
      </c>
      <c r="BH254" s="1">
        <v>114.26</v>
      </c>
      <c r="BI254" s="1">
        <v>124.93</v>
      </c>
      <c r="BJ254" s="1">
        <v>130.38999999999999</v>
      </c>
      <c r="BK254" s="1">
        <v>115.06</v>
      </c>
      <c r="BL254" s="1">
        <v>114.72</v>
      </c>
      <c r="BN254" s="1">
        <v>113.68</v>
      </c>
    </row>
    <row r="255" spans="1:66" x14ac:dyDescent="0.3">
      <c r="A255" s="2"/>
      <c r="C255" s="14" t="str">
        <f t="shared" si="4"/>
        <v>20253</v>
      </c>
      <c r="D255" s="3">
        <v>45741</v>
      </c>
      <c r="E255" s="21">
        <v>1925.19</v>
      </c>
      <c r="F255" s="21">
        <v>1795.52</v>
      </c>
      <c r="G255" s="21">
        <v>1874.2</v>
      </c>
      <c r="H255" s="21">
        <v>1946.11</v>
      </c>
      <c r="I255" s="21">
        <v>1855.41</v>
      </c>
      <c r="J255" s="21">
        <v>1884.45</v>
      </c>
      <c r="K255" s="21">
        <v>1801.05</v>
      </c>
      <c r="L255" s="21">
        <v>1819.48</v>
      </c>
      <c r="M255" s="21">
        <v>1694.99</v>
      </c>
      <c r="N255" s="21">
        <v>1789.74</v>
      </c>
      <c r="O255" s="21">
        <v>1780.54</v>
      </c>
      <c r="P255" s="21">
        <v>1861.71</v>
      </c>
      <c r="Q255" s="21">
        <v>6537.71</v>
      </c>
      <c r="R255" s="20">
        <v>114.6</v>
      </c>
      <c r="S255" s="20">
        <v>103.33</v>
      </c>
      <c r="T255" s="21">
        <v>118.86</v>
      </c>
      <c r="V255" s="1">
        <v>112.51</v>
      </c>
      <c r="W255" s="1">
        <v>121.4</v>
      </c>
      <c r="X255" s="1">
        <v>126.44</v>
      </c>
      <c r="Y255" s="1">
        <v>116.96</v>
      </c>
      <c r="Z255" s="1">
        <v>115.85</v>
      </c>
      <c r="AA255" s="1">
        <v>115.86</v>
      </c>
      <c r="AB255" s="1">
        <v>126.47</v>
      </c>
      <c r="AE255" s="1">
        <v>129.37</v>
      </c>
      <c r="AF255" s="1">
        <v>122.08</v>
      </c>
      <c r="AG255" s="1">
        <v>109.32</v>
      </c>
      <c r="AL255" s="1">
        <v>30</v>
      </c>
      <c r="AN255" s="1">
        <v>4026.66</v>
      </c>
      <c r="AP255" s="1">
        <v>4076.02</v>
      </c>
      <c r="AR255" s="1">
        <v>3741.03</v>
      </c>
      <c r="AS255" s="1">
        <v>4163.16</v>
      </c>
      <c r="AT255" s="1">
        <v>4094.91</v>
      </c>
      <c r="AU255" s="1">
        <v>3830.62</v>
      </c>
      <c r="AW255" s="1">
        <v>4074.65</v>
      </c>
      <c r="AX255" s="1">
        <v>111.61</v>
      </c>
      <c r="AY255" s="1">
        <v>3800.69</v>
      </c>
      <c r="AZ255" s="1">
        <v>4069.06</v>
      </c>
      <c r="BA255" s="1">
        <v>115.13</v>
      </c>
      <c r="BB255" s="1">
        <v>129.27000000000001</v>
      </c>
      <c r="BC255" s="1">
        <v>122.97</v>
      </c>
      <c r="BD255" s="1">
        <v>124.61</v>
      </c>
      <c r="BE255" s="1">
        <v>119.16</v>
      </c>
      <c r="BF255" s="1">
        <v>117.38</v>
      </c>
      <c r="BG255" s="1">
        <v>129</v>
      </c>
      <c r="BH255" s="1">
        <v>115.68</v>
      </c>
      <c r="BI255" s="1">
        <v>125.31</v>
      </c>
      <c r="BJ255" s="1">
        <v>130.35</v>
      </c>
      <c r="BK255" s="1">
        <v>115.99</v>
      </c>
      <c r="BL255" s="1">
        <v>116.08</v>
      </c>
      <c r="BN255" s="1">
        <v>115.34</v>
      </c>
    </row>
    <row r="256" spans="1:66" x14ac:dyDescent="0.3">
      <c r="A256" s="2"/>
      <c r="C256" s="14" t="str">
        <f t="shared" si="4"/>
        <v>20253</v>
      </c>
      <c r="D256" s="3">
        <v>45740</v>
      </c>
      <c r="E256" s="21">
        <v>1937.61</v>
      </c>
      <c r="F256" s="21">
        <v>1795.52</v>
      </c>
      <c r="G256" s="21">
        <v>1874.2</v>
      </c>
      <c r="H256" s="21">
        <v>1930.15</v>
      </c>
      <c r="I256" s="21">
        <v>1855.41</v>
      </c>
      <c r="J256" s="21">
        <v>1884.45</v>
      </c>
      <c r="K256" s="21">
        <v>1801.05</v>
      </c>
      <c r="L256" s="21">
        <v>1806.62</v>
      </c>
      <c r="M256" s="21">
        <v>1729.96</v>
      </c>
      <c r="N256" s="21">
        <v>1817.07</v>
      </c>
      <c r="O256" s="21">
        <v>1795.8</v>
      </c>
      <c r="P256" s="21">
        <v>1861.71</v>
      </c>
      <c r="Q256" s="21">
        <v>6512.99</v>
      </c>
      <c r="R256" s="20">
        <v>115.4</v>
      </c>
      <c r="S256" s="20">
        <v>108.33</v>
      </c>
      <c r="T256" s="21">
        <v>118.95</v>
      </c>
      <c r="V256" s="1">
        <v>112.62</v>
      </c>
      <c r="W256" s="1">
        <v>122.53</v>
      </c>
      <c r="X256" s="1">
        <v>126.33</v>
      </c>
      <c r="Y256" s="1">
        <v>117.53</v>
      </c>
      <c r="Z256" s="1">
        <v>118.63</v>
      </c>
      <c r="AA256" s="1">
        <v>116.67</v>
      </c>
      <c r="AB256" s="1">
        <v>126.58</v>
      </c>
      <c r="AE256" s="1">
        <v>129.57</v>
      </c>
      <c r="AF256" s="1">
        <v>122.05</v>
      </c>
      <c r="AG256" s="1">
        <v>111.32</v>
      </c>
      <c r="AL256" s="1">
        <v>30</v>
      </c>
      <c r="AN256" s="1">
        <v>4026.66</v>
      </c>
      <c r="AP256" s="1">
        <v>4125.78</v>
      </c>
      <c r="AQ256" s="1">
        <v>4091.88</v>
      </c>
      <c r="AR256" s="1">
        <v>3700.59</v>
      </c>
      <c r="AS256" s="1">
        <v>4163.16</v>
      </c>
      <c r="AT256" s="1">
        <v>4094.91</v>
      </c>
      <c r="AU256" s="1">
        <v>3729.11</v>
      </c>
      <c r="AX256" s="1">
        <v>112.4</v>
      </c>
      <c r="AY256" s="1">
        <v>3800.69</v>
      </c>
      <c r="AZ256" s="1">
        <v>4069.06</v>
      </c>
      <c r="BA256" s="1">
        <v>115.13</v>
      </c>
      <c r="BB256" s="1">
        <v>129.72999999999999</v>
      </c>
      <c r="BC256" s="1">
        <v>124.28</v>
      </c>
      <c r="BD256" s="1">
        <v>126.02</v>
      </c>
      <c r="BE256" s="1">
        <v>119.96</v>
      </c>
      <c r="BF256" s="1">
        <v>118.53</v>
      </c>
      <c r="BG256" s="1">
        <v>129</v>
      </c>
      <c r="BH256" s="1">
        <v>115.68</v>
      </c>
      <c r="BI256" s="1">
        <v>125.06</v>
      </c>
      <c r="BJ256" s="1">
        <v>130.35</v>
      </c>
      <c r="BK256" s="1">
        <v>116.66</v>
      </c>
      <c r="BL256" s="1">
        <v>116.67</v>
      </c>
      <c r="BN256" s="1">
        <v>116.34</v>
      </c>
    </row>
    <row r="257" spans="1:66" x14ac:dyDescent="0.3">
      <c r="A257" s="2"/>
      <c r="C257" s="14" t="str">
        <f t="shared" si="4"/>
        <v>20253</v>
      </c>
      <c r="D257" s="3">
        <v>45737</v>
      </c>
      <c r="E257" s="21">
        <v>1935.12</v>
      </c>
      <c r="F257" s="21">
        <v>1795.52</v>
      </c>
      <c r="G257" s="21">
        <v>1874.2</v>
      </c>
      <c r="H257" s="21">
        <v>1928.29</v>
      </c>
      <c r="I257" s="21">
        <v>1863.32</v>
      </c>
      <c r="J257" s="21">
        <v>1885.86</v>
      </c>
      <c r="K257" s="21">
        <v>1834.39</v>
      </c>
      <c r="L257" s="21">
        <v>1804.97</v>
      </c>
      <c r="M257" s="21">
        <v>1707.69</v>
      </c>
      <c r="N257" s="21">
        <v>1835.93</v>
      </c>
      <c r="O257" s="21">
        <v>1797.54</v>
      </c>
      <c r="P257" s="21">
        <v>1841.69</v>
      </c>
      <c r="Q257" s="21">
        <v>6619.2</v>
      </c>
      <c r="R257" s="20">
        <v>114.46</v>
      </c>
      <c r="S257" s="20">
        <v>108.17</v>
      </c>
      <c r="T257" s="21">
        <v>118.86</v>
      </c>
      <c r="V257" s="1">
        <v>112.17</v>
      </c>
      <c r="W257" s="1">
        <v>122.77</v>
      </c>
      <c r="X257" s="1">
        <v>126.16</v>
      </c>
      <c r="Y257" s="1">
        <v>117.03</v>
      </c>
      <c r="Z257" s="1">
        <v>117.65</v>
      </c>
      <c r="AA257" s="1">
        <v>116.27</v>
      </c>
      <c r="AB257" s="1">
        <v>126.6</v>
      </c>
      <c r="AE257" s="1">
        <v>129.57</v>
      </c>
      <c r="AF257" s="1">
        <v>122.75</v>
      </c>
      <c r="AG257" s="1">
        <v>113.78</v>
      </c>
      <c r="AL257" s="1">
        <v>30</v>
      </c>
      <c r="AN257" s="1">
        <v>4026.66</v>
      </c>
      <c r="AP257" s="1">
        <v>4075.52</v>
      </c>
      <c r="AQ257" s="1">
        <v>4091.88</v>
      </c>
      <c r="AR257" s="1">
        <v>3700.59</v>
      </c>
      <c r="AS257" s="1">
        <v>4163.16</v>
      </c>
      <c r="AT257" s="1">
        <v>4094.91</v>
      </c>
      <c r="AU257" s="1">
        <v>3705</v>
      </c>
      <c r="AW257" s="1">
        <v>4276.91</v>
      </c>
      <c r="AX257" s="1">
        <v>112.37</v>
      </c>
      <c r="AY257" s="1">
        <v>3863.63</v>
      </c>
      <c r="AZ257" s="1">
        <v>4069.06</v>
      </c>
      <c r="BA257" s="1">
        <v>115.17</v>
      </c>
      <c r="BB257" s="1">
        <v>128.99</v>
      </c>
      <c r="BC257" s="1">
        <v>123.78</v>
      </c>
      <c r="BD257" s="1">
        <v>125.71</v>
      </c>
      <c r="BE257" s="1">
        <v>120.8</v>
      </c>
      <c r="BF257" s="1">
        <v>117.81</v>
      </c>
      <c r="BG257" s="1">
        <v>128.15</v>
      </c>
      <c r="BH257" s="1">
        <v>116.41</v>
      </c>
      <c r="BI257" s="1">
        <v>124.68</v>
      </c>
      <c r="BJ257" s="1">
        <v>130.55000000000001</v>
      </c>
      <c r="BK257" s="1">
        <v>115.96</v>
      </c>
      <c r="BL257" s="1">
        <v>115.87</v>
      </c>
      <c r="BN257" s="1">
        <v>115.84</v>
      </c>
    </row>
    <row r="258" spans="1:66" x14ac:dyDescent="0.3">
      <c r="A258" s="2"/>
      <c r="C258" s="14" t="str">
        <f t="shared" si="4"/>
        <v>20253</v>
      </c>
      <c r="D258" s="3">
        <v>45736</v>
      </c>
      <c r="E258" s="21">
        <v>1936.3</v>
      </c>
      <c r="F258" s="21">
        <v>1796.74</v>
      </c>
      <c r="G258" s="21">
        <v>1875.6</v>
      </c>
      <c r="H258" s="21">
        <v>1917.88</v>
      </c>
      <c r="I258" s="21">
        <v>1864.72</v>
      </c>
      <c r="J258" s="21">
        <v>1910.93</v>
      </c>
      <c r="K258" s="21">
        <v>1878.22</v>
      </c>
      <c r="L258" s="21">
        <v>1784.09</v>
      </c>
      <c r="M258" s="21">
        <v>1692.72</v>
      </c>
      <c r="N258" s="21">
        <v>1808.98</v>
      </c>
      <c r="O258" s="21">
        <v>1812.18</v>
      </c>
      <c r="P258" s="21">
        <v>1853.75</v>
      </c>
      <c r="Q258" s="21">
        <v>6724.43</v>
      </c>
      <c r="R258" s="20">
        <v>113.98</v>
      </c>
      <c r="S258" s="20">
        <v>108.17</v>
      </c>
      <c r="T258" s="21">
        <v>120.01</v>
      </c>
      <c r="V258" s="1">
        <v>111.91</v>
      </c>
      <c r="W258" s="1">
        <v>125.02</v>
      </c>
      <c r="X258" s="1">
        <v>126.18</v>
      </c>
      <c r="Y258" s="1">
        <v>117.1</v>
      </c>
      <c r="Z258" s="1">
        <v>122.41</v>
      </c>
      <c r="AA258" s="1">
        <v>117.97</v>
      </c>
      <c r="AB258" s="1">
        <v>126.61</v>
      </c>
      <c r="AC258" s="1">
        <v>113.47</v>
      </c>
      <c r="AE258" s="1">
        <v>130.30000000000001</v>
      </c>
      <c r="AF258" s="1">
        <v>121.68</v>
      </c>
      <c r="AG258" s="1">
        <v>111.34</v>
      </c>
      <c r="AJ258" s="1">
        <v>30</v>
      </c>
      <c r="AL258" s="1">
        <v>30</v>
      </c>
      <c r="AN258" s="1">
        <v>4023.71</v>
      </c>
      <c r="AP258" s="1">
        <v>4036.67</v>
      </c>
      <c r="AQ258" s="1">
        <v>4088.88</v>
      </c>
      <c r="AR258" s="1">
        <v>3703.34</v>
      </c>
      <c r="AS258" s="1">
        <v>4160.1099999999997</v>
      </c>
      <c r="AT258" s="1">
        <v>4091.91</v>
      </c>
      <c r="AU258" s="1">
        <v>3705</v>
      </c>
      <c r="AW258" s="1">
        <v>4113.13</v>
      </c>
      <c r="AX258" s="1">
        <v>111.99</v>
      </c>
      <c r="AY258" s="1">
        <v>3797.9</v>
      </c>
      <c r="AZ258" s="1">
        <v>4014.77</v>
      </c>
      <c r="BA258" s="1">
        <v>115.15</v>
      </c>
      <c r="BB258" s="1">
        <v>129.82</v>
      </c>
      <c r="BC258" s="1">
        <v>124.25</v>
      </c>
      <c r="BD258" s="1">
        <v>125.81</v>
      </c>
      <c r="BE258" s="1">
        <v>119.27</v>
      </c>
      <c r="BF258" s="1">
        <v>118.8</v>
      </c>
      <c r="BG258" s="1">
        <v>128.71</v>
      </c>
      <c r="BH258" s="1">
        <v>115.61</v>
      </c>
      <c r="BI258" s="1">
        <v>124.71</v>
      </c>
      <c r="BJ258" s="1">
        <v>130.47999999999999</v>
      </c>
      <c r="BK258" s="1">
        <v>115.72</v>
      </c>
      <c r="BL258" s="1">
        <v>115.71</v>
      </c>
      <c r="BN258" s="1">
        <v>115.45</v>
      </c>
    </row>
    <row r="259" spans="1:66" x14ac:dyDescent="0.3">
      <c r="A259" s="2"/>
      <c r="C259" s="14" t="str">
        <f t="shared" si="4"/>
        <v>20253</v>
      </c>
      <c r="D259" s="3">
        <v>45735</v>
      </c>
      <c r="E259" s="21">
        <v>1907.73</v>
      </c>
      <c r="F259" s="21">
        <v>1841.69</v>
      </c>
      <c r="G259" s="21">
        <v>1895.4</v>
      </c>
      <c r="H259" s="21">
        <v>1916.67</v>
      </c>
      <c r="I259" s="21">
        <v>1895.4</v>
      </c>
      <c r="J259" s="21">
        <v>1902.36</v>
      </c>
      <c r="K259" s="21">
        <v>1908.07</v>
      </c>
      <c r="L259" s="21">
        <v>1789.11</v>
      </c>
      <c r="M259" s="21">
        <v>1721.49</v>
      </c>
      <c r="N259" s="21">
        <v>1850.99</v>
      </c>
      <c r="O259" s="21">
        <v>1797.86</v>
      </c>
      <c r="P259" s="21">
        <v>1878.82</v>
      </c>
      <c r="Q259" s="21">
        <v>6777.96</v>
      </c>
      <c r="R259" s="20">
        <v>113.32</v>
      </c>
      <c r="S259" s="20">
        <v>108.17</v>
      </c>
      <c r="T259" s="21">
        <v>117.47</v>
      </c>
      <c r="V259" s="1">
        <v>110.92</v>
      </c>
      <c r="W259" s="1">
        <v>123.01</v>
      </c>
      <c r="X259" s="1">
        <v>126.79</v>
      </c>
      <c r="Y259" s="1">
        <v>117.23</v>
      </c>
      <c r="Z259" s="1">
        <v>118.22</v>
      </c>
      <c r="AA259" s="1">
        <v>117.72</v>
      </c>
      <c r="AB259" s="1">
        <v>126.7</v>
      </c>
      <c r="AC259" s="1">
        <v>113.19</v>
      </c>
      <c r="AE259" s="1">
        <v>131.16999999999999</v>
      </c>
      <c r="AF259" s="1">
        <v>122.02</v>
      </c>
      <c r="AG259" s="1">
        <v>111.34</v>
      </c>
      <c r="AJ259" s="1">
        <v>30</v>
      </c>
      <c r="AL259" s="1">
        <v>30</v>
      </c>
      <c r="AN259" s="1">
        <v>4023.71</v>
      </c>
      <c r="AP259" s="1">
        <v>4036.67</v>
      </c>
      <c r="AQ259" s="1">
        <v>4044.55</v>
      </c>
      <c r="AR259" s="1">
        <v>3703.34</v>
      </c>
      <c r="AS259" s="1">
        <v>4160.1099999999997</v>
      </c>
      <c r="AT259" s="1">
        <v>4091.91</v>
      </c>
      <c r="AU259" s="1">
        <v>3705</v>
      </c>
      <c r="AW259" s="1">
        <v>4113.13</v>
      </c>
      <c r="AX259" s="1">
        <v>111.5</v>
      </c>
      <c r="AY259" s="1">
        <v>3797.9</v>
      </c>
      <c r="AZ259" s="1">
        <v>4014.77</v>
      </c>
      <c r="BA259" s="1">
        <v>114.04</v>
      </c>
      <c r="BB259" s="1">
        <v>128.66</v>
      </c>
      <c r="BC259" s="1">
        <v>124.48</v>
      </c>
      <c r="BD259" s="1">
        <v>125.24</v>
      </c>
      <c r="BE259" s="1">
        <v>118.78</v>
      </c>
      <c r="BF259" s="1">
        <v>118.3</v>
      </c>
      <c r="BG259" s="1">
        <v>130.22</v>
      </c>
      <c r="BH259" s="1">
        <v>115.61</v>
      </c>
      <c r="BI259" s="1">
        <v>125.08</v>
      </c>
      <c r="BJ259" s="1">
        <v>130.97999999999999</v>
      </c>
      <c r="BK259" s="1">
        <v>115.02</v>
      </c>
      <c r="BL259" s="1">
        <v>115.15</v>
      </c>
      <c r="BN259" s="1">
        <v>114.74</v>
      </c>
    </row>
    <row r="260" spans="1:66" x14ac:dyDescent="0.3">
      <c r="A260" s="2"/>
      <c r="C260" s="14" t="str">
        <f t="shared" si="4"/>
        <v>20253</v>
      </c>
      <c r="D260" s="3">
        <v>45734</v>
      </c>
      <c r="E260" s="21">
        <v>1923.88</v>
      </c>
      <c r="F260" s="21">
        <v>1841.78</v>
      </c>
      <c r="G260" s="21">
        <v>1887.98</v>
      </c>
      <c r="H260" s="21">
        <v>1985.66</v>
      </c>
      <c r="I260" s="21">
        <v>1872.29</v>
      </c>
      <c r="J260" s="21">
        <v>1903.19</v>
      </c>
      <c r="K260" s="21">
        <v>1889.26</v>
      </c>
      <c r="L260" s="21">
        <v>1742.78</v>
      </c>
      <c r="M260" s="21">
        <v>1688.17</v>
      </c>
      <c r="N260" s="21">
        <v>1850.87</v>
      </c>
      <c r="O260" s="21">
        <v>1842.78</v>
      </c>
      <c r="P260" s="21">
        <v>1849.5</v>
      </c>
      <c r="Q260" s="21">
        <v>6775.61</v>
      </c>
      <c r="R260" s="20">
        <v>113.98</v>
      </c>
      <c r="S260" s="20">
        <v>105.17</v>
      </c>
      <c r="T260" s="21">
        <v>119.57</v>
      </c>
      <c r="V260" s="1">
        <v>110.72</v>
      </c>
      <c r="W260" s="1">
        <v>123.34</v>
      </c>
      <c r="X260" s="1">
        <v>126.79</v>
      </c>
      <c r="Y260" s="1">
        <v>117.91</v>
      </c>
      <c r="Z260" s="1">
        <v>118.38</v>
      </c>
      <c r="AA260" s="1">
        <v>118.12</v>
      </c>
      <c r="AB260" s="1">
        <v>126.7</v>
      </c>
      <c r="AC260" s="1">
        <v>112.36</v>
      </c>
      <c r="AE260" s="1">
        <v>131.16999999999999</v>
      </c>
      <c r="AF260" s="1">
        <v>123.02</v>
      </c>
      <c r="AG260" s="1">
        <v>109.34</v>
      </c>
      <c r="AJ260" s="1">
        <v>30</v>
      </c>
      <c r="AN260" s="1">
        <v>4023.71</v>
      </c>
      <c r="AP260" s="1">
        <v>3975</v>
      </c>
      <c r="AQ260" s="1">
        <v>3947.94</v>
      </c>
      <c r="AR260" s="1">
        <v>3703.34</v>
      </c>
      <c r="AS260" s="1">
        <v>4152.53</v>
      </c>
      <c r="AT260" s="1">
        <v>4091.91</v>
      </c>
      <c r="AW260" s="1">
        <v>4113.13</v>
      </c>
      <c r="AX260" s="1">
        <v>110.37</v>
      </c>
      <c r="AY260" s="1">
        <v>3716.4</v>
      </c>
      <c r="AZ260" s="1">
        <v>4027.86</v>
      </c>
      <c r="BA260" s="1">
        <v>114.19</v>
      </c>
      <c r="BB260" s="1">
        <v>128.94</v>
      </c>
      <c r="BC260" s="1">
        <v>124.07</v>
      </c>
      <c r="BD260" s="1">
        <v>126</v>
      </c>
      <c r="BE260" s="1">
        <v>119.18</v>
      </c>
      <c r="BF260" s="1">
        <v>118.8</v>
      </c>
      <c r="BG260" s="1">
        <v>130.51</v>
      </c>
      <c r="BH260" s="1">
        <v>114.78</v>
      </c>
      <c r="BI260" s="1">
        <v>125.08</v>
      </c>
      <c r="BJ260" s="1">
        <v>130.97999999999999</v>
      </c>
      <c r="BK260" s="1">
        <v>116.47</v>
      </c>
      <c r="BL260" s="1">
        <v>116.54</v>
      </c>
      <c r="BN260" s="1">
        <v>116.45</v>
      </c>
    </row>
    <row r="261" spans="1:66" x14ac:dyDescent="0.3">
      <c r="A261" s="2"/>
      <c r="C261" s="14" t="str">
        <f t="shared" si="4"/>
        <v>20253</v>
      </c>
      <c r="D261" s="3">
        <v>45733</v>
      </c>
      <c r="E261" s="21">
        <v>1928.82</v>
      </c>
      <c r="F261" s="21">
        <v>1841.78</v>
      </c>
      <c r="G261" s="21">
        <v>1900.35</v>
      </c>
      <c r="H261" s="21">
        <v>1946.37</v>
      </c>
      <c r="I261" s="21">
        <v>1874.6</v>
      </c>
      <c r="J261" s="21">
        <v>1905.2</v>
      </c>
      <c r="K261" s="21">
        <v>1897.22</v>
      </c>
      <c r="L261" s="21">
        <v>1833.41</v>
      </c>
      <c r="M261" s="21">
        <v>1742.93</v>
      </c>
      <c r="N261" s="21">
        <v>1848.28</v>
      </c>
      <c r="O261" s="21">
        <v>1836.8</v>
      </c>
      <c r="P261" s="21">
        <v>1851.99</v>
      </c>
      <c r="Q261" s="21">
        <v>6775.61</v>
      </c>
      <c r="R261" s="20">
        <v>113.98</v>
      </c>
      <c r="S261" s="20">
        <v>105.17</v>
      </c>
      <c r="T261" s="21">
        <v>120.18</v>
      </c>
      <c r="V261" s="1">
        <v>111.02</v>
      </c>
      <c r="W261" s="1">
        <v>124.02</v>
      </c>
      <c r="X261" s="1">
        <v>126.79</v>
      </c>
      <c r="Y261" s="1">
        <v>118.88</v>
      </c>
      <c r="Z261" s="1">
        <v>118.51</v>
      </c>
      <c r="AA261" s="1">
        <v>117.58</v>
      </c>
      <c r="AB261" s="1">
        <v>126.7</v>
      </c>
      <c r="AC261" s="1">
        <v>112.91</v>
      </c>
      <c r="AE261" s="1">
        <v>131.16999999999999</v>
      </c>
      <c r="AF261" s="1">
        <v>123.29</v>
      </c>
      <c r="AG261" s="1">
        <v>109.34</v>
      </c>
      <c r="AJ261" s="1">
        <v>30</v>
      </c>
      <c r="AM261" s="1">
        <v>30</v>
      </c>
      <c r="AP261" s="1">
        <v>3975</v>
      </c>
      <c r="AQ261" s="1">
        <v>3947.94</v>
      </c>
      <c r="AR261" s="1">
        <v>3785</v>
      </c>
      <c r="AS261" s="1">
        <v>4137.38</v>
      </c>
      <c r="AT261" s="1">
        <v>4024.55</v>
      </c>
      <c r="AW261" s="1">
        <v>3992.56</v>
      </c>
      <c r="AX261" s="1">
        <v>110.36</v>
      </c>
      <c r="AY261" s="1">
        <v>3710.29</v>
      </c>
      <c r="AZ261" s="1">
        <v>4027.86</v>
      </c>
      <c r="BB261" s="1">
        <v>129.15</v>
      </c>
      <c r="BC261" s="1">
        <v>123.96</v>
      </c>
      <c r="BD261" s="1">
        <v>125.33</v>
      </c>
      <c r="BE261" s="1">
        <v>119.94</v>
      </c>
      <c r="BF261" s="1">
        <v>118.8</v>
      </c>
      <c r="BG261" s="1">
        <v>130.18</v>
      </c>
      <c r="BH261" s="1">
        <v>115.1</v>
      </c>
      <c r="BI261" s="1">
        <v>125.08</v>
      </c>
      <c r="BJ261" s="1">
        <v>130.97999999999999</v>
      </c>
      <c r="BK261" s="1">
        <v>115.42</v>
      </c>
      <c r="BL261" s="1">
        <v>115.57</v>
      </c>
      <c r="BN261" s="1">
        <v>115.21</v>
      </c>
    </row>
    <row r="262" spans="1:66" x14ac:dyDescent="0.3">
      <c r="A262" s="2"/>
      <c r="C262" s="14" t="str">
        <f t="shared" ref="C262:C325" si="5">YEAR(D262)&amp;MONTH(D262)</f>
        <v>20253</v>
      </c>
      <c r="D262" s="3">
        <v>45730</v>
      </c>
      <c r="E262" s="21">
        <v>1961.14</v>
      </c>
      <c r="F262" s="21">
        <v>1841.78</v>
      </c>
      <c r="G262" s="21">
        <v>1900.35</v>
      </c>
      <c r="H262" s="21">
        <v>1968.77</v>
      </c>
      <c r="I262" s="21">
        <v>1877.73</v>
      </c>
      <c r="J262" s="21">
        <v>1907.8</v>
      </c>
      <c r="K262" s="21">
        <v>1897.06</v>
      </c>
      <c r="L262" s="21">
        <v>1916.83</v>
      </c>
      <c r="M262" s="21">
        <v>1742.93</v>
      </c>
      <c r="N262" s="21">
        <v>1820.35</v>
      </c>
      <c r="O262" s="21">
        <v>1833.43</v>
      </c>
      <c r="P262" s="21">
        <v>1807.05</v>
      </c>
      <c r="Q262" s="21">
        <v>6800.36</v>
      </c>
      <c r="R262" s="20">
        <v>113.83</v>
      </c>
      <c r="S262" s="20">
        <v>104.43</v>
      </c>
      <c r="T262" s="21">
        <v>121.01</v>
      </c>
      <c r="V262" s="1">
        <v>111.38</v>
      </c>
      <c r="W262" s="1">
        <v>124.32</v>
      </c>
      <c r="X262" s="1">
        <v>127.18</v>
      </c>
      <c r="Y262" s="1">
        <v>118.96</v>
      </c>
      <c r="Z262" s="1">
        <v>118.6</v>
      </c>
      <c r="AA262" s="1">
        <v>116.42</v>
      </c>
      <c r="AB262" s="1">
        <v>126.9</v>
      </c>
      <c r="AE262" s="1">
        <v>131.55000000000001</v>
      </c>
      <c r="AF262" s="1">
        <v>121.64</v>
      </c>
      <c r="AG262" s="1">
        <v>106.99</v>
      </c>
      <c r="AJ262" s="1">
        <v>30</v>
      </c>
      <c r="AN262" s="1">
        <v>4023.71</v>
      </c>
      <c r="AP262" s="1">
        <v>3920</v>
      </c>
      <c r="AQ262" s="1">
        <v>3947.94</v>
      </c>
      <c r="AR262" s="1">
        <v>3785</v>
      </c>
      <c r="AS262" s="1">
        <v>4071.7</v>
      </c>
      <c r="AT262" s="1">
        <v>4024.55</v>
      </c>
      <c r="AU262" s="1">
        <v>3785.02</v>
      </c>
      <c r="AW262" s="1">
        <v>3940.36</v>
      </c>
      <c r="AX262" s="1">
        <v>110.54</v>
      </c>
      <c r="AY262" s="1">
        <v>3681.04</v>
      </c>
      <c r="AZ262" s="1">
        <v>4027.86</v>
      </c>
      <c r="BA262" s="1">
        <v>113.5</v>
      </c>
      <c r="BB262" s="1">
        <v>129.47999999999999</v>
      </c>
      <c r="BC262" s="1">
        <v>124.3</v>
      </c>
      <c r="BD262" s="1">
        <v>125.52</v>
      </c>
      <c r="BE262" s="1">
        <v>118.78</v>
      </c>
      <c r="BF262" s="1">
        <v>117.8</v>
      </c>
      <c r="BG262" s="1">
        <v>130.24</v>
      </c>
      <c r="BH262" s="1">
        <v>114.45</v>
      </c>
      <c r="BI262" s="1">
        <v>124.95</v>
      </c>
      <c r="BJ262" s="1">
        <v>130.15</v>
      </c>
      <c r="BK262" s="1">
        <v>115.99</v>
      </c>
      <c r="BL262" s="1">
        <v>115.82</v>
      </c>
      <c r="BN262" s="1">
        <v>115.88</v>
      </c>
    </row>
    <row r="263" spans="1:66" x14ac:dyDescent="0.3">
      <c r="A263" s="2"/>
      <c r="C263" s="14" t="str">
        <f t="shared" si="5"/>
        <v>20253</v>
      </c>
      <c r="D263" s="3">
        <v>45729</v>
      </c>
      <c r="E263" s="21">
        <v>1961.14</v>
      </c>
      <c r="F263" s="21">
        <v>1841.78</v>
      </c>
      <c r="G263" s="21">
        <v>1900.35</v>
      </c>
      <c r="H263" s="21">
        <v>1997.02</v>
      </c>
      <c r="I263" s="21">
        <v>1850.86</v>
      </c>
      <c r="J263" s="21">
        <v>1905.32</v>
      </c>
      <c r="K263" s="21">
        <v>1897.06</v>
      </c>
      <c r="L263" s="21">
        <v>1867.03</v>
      </c>
      <c r="M263" s="21">
        <v>1725.6</v>
      </c>
      <c r="N263" s="21">
        <v>1829.17</v>
      </c>
      <c r="O263" s="21">
        <v>1833.06</v>
      </c>
      <c r="P263" s="21">
        <v>1815.13</v>
      </c>
      <c r="Q263" s="21">
        <v>6812.6</v>
      </c>
      <c r="R263" s="20">
        <v>113.98</v>
      </c>
      <c r="S263" s="20">
        <v>104.13</v>
      </c>
      <c r="T263" s="21">
        <v>121.28</v>
      </c>
      <c r="V263" s="1">
        <v>111.82</v>
      </c>
      <c r="W263" s="1">
        <v>122.93</v>
      </c>
      <c r="X263" s="1">
        <v>127.23</v>
      </c>
      <c r="Y263" s="1">
        <v>118.56</v>
      </c>
      <c r="Z263" s="1">
        <v>118.79</v>
      </c>
      <c r="AA263" s="1">
        <v>117.32</v>
      </c>
      <c r="AB263" s="1">
        <v>127.15</v>
      </c>
      <c r="AE263" s="1">
        <v>131.77000000000001</v>
      </c>
      <c r="AF263" s="1">
        <v>122.29</v>
      </c>
      <c r="AG263" s="1">
        <v>107.18</v>
      </c>
      <c r="AJ263" s="1">
        <v>30</v>
      </c>
      <c r="AN263" s="1">
        <v>4023.71</v>
      </c>
      <c r="AP263" s="1">
        <v>3920</v>
      </c>
      <c r="AQ263" s="1">
        <v>3947.94</v>
      </c>
      <c r="AR263" s="1">
        <v>3785</v>
      </c>
      <c r="AS263" s="1">
        <v>4071.7</v>
      </c>
      <c r="AT263" s="1">
        <v>4051.5</v>
      </c>
      <c r="AU263" s="1">
        <v>3862.06</v>
      </c>
      <c r="AW263" s="1">
        <v>3940.36</v>
      </c>
      <c r="AX263" s="1">
        <v>110.53</v>
      </c>
      <c r="AY263" s="1">
        <v>3619.07</v>
      </c>
      <c r="AZ263" s="1">
        <v>4071.7</v>
      </c>
      <c r="BA263" s="1">
        <v>113.61</v>
      </c>
      <c r="BB263" s="1">
        <v>129.16999999999999</v>
      </c>
      <c r="BC263" s="1">
        <v>124.24</v>
      </c>
      <c r="BD263" s="1">
        <v>125.67</v>
      </c>
      <c r="BE263" s="1">
        <v>119.79</v>
      </c>
      <c r="BF263" s="1">
        <v>118.3</v>
      </c>
      <c r="BG263" s="1">
        <v>130.66999999999999</v>
      </c>
      <c r="BH263" s="1">
        <v>114.45</v>
      </c>
      <c r="BI263" s="1">
        <v>124.95</v>
      </c>
      <c r="BJ263" s="1">
        <v>130.15</v>
      </c>
      <c r="BK263" s="1">
        <v>116.72</v>
      </c>
      <c r="BL263" s="1">
        <v>116.88</v>
      </c>
      <c r="BN263" s="1">
        <v>116.85</v>
      </c>
    </row>
    <row r="264" spans="1:66" x14ac:dyDescent="0.3">
      <c r="A264" s="2"/>
      <c r="C264" s="14" t="str">
        <f t="shared" si="5"/>
        <v>20253</v>
      </c>
      <c r="D264" s="3">
        <v>45728</v>
      </c>
      <c r="E264" s="21">
        <v>1970.98</v>
      </c>
      <c r="F264" s="21">
        <v>1846.28</v>
      </c>
      <c r="G264" s="21">
        <v>1925.09</v>
      </c>
      <c r="H264" s="21">
        <v>2022.93</v>
      </c>
      <c r="I264" s="21">
        <v>1880.55</v>
      </c>
      <c r="J264" s="21">
        <v>1905.32</v>
      </c>
      <c r="K264" s="21">
        <v>1908.07</v>
      </c>
      <c r="L264" s="21">
        <v>1912.44</v>
      </c>
      <c r="M264" s="21">
        <v>1725.6</v>
      </c>
      <c r="N264" s="21">
        <v>1867.44</v>
      </c>
      <c r="O264" s="21">
        <v>1839.2</v>
      </c>
      <c r="P264" s="21">
        <v>1833.93</v>
      </c>
      <c r="Q264" s="21">
        <v>6812.6</v>
      </c>
      <c r="R264" s="20">
        <v>113.32</v>
      </c>
      <c r="S264" s="20">
        <v>104.13</v>
      </c>
      <c r="T264" s="21">
        <v>121.41</v>
      </c>
      <c r="V264" s="1">
        <v>112.02</v>
      </c>
      <c r="W264" s="1">
        <v>123.35</v>
      </c>
      <c r="X264" s="1">
        <v>127.01</v>
      </c>
      <c r="Y264" s="1">
        <v>118.86</v>
      </c>
      <c r="Z264" s="1">
        <v>119.57</v>
      </c>
      <c r="AA264" s="1">
        <v>117.32</v>
      </c>
      <c r="AB264" s="1">
        <v>127.14</v>
      </c>
      <c r="AE264" s="1">
        <v>131.77000000000001</v>
      </c>
      <c r="AF264" s="1">
        <v>121.95</v>
      </c>
      <c r="AG264" s="1">
        <v>107.07</v>
      </c>
      <c r="AJ264" s="1">
        <v>30</v>
      </c>
      <c r="AN264" s="1">
        <v>4023.71</v>
      </c>
      <c r="AP264" s="1">
        <v>3920</v>
      </c>
      <c r="AR264" s="1">
        <v>3785</v>
      </c>
      <c r="AS264" s="1">
        <v>4006.03</v>
      </c>
      <c r="AT264" s="1">
        <v>4051.5</v>
      </c>
      <c r="AU264" s="1">
        <v>3862.06</v>
      </c>
      <c r="AW264" s="1">
        <v>3940.36</v>
      </c>
      <c r="AX264" s="1">
        <v>110.77</v>
      </c>
      <c r="AY264" s="1">
        <v>3637.25</v>
      </c>
      <c r="AZ264" s="1">
        <v>4104.54</v>
      </c>
      <c r="BA264" s="1">
        <v>113.95</v>
      </c>
      <c r="BB264" s="1">
        <v>129.63999999999999</v>
      </c>
      <c r="BC264" s="1">
        <v>124.09</v>
      </c>
      <c r="BD264" s="1">
        <v>125.4</v>
      </c>
      <c r="BE264" s="1">
        <v>121.8</v>
      </c>
      <c r="BF264" s="1">
        <v>117.8</v>
      </c>
      <c r="BG264" s="1">
        <v>130.38</v>
      </c>
      <c r="BH264" s="1">
        <v>114.45</v>
      </c>
      <c r="BI264" s="1">
        <v>124.46</v>
      </c>
      <c r="BJ264" s="1">
        <v>130.15</v>
      </c>
      <c r="BK264" s="1">
        <v>116.69</v>
      </c>
      <c r="BL264" s="1">
        <v>116.75</v>
      </c>
      <c r="BN264" s="1">
        <v>116.99</v>
      </c>
    </row>
    <row r="265" spans="1:66" x14ac:dyDescent="0.3">
      <c r="A265" s="2"/>
      <c r="C265" s="14" t="str">
        <f t="shared" si="5"/>
        <v>20253</v>
      </c>
      <c r="D265" s="3">
        <v>45727</v>
      </c>
      <c r="E265" s="21">
        <v>1985.88</v>
      </c>
      <c r="F265" s="21">
        <v>1846.28</v>
      </c>
      <c r="G265" s="21">
        <v>1925.09</v>
      </c>
      <c r="H265" s="21">
        <v>2081.9</v>
      </c>
      <c r="I265" s="21">
        <v>1874.61</v>
      </c>
      <c r="J265" s="21">
        <v>1897.87</v>
      </c>
      <c r="K265" s="21">
        <v>1908.07</v>
      </c>
      <c r="L265" s="21">
        <v>1893.63</v>
      </c>
      <c r="M265" s="21">
        <v>1745.48</v>
      </c>
      <c r="N265" s="21">
        <v>1896.91</v>
      </c>
      <c r="O265" s="21">
        <v>1843.89</v>
      </c>
      <c r="P265" s="21">
        <v>1833.93</v>
      </c>
      <c r="Q265" s="21">
        <v>6837.6</v>
      </c>
      <c r="R265" s="20">
        <v>113.98</v>
      </c>
      <c r="S265" s="20">
        <v>103.73</v>
      </c>
      <c r="T265" s="21">
        <v>121.54</v>
      </c>
      <c r="V265" s="1">
        <v>112.79</v>
      </c>
      <c r="W265" s="1">
        <v>124.16</v>
      </c>
      <c r="X265" s="1">
        <v>126.9</v>
      </c>
      <c r="Y265" s="1">
        <v>119.95</v>
      </c>
      <c r="Z265" s="1">
        <v>120.7</v>
      </c>
      <c r="AA265" s="1">
        <v>117.78</v>
      </c>
      <c r="AB265" s="1">
        <v>127.15</v>
      </c>
      <c r="AC265" s="1">
        <v>111.86</v>
      </c>
      <c r="AE265" s="1">
        <v>131.57</v>
      </c>
      <c r="AF265" s="1">
        <v>124.31</v>
      </c>
      <c r="AG265" s="1">
        <v>107.18</v>
      </c>
      <c r="AJ265" s="1">
        <v>30</v>
      </c>
      <c r="AN265" s="1">
        <v>4023.71</v>
      </c>
      <c r="AP265" s="1">
        <v>4047</v>
      </c>
      <c r="AQ265" s="1">
        <v>4334.3999999999996</v>
      </c>
      <c r="AR265" s="1">
        <v>3785</v>
      </c>
      <c r="AS265" s="1">
        <v>4123.91</v>
      </c>
      <c r="AT265" s="1">
        <v>4024.55</v>
      </c>
      <c r="AU265" s="1">
        <v>3862.06</v>
      </c>
      <c r="AW265" s="1">
        <v>4046.45</v>
      </c>
      <c r="AX265" s="1">
        <v>110.76</v>
      </c>
      <c r="AY265" s="1">
        <v>3599.37</v>
      </c>
      <c r="AZ265" s="1">
        <v>4137.38</v>
      </c>
      <c r="BA265" s="1">
        <v>115.58</v>
      </c>
      <c r="BB265" s="1">
        <v>129.4</v>
      </c>
      <c r="BC265" s="1">
        <v>125.13</v>
      </c>
      <c r="BD265" s="1">
        <v>126.95</v>
      </c>
      <c r="BE265" s="1">
        <v>123.67</v>
      </c>
      <c r="BF265" s="1">
        <v>117.11</v>
      </c>
      <c r="BG265" s="1">
        <v>130.12</v>
      </c>
      <c r="BH265" s="1">
        <v>114.28</v>
      </c>
      <c r="BI265" s="1">
        <v>124.83</v>
      </c>
      <c r="BJ265" s="1">
        <v>131.63999999999999</v>
      </c>
      <c r="BK265" s="1">
        <v>117.35</v>
      </c>
      <c r="BL265" s="1">
        <v>116.95</v>
      </c>
      <c r="BN265" s="1">
        <v>116.49</v>
      </c>
    </row>
    <row r="266" spans="1:66" x14ac:dyDescent="0.3">
      <c r="A266" s="2"/>
      <c r="C266" s="14" t="str">
        <f t="shared" si="5"/>
        <v>20253</v>
      </c>
      <c r="D266" s="3">
        <v>45726</v>
      </c>
      <c r="E266" s="21">
        <v>1985.88</v>
      </c>
      <c r="F266" s="21">
        <v>1844.56</v>
      </c>
      <c r="G266" s="21">
        <v>1925.09</v>
      </c>
      <c r="H266" s="21">
        <v>2086.87</v>
      </c>
      <c r="I266" s="21">
        <v>1850.86</v>
      </c>
      <c r="J266" s="21">
        <v>1878.54</v>
      </c>
      <c r="K266" s="21">
        <v>1858.02</v>
      </c>
      <c r="L266" s="21">
        <v>1813.87</v>
      </c>
      <c r="M266" s="21">
        <v>1694.43</v>
      </c>
      <c r="N266" s="21">
        <v>1891.78</v>
      </c>
      <c r="O266" s="21">
        <v>1825.33</v>
      </c>
      <c r="P266" s="21">
        <v>1803.09</v>
      </c>
      <c r="Q266" s="21">
        <v>6837.6</v>
      </c>
      <c r="R266" s="20">
        <v>114.4</v>
      </c>
      <c r="S266" s="20">
        <v>104.13</v>
      </c>
      <c r="T266" s="21">
        <v>122.18</v>
      </c>
      <c r="V266" s="1">
        <v>113.34</v>
      </c>
      <c r="W266" s="1">
        <v>124.25</v>
      </c>
      <c r="X266" s="1">
        <v>127.31</v>
      </c>
      <c r="Y266" s="1">
        <v>120.89</v>
      </c>
      <c r="Z266" s="1">
        <v>122.59</v>
      </c>
      <c r="AA266" s="1">
        <v>117.59</v>
      </c>
      <c r="AB266" s="1">
        <v>126.81</v>
      </c>
      <c r="AE266" s="1">
        <v>131.57</v>
      </c>
      <c r="AF266" s="1">
        <v>123.8</v>
      </c>
      <c r="AG266" s="1">
        <v>107.51</v>
      </c>
      <c r="AJ266" s="1">
        <v>30</v>
      </c>
      <c r="AN266" s="1">
        <v>3874.69</v>
      </c>
      <c r="AP266" s="1">
        <v>4047</v>
      </c>
      <c r="AQ266" s="1">
        <v>4334.3999999999996</v>
      </c>
      <c r="AR266" s="1">
        <v>3785</v>
      </c>
      <c r="AS266" s="1">
        <v>4182.84</v>
      </c>
      <c r="AT266" s="1">
        <v>4091.91</v>
      </c>
      <c r="AU266" s="1">
        <v>3862.06</v>
      </c>
      <c r="AW266" s="1">
        <v>4093.6</v>
      </c>
      <c r="AX266" s="1">
        <v>110.75</v>
      </c>
      <c r="AY266" s="1">
        <v>3599.37</v>
      </c>
      <c r="AZ266" s="1">
        <v>4137.38</v>
      </c>
      <c r="BA266" s="1">
        <v>115.58</v>
      </c>
      <c r="BB266" s="1">
        <v>129.59</v>
      </c>
      <c r="BC266" s="1">
        <v>125.11</v>
      </c>
      <c r="BD266" s="1">
        <v>126.2</v>
      </c>
      <c r="BE266" s="1">
        <v>122.18</v>
      </c>
      <c r="BF266" s="1">
        <v>117.1</v>
      </c>
      <c r="BG266" s="1">
        <v>130.26</v>
      </c>
      <c r="BH266" s="1">
        <v>114.28</v>
      </c>
      <c r="BI266" s="1">
        <v>125</v>
      </c>
      <c r="BJ266" s="1">
        <v>130.94</v>
      </c>
      <c r="BK266" s="1">
        <v>118.02</v>
      </c>
      <c r="BL266" s="1">
        <v>117.75</v>
      </c>
      <c r="BN266" s="1">
        <v>117.48</v>
      </c>
    </row>
    <row r="267" spans="1:66" x14ac:dyDescent="0.3">
      <c r="A267" s="2"/>
      <c r="C267" s="14" t="str">
        <f t="shared" si="5"/>
        <v>20253</v>
      </c>
      <c r="D267" s="3">
        <v>45723</v>
      </c>
      <c r="E267" s="21">
        <v>1999.55</v>
      </c>
      <c r="F267" s="21">
        <v>1846.28</v>
      </c>
      <c r="G267" s="21">
        <v>1925.09</v>
      </c>
      <c r="H267" s="21">
        <v>2101.69</v>
      </c>
      <c r="I267" s="21">
        <v>1831.06</v>
      </c>
      <c r="J267" s="21">
        <v>1827.22</v>
      </c>
      <c r="K267" s="21">
        <v>1908.07</v>
      </c>
      <c r="L267" s="21">
        <v>1813.87</v>
      </c>
      <c r="M267" s="21">
        <v>1676.04</v>
      </c>
      <c r="N267" s="21">
        <v>1879.05</v>
      </c>
      <c r="O267" s="21">
        <v>1825.46</v>
      </c>
      <c r="P267" s="21">
        <v>1820.72</v>
      </c>
      <c r="Q267" s="21">
        <v>6837.6</v>
      </c>
      <c r="R267" s="20">
        <v>115.17</v>
      </c>
      <c r="S267" s="20">
        <v>105.21</v>
      </c>
      <c r="T267" s="21">
        <v>124.24</v>
      </c>
      <c r="V267" s="1">
        <v>111.18</v>
      </c>
      <c r="W267" s="1">
        <v>126.97</v>
      </c>
      <c r="X267" s="1">
        <v>126.79</v>
      </c>
      <c r="Y267" s="1">
        <v>121.44</v>
      </c>
      <c r="Z267" s="1">
        <v>126.2</v>
      </c>
      <c r="AA267" s="1">
        <v>117.96</v>
      </c>
      <c r="AB267" s="1">
        <v>126.37</v>
      </c>
      <c r="AE267" s="1">
        <v>131.57</v>
      </c>
      <c r="AF267" s="1">
        <v>120.65</v>
      </c>
      <c r="AG267" s="1">
        <v>107.55</v>
      </c>
      <c r="AP267" s="1">
        <v>4113.75</v>
      </c>
      <c r="AQ267" s="1">
        <v>4334.3999999999996</v>
      </c>
      <c r="AS267" s="1">
        <v>4182.84</v>
      </c>
      <c r="AT267" s="1">
        <v>4091.91</v>
      </c>
      <c r="AU267" s="1">
        <v>4016.14</v>
      </c>
      <c r="AW267" s="1">
        <v>4216.5200000000004</v>
      </c>
      <c r="AX267" s="1">
        <v>111.08</v>
      </c>
      <c r="AY267" s="1">
        <v>3586.74</v>
      </c>
      <c r="AZ267" s="1">
        <v>4137.38</v>
      </c>
      <c r="BA267" s="1">
        <v>117.03</v>
      </c>
      <c r="BB267" s="1">
        <v>130.22999999999999</v>
      </c>
      <c r="BC267" s="1">
        <v>128.47</v>
      </c>
      <c r="BD267" s="1">
        <v>128.35</v>
      </c>
      <c r="BE267" s="1">
        <v>122.1</v>
      </c>
      <c r="BF267" s="1">
        <v>118.16</v>
      </c>
      <c r="BG267" s="1">
        <v>130.46</v>
      </c>
      <c r="BH267" s="1">
        <v>116.79</v>
      </c>
      <c r="BI267" s="1">
        <v>124.83</v>
      </c>
      <c r="BJ267" s="1">
        <v>131.80000000000001</v>
      </c>
      <c r="BK267" s="1">
        <v>117.35</v>
      </c>
      <c r="BL267" s="1">
        <v>117.55</v>
      </c>
      <c r="BN267" s="1">
        <v>117.98</v>
      </c>
    </row>
    <row r="268" spans="1:66" x14ac:dyDescent="0.3">
      <c r="A268" s="2"/>
      <c r="C268" s="14" t="str">
        <f t="shared" si="5"/>
        <v>20253</v>
      </c>
      <c r="D268" s="3">
        <v>45722</v>
      </c>
      <c r="E268" s="21">
        <v>1999.55</v>
      </c>
      <c r="F268" s="21">
        <v>1844.56</v>
      </c>
      <c r="G268" s="21">
        <v>1925.09</v>
      </c>
      <c r="H268" s="21">
        <v>2123.39</v>
      </c>
      <c r="I268" s="21">
        <v>1812.92</v>
      </c>
      <c r="J268" s="21">
        <v>1843.51</v>
      </c>
      <c r="K268" s="21">
        <v>1844.27</v>
      </c>
      <c r="L268" s="21">
        <v>1784.18</v>
      </c>
      <c r="M268" s="21">
        <v>1685.58</v>
      </c>
      <c r="N268" s="21">
        <v>1850.07</v>
      </c>
      <c r="O268" s="21">
        <v>1787.93</v>
      </c>
      <c r="P268" s="21">
        <v>1803.09</v>
      </c>
      <c r="Q268" s="21">
        <v>6837.6</v>
      </c>
      <c r="R268" s="20">
        <v>113.47</v>
      </c>
      <c r="S268" s="20">
        <v>103.81</v>
      </c>
      <c r="T268" s="21">
        <v>123.7</v>
      </c>
      <c r="V268" s="1">
        <v>110.94</v>
      </c>
      <c r="W268" s="1">
        <v>126.37</v>
      </c>
      <c r="X268" s="1">
        <v>126.79</v>
      </c>
      <c r="Y268" s="1">
        <v>120.19</v>
      </c>
      <c r="Z268" s="1">
        <v>125.78</v>
      </c>
      <c r="AA268" s="1">
        <v>117.44</v>
      </c>
      <c r="AB268" s="1">
        <v>126.25</v>
      </c>
      <c r="AE268" s="1">
        <v>130.77000000000001</v>
      </c>
      <c r="AF268" s="1">
        <v>120.16</v>
      </c>
      <c r="AG268" s="1">
        <v>107.7</v>
      </c>
      <c r="AN268" s="1">
        <v>4163.51</v>
      </c>
      <c r="AP268" s="1">
        <v>4113.75</v>
      </c>
      <c r="AQ268" s="1">
        <v>4334.3999999999996</v>
      </c>
      <c r="AS268" s="1">
        <v>4145.8</v>
      </c>
      <c r="AW268" s="1">
        <v>4216.5200000000004</v>
      </c>
      <c r="AX268" s="1">
        <v>110.55</v>
      </c>
      <c r="AY268" s="1">
        <v>3594.82</v>
      </c>
      <c r="AZ268" s="1">
        <v>3982.92</v>
      </c>
      <c r="BA268" s="1">
        <v>113.82</v>
      </c>
      <c r="BB268" s="1">
        <v>129.52000000000001</v>
      </c>
      <c r="BC268" s="1">
        <v>125.38</v>
      </c>
      <c r="BD268" s="1">
        <v>126.93</v>
      </c>
      <c r="BE268" s="1">
        <v>121.34</v>
      </c>
      <c r="BF268" s="1">
        <v>116.46</v>
      </c>
      <c r="BG268" s="1">
        <v>130.82</v>
      </c>
      <c r="BH268" s="1">
        <v>113.99</v>
      </c>
      <c r="BI268" s="1">
        <v>124.83</v>
      </c>
      <c r="BJ268" s="1">
        <v>131.80000000000001</v>
      </c>
      <c r="BK268" s="1">
        <v>117.02</v>
      </c>
      <c r="BL268" s="1">
        <v>116.95</v>
      </c>
      <c r="BN268" s="1">
        <v>117.48</v>
      </c>
    </row>
    <row r="269" spans="1:66" x14ac:dyDescent="0.3">
      <c r="A269" s="2"/>
      <c r="C269" s="14" t="str">
        <f t="shared" si="5"/>
        <v>20253</v>
      </c>
      <c r="D269" s="3">
        <v>45721</v>
      </c>
      <c r="E269" s="21">
        <v>1999.55</v>
      </c>
      <c r="F269" s="21">
        <v>1849.06</v>
      </c>
      <c r="G269" s="21">
        <v>1925.09</v>
      </c>
      <c r="H269" s="21">
        <v>2095.11</v>
      </c>
      <c r="I269" s="21">
        <v>1866.7</v>
      </c>
      <c r="J269" s="21">
        <v>1838.61</v>
      </c>
      <c r="K269" s="21">
        <v>1908.07</v>
      </c>
      <c r="L269" s="21">
        <v>1840.24</v>
      </c>
      <c r="M269" s="21">
        <v>1687</v>
      </c>
      <c r="N269" s="21">
        <v>1688.67</v>
      </c>
      <c r="O269" s="21">
        <v>1791.66</v>
      </c>
      <c r="P269" s="21">
        <v>1833.93</v>
      </c>
      <c r="Q269" s="21">
        <v>6837.6</v>
      </c>
      <c r="R269" s="20">
        <v>112.61</v>
      </c>
      <c r="S269" s="20">
        <v>102.73</v>
      </c>
      <c r="T269" s="21">
        <v>122.66</v>
      </c>
      <c r="U269" s="1">
        <v>112.07</v>
      </c>
      <c r="V269" s="1">
        <v>110.77</v>
      </c>
      <c r="W269" s="1">
        <v>122.74</v>
      </c>
      <c r="X269" s="1">
        <v>126.57</v>
      </c>
      <c r="Y269" s="1">
        <v>120.76</v>
      </c>
      <c r="Z269" s="1">
        <v>123</v>
      </c>
      <c r="AA269" s="1">
        <v>116.87</v>
      </c>
      <c r="AB269" s="1">
        <v>125.81</v>
      </c>
      <c r="AE269" s="1">
        <v>131.16999999999999</v>
      </c>
      <c r="AF269" s="1">
        <v>123.3</v>
      </c>
      <c r="AG269" s="1">
        <v>106.04</v>
      </c>
      <c r="AN269" s="1">
        <v>4163.51</v>
      </c>
      <c r="AP269" s="1">
        <v>4126.3599999999997</v>
      </c>
      <c r="AQ269" s="1">
        <v>4334.3999999999996</v>
      </c>
      <c r="AR269" s="1">
        <v>3677.67</v>
      </c>
      <c r="AS269" s="1">
        <v>4145.8</v>
      </c>
      <c r="AT269" s="1">
        <v>4091.91</v>
      </c>
      <c r="AW269" s="1">
        <v>4364.71</v>
      </c>
      <c r="AX269" s="1">
        <v>110.34</v>
      </c>
      <c r="AY269" s="1">
        <v>3594.82</v>
      </c>
      <c r="AZ269" s="1">
        <v>3890.25</v>
      </c>
      <c r="BA269" s="1">
        <v>113.82</v>
      </c>
      <c r="BB269" s="1">
        <v>129.99</v>
      </c>
      <c r="BC269" s="1">
        <v>125.37</v>
      </c>
      <c r="BD269" s="1">
        <v>126.61</v>
      </c>
      <c r="BE269" s="1">
        <v>120.59</v>
      </c>
      <c r="BF269" s="1">
        <v>115.45</v>
      </c>
      <c r="BG269" s="1">
        <v>129.62</v>
      </c>
      <c r="BH269" s="1">
        <v>112.74</v>
      </c>
      <c r="BI269" s="1">
        <v>124.83</v>
      </c>
      <c r="BJ269" s="1">
        <v>129.66</v>
      </c>
      <c r="BK269" s="1">
        <v>116.69</v>
      </c>
      <c r="BL269" s="1">
        <v>117.15</v>
      </c>
      <c r="BN269" s="1">
        <v>116.99</v>
      </c>
    </row>
    <row r="270" spans="1:66" x14ac:dyDescent="0.3">
      <c r="A270" s="2"/>
      <c r="C270" s="14" t="str">
        <f t="shared" si="5"/>
        <v>20252</v>
      </c>
      <c r="D270" s="3">
        <v>45716</v>
      </c>
      <c r="E270" s="21">
        <v>2004.05</v>
      </c>
      <c r="F270" s="21">
        <v>1890.46</v>
      </c>
      <c r="G270" s="21">
        <v>1926.02</v>
      </c>
      <c r="H270" s="21">
        <v>2048.79</v>
      </c>
      <c r="I270" s="21">
        <v>1883.43</v>
      </c>
      <c r="J270" s="21">
        <v>1858.86</v>
      </c>
      <c r="K270" s="21">
        <v>1908.47</v>
      </c>
      <c r="L270" s="21">
        <v>1917.97</v>
      </c>
      <c r="M270" s="21">
        <v>1689.33</v>
      </c>
      <c r="N270" s="21">
        <v>1687.56</v>
      </c>
      <c r="O270" s="21">
        <v>1789.34</v>
      </c>
      <c r="P270" s="21">
        <v>1834.21</v>
      </c>
      <c r="Q270" s="21">
        <v>6862.92</v>
      </c>
      <c r="R270" s="20">
        <v>115.11</v>
      </c>
      <c r="S270" s="20">
        <v>103.93</v>
      </c>
      <c r="T270" s="21">
        <v>123.04</v>
      </c>
      <c r="U270" s="1">
        <v>112.07</v>
      </c>
      <c r="V270" s="1">
        <v>111.92</v>
      </c>
      <c r="W270" s="1">
        <v>125.89</v>
      </c>
      <c r="X270" s="1">
        <v>124.69</v>
      </c>
      <c r="Y270" s="1">
        <v>121.77</v>
      </c>
      <c r="Z270" s="1">
        <v>125.07</v>
      </c>
      <c r="AA270" s="1">
        <v>118.04</v>
      </c>
      <c r="AB270" s="1">
        <v>125.27</v>
      </c>
      <c r="AE270" s="1">
        <v>132</v>
      </c>
      <c r="AF270" s="1">
        <v>120.34</v>
      </c>
      <c r="AG270" s="1">
        <v>107.68</v>
      </c>
      <c r="AI270" s="1">
        <v>7</v>
      </c>
      <c r="AN270" s="1">
        <v>4131.26</v>
      </c>
      <c r="AP270" s="1">
        <v>4160</v>
      </c>
      <c r="AQ270" s="1">
        <v>4229.04</v>
      </c>
      <c r="AR270" s="1">
        <v>3675.87</v>
      </c>
      <c r="AS270" s="1">
        <v>4074.13</v>
      </c>
      <c r="AT270" s="1">
        <v>4102.75</v>
      </c>
      <c r="AU270" s="1">
        <v>3900</v>
      </c>
      <c r="AV270" s="1">
        <v>30</v>
      </c>
      <c r="AW270" s="1">
        <v>4125.37</v>
      </c>
      <c r="AX270" s="1">
        <v>110.1</v>
      </c>
      <c r="AY270" s="1">
        <v>3681.48</v>
      </c>
      <c r="AZ270" s="1">
        <v>3954.59</v>
      </c>
      <c r="BA270" s="1">
        <v>114.52</v>
      </c>
      <c r="BB270" s="1">
        <v>128.99</v>
      </c>
      <c r="BC270" s="1">
        <v>125.04</v>
      </c>
      <c r="BD270" s="1">
        <v>125.37</v>
      </c>
      <c r="BE270" s="1">
        <v>121.79</v>
      </c>
      <c r="BF270" s="1">
        <v>118.21</v>
      </c>
      <c r="BG270" s="1">
        <v>131.63999999999999</v>
      </c>
      <c r="BH270" s="1">
        <v>113.88</v>
      </c>
      <c r="BI270" s="1">
        <v>124.59</v>
      </c>
      <c r="BJ270" s="1">
        <v>128.72999999999999</v>
      </c>
      <c r="BK270" s="1">
        <v>118.02</v>
      </c>
      <c r="BL270" s="1">
        <v>117.55</v>
      </c>
      <c r="BN270" s="1">
        <v>118.49</v>
      </c>
    </row>
    <row r="271" spans="1:66" x14ac:dyDescent="0.3">
      <c r="A271" s="2"/>
      <c r="C271" s="14" t="str">
        <f t="shared" si="5"/>
        <v>20252</v>
      </c>
      <c r="D271" s="3">
        <v>45715</v>
      </c>
      <c r="E271" s="21">
        <v>2004.05</v>
      </c>
      <c r="F271" s="21">
        <v>1920.24</v>
      </c>
      <c r="G271" s="21">
        <v>1926.02</v>
      </c>
      <c r="H271" s="21">
        <v>2020.34</v>
      </c>
      <c r="I271" s="21">
        <v>1863.63</v>
      </c>
      <c r="J271" s="21">
        <v>1866.14</v>
      </c>
      <c r="K271" s="21">
        <v>1875.14</v>
      </c>
      <c r="L271" s="21">
        <v>1948.47</v>
      </c>
      <c r="M271" s="21">
        <v>1681.07</v>
      </c>
      <c r="N271" s="21">
        <v>1750.14</v>
      </c>
      <c r="O271" s="21">
        <v>1802.98</v>
      </c>
      <c r="P271" s="21">
        <v>1817.55</v>
      </c>
      <c r="Q271" s="21">
        <v>6862.92</v>
      </c>
      <c r="R271" s="20">
        <v>115.09</v>
      </c>
      <c r="S271" s="20">
        <v>102.71</v>
      </c>
      <c r="T271" s="21">
        <v>122.55</v>
      </c>
      <c r="U271" s="1">
        <v>111.44</v>
      </c>
      <c r="V271" s="1">
        <v>111.42</v>
      </c>
      <c r="W271" s="1">
        <v>125.66</v>
      </c>
      <c r="X271" s="1">
        <v>124.36</v>
      </c>
      <c r="Y271" s="1">
        <v>121.58</v>
      </c>
      <c r="Z271" s="1">
        <v>124.82</v>
      </c>
      <c r="AA271" s="1">
        <v>117.94</v>
      </c>
      <c r="AB271" s="1">
        <v>124.38</v>
      </c>
      <c r="AE271" s="1">
        <v>130.80000000000001</v>
      </c>
      <c r="AF271" s="1">
        <v>121.46</v>
      </c>
      <c r="AG271" s="1">
        <v>106.44</v>
      </c>
      <c r="AI271" s="1">
        <v>7</v>
      </c>
      <c r="AN271" s="1">
        <v>4101.04</v>
      </c>
      <c r="AP271" s="1">
        <v>4160</v>
      </c>
      <c r="AQ271" s="1">
        <v>4229.04</v>
      </c>
      <c r="AR271" s="1">
        <v>3675.87</v>
      </c>
      <c r="AS271" s="1">
        <v>4074.76</v>
      </c>
      <c r="AT271" s="1">
        <v>4109.18</v>
      </c>
      <c r="AU271" s="1">
        <v>3900</v>
      </c>
      <c r="AV271" s="1">
        <v>30</v>
      </c>
      <c r="AW271" s="1">
        <v>4125.37</v>
      </c>
      <c r="AX271" s="1">
        <v>110.79</v>
      </c>
      <c r="AY271" s="1">
        <v>3705.77</v>
      </c>
      <c r="AZ271" s="1">
        <v>3790.32</v>
      </c>
      <c r="BA271" s="1">
        <v>113.88</v>
      </c>
      <c r="BB271" s="1">
        <v>128.84</v>
      </c>
      <c r="BC271" s="1">
        <v>124.37</v>
      </c>
      <c r="BD271" s="1">
        <v>123.94</v>
      </c>
      <c r="BE271" s="1">
        <v>121.77</v>
      </c>
      <c r="BF271" s="1">
        <v>117.93</v>
      </c>
      <c r="BG271" s="1">
        <v>129.85</v>
      </c>
      <c r="BH271" s="1">
        <v>113.75</v>
      </c>
      <c r="BI271" s="1">
        <v>124.22</v>
      </c>
      <c r="BJ271" s="1">
        <v>129.72</v>
      </c>
      <c r="BK271" s="1">
        <v>117.29</v>
      </c>
      <c r="BL271" s="1">
        <v>117.97</v>
      </c>
      <c r="BN271" s="1">
        <v>118.36</v>
      </c>
    </row>
    <row r="272" spans="1:66" x14ac:dyDescent="0.3">
      <c r="A272" s="2"/>
      <c r="C272" s="14" t="str">
        <f t="shared" si="5"/>
        <v>20252</v>
      </c>
      <c r="D272" s="3">
        <v>45714</v>
      </c>
      <c r="E272" s="21">
        <v>1986.65</v>
      </c>
      <c r="F272" s="21">
        <v>1920.24</v>
      </c>
      <c r="G272" s="21">
        <v>1926.02</v>
      </c>
      <c r="H272" s="21">
        <v>2020.34</v>
      </c>
      <c r="I272" s="21">
        <v>1887.4</v>
      </c>
      <c r="J272" s="21">
        <v>1867.84</v>
      </c>
      <c r="K272" s="21">
        <v>1875.14</v>
      </c>
      <c r="L272" s="21">
        <v>1956.81</v>
      </c>
      <c r="M272" s="21">
        <v>1608.07</v>
      </c>
      <c r="N272" s="21">
        <v>1783.26</v>
      </c>
      <c r="O272" s="21">
        <v>1777.06</v>
      </c>
      <c r="P272" s="21">
        <v>1817.55</v>
      </c>
      <c r="Q272" s="21">
        <v>6862.92</v>
      </c>
      <c r="R272" s="20">
        <v>114.23</v>
      </c>
      <c r="S272" s="20">
        <v>102.21</v>
      </c>
      <c r="T272" s="21">
        <v>122.24</v>
      </c>
      <c r="U272" s="1">
        <v>111.44</v>
      </c>
      <c r="V272" s="1">
        <v>111.32</v>
      </c>
      <c r="W272" s="1">
        <v>124.84</v>
      </c>
      <c r="X272" s="1">
        <v>124.36</v>
      </c>
      <c r="Y272" s="1">
        <v>120.71</v>
      </c>
      <c r="Z272" s="1">
        <v>123.75</v>
      </c>
      <c r="AA272" s="1">
        <v>117.37</v>
      </c>
      <c r="AB272" s="1">
        <v>124.38</v>
      </c>
      <c r="AE272" s="1">
        <v>130.30000000000001</v>
      </c>
      <c r="AF272" s="1">
        <v>120.74</v>
      </c>
      <c r="AG272" s="1">
        <v>106.24</v>
      </c>
      <c r="AI272" s="1">
        <v>7</v>
      </c>
      <c r="AJ272" s="1">
        <v>30</v>
      </c>
      <c r="AN272" s="1">
        <v>4101.04</v>
      </c>
      <c r="AP272" s="1">
        <v>4170</v>
      </c>
      <c r="AQ272" s="1">
        <v>4252.49</v>
      </c>
      <c r="AR272" s="1">
        <v>3800</v>
      </c>
      <c r="AS272" s="1">
        <v>4074.76</v>
      </c>
      <c r="AT272" s="1">
        <v>4109.18</v>
      </c>
      <c r="AU272" s="1">
        <v>3900</v>
      </c>
      <c r="AV272" s="1">
        <v>30</v>
      </c>
      <c r="AW272" s="1">
        <v>4125.37</v>
      </c>
      <c r="AX272" s="1">
        <v>112.98</v>
      </c>
      <c r="AY272" s="1">
        <v>3705.77</v>
      </c>
      <c r="AZ272" s="1">
        <v>3790.32</v>
      </c>
      <c r="BA272" s="1">
        <v>115.14</v>
      </c>
      <c r="BB272" s="1">
        <v>127.57</v>
      </c>
      <c r="BC272" s="1">
        <v>123.64</v>
      </c>
      <c r="BD272" s="1">
        <v>124.22</v>
      </c>
      <c r="BE272" s="1">
        <v>121.36</v>
      </c>
      <c r="BF272" s="1">
        <v>117.07</v>
      </c>
      <c r="BG272" s="1">
        <v>129.85</v>
      </c>
      <c r="BH272" s="1">
        <v>114.99</v>
      </c>
      <c r="BI272" s="1">
        <v>124.22</v>
      </c>
      <c r="BJ272" s="1">
        <v>130.22</v>
      </c>
      <c r="BK272" s="1">
        <v>115.69</v>
      </c>
      <c r="BL272" s="1">
        <v>116.15</v>
      </c>
      <c r="BN272" s="1">
        <v>116.24</v>
      </c>
    </row>
    <row r="273" spans="1:66" x14ac:dyDescent="0.3">
      <c r="A273" s="2"/>
      <c r="C273" s="14" t="str">
        <f t="shared" si="5"/>
        <v>20252</v>
      </c>
      <c r="D273" s="3">
        <v>45713</v>
      </c>
      <c r="E273" s="21">
        <v>1976.7</v>
      </c>
      <c r="F273" s="21">
        <v>1948.07</v>
      </c>
      <c r="G273" s="21">
        <v>1955.72</v>
      </c>
      <c r="H273" s="21">
        <v>2058.1999999999998</v>
      </c>
      <c r="I273" s="21">
        <v>1869.5</v>
      </c>
      <c r="J273" s="21">
        <v>1852.17</v>
      </c>
      <c r="K273" s="21">
        <v>1845.08</v>
      </c>
      <c r="L273" s="21">
        <v>2010.42</v>
      </c>
      <c r="M273" s="21">
        <v>1593.61</v>
      </c>
      <c r="N273" s="21">
        <v>1793.53</v>
      </c>
      <c r="O273" s="21">
        <v>1742.33</v>
      </c>
      <c r="P273" s="21">
        <v>1800.66</v>
      </c>
      <c r="Q273" s="21">
        <v>6862.92</v>
      </c>
      <c r="R273" s="20">
        <v>114.21</v>
      </c>
      <c r="S273" s="20">
        <v>102.21</v>
      </c>
      <c r="T273" s="21">
        <v>122.38</v>
      </c>
      <c r="U273" s="1">
        <v>111.44</v>
      </c>
      <c r="V273" s="1">
        <v>112.52</v>
      </c>
      <c r="W273" s="1">
        <v>124.15</v>
      </c>
      <c r="X273" s="1">
        <v>124.36</v>
      </c>
      <c r="Y273" s="1">
        <v>120.88</v>
      </c>
      <c r="Z273" s="1">
        <v>123.71</v>
      </c>
      <c r="AA273" s="1">
        <v>117.43</v>
      </c>
      <c r="AB273" s="1">
        <v>124.26</v>
      </c>
      <c r="AE273" s="1">
        <v>130.88999999999999</v>
      </c>
      <c r="AF273" s="1">
        <v>120.12</v>
      </c>
      <c r="AG273" s="1">
        <v>105.93</v>
      </c>
      <c r="AI273" s="1">
        <v>7</v>
      </c>
      <c r="AJ273" s="1">
        <v>30</v>
      </c>
      <c r="AN273" s="1">
        <v>4101.04</v>
      </c>
      <c r="AP273" s="1">
        <v>4170</v>
      </c>
      <c r="AQ273" s="1">
        <v>4218.3</v>
      </c>
      <c r="AR273" s="1">
        <v>3800</v>
      </c>
      <c r="AS273" s="1">
        <v>3999.86</v>
      </c>
      <c r="AT273" s="1">
        <v>4181.46</v>
      </c>
      <c r="AU273" s="1">
        <v>3943.48</v>
      </c>
      <c r="AW273" s="1">
        <v>4036.79</v>
      </c>
      <c r="AX273" s="1">
        <v>112.28</v>
      </c>
      <c r="AY273" s="1">
        <v>3702.03</v>
      </c>
      <c r="AZ273" s="1">
        <v>3790.32</v>
      </c>
      <c r="BA273" s="1">
        <v>112.04</v>
      </c>
      <c r="BB273" s="1">
        <v>127.27</v>
      </c>
      <c r="BC273" s="1">
        <v>123.59</v>
      </c>
      <c r="BD273" s="1">
        <v>124.83</v>
      </c>
      <c r="BE273" s="1">
        <v>121.25</v>
      </c>
      <c r="BF273" s="1">
        <v>117.05</v>
      </c>
      <c r="BG273" s="1">
        <v>130.24</v>
      </c>
      <c r="BH273" s="1">
        <v>113.38</v>
      </c>
      <c r="BI273" s="1">
        <v>123.85</v>
      </c>
      <c r="BJ273" s="1">
        <v>130.05000000000001</v>
      </c>
      <c r="BK273" s="1">
        <v>115.69</v>
      </c>
      <c r="BL273" s="1">
        <v>116.15</v>
      </c>
      <c r="BN273" s="1">
        <v>116.24</v>
      </c>
    </row>
    <row r="274" spans="1:66" x14ac:dyDescent="0.3">
      <c r="A274" s="2"/>
      <c r="C274" s="14" t="str">
        <f t="shared" si="5"/>
        <v>20252</v>
      </c>
      <c r="D274" s="3">
        <v>45712</v>
      </c>
      <c r="E274" s="21">
        <v>1976.71</v>
      </c>
      <c r="F274" s="21">
        <v>1974.7</v>
      </c>
      <c r="G274" s="21">
        <v>1963.15</v>
      </c>
      <c r="H274" s="21">
        <v>2005.47</v>
      </c>
      <c r="I274" s="21">
        <v>1899.28</v>
      </c>
      <c r="J274" s="21">
        <v>1874.76</v>
      </c>
      <c r="K274" s="21">
        <v>1875.14</v>
      </c>
      <c r="L274" s="21"/>
      <c r="M274" s="21">
        <v>1593.61</v>
      </c>
      <c r="N274" s="21">
        <v>1749.28</v>
      </c>
      <c r="O274" s="21">
        <v>1768.91</v>
      </c>
      <c r="P274" s="21">
        <v>1817.55</v>
      </c>
      <c r="Q274" s="21">
        <v>6862.92</v>
      </c>
      <c r="R274" s="20">
        <v>113.08</v>
      </c>
      <c r="S274" s="20">
        <v>102.33</v>
      </c>
      <c r="T274" s="21">
        <v>121.97</v>
      </c>
      <c r="U274" s="1">
        <v>111.44</v>
      </c>
      <c r="V274" s="1">
        <v>112.66</v>
      </c>
      <c r="W274" s="1">
        <v>123.84</v>
      </c>
      <c r="X274" s="1">
        <v>124.36</v>
      </c>
      <c r="Y274" s="1">
        <v>119.77</v>
      </c>
      <c r="Z274" s="1">
        <v>123.32</v>
      </c>
      <c r="AA274" s="1">
        <v>117.27</v>
      </c>
      <c r="AB274" s="1">
        <v>124.27</v>
      </c>
      <c r="AE274" s="1">
        <v>131.46</v>
      </c>
      <c r="AF274" s="1">
        <v>122.33</v>
      </c>
      <c r="AG274" s="1">
        <v>106.2</v>
      </c>
      <c r="AI274" s="1">
        <v>7</v>
      </c>
      <c r="AJ274" s="1">
        <v>30</v>
      </c>
      <c r="AN274" s="1">
        <v>4101.04</v>
      </c>
      <c r="AP274" s="1">
        <v>4185</v>
      </c>
      <c r="AQ274" s="1">
        <v>4291.88</v>
      </c>
      <c r="AR274" s="1">
        <v>3800</v>
      </c>
      <c r="AS274" s="1">
        <v>4069.71</v>
      </c>
      <c r="AT274" s="1">
        <v>4285.59</v>
      </c>
      <c r="AU274" s="1">
        <v>3943.48</v>
      </c>
      <c r="AW274" s="1">
        <v>3999.9</v>
      </c>
      <c r="AX274" s="1">
        <v>110.81</v>
      </c>
      <c r="AY274" s="1">
        <v>3769.7</v>
      </c>
      <c r="AZ274" s="1">
        <v>3944.49</v>
      </c>
      <c r="BA274" s="1">
        <v>113.57</v>
      </c>
      <c r="BB274" s="1">
        <v>128.5</v>
      </c>
      <c r="BC274" s="1">
        <v>123.34</v>
      </c>
      <c r="BD274" s="1">
        <v>122.97</v>
      </c>
      <c r="BE274" s="1">
        <v>121.82</v>
      </c>
      <c r="BF274" s="1">
        <v>116.17</v>
      </c>
      <c r="BG274" s="1">
        <v>130.24</v>
      </c>
      <c r="BH274" s="1">
        <v>112.66</v>
      </c>
      <c r="BI274" s="1">
        <v>123.85</v>
      </c>
      <c r="BJ274" s="1">
        <v>130.05000000000001</v>
      </c>
      <c r="BK274" s="1">
        <v>115.36</v>
      </c>
      <c r="BL274" s="1">
        <v>115.55</v>
      </c>
      <c r="BN274" s="1">
        <v>115.74</v>
      </c>
    </row>
    <row r="275" spans="1:66" x14ac:dyDescent="0.3">
      <c r="A275" s="2"/>
      <c r="C275" s="14" t="str">
        <f t="shared" si="5"/>
        <v>20252</v>
      </c>
      <c r="D275" s="3">
        <v>45709</v>
      </c>
      <c r="E275" s="21">
        <v>1977.94</v>
      </c>
      <c r="F275" s="21">
        <v>1980.48</v>
      </c>
      <c r="G275" s="21">
        <v>1968.1</v>
      </c>
      <c r="H275" s="21">
        <v>2016.08</v>
      </c>
      <c r="I275" s="21">
        <v>1899.28</v>
      </c>
      <c r="J275" s="21">
        <v>1880.47</v>
      </c>
      <c r="K275" s="21">
        <v>1875.14</v>
      </c>
      <c r="L275" s="21">
        <v>1809.36</v>
      </c>
      <c r="M275" s="21">
        <v>1591.72</v>
      </c>
      <c r="N275" s="21">
        <v>1763.45</v>
      </c>
      <c r="O275" s="21">
        <v>1760.94</v>
      </c>
      <c r="P275" s="21">
        <v>1812.53</v>
      </c>
      <c r="Q275" s="21">
        <v>6812.92</v>
      </c>
      <c r="R275" s="20">
        <v>112.63</v>
      </c>
      <c r="S275" s="20">
        <v>102.67</v>
      </c>
      <c r="T275" s="21">
        <v>122.11</v>
      </c>
      <c r="U275" s="1">
        <v>111.44</v>
      </c>
      <c r="V275" s="1">
        <v>111.89</v>
      </c>
      <c r="W275" s="1">
        <v>121.05</v>
      </c>
      <c r="X275" s="1">
        <v>124.25</v>
      </c>
      <c r="Y275" s="1">
        <v>119.43</v>
      </c>
      <c r="Z275" s="1">
        <v>117.29</v>
      </c>
      <c r="AA275" s="1">
        <v>116.56</v>
      </c>
      <c r="AB275" s="1">
        <v>123.82</v>
      </c>
      <c r="AE275" s="1">
        <v>131.87</v>
      </c>
      <c r="AF275" s="1">
        <v>122.7</v>
      </c>
      <c r="AG275" s="1">
        <v>105.42</v>
      </c>
      <c r="AI275" s="1">
        <v>15</v>
      </c>
      <c r="AJ275" s="1">
        <v>30</v>
      </c>
      <c r="AK275" s="1">
        <v>7</v>
      </c>
      <c r="AN275" s="1">
        <v>4096.1499999999996</v>
      </c>
      <c r="AP275" s="1">
        <v>4308</v>
      </c>
      <c r="AQ275" s="1">
        <v>4291.88</v>
      </c>
      <c r="AR275" s="1">
        <v>3800</v>
      </c>
      <c r="AS275" s="1">
        <v>4191.3900000000003</v>
      </c>
      <c r="AT275" s="1">
        <v>4493.8500000000004</v>
      </c>
      <c r="AU275" s="1">
        <v>3941.31</v>
      </c>
      <c r="AW275" s="1">
        <v>3994.98</v>
      </c>
      <c r="AX275" s="1">
        <v>110.31</v>
      </c>
      <c r="AY275" s="1">
        <v>3781.9</v>
      </c>
      <c r="AZ275" s="1">
        <v>3982.23</v>
      </c>
      <c r="BA275" s="1">
        <v>113.57</v>
      </c>
      <c r="BB275" s="1">
        <v>128.13</v>
      </c>
      <c r="BC275" s="1">
        <v>123.25</v>
      </c>
      <c r="BD275" s="1">
        <v>124.76</v>
      </c>
      <c r="BE275" s="1">
        <v>121.58</v>
      </c>
      <c r="BF275" s="1">
        <v>115.42</v>
      </c>
      <c r="BG275" s="1">
        <v>131.04</v>
      </c>
      <c r="BH275" s="1">
        <v>113.16</v>
      </c>
      <c r="BI275" s="1">
        <v>123.85</v>
      </c>
      <c r="BJ275" s="1">
        <v>129.72</v>
      </c>
      <c r="BK275" s="1">
        <v>115.02</v>
      </c>
      <c r="BL275" s="1">
        <v>115.16</v>
      </c>
      <c r="BN275" s="1">
        <v>114.99</v>
      </c>
    </row>
    <row r="276" spans="1:66" x14ac:dyDescent="0.3">
      <c r="A276" s="2"/>
      <c r="C276" s="14" t="str">
        <f t="shared" si="5"/>
        <v>20252</v>
      </c>
      <c r="D276" s="3">
        <v>45708</v>
      </c>
      <c r="E276" s="21">
        <v>1972.97</v>
      </c>
      <c r="F276" s="21">
        <v>1980.48</v>
      </c>
      <c r="G276" s="21">
        <v>1968.1</v>
      </c>
      <c r="H276" s="21">
        <v>2094.5700000000002</v>
      </c>
      <c r="I276" s="21">
        <v>1899.28</v>
      </c>
      <c r="J276" s="21">
        <v>1881.89</v>
      </c>
      <c r="K276" s="21">
        <v>1963.89</v>
      </c>
      <c r="L276" s="21">
        <v>1823.62</v>
      </c>
      <c r="M276" s="21">
        <v>1619.19</v>
      </c>
      <c r="N276" s="21">
        <v>1775.79</v>
      </c>
      <c r="O276" s="21">
        <v>1773.51</v>
      </c>
      <c r="P276" s="21">
        <v>1811.15</v>
      </c>
      <c r="Q276" s="21">
        <v>6713.89</v>
      </c>
      <c r="R276" s="20">
        <v>113.54</v>
      </c>
      <c r="S276" s="20">
        <v>102.32</v>
      </c>
      <c r="T276" s="21">
        <v>121.45</v>
      </c>
      <c r="U276" s="1">
        <v>111.44</v>
      </c>
      <c r="V276" s="1">
        <v>111.89</v>
      </c>
      <c r="W276" s="1">
        <v>120.55</v>
      </c>
      <c r="X276" s="1">
        <v>124.36</v>
      </c>
      <c r="Y276" s="1">
        <v>118.77</v>
      </c>
      <c r="Z276" s="1">
        <v>117.13</v>
      </c>
      <c r="AA276" s="1">
        <v>116.6</v>
      </c>
      <c r="AB276" s="1">
        <v>123.92</v>
      </c>
      <c r="AE276" s="1">
        <v>131.41</v>
      </c>
      <c r="AF276" s="1">
        <v>122.7</v>
      </c>
      <c r="AG276" s="1">
        <v>105.48</v>
      </c>
      <c r="AI276" s="1">
        <v>15</v>
      </c>
      <c r="AJ276" s="1">
        <v>30</v>
      </c>
      <c r="AK276" s="1">
        <v>7</v>
      </c>
      <c r="AN276" s="1">
        <v>4096.1499999999996</v>
      </c>
      <c r="AP276" s="1">
        <v>4185</v>
      </c>
      <c r="AQ276" s="1">
        <v>4377.71</v>
      </c>
      <c r="AR276" s="1">
        <v>3800</v>
      </c>
      <c r="AS276" s="1">
        <v>4191.3900000000003</v>
      </c>
      <c r="AT276" s="1">
        <v>4493.8500000000004</v>
      </c>
      <c r="AU276" s="1">
        <v>3941.31</v>
      </c>
      <c r="AW276" s="1">
        <v>3994.98</v>
      </c>
      <c r="AX276" s="1">
        <v>110.3</v>
      </c>
      <c r="AY276" s="1">
        <v>3869.76</v>
      </c>
      <c r="AZ276" s="1">
        <v>3982.23</v>
      </c>
      <c r="BA276" s="1">
        <v>113.57</v>
      </c>
      <c r="BB276" s="1">
        <v>127.75</v>
      </c>
      <c r="BC276" s="1">
        <v>122.88</v>
      </c>
      <c r="BD276" s="1">
        <v>122.33</v>
      </c>
      <c r="BE276" s="1">
        <v>121.86</v>
      </c>
      <c r="BF276" s="1">
        <v>115.81</v>
      </c>
      <c r="BG276" s="1">
        <v>130.62</v>
      </c>
      <c r="BH276" s="1">
        <v>113.16</v>
      </c>
      <c r="BI276" s="1">
        <v>123.85</v>
      </c>
      <c r="BJ276" s="1">
        <v>128.72999999999999</v>
      </c>
      <c r="BK276" s="1">
        <v>115.02</v>
      </c>
      <c r="BL276" s="1">
        <v>114.96</v>
      </c>
      <c r="BN276" s="1">
        <v>114.99</v>
      </c>
    </row>
    <row r="277" spans="1:66" x14ac:dyDescent="0.3">
      <c r="A277" s="2"/>
      <c r="C277" s="14" t="str">
        <f t="shared" si="5"/>
        <v>20252</v>
      </c>
      <c r="D277" s="3">
        <v>45707</v>
      </c>
      <c r="E277" s="21">
        <v>1963.05</v>
      </c>
      <c r="F277" s="21">
        <v>1980.48</v>
      </c>
      <c r="G277" s="21">
        <v>1963.15</v>
      </c>
      <c r="H277" s="21">
        <v>2072.9699999999998</v>
      </c>
      <c r="I277" s="21">
        <v>1899.28</v>
      </c>
      <c r="J277" s="21">
        <v>1863.87</v>
      </c>
      <c r="K277" s="21">
        <v>1934.31</v>
      </c>
      <c r="L277" s="21">
        <v>1836.67</v>
      </c>
      <c r="M277" s="21">
        <v>1619.19</v>
      </c>
      <c r="N277" s="21">
        <v>1780.05</v>
      </c>
      <c r="O277" s="21">
        <v>1761.6</v>
      </c>
      <c r="P277" s="21">
        <v>1818.33</v>
      </c>
      <c r="Q277" s="21">
        <v>6763.89</v>
      </c>
      <c r="R277" s="20">
        <v>113.52</v>
      </c>
      <c r="S277" s="20">
        <v>101.63</v>
      </c>
      <c r="T277" s="21">
        <v>121.49</v>
      </c>
      <c r="U277" s="1">
        <v>111.44</v>
      </c>
      <c r="V277" s="1">
        <v>111.74</v>
      </c>
      <c r="W277" s="1">
        <v>122.57</v>
      </c>
      <c r="X277" s="1">
        <v>124.25</v>
      </c>
      <c r="Y277" s="1">
        <v>118.64</v>
      </c>
      <c r="Z277" s="1">
        <v>121.87</v>
      </c>
      <c r="AA277" s="1">
        <v>116.66</v>
      </c>
      <c r="AB277" s="1">
        <v>123.67</v>
      </c>
      <c r="AE277" s="1">
        <v>131.54</v>
      </c>
      <c r="AF277" s="1">
        <v>119.73</v>
      </c>
      <c r="AG277" s="1">
        <v>105.7</v>
      </c>
      <c r="AI277" s="1">
        <v>15</v>
      </c>
      <c r="AJ277" s="1">
        <v>30</v>
      </c>
      <c r="AK277" s="1">
        <v>7</v>
      </c>
      <c r="AN277" s="1">
        <v>4096.1499999999996</v>
      </c>
      <c r="AP277" s="1">
        <v>4185</v>
      </c>
      <c r="AQ277" s="1">
        <v>4248.96</v>
      </c>
      <c r="AR277" s="1">
        <v>3791.3</v>
      </c>
      <c r="AS277" s="1">
        <v>4229.01</v>
      </c>
      <c r="AT277" s="1">
        <v>4216.1400000000003</v>
      </c>
      <c r="AU277" s="1">
        <v>3933.38</v>
      </c>
      <c r="AW277" s="1">
        <v>3994.98</v>
      </c>
      <c r="AX277" s="1">
        <v>110.32</v>
      </c>
      <c r="AY277" s="1">
        <v>3869.76</v>
      </c>
      <c r="AZ277" s="1">
        <v>3982.23</v>
      </c>
      <c r="BA277" s="1">
        <v>113.08</v>
      </c>
      <c r="BB277" s="1">
        <v>127.16</v>
      </c>
      <c r="BC277" s="1">
        <v>122.29</v>
      </c>
      <c r="BD277" s="1">
        <v>124.85</v>
      </c>
      <c r="BE277" s="1">
        <v>120.28</v>
      </c>
      <c r="BF277" s="1">
        <v>116.07</v>
      </c>
      <c r="BG277" s="1">
        <v>131.12</v>
      </c>
      <c r="BH277" s="1">
        <v>112.91</v>
      </c>
      <c r="BI277" s="1">
        <v>123.85</v>
      </c>
      <c r="BJ277" s="1">
        <v>129.22999999999999</v>
      </c>
      <c r="BK277" s="1">
        <v>114.62</v>
      </c>
      <c r="BL277" s="1">
        <v>114.97</v>
      </c>
      <c r="BN277" s="1">
        <v>114.68</v>
      </c>
    </row>
    <row r="278" spans="1:66" x14ac:dyDescent="0.3">
      <c r="A278" s="2"/>
      <c r="C278" s="14" t="str">
        <f t="shared" si="5"/>
        <v>20252</v>
      </c>
      <c r="D278" s="3">
        <v>45706</v>
      </c>
      <c r="E278" s="21">
        <v>1977.46</v>
      </c>
      <c r="F278" s="21">
        <v>1980.48</v>
      </c>
      <c r="G278" s="21">
        <v>1963.15</v>
      </c>
      <c r="H278" s="21">
        <v>2100.73</v>
      </c>
      <c r="I278" s="21">
        <v>1881.45</v>
      </c>
      <c r="J278" s="21">
        <v>1870.53</v>
      </c>
      <c r="K278" s="21">
        <v>1875.14</v>
      </c>
      <c r="L278" s="21">
        <v>1875.34</v>
      </c>
      <c r="M278" s="21">
        <v>1647.09</v>
      </c>
      <c r="N278" s="21">
        <v>1805.64</v>
      </c>
      <c r="O278" s="21">
        <v>1785.34</v>
      </c>
      <c r="P278" s="21">
        <v>1817.55</v>
      </c>
      <c r="Q278" s="21">
        <v>6713.89</v>
      </c>
      <c r="R278" s="20">
        <v>114.4</v>
      </c>
      <c r="S278" s="20">
        <v>101.69</v>
      </c>
      <c r="T278" s="21">
        <v>121.45</v>
      </c>
      <c r="V278" s="1">
        <v>112.06</v>
      </c>
      <c r="W278" s="1">
        <v>122.12</v>
      </c>
      <c r="X278" s="1">
        <v>124.25</v>
      </c>
      <c r="Y278" s="1">
        <v>118.63</v>
      </c>
      <c r="Z278" s="1">
        <v>121.73</v>
      </c>
      <c r="AA278" s="1">
        <v>117.02</v>
      </c>
      <c r="AB278" s="1">
        <v>123.6</v>
      </c>
      <c r="AE278" s="1">
        <v>131.19999999999999</v>
      </c>
      <c r="AF278" s="1">
        <v>124.41</v>
      </c>
      <c r="AG278" s="1">
        <v>105.7</v>
      </c>
      <c r="AI278" s="1">
        <v>15</v>
      </c>
      <c r="AK278" s="1">
        <v>7</v>
      </c>
      <c r="AN278" s="1">
        <v>4096.1499999999996</v>
      </c>
      <c r="AP278" s="1">
        <v>4185</v>
      </c>
      <c r="AQ278" s="1">
        <v>4369.0600000000004</v>
      </c>
      <c r="AR278" s="1">
        <v>3921.6</v>
      </c>
      <c r="AS278" s="1">
        <v>4229.01</v>
      </c>
      <c r="AT278" s="1">
        <v>4186.1099999999997</v>
      </c>
      <c r="AU278" s="1">
        <v>3850.35</v>
      </c>
      <c r="AW278" s="1">
        <v>3994.98</v>
      </c>
      <c r="AX278" s="1">
        <v>110.68</v>
      </c>
      <c r="AY278" s="1">
        <v>3820.78</v>
      </c>
      <c r="AZ278" s="1">
        <v>3982.23</v>
      </c>
      <c r="BA278" s="1">
        <v>112.82</v>
      </c>
      <c r="BB278" s="1">
        <v>126.56</v>
      </c>
      <c r="BC278" s="1">
        <v>122.3</v>
      </c>
      <c r="BD278" s="1">
        <v>123.19</v>
      </c>
      <c r="BE278" s="1">
        <v>120.85</v>
      </c>
      <c r="BF278" s="1">
        <v>116.98</v>
      </c>
      <c r="BG278" s="1">
        <v>131.83000000000001</v>
      </c>
      <c r="BH278" s="1">
        <v>113.16</v>
      </c>
      <c r="BI278" s="1">
        <v>124.72</v>
      </c>
      <c r="BJ278" s="1">
        <v>131.91</v>
      </c>
      <c r="BK278" s="1">
        <v>114.69</v>
      </c>
      <c r="BL278" s="1">
        <v>115.28</v>
      </c>
      <c r="BN278" s="1">
        <v>114.49</v>
      </c>
    </row>
    <row r="279" spans="1:66" x14ac:dyDescent="0.3">
      <c r="A279" s="2"/>
      <c r="C279" s="14" t="str">
        <f t="shared" si="5"/>
        <v>20252</v>
      </c>
      <c r="D279" s="3">
        <v>45705</v>
      </c>
      <c r="E279" s="21">
        <v>2000.33</v>
      </c>
      <c r="F279" s="21">
        <v>1980.48</v>
      </c>
      <c r="G279" s="21">
        <v>1963.15</v>
      </c>
      <c r="H279" s="21">
        <v>2095.21</v>
      </c>
      <c r="I279" s="21">
        <v>1907.2</v>
      </c>
      <c r="J279" s="21">
        <v>1875.35</v>
      </c>
      <c r="K279" s="21">
        <v>1875.14</v>
      </c>
      <c r="L279" s="21">
        <v>1876.57</v>
      </c>
      <c r="M279" s="21">
        <v>1672.86</v>
      </c>
      <c r="N279" s="21">
        <v>1788.79</v>
      </c>
      <c r="O279" s="21">
        <v>1786.24</v>
      </c>
      <c r="P279" s="21">
        <v>1817.55</v>
      </c>
      <c r="Q279" s="21">
        <v>6713.89</v>
      </c>
      <c r="R279" s="20">
        <v>114.25</v>
      </c>
      <c r="S279" s="20">
        <v>101.09</v>
      </c>
      <c r="T279" s="21">
        <v>121.89</v>
      </c>
      <c r="V279" s="1">
        <v>111.96</v>
      </c>
      <c r="W279" s="1">
        <v>122.72</v>
      </c>
      <c r="X279" s="1">
        <v>123.69</v>
      </c>
      <c r="Y279" s="1">
        <v>117.31</v>
      </c>
      <c r="Z279" s="1">
        <v>122.5</v>
      </c>
      <c r="AA279" s="1">
        <v>117.11</v>
      </c>
      <c r="AB279" s="1">
        <v>123.3</v>
      </c>
      <c r="AE279" s="1">
        <v>130.80000000000001</v>
      </c>
      <c r="AF279" s="1">
        <v>124.41</v>
      </c>
      <c r="AG279" s="1">
        <v>105.89</v>
      </c>
      <c r="AI279" s="1">
        <v>15</v>
      </c>
      <c r="AK279" s="1">
        <v>7</v>
      </c>
      <c r="AN279" s="1">
        <v>4096.1499999999996</v>
      </c>
      <c r="AQ279" s="1">
        <v>4451.43</v>
      </c>
      <c r="AR279" s="1">
        <v>3921.6</v>
      </c>
      <c r="AS279" s="1">
        <v>4181.45</v>
      </c>
      <c r="AT279" s="1">
        <v>4109.18</v>
      </c>
      <c r="AU279" s="1">
        <v>3895.51</v>
      </c>
      <c r="AW279" s="1">
        <v>4079.81</v>
      </c>
      <c r="AX279" s="1">
        <v>110.81</v>
      </c>
      <c r="AY279" s="1">
        <v>3771.8</v>
      </c>
      <c r="AZ279" s="1">
        <v>4165.6400000000003</v>
      </c>
      <c r="BA279" s="1">
        <v>112.32</v>
      </c>
      <c r="BB279" s="1">
        <v>127.09</v>
      </c>
      <c r="BC279" s="1">
        <v>121.98</v>
      </c>
      <c r="BD279" s="1">
        <v>124.09</v>
      </c>
      <c r="BE279" s="1">
        <v>120.85</v>
      </c>
      <c r="BF279" s="1">
        <v>116.08</v>
      </c>
      <c r="BG279" s="1">
        <v>131.63</v>
      </c>
      <c r="BH279" s="1">
        <v>113.75</v>
      </c>
      <c r="BI279" s="1">
        <v>124.72</v>
      </c>
      <c r="BJ279" s="1">
        <v>130.34</v>
      </c>
      <c r="BK279" s="1">
        <v>114.69</v>
      </c>
      <c r="BL279" s="1">
        <v>114.75</v>
      </c>
      <c r="BN279" s="1">
        <v>114.49</v>
      </c>
    </row>
    <row r="280" spans="1:66" x14ac:dyDescent="0.3">
      <c r="A280" s="2"/>
      <c r="C280" s="14" t="str">
        <f t="shared" si="5"/>
        <v>20252</v>
      </c>
      <c r="D280" s="3">
        <v>45702</v>
      </c>
      <c r="E280" s="21">
        <v>2013.97</v>
      </c>
      <c r="F280" s="21">
        <v>1980.48</v>
      </c>
      <c r="G280" s="21">
        <v>1941.69</v>
      </c>
      <c r="H280" s="21">
        <v>2087.8000000000002</v>
      </c>
      <c r="I280" s="21">
        <v>1907.2</v>
      </c>
      <c r="J280" s="21">
        <v>1875.35</v>
      </c>
      <c r="K280" s="21">
        <v>1875.14</v>
      </c>
      <c r="L280" s="21">
        <v>1883.2</v>
      </c>
      <c r="M280" s="21">
        <v>1672.86</v>
      </c>
      <c r="N280" s="21">
        <v>1761.92</v>
      </c>
      <c r="O280" s="21">
        <v>1786.24</v>
      </c>
      <c r="P280" s="21">
        <v>1817.55</v>
      </c>
      <c r="Q280" s="21">
        <v>6626.39</v>
      </c>
      <c r="R280" s="20">
        <v>113.71</v>
      </c>
      <c r="S280" s="20">
        <v>101.47</v>
      </c>
      <c r="T280" s="21">
        <v>121.38</v>
      </c>
      <c r="V280" s="1">
        <v>111.93</v>
      </c>
      <c r="W280" s="1">
        <v>121.04</v>
      </c>
      <c r="X280" s="1">
        <v>124.25</v>
      </c>
      <c r="Y280" s="1">
        <v>117.96</v>
      </c>
      <c r="Z280" s="1">
        <v>120.37</v>
      </c>
      <c r="AA280" s="1">
        <v>116.4</v>
      </c>
      <c r="AB280" s="1">
        <v>123.6</v>
      </c>
      <c r="AE280" s="1">
        <v>130.80000000000001</v>
      </c>
      <c r="AF280" s="1">
        <v>124.78</v>
      </c>
      <c r="AG280" s="1">
        <v>106.39</v>
      </c>
      <c r="AI280" s="1">
        <v>45</v>
      </c>
      <c r="AN280" s="1">
        <v>4388.99</v>
      </c>
      <c r="AP280" s="1">
        <v>4580.33</v>
      </c>
      <c r="AQ280" s="1">
        <v>4451.43</v>
      </c>
      <c r="AR280" s="1">
        <v>3921.6</v>
      </c>
      <c r="AS280" s="1">
        <v>4177.1899999999996</v>
      </c>
      <c r="AT280" s="1">
        <v>4109.18</v>
      </c>
      <c r="AU280" s="1">
        <v>3895.51</v>
      </c>
      <c r="AW280" s="1">
        <v>4066.34</v>
      </c>
      <c r="AX280" s="1">
        <v>110.76</v>
      </c>
      <c r="AY280" s="1">
        <v>3851.67</v>
      </c>
      <c r="AZ280" s="1">
        <v>4237.0600000000004</v>
      </c>
      <c r="BA280" s="1">
        <v>112.23</v>
      </c>
      <c r="BB280" s="1">
        <v>128.15</v>
      </c>
      <c r="BC280" s="1">
        <v>122.08</v>
      </c>
      <c r="BD280" s="1">
        <v>122.87</v>
      </c>
      <c r="BE280" s="1">
        <v>118.32</v>
      </c>
      <c r="BF280" s="1">
        <v>115.38</v>
      </c>
      <c r="BG280" s="1">
        <v>131.63</v>
      </c>
      <c r="BH280" s="1">
        <v>113.75</v>
      </c>
      <c r="BI280" s="1">
        <v>124.72</v>
      </c>
      <c r="BJ280" s="1">
        <v>129.97</v>
      </c>
      <c r="BK280" s="1">
        <v>114.68</v>
      </c>
      <c r="BL280" s="1">
        <v>115.45</v>
      </c>
      <c r="BN280" s="1">
        <v>115.31</v>
      </c>
    </row>
    <row r="281" spans="1:66" x14ac:dyDescent="0.3">
      <c r="A281" s="2"/>
      <c r="C281" s="14" t="str">
        <f t="shared" si="5"/>
        <v>20252</v>
      </c>
      <c r="D281" s="3">
        <v>45701</v>
      </c>
      <c r="E281" s="21">
        <v>2006.52</v>
      </c>
      <c r="F281" s="21">
        <v>1980.48</v>
      </c>
      <c r="G281" s="21">
        <v>1963.15</v>
      </c>
      <c r="H281" s="21">
        <v>2079.7399999999998</v>
      </c>
      <c r="I281" s="21">
        <v>1924.36</v>
      </c>
      <c r="J281" s="21">
        <v>1916.18</v>
      </c>
      <c r="K281" s="21">
        <v>1875.14</v>
      </c>
      <c r="L281" s="21">
        <v>1941</v>
      </c>
      <c r="M281" s="21">
        <v>1711.43</v>
      </c>
      <c r="N281" s="21">
        <v>1755.47</v>
      </c>
      <c r="O281" s="21">
        <v>1799.83</v>
      </c>
      <c r="P281" s="21">
        <v>1815.89</v>
      </c>
      <c r="Q281" s="21">
        <v>6667.65</v>
      </c>
      <c r="R281" s="20">
        <v>113.45</v>
      </c>
      <c r="S281" s="20">
        <v>100.86</v>
      </c>
      <c r="T281" s="21">
        <v>118.6</v>
      </c>
      <c r="V281" s="1">
        <v>110.92</v>
      </c>
      <c r="W281" s="1">
        <v>120.55</v>
      </c>
      <c r="X281" s="1">
        <v>124.36</v>
      </c>
      <c r="Y281" s="1">
        <v>117.89</v>
      </c>
      <c r="Z281" s="1">
        <v>120.03</v>
      </c>
      <c r="AA281" s="1">
        <v>116.81</v>
      </c>
      <c r="AB281" s="1">
        <v>123.6</v>
      </c>
      <c r="AE281" s="1">
        <v>130.80000000000001</v>
      </c>
      <c r="AF281" s="1">
        <v>122.09</v>
      </c>
      <c r="AG281" s="1">
        <v>106.76</v>
      </c>
      <c r="AI281" s="1">
        <v>45</v>
      </c>
      <c r="AN281" s="1">
        <v>4388.99</v>
      </c>
      <c r="AP281" s="1">
        <v>4580.33</v>
      </c>
      <c r="AQ281" s="1">
        <v>4451.43</v>
      </c>
      <c r="AR281" s="1">
        <v>3921.6</v>
      </c>
      <c r="AS281" s="1">
        <v>4128.28</v>
      </c>
      <c r="AT281" s="1">
        <v>4109.18</v>
      </c>
      <c r="AU281" s="1">
        <v>3885.41</v>
      </c>
      <c r="AW281" s="1">
        <v>4066.34</v>
      </c>
      <c r="AX281" s="1">
        <v>111.67</v>
      </c>
      <c r="AY281" s="1">
        <v>3851.67</v>
      </c>
      <c r="AZ281" s="1">
        <v>4263.42</v>
      </c>
      <c r="BA281" s="1">
        <v>111.22</v>
      </c>
      <c r="BB281" s="1">
        <v>127.1</v>
      </c>
      <c r="BC281" s="1">
        <v>122.04</v>
      </c>
      <c r="BD281" s="1">
        <v>123.34</v>
      </c>
      <c r="BE281" s="1">
        <v>118.29</v>
      </c>
      <c r="BF281" s="1">
        <v>115.37</v>
      </c>
      <c r="BG281" s="1">
        <v>131.63</v>
      </c>
      <c r="BH281" s="1">
        <v>115.25</v>
      </c>
      <c r="BI281" s="1">
        <v>124.84</v>
      </c>
      <c r="BJ281" s="1">
        <v>129.22999999999999</v>
      </c>
      <c r="BK281" s="1">
        <v>113.35</v>
      </c>
      <c r="BL281" s="1">
        <v>114.94</v>
      </c>
      <c r="BN281" s="1">
        <v>114.73</v>
      </c>
    </row>
    <row r="282" spans="1:66" x14ac:dyDescent="0.3">
      <c r="A282" s="2"/>
      <c r="C282" s="14" t="str">
        <f t="shared" si="5"/>
        <v>20252</v>
      </c>
      <c r="D282" s="3">
        <v>45700</v>
      </c>
      <c r="E282" s="21">
        <v>1999.07</v>
      </c>
      <c r="F282" s="21">
        <v>1980.48</v>
      </c>
      <c r="G282" s="21">
        <v>1963.15</v>
      </c>
      <c r="H282" s="21">
        <v>2081.94</v>
      </c>
      <c r="I282" s="21">
        <v>1923.04</v>
      </c>
      <c r="J282" s="21">
        <v>1892.99</v>
      </c>
      <c r="K282" s="21">
        <v>1875.14</v>
      </c>
      <c r="L282" s="21">
        <v>1939.35</v>
      </c>
      <c r="M282" s="21">
        <v>1711.43</v>
      </c>
      <c r="N282" s="21">
        <v>1755.24</v>
      </c>
      <c r="O282" s="21">
        <v>1801.39</v>
      </c>
      <c r="P282" s="21">
        <v>1817.55</v>
      </c>
      <c r="Q282" s="21">
        <v>6513.89</v>
      </c>
      <c r="R282" s="20">
        <v>114.68</v>
      </c>
      <c r="S282" s="20">
        <v>100.47</v>
      </c>
      <c r="T282" s="21">
        <v>117.81</v>
      </c>
      <c r="U282" s="1">
        <v>109.73</v>
      </c>
      <c r="V282" s="1">
        <v>110.54</v>
      </c>
      <c r="W282" s="1">
        <v>120.4</v>
      </c>
      <c r="X282" s="1">
        <v>124.47</v>
      </c>
      <c r="Y282" s="1">
        <v>118.61</v>
      </c>
      <c r="Z282" s="1">
        <v>119.43</v>
      </c>
      <c r="AA282" s="1">
        <v>118.02</v>
      </c>
      <c r="AB282" s="1">
        <v>123.6</v>
      </c>
      <c r="AE282" s="1">
        <v>130.80000000000001</v>
      </c>
      <c r="AF282" s="1">
        <v>126.09</v>
      </c>
      <c r="AG282" s="1">
        <v>106.97</v>
      </c>
      <c r="AI282" s="1">
        <v>45</v>
      </c>
      <c r="AN282" s="1">
        <v>4108.62</v>
      </c>
      <c r="AP282" s="1">
        <v>4610.2</v>
      </c>
      <c r="AQ282" s="1">
        <v>4334.8</v>
      </c>
      <c r="AR282" s="1">
        <v>3807.15</v>
      </c>
      <c r="AS282" s="1">
        <v>4128.28</v>
      </c>
      <c r="AT282" s="1">
        <v>4148.8100000000004</v>
      </c>
      <c r="AU282" s="1">
        <v>3885.41</v>
      </c>
      <c r="AW282" s="1">
        <v>4066.34</v>
      </c>
      <c r="AX282" s="1">
        <v>110.74</v>
      </c>
      <c r="AY282" s="1">
        <v>3851.67</v>
      </c>
      <c r="AZ282" s="1">
        <v>4263.42</v>
      </c>
      <c r="BA282" s="1">
        <v>110.31</v>
      </c>
      <c r="BB282" s="1">
        <v>127.2</v>
      </c>
      <c r="BC282" s="1">
        <v>123.53</v>
      </c>
      <c r="BD282" s="1">
        <v>124.42</v>
      </c>
      <c r="BE282" s="1">
        <v>121.97</v>
      </c>
      <c r="BF282" s="1">
        <v>115.54</v>
      </c>
      <c r="BG282" s="1">
        <v>131.63</v>
      </c>
      <c r="BH282" s="1">
        <v>115.25</v>
      </c>
      <c r="BI282" s="1">
        <v>124.84</v>
      </c>
      <c r="BJ282" s="1">
        <v>127.94</v>
      </c>
      <c r="BK282" s="1">
        <v>113.35</v>
      </c>
      <c r="BL282" s="1">
        <v>114.94</v>
      </c>
      <c r="BN282" s="1">
        <v>113.98</v>
      </c>
    </row>
    <row r="283" spans="1:66" x14ac:dyDescent="0.3">
      <c r="A283" s="2"/>
      <c r="C283" s="14" t="str">
        <f t="shared" si="5"/>
        <v>20252</v>
      </c>
      <c r="D283" s="3">
        <v>45699</v>
      </c>
      <c r="E283" s="21">
        <v>2028.87</v>
      </c>
      <c r="F283" s="21">
        <v>1980.48</v>
      </c>
      <c r="G283" s="21">
        <v>1963.15</v>
      </c>
      <c r="H283" s="21">
        <v>2085.2399999999998</v>
      </c>
      <c r="I283" s="21">
        <v>1932.95</v>
      </c>
      <c r="J283" s="21">
        <v>1892.99</v>
      </c>
      <c r="K283" s="21">
        <v>1875.14</v>
      </c>
      <c r="L283" s="21">
        <v>1942.68</v>
      </c>
      <c r="M283" s="21">
        <v>1714.88</v>
      </c>
      <c r="N283" s="21">
        <v>1756.59</v>
      </c>
      <c r="O283" s="21">
        <v>1806.77</v>
      </c>
      <c r="P283" s="21">
        <v>1817.55</v>
      </c>
      <c r="Q283" s="21">
        <v>6488.89</v>
      </c>
      <c r="R283" s="20">
        <v>115.68</v>
      </c>
      <c r="S283" s="20">
        <v>102.42</v>
      </c>
      <c r="T283" s="21">
        <v>118.66</v>
      </c>
      <c r="U283" s="1">
        <v>114.06</v>
      </c>
      <c r="V283" s="1">
        <v>111.84</v>
      </c>
      <c r="W283" s="1">
        <v>120.8</v>
      </c>
      <c r="X283" s="1">
        <v>124.47</v>
      </c>
      <c r="Y283" s="1">
        <v>118.7</v>
      </c>
      <c r="Z283" s="1">
        <v>119.24</v>
      </c>
      <c r="AA283" s="1">
        <v>118.67</v>
      </c>
      <c r="AB283" s="1">
        <v>123.6</v>
      </c>
      <c r="AE283" s="1">
        <v>131.19999999999999</v>
      </c>
      <c r="AF283" s="1">
        <v>127.41</v>
      </c>
      <c r="AG283" s="1">
        <v>107.42</v>
      </c>
      <c r="AI283" s="1">
        <v>45</v>
      </c>
      <c r="AN283" s="1">
        <v>4108.62</v>
      </c>
      <c r="AP283" s="1">
        <v>4610.2</v>
      </c>
      <c r="AQ283" s="1">
        <v>4384.03</v>
      </c>
      <c r="AR283" s="1">
        <v>3807.15</v>
      </c>
      <c r="AS283" s="1">
        <v>4200.99</v>
      </c>
      <c r="AT283" s="1">
        <v>4069.71</v>
      </c>
      <c r="AU283" s="1">
        <v>3971.75</v>
      </c>
      <c r="AW283" s="1">
        <v>4066.34</v>
      </c>
      <c r="AX283" s="1">
        <v>110.74</v>
      </c>
      <c r="AY283" s="1">
        <v>3918.95</v>
      </c>
      <c r="AZ283" s="1">
        <v>4263.42</v>
      </c>
      <c r="BA283" s="1">
        <v>112.95</v>
      </c>
      <c r="BB283" s="1">
        <v>127.31</v>
      </c>
      <c r="BC283" s="1">
        <v>123.31</v>
      </c>
      <c r="BD283" s="1">
        <v>123.29</v>
      </c>
      <c r="BE283" s="1">
        <v>124.09</v>
      </c>
      <c r="BF283" s="1">
        <v>116.2</v>
      </c>
      <c r="BG283" s="1">
        <v>132.43</v>
      </c>
      <c r="BH283" s="1">
        <v>116.17</v>
      </c>
      <c r="BI283" s="1">
        <v>124.84</v>
      </c>
      <c r="BJ283" s="1">
        <v>128.34</v>
      </c>
      <c r="BK283" s="1">
        <v>113.35</v>
      </c>
      <c r="BL283" s="1">
        <v>115.11</v>
      </c>
      <c r="BN283" s="1">
        <v>113.98</v>
      </c>
    </row>
    <row r="284" spans="1:66" x14ac:dyDescent="0.3">
      <c r="A284" s="2"/>
      <c r="C284" s="14" t="str">
        <f t="shared" si="5"/>
        <v>20252</v>
      </c>
      <c r="D284" s="3">
        <v>45698</v>
      </c>
      <c r="E284" s="21">
        <v>2076.5500000000002</v>
      </c>
      <c r="F284" s="21">
        <v>1980.48</v>
      </c>
      <c r="G284" s="21">
        <v>1947.47</v>
      </c>
      <c r="H284" s="21">
        <v>2087.21</v>
      </c>
      <c r="I284" s="21">
        <v>1946.81</v>
      </c>
      <c r="J284" s="21">
        <v>1888.9</v>
      </c>
      <c r="K284" s="21">
        <v>1875.14</v>
      </c>
      <c r="L284" s="21">
        <v>1895.81</v>
      </c>
      <c r="M284" s="21">
        <v>1735.95</v>
      </c>
      <c r="N284" s="21">
        <v>1819.97</v>
      </c>
      <c r="O284" s="21">
        <v>1825.87</v>
      </c>
      <c r="P284" s="21">
        <v>1814.22</v>
      </c>
      <c r="Q284" s="21">
        <v>6488.89</v>
      </c>
      <c r="R284" s="20">
        <v>115.68</v>
      </c>
      <c r="S284" s="20">
        <v>102.41</v>
      </c>
      <c r="T284" s="21">
        <v>120.54</v>
      </c>
      <c r="U284" s="1">
        <v>113.26</v>
      </c>
      <c r="V284" s="1">
        <v>111.83</v>
      </c>
      <c r="W284" s="1">
        <v>122.94</v>
      </c>
      <c r="X284" s="1">
        <v>124.25</v>
      </c>
      <c r="Y284" s="1">
        <v>118.08</v>
      </c>
      <c r="Z284" s="1">
        <v>122.97</v>
      </c>
      <c r="AA284" s="1">
        <v>118.72</v>
      </c>
      <c r="AB284" s="1">
        <v>123.6</v>
      </c>
      <c r="AE284" s="1">
        <v>129.21</v>
      </c>
      <c r="AF284" s="1">
        <v>126.63</v>
      </c>
      <c r="AG284" s="1">
        <v>107.42</v>
      </c>
      <c r="AN284" s="1">
        <v>3968.43</v>
      </c>
      <c r="AP284" s="1">
        <v>4610.2</v>
      </c>
      <c r="AQ284" s="1">
        <v>4394.12</v>
      </c>
      <c r="AR284" s="1">
        <v>3807.15</v>
      </c>
      <c r="AS284" s="1">
        <v>4200.99</v>
      </c>
      <c r="AT284" s="1">
        <v>4069.71</v>
      </c>
      <c r="AU284" s="1">
        <v>3962.16</v>
      </c>
      <c r="AW284" s="1">
        <v>4089.91</v>
      </c>
      <c r="AX284" s="1">
        <v>111.02</v>
      </c>
      <c r="AY284" s="1">
        <v>3861.43</v>
      </c>
      <c r="AZ284" s="1">
        <v>4319.29</v>
      </c>
      <c r="BA284" s="1">
        <v>112.95</v>
      </c>
      <c r="BB284" s="1">
        <v>127.15</v>
      </c>
      <c r="BC284" s="1">
        <v>122.54</v>
      </c>
      <c r="BD284" s="1">
        <v>122.7</v>
      </c>
      <c r="BE284" s="1">
        <v>123.22</v>
      </c>
      <c r="BF284" s="1">
        <v>116.2</v>
      </c>
      <c r="BG284" s="1">
        <v>132.43</v>
      </c>
      <c r="BH284" s="1">
        <v>116.17</v>
      </c>
      <c r="BI284" s="1">
        <v>124.72</v>
      </c>
      <c r="BJ284" s="1">
        <v>128.34</v>
      </c>
      <c r="BK284" s="1">
        <v>112.35</v>
      </c>
      <c r="BL284" s="1">
        <v>114.11</v>
      </c>
      <c r="BN284" s="1">
        <v>113.23</v>
      </c>
    </row>
    <row r="285" spans="1:66" x14ac:dyDescent="0.3">
      <c r="A285" s="2"/>
      <c r="C285" s="14" t="str">
        <f t="shared" si="5"/>
        <v>20252</v>
      </c>
      <c r="D285" s="3">
        <v>45695</v>
      </c>
      <c r="E285" s="21">
        <v>2059.98</v>
      </c>
      <c r="F285" s="21">
        <v>1980.48</v>
      </c>
      <c r="G285" s="21">
        <v>1963.97</v>
      </c>
      <c r="H285" s="21">
        <v>2084.73</v>
      </c>
      <c r="I285" s="21">
        <v>1978.5</v>
      </c>
      <c r="J285" s="21">
        <v>1893.9</v>
      </c>
      <c r="K285" s="21">
        <v>1875.14</v>
      </c>
      <c r="L285" s="21">
        <v>1993.85</v>
      </c>
      <c r="M285" s="21">
        <v>1735.95</v>
      </c>
      <c r="N285" s="21">
        <v>1771.93</v>
      </c>
      <c r="O285" s="21">
        <v>1834.58</v>
      </c>
      <c r="P285" s="21">
        <v>1814.22</v>
      </c>
      <c r="Q285" s="21">
        <v>6488.89</v>
      </c>
      <c r="R285" s="20">
        <v>116.68</v>
      </c>
      <c r="S285" s="20">
        <v>102.42</v>
      </c>
      <c r="T285" s="21">
        <v>120.25</v>
      </c>
      <c r="U285" s="1">
        <v>111.65</v>
      </c>
      <c r="V285" s="1">
        <v>112.25</v>
      </c>
      <c r="W285" s="1">
        <v>122.83</v>
      </c>
      <c r="X285" s="1">
        <v>124.47</v>
      </c>
      <c r="Y285" s="1">
        <v>116.94</v>
      </c>
      <c r="Z285" s="1">
        <v>123.06</v>
      </c>
      <c r="AA285" s="1">
        <v>119.73</v>
      </c>
      <c r="AB285" s="1">
        <v>123.6</v>
      </c>
      <c r="AE285" s="1">
        <v>131.57</v>
      </c>
      <c r="AG285" s="1">
        <v>107.23</v>
      </c>
      <c r="AN285" s="1">
        <v>3968.43</v>
      </c>
      <c r="AP285" s="1">
        <v>4655</v>
      </c>
      <c r="AQ285" s="1">
        <v>4222.2</v>
      </c>
      <c r="AR285" s="1">
        <v>3807.15</v>
      </c>
      <c r="AS285" s="1">
        <v>4200.99</v>
      </c>
      <c r="AT285" s="1">
        <v>4069.71</v>
      </c>
      <c r="AU285" s="1">
        <v>3962.16</v>
      </c>
      <c r="AW285" s="1">
        <v>4089.91</v>
      </c>
      <c r="AX285" s="1">
        <v>111.87</v>
      </c>
      <c r="AY285" s="1">
        <v>3861.43</v>
      </c>
      <c r="AZ285" s="1">
        <v>4418.1099999999997</v>
      </c>
      <c r="BA285" s="1">
        <v>111.8</v>
      </c>
      <c r="BB285" s="1">
        <v>128.06</v>
      </c>
      <c r="BC285" s="1">
        <v>121.83</v>
      </c>
      <c r="BD285" s="1">
        <v>123.59</v>
      </c>
      <c r="BE285" s="1">
        <v>121.62</v>
      </c>
      <c r="BF285" s="1">
        <v>117.81</v>
      </c>
      <c r="BG285" s="1">
        <v>132.69</v>
      </c>
      <c r="BH285" s="1">
        <v>115.83</v>
      </c>
      <c r="BI285" s="1">
        <v>124.72</v>
      </c>
      <c r="BJ285" s="1">
        <v>129.80000000000001</v>
      </c>
      <c r="BK285" s="1">
        <v>112.03</v>
      </c>
      <c r="BL285" s="1">
        <v>113.61</v>
      </c>
      <c r="BN285" s="1">
        <v>112.49</v>
      </c>
    </row>
    <row r="286" spans="1:66" x14ac:dyDescent="0.3">
      <c r="A286" s="2"/>
      <c r="C286" s="14" t="str">
        <f t="shared" si="5"/>
        <v>20252</v>
      </c>
      <c r="D286" s="3">
        <v>45694</v>
      </c>
      <c r="E286" s="21">
        <v>2059.98</v>
      </c>
      <c r="F286" s="21">
        <v>1980.48</v>
      </c>
      <c r="G286" s="21">
        <v>1963.97</v>
      </c>
      <c r="H286" s="21">
        <v>2100.9</v>
      </c>
      <c r="I286" s="21">
        <v>1978.5</v>
      </c>
      <c r="J286" s="21">
        <v>1906.87</v>
      </c>
      <c r="K286" s="21">
        <v>1875.14</v>
      </c>
      <c r="L286" s="21">
        <v>1993.85</v>
      </c>
      <c r="M286" s="21">
        <v>1726.56</v>
      </c>
      <c r="N286" s="21">
        <v>1776.01</v>
      </c>
      <c r="O286" s="21">
        <v>1830.58</v>
      </c>
      <c r="P286" s="21">
        <v>1814.22</v>
      </c>
      <c r="Q286" s="21">
        <v>6501.68</v>
      </c>
      <c r="R286" s="20">
        <v>116.68</v>
      </c>
      <c r="S286" s="20">
        <v>102.33</v>
      </c>
      <c r="T286" s="21">
        <v>120.86</v>
      </c>
      <c r="U286" s="1">
        <v>111.65</v>
      </c>
      <c r="V286" s="1">
        <v>113.65</v>
      </c>
      <c r="W286" s="1">
        <v>122.94</v>
      </c>
      <c r="X286" s="1">
        <v>124.47</v>
      </c>
      <c r="Y286" s="1">
        <v>117.66</v>
      </c>
      <c r="Z286" s="1">
        <v>123.06</v>
      </c>
      <c r="AA286" s="1">
        <v>120.56</v>
      </c>
      <c r="AB286" s="1">
        <v>123.6</v>
      </c>
      <c r="AE286" s="1">
        <v>131.72999999999999</v>
      </c>
      <c r="AG286" s="1">
        <v>107.44</v>
      </c>
      <c r="AN286" s="1">
        <v>3968.43</v>
      </c>
      <c r="AP286" s="1">
        <v>4655</v>
      </c>
      <c r="AQ286" s="1">
        <v>4222.2</v>
      </c>
      <c r="AR286" s="1">
        <v>3807.15</v>
      </c>
      <c r="AS286" s="1">
        <v>4200.99</v>
      </c>
      <c r="AT286" s="1">
        <v>4069.71</v>
      </c>
      <c r="AU286" s="1">
        <v>3962.16</v>
      </c>
      <c r="AW286" s="1">
        <v>4089.91</v>
      </c>
      <c r="AX286" s="1">
        <v>115.27</v>
      </c>
      <c r="AY286" s="1">
        <v>3861.43</v>
      </c>
      <c r="AZ286" s="1">
        <v>4418.1099999999997</v>
      </c>
      <c r="BA286" s="1">
        <v>112.25</v>
      </c>
      <c r="BB286" s="1">
        <v>127.83</v>
      </c>
      <c r="BC286" s="1">
        <v>123.04</v>
      </c>
      <c r="BD286" s="1">
        <v>123.68</v>
      </c>
      <c r="BE286" s="1">
        <v>123.19</v>
      </c>
      <c r="BF286" s="1">
        <v>117.81</v>
      </c>
      <c r="BG286" s="1">
        <v>132.86000000000001</v>
      </c>
      <c r="BH286" s="1">
        <v>115.5</v>
      </c>
      <c r="BI286" s="1">
        <v>124.72</v>
      </c>
      <c r="BJ286" s="1">
        <v>129.80000000000001</v>
      </c>
      <c r="BK286" s="1">
        <v>112.36</v>
      </c>
      <c r="BL286" s="1">
        <v>113.96</v>
      </c>
      <c r="BN286" s="1">
        <v>112.74</v>
      </c>
    </row>
    <row r="287" spans="1:66" x14ac:dyDescent="0.3">
      <c r="A287" s="2"/>
      <c r="C287" s="14" t="str">
        <f t="shared" si="5"/>
        <v>20252</v>
      </c>
      <c r="D287" s="3">
        <v>45693</v>
      </c>
      <c r="E287" s="21">
        <v>2058.33</v>
      </c>
      <c r="F287" s="21">
        <v>1980.48</v>
      </c>
      <c r="G287" s="21">
        <v>1963.95</v>
      </c>
      <c r="H287" s="21">
        <v>2060.23</v>
      </c>
      <c r="I287" s="21">
        <v>1978.5</v>
      </c>
      <c r="J287" s="21">
        <v>1904.65</v>
      </c>
      <c r="K287" s="21">
        <v>1875.14</v>
      </c>
      <c r="L287" s="21">
        <v>1974.04</v>
      </c>
      <c r="M287" s="21">
        <v>1726.56</v>
      </c>
      <c r="N287" s="21">
        <v>1789.49</v>
      </c>
      <c r="O287" s="21">
        <v>1862.25</v>
      </c>
      <c r="P287" s="21">
        <v>1814.22</v>
      </c>
      <c r="Q287" s="21">
        <v>6538.89</v>
      </c>
      <c r="R287" s="20">
        <v>116.68</v>
      </c>
      <c r="S287" s="20">
        <v>103.86</v>
      </c>
      <c r="T287" s="21">
        <v>119.87</v>
      </c>
      <c r="U287" s="1">
        <v>111.65</v>
      </c>
      <c r="V287" s="1">
        <v>115.25</v>
      </c>
      <c r="W287" s="1">
        <v>122.43</v>
      </c>
      <c r="X287" s="1">
        <v>124.47</v>
      </c>
      <c r="Y287" s="1">
        <v>116.57</v>
      </c>
      <c r="Z287" s="1">
        <v>120.26</v>
      </c>
      <c r="AA287" s="1">
        <v>120.61</v>
      </c>
      <c r="AB287" s="1">
        <v>123.49</v>
      </c>
      <c r="AE287" s="1">
        <v>132.1</v>
      </c>
      <c r="AG287" s="1">
        <v>105.68</v>
      </c>
      <c r="AQ287" s="1">
        <v>4286.83</v>
      </c>
      <c r="AS287" s="1">
        <v>4331.51</v>
      </c>
      <c r="AU287" s="1">
        <v>3962.16</v>
      </c>
      <c r="AV287" s="1">
        <v>30</v>
      </c>
      <c r="AW287" s="1">
        <v>4060.44</v>
      </c>
      <c r="AX287" s="1">
        <v>119.56</v>
      </c>
      <c r="AY287" s="1">
        <v>3817.88</v>
      </c>
      <c r="AZ287" s="1">
        <v>4418.1099999999997</v>
      </c>
      <c r="BA287" s="1">
        <v>112.25</v>
      </c>
      <c r="BB287" s="1">
        <v>127.17</v>
      </c>
      <c r="BC287" s="1">
        <v>122.64</v>
      </c>
      <c r="BD287" s="1">
        <v>123.8</v>
      </c>
      <c r="BE287" s="1">
        <v>123.19</v>
      </c>
      <c r="BF287" s="1">
        <v>116.87</v>
      </c>
      <c r="BG287" s="1">
        <v>131.86000000000001</v>
      </c>
      <c r="BH287" s="1">
        <v>116.5</v>
      </c>
      <c r="BI287" s="1">
        <v>124.72</v>
      </c>
      <c r="BJ287" s="1">
        <v>129.79</v>
      </c>
      <c r="BK287" s="1">
        <v>112.03</v>
      </c>
      <c r="BL287" s="1">
        <v>112.56</v>
      </c>
      <c r="BN287" s="1">
        <v>112.24</v>
      </c>
    </row>
    <row r="288" spans="1:66" x14ac:dyDescent="0.3">
      <c r="A288" s="2"/>
      <c r="C288" s="14" t="str">
        <f t="shared" si="5"/>
        <v>20252</v>
      </c>
      <c r="D288" s="3">
        <v>45692</v>
      </c>
      <c r="E288" s="21">
        <v>2015.97</v>
      </c>
      <c r="F288" s="21">
        <v>1980.48</v>
      </c>
      <c r="G288" s="21">
        <v>1980.48</v>
      </c>
      <c r="H288" s="21">
        <v>2060.2800000000002</v>
      </c>
      <c r="I288" s="21">
        <v>1978.5</v>
      </c>
      <c r="J288" s="21">
        <v>1902.99</v>
      </c>
      <c r="K288" s="21">
        <v>1875.14</v>
      </c>
      <c r="L288" s="21">
        <v>1972.51</v>
      </c>
      <c r="M288" s="21">
        <v>1716.65</v>
      </c>
      <c r="N288" s="21">
        <v>1810.52</v>
      </c>
      <c r="O288" s="21">
        <v>1857.63</v>
      </c>
      <c r="P288" s="21">
        <v>1840.83</v>
      </c>
      <c r="Q288" s="21">
        <v>6408.07</v>
      </c>
      <c r="R288" s="20">
        <v>116.68</v>
      </c>
      <c r="S288" s="20">
        <v>103.26</v>
      </c>
      <c r="T288" s="21">
        <v>118.95</v>
      </c>
      <c r="U288" s="1">
        <v>112</v>
      </c>
      <c r="V288" s="1">
        <v>115.03</v>
      </c>
      <c r="W288" s="1">
        <v>121.29</v>
      </c>
      <c r="X288" s="1">
        <v>124.47</v>
      </c>
      <c r="Y288" s="1">
        <v>116.01</v>
      </c>
      <c r="Z288" s="1">
        <v>118.12</v>
      </c>
      <c r="AA288" s="1">
        <v>120.54</v>
      </c>
      <c r="AB288" s="1">
        <v>123.6</v>
      </c>
      <c r="AE288" s="1">
        <v>129.88999999999999</v>
      </c>
      <c r="AF288" s="1">
        <v>117.64</v>
      </c>
      <c r="AG288" s="1">
        <v>105.81</v>
      </c>
      <c r="AP288" s="1">
        <v>4505.6000000000004</v>
      </c>
      <c r="AQ288" s="1">
        <v>4286.83</v>
      </c>
      <c r="AR288" s="1">
        <v>4087.38</v>
      </c>
      <c r="AS288" s="1">
        <v>4462.04</v>
      </c>
      <c r="AT288" s="1">
        <v>4300.76</v>
      </c>
      <c r="AU288" s="1">
        <v>3953.58</v>
      </c>
      <c r="AV288" s="1">
        <v>30</v>
      </c>
      <c r="AW288" s="1">
        <v>4060.44</v>
      </c>
      <c r="AX288" s="1">
        <v>118.94</v>
      </c>
      <c r="AY288" s="1">
        <v>3871.1</v>
      </c>
      <c r="AZ288" s="1">
        <v>4332.2700000000004</v>
      </c>
      <c r="BA288" s="1">
        <v>114.28</v>
      </c>
      <c r="BB288" s="1">
        <v>126.34</v>
      </c>
      <c r="BC288" s="1">
        <v>122.06</v>
      </c>
      <c r="BD288" s="1">
        <v>124.11</v>
      </c>
      <c r="BE288" s="1">
        <v>121.76</v>
      </c>
      <c r="BF288" s="1">
        <v>116.85</v>
      </c>
      <c r="BG288" s="1">
        <v>131.44</v>
      </c>
      <c r="BH288" s="1">
        <v>116.49</v>
      </c>
      <c r="BI288" s="1">
        <v>124.72</v>
      </c>
      <c r="BJ288" s="1">
        <v>128.79</v>
      </c>
      <c r="BK288" s="1">
        <v>111.53</v>
      </c>
      <c r="BL288" s="1">
        <v>111.86</v>
      </c>
      <c r="BN288" s="1">
        <v>111.5</v>
      </c>
    </row>
    <row r="289" spans="1:66" x14ac:dyDescent="0.3">
      <c r="A289" s="2"/>
      <c r="C289" s="14" t="str">
        <f t="shared" si="5"/>
        <v>20252</v>
      </c>
      <c r="D289" s="3">
        <v>45691</v>
      </c>
      <c r="E289" s="21">
        <v>2001.94</v>
      </c>
      <c r="F289" s="21">
        <v>1980.21</v>
      </c>
      <c r="G289" s="21">
        <v>1980.48</v>
      </c>
      <c r="H289" s="21">
        <v>1993.2</v>
      </c>
      <c r="I289" s="21">
        <v>1978.5</v>
      </c>
      <c r="J289" s="21">
        <v>1905.57</v>
      </c>
      <c r="K289" s="21">
        <v>1875.14</v>
      </c>
      <c r="L289" s="21"/>
      <c r="M289" s="21">
        <v>1776.16</v>
      </c>
      <c r="N289" s="21">
        <v>1830.79</v>
      </c>
      <c r="O289" s="21">
        <v>1854.63</v>
      </c>
      <c r="P289" s="21">
        <v>1840.83</v>
      </c>
      <c r="Q289" s="21">
        <v>6408.07</v>
      </c>
      <c r="R289" s="20">
        <v>116.68</v>
      </c>
      <c r="S289" s="20">
        <v>101.4</v>
      </c>
      <c r="T289" s="21">
        <v>118.64</v>
      </c>
      <c r="V289" s="1">
        <v>115.07</v>
      </c>
      <c r="W289" s="1">
        <v>121.55</v>
      </c>
      <c r="X289" s="1">
        <v>123.92</v>
      </c>
      <c r="Y289" s="1">
        <v>116.2</v>
      </c>
      <c r="Z289" s="1">
        <v>119.76</v>
      </c>
      <c r="AA289" s="1">
        <v>120.43</v>
      </c>
      <c r="AB289" s="1">
        <v>122.61</v>
      </c>
      <c r="AE289" s="1">
        <v>129.61000000000001</v>
      </c>
      <c r="AF289" s="1">
        <v>118.33</v>
      </c>
      <c r="AG289" s="1">
        <v>106.35</v>
      </c>
      <c r="AP289" s="1">
        <v>4505.6000000000004</v>
      </c>
      <c r="AQ289" s="1">
        <v>4263.26</v>
      </c>
      <c r="AR289" s="1">
        <v>3952.57</v>
      </c>
      <c r="AS289" s="1">
        <v>4462.04</v>
      </c>
      <c r="AT289" s="1">
        <v>4300.76</v>
      </c>
      <c r="AU289" s="1">
        <v>3973.77</v>
      </c>
      <c r="AV289" s="1">
        <v>30</v>
      </c>
      <c r="AW289" s="1">
        <v>4016.25</v>
      </c>
      <c r="AX289" s="1">
        <v>114.56</v>
      </c>
      <c r="AY289" s="1">
        <v>3774.33</v>
      </c>
      <c r="AZ289" s="1">
        <v>4332.2700000000004</v>
      </c>
      <c r="BA289" s="1">
        <v>111.38</v>
      </c>
      <c r="BB289" s="1">
        <v>127.7</v>
      </c>
      <c r="BC289" s="1">
        <v>120.43</v>
      </c>
      <c r="BD289" s="1">
        <v>122.25</v>
      </c>
      <c r="BE289" s="1">
        <v>121.81</v>
      </c>
      <c r="BF289" s="1">
        <v>117.49</v>
      </c>
      <c r="BG289" s="1">
        <v>131.44</v>
      </c>
      <c r="BH289" s="1">
        <v>112.71</v>
      </c>
      <c r="BI289" s="1">
        <v>124.72</v>
      </c>
      <c r="BJ289" s="1">
        <v>128.78</v>
      </c>
      <c r="BK289" s="1">
        <v>111.37</v>
      </c>
      <c r="BL289" s="1">
        <v>111.45</v>
      </c>
      <c r="BN289" s="1">
        <v>111.25</v>
      </c>
    </row>
    <row r="290" spans="1:66" x14ac:dyDescent="0.3">
      <c r="A290" s="2"/>
      <c r="C290" s="14" t="str">
        <f t="shared" si="5"/>
        <v>20251</v>
      </c>
      <c r="D290" s="3">
        <v>45688</v>
      </c>
      <c r="E290" s="21">
        <v>1999.75</v>
      </c>
      <c r="F290" s="21">
        <v>1977.57</v>
      </c>
      <c r="G290" s="21">
        <v>1977.57</v>
      </c>
      <c r="H290" s="21">
        <v>1981.71</v>
      </c>
      <c r="I290" s="21">
        <v>1975.59</v>
      </c>
      <c r="J290" s="21">
        <v>1904.73</v>
      </c>
      <c r="K290" s="21">
        <v>1873.92</v>
      </c>
      <c r="L290" s="21">
        <v>1799.92</v>
      </c>
      <c r="M290" s="21">
        <v>1753.95</v>
      </c>
      <c r="N290" s="21">
        <v>1845.75</v>
      </c>
      <c r="O290" s="21">
        <v>1888.95</v>
      </c>
      <c r="P290" s="21">
        <v>1831.48</v>
      </c>
      <c r="Q290" s="21">
        <v>6370.1</v>
      </c>
      <c r="R290" s="20">
        <v>115.63</v>
      </c>
      <c r="S290" s="20">
        <v>104.05</v>
      </c>
      <c r="T290" s="21">
        <v>117.78</v>
      </c>
      <c r="V290" s="1">
        <v>115.06</v>
      </c>
      <c r="W290" s="1">
        <v>119.52</v>
      </c>
      <c r="X290" s="1">
        <v>123.9</v>
      </c>
      <c r="Y290" s="1">
        <v>115.98</v>
      </c>
      <c r="Z290" s="1">
        <v>117.78</v>
      </c>
      <c r="AA290" s="1">
        <v>120.2</v>
      </c>
      <c r="AB290" s="1">
        <v>122.58</v>
      </c>
      <c r="AE290" s="1">
        <v>131.13999999999999</v>
      </c>
      <c r="AF290" s="1">
        <v>121.79</v>
      </c>
      <c r="AG290" s="1">
        <v>106.74</v>
      </c>
      <c r="AI290" s="1">
        <v>7.5</v>
      </c>
      <c r="AN290" s="1">
        <v>3973.85</v>
      </c>
      <c r="AP290" s="1">
        <v>4498.9799999999996</v>
      </c>
      <c r="AQ290" s="1">
        <v>4415.51</v>
      </c>
      <c r="AR290" s="1">
        <v>3958.38</v>
      </c>
      <c r="AS290" s="1">
        <v>4468.6000000000004</v>
      </c>
      <c r="AT290" s="1">
        <v>4307.09</v>
      </c>
      <c r="AU290" s="1">
        <v>3979.62</v>
      </c>
      <c r="AV290" s="1">
        <v>30</v>
      </c>
      <c r="AW290" s="1">
        <v>4198.75</v>
      </c>
      <c r="AX290" s="1">
        <v>118.93</v>
      </c>
      <c r="AY290" s="1">
        <v>3863.32</v>
      </c>
      <c r="AZ290" s="1">
        <v>4281.34</v>
      </c>
      <c r="BA290" s="1">
        <v>111.87</v>
      </c>
      <c r="BB290" s="1">
        <v>127.74</v>
      </c>
      <c r="BC290" s="1">
        <v>120.36</v>
      </c>
      <c r="BD290" s="1">
        <v>120.85</v>
      </c>
      <c r="BE290" s="1">
        <v>121.33</v>
      </c>
      <c r="BF290" s="1">
        <v>117.37</v>
      </c>
      <c r="BG290" s="1">
        <v>131.35</v>
      </c>
      <c r="BH290" s="1">
        <v>113.18</v>
      </c>
      <c r="BI290" s="1">
        <v>124.68</v>
      </c>
      <c r="BJ290" s="1">
        <v>128.54</v>
      </c>
      <c r="BK290" s="1">
        <v>110.58</v>
      </c>
      <c r="BL290" s="1">
        <v>110.53</v>
      </c>
      <c r="BN290" s="1">
        <v>110.6</v>
      </c>
    </row>
    <row r="291" spans="1:66" x14ac:dyDescent="0.3">
      <c r="A291" s="2"/>
      <c r="C291" s="14" t="str">
        <f t="shared" si="5"/>
        <v>20251</v>
      </c>
      <c r="D291" s="3">
        <v>45687</v>
      </c>
      <c r="E291" s="21">
        <v>2000.96</v>
      </c>
      <c r="F291" s="21">
        <v>1979.17</v>
      </c>
      <c r="G291" s="21">
        <v>1995.67</v>
      </c>
      <c r="H291" s="21">
        <v>1991.14</v>
      </c>
      <c r="I291" s="21">
        <v>1963.34</v>
      </c>
      <c r="J291" s="21">
        <v>1930.8</v>
      </c>
      <c r="K291" s="21">
        <v>1874.59</v>
      </c>
      <c r="L291" s="21">
        <v>1834.82</v>
      </c>
      <c r="M291" s="21">
        <v>1880.79</v>
      </c>
      <c r="N291" s="21">
        <v>1915.59</v>
      </c>
      <c r="O291" s="21">
        <v>1893.01</v>
      </c>
      <c r="P291" s="21">
        <v>1855.67</v>
      </c>
      <c r="Q291" s="21">
        <v>6425.6</v>
      </c>
      <c r="R291" s="20">
        <v>116.65</v>
      </c>
      <c r="S291" s="20">
        <v>106.71</v>
      </c>
      <c r="T291" s="21">
        <v>118.58</v>
      </c>
      <c r="U291" s="1">
        <v>109.31</v>
      </c>
      <c r="V291" s="1">
        <v>115.04</v>
      </c>
      <c r="W291" s="1">
        <v>120.98</v>
      </c>
      <c r="X291" s="1">
        <v>123.24</v>
      </c>
      <c r="Y291" s="1">
        <v>116.5</v>
      </c>
      <c r="Z291" s="1">
        <v>118.75</v>
      </c>
      <c r="AA291" s="1">
        <v>120.77</v>
      </c>
      <c r="AB291" s="1">
        <v>122.19</v>
      </c>
      <c r="AE291" s="1">
        <v>131.72</v>
      </c>
      <c r="AF291" s="1">
        <v>131.29</v>
      </c>
      <c r="AG291" s="1">
        <v>109.09</v>
      </c>
      <c r="AI291" s="1">
        <v>7.5</v>
      </c>
      <c r="AN291" s="1">
        <v>3971.41</v>
      </c>
      <c r="AP291" s="1">
        <v>4502.63</v>
      </c>
      <c r="AQ291" s="1">
        <v>4411.93</v>
      </c>
      <c r="AR291" s="1">
        <v>3955.18</v>
      </c>
      <c r="AS291" s="1">
        <v>4464.99</v>
      </c>
      <c r="AT291" s="1">
        <v>4303.6099999999997</v>
      </c>
      <c r="AU291" s="1">
        <v>4000.93</v>
      </c>
      <c r="AV291" s="1">
        <v>30</v>
      </c>
      <c r="AW291" s="1">
        <v>4208.38</v>
      </c>
      <c r="AX291" s="1">
        <v>119.15</v>
      </c>
      <c r="AY291" s="1">
        <v>3860.19</v>
      </c>
      <c r="AZ291" s="1">
        <v>4277.87</v>
      </c>
      <c r="BA291" s="1">
        <v>114.5</v>
      </c>
      <c r="BB291" s="1">
        <v>128.07</v>
      </c>
      <c r="BC291" s="1">
        <v>121.48</v>
      </c>
      <c r="BD291" s="1">
        <v>123.37</v>
      </c>
      <c r="BE291" s="1">
        <v>122.55</v>
      </c>
      <c r="BF291" s="1">
        <v>119.67</v>
      </c>
      <c r="BG291" s="1">
        <v>132.33000000000001</v>
      </c>
      <c r="BH291" s="1">
        <v>115.05</v>
      </c>
      <c r="BI291" s="1">
        <v>124.7</v>
      </c>
      <c r="BJ291" s="1">
        <v>128.65</v>
      </c>
      <c r="BK291" s="1">
        <v>110.68</v>
      </c>
      <c r="BL291" s="1">
        <v>111.35</v>
      </c>
      <c r="BN291" s="1">
        <v>110.72</v>
      </c>
    </row>
    <row r="292" spans="1:66" x14ac:dyDescent="0.3">
      <c r="A292" s="2"/>
      <c r="C292" s="14" t="str">
        <f t="shared" si="5"/>
        <v>20251</v>
      </c>
      <c r="D292" s="3">
        <v>45686</v>
      </c>
      <c r="E292" s="21">
        <v>2077.3200000000002</v>
      </c>
      <c r="F292" s="21">
        <v>1979.17</v>
      </c>
      <c r="G292" s="21">
        <v>1988.34</v>
      </c>
      <c r="H292" s="21">
        <v>1988.66</v>
      </c>
      <c r="I292" s="21">
        <v>1963.34</v>
      </c>
      <c r="J292" s="21">
        <v>1933.27</v>
      </c>
      <c r="K292" s="21">
        <v>1940.91</v>
      </c>
      <c r="L292" s="21">
        <v>1936.64</v>
      </c>
      <c r="M292" s="21">
        <v>1834.3</v>
      </c>
      <c r="N292" s="21">
        <v>1904.19</v>
      </c>
      <c r="O292" s="21">
        <v>1861.84</v>
      </c>
      <c r="P292" s="21">
        <v>1865.11</v>
      </c>
      <c r="Q292" s="21">
        <v>6425.6</v>
      </c>
      <c r="R292" s="20">
        <v>117.15</v>
      </c>
      <c r="S292" s="20">
        <v>106.71</v>
      </c>
      <c r="T292" s="21">
        <v>118.56</v>
      </c>
      <c r="V292" s="1">
        <v>115.4</v>
      </c>
      <c r="W292" s="1">
        <v>120.23</v>
      </c>
      <c r="X292" s="1">
        <v>124.35</v>
      </c>
      <c r="Y292" s="1">
        <v>116.13</v>
      </c>
      <c r="Z292" s="1">
        <v>118.02</v>
      </c>
      <c r="AA292" s="1">
        <v>121.22</v>
      </c>
      <c r="AB292" s="1">
        <v>123.59</v>
      </c>
      <c r="AE292" s="1">
        <v>131.55000000000001</v>
      </c>
      <c r="AF292" s="1">
        <v>130.43</v>
      </c>
      <c r="AG292" s="1">
        <v>109.09</v>
      </c>
      <c r="AI292" s="1">
        <v>7.5</v>
      </c>
      <c r="AN292" s="1">
        <v>3971.41</v>
      </c>
      <c r="AP292" s="1">
        <v>4502.63</v>
      </c>
      <c r="AQ292" s="1">
        <v>4287.9799999999996</v>
      </c>
      <c r="AR292" s="1">
        <v>3862.72</v>
      </c>
      <c r="AT292" s="1">
        <v>4303.6099999999997</v>
      </c>
      <c r="AU292" s="1">
        <v>4023.85</v>
      </c>
      <c r="AW292" s="1">
        <v>4272.42</v>
      </c>
      <c r="AX292" s="1">
        <v>120.47</v>
      </c>
      <c r="AY292" s="1">
        <v>3860.19</v>
      </c>
      <c r="AZ292" s="1">
        <v>4277.87</v>
      </c>
      <c r="BA292" s="1">
        <v>114.5</v>
      </c>
      <c r="BB292" s="1">
        <v>128.6</v>
      </c>
      <c r="BC292" s="1">
        <v>120.82</v>
      </c>
      <c r="BD292" s="1">
        <v>122.25</v>
      </c>
      <c r="BE292" s="1">
        <v>124.35</v>
      </c>
      <c r="BF292" s="1">
        <v>120.14</v>
      </c>
      <c r="BG292" s="1">
        <v>132.6</v>
      </c>
      <c r="BH292" s="1">
        <v>114.32</v>
      </c>
      <c r="BI292" s="1">
        <v>125.45</v>
      </c>
      <c r="BJ292" s="1">
        <v>128.65</v>
      </c>
      <c r="BK292" s="1">
        <v>110.68</v>
      </c>
      <c r="BL292" s="1">
        <v>110.95</v>
      </c>
      <c r="BN292" s="1">
        <v>110.72</v>
      </c>
    </row>
    <row r="293" spans="1:66" x14ac:dyDescent="0.3">
      <c r="A293" s="2"/>
      <c r="C293" s="14" t="str">
        <f t="shared" si="5"/>
        <v>20251</v>
      </c>
      <c r="D293" s="3">
        <v>45685</v>
      </c>
      <c r="E293" s="21">
        <v>2088.8000000000002</v>
      </c>
      <c r="F293" s="21">
        <v>1979.17</v>
      </c>
      <c r="G293" s="21">
        <v>2006.66</v>
      </c>
      <c r="H293" s="21">
        <v>2035.53</v>
      </c>
      <c r="I293" s="21">
        <v>1979.17</v>
      </c>
      <c r="J293" s="21">
        <v>1934.52</v>
      </c>
      <c r="K293" s="21">
        <v>1940.91</v>
      </c>
      <c r="L293" s="21">
        <v>2012.85</v>
      </c>
      <c r="M293" s="21">
        <v>1933.09</v>
      </c>
      <c r="N293" s="21">
        <v>1910.98</v>
      </c>
      <c r="O293" s="21">
        <v>1904</v>
      </c>
      <c r="P293" s="21">
        <v>1865.11</v>
      </c>
      <c r="Q293" s="21">
        <v>6475.6</v>
      </c>
      <c r="R293" s="20">
        <v>116.41</v>
      </c>
      <c r="S293" s="20">
        <v>108.33</v>
      </c>
      <c r="T293" s="21">
        <v>119.39</v>
      </c>
      <c r="V293" s="1">
        <v>116.45</v>
      </c>
      <c r="W293" s="1">
        <v>120.29</v>
      </c>
      <c r="X293" s="1">
        <v>125.12</v>
      </c>
      <c r="Y293" s="1">
        <v>116.18</v>
      </c>
      <c r="Z293" s="1">
        <v>118.36</v>
      </c>
      <c r="AA293" s="1">
        <v>121.37</v>
      </c>
      <c r="AB293" s="1">
        <v>124.59</v>
      </c>
      <c r="AE293" s="1">
        <v>132.75</v>
      </c>
      <c r="AF293" s="1">
        <v>134.59</v>
      </c>
      <c r="AG293" s="1">
        <v>110.73</v>
      </c>
      <c r="AI293" s="1">
        <v>7.5</v>
      </c>
      <c r="AN293" s="1">
        <v>3826.55</v>
      </c>
      <c r="AQ293" s="1">
        <v>4287.9799999999996</v>
      </c>
      <c r="AR293" s="1">
        <v>3749.03</v>
      </c>
      <c r="AU293" s="1">
        <v>4012.67</v>
      </c>
      <c r="AW293" s="1">
        <v>4272.42</v>
      </c>
      <c r="AX293" s="1">
        <v>121.19</v>
      </c>
      <c r="AY293" s="1">
        <v>3797.87</v>
      </c>
      <c r="AZ293" s="1">
        <v>4202.76</v>
      </c>
      <c r="BA293" s="1">
        <v>116.3</v>
      </c>
      <c r="BB293" s="1">
        <v>126.52</v>
      </c>
      <c r="BC293" s="1">
        <v>120.69</v>
      </c>
      <c r="BD293" s="1">
        <v>121.16</v>
      </c>
      <c r="BE293" s="1">
        <v>124.11</v>
      </c>
      <c r="BF293" s="1">
        <v>119.47</v>
      </c>
      <c r="BG293" s="1">
        <v>132.6</v>
      </c>
      <c r="BH293" s="1">
        <v>116.31</v>
      </c>
      <c r="BI293" s="1">
        <v>125.57</v>
      </c>
      <c r="BJ293" s="1">
        <v>129.88</v>
      </c>
      <c r="BK293" s="1">
        <v>111.34</v>
      </c>
      <c r="BL293" s="1">
        <v>111.35</v>
      </c>
      <c r="BN293" s="1">
        <v>111.22</v>
      </c>
    </row>
    <row r="294" spans="1:66" x14ac:dyDescent="0.3">
      <c r="A294" s="2"/>
      <c r="C294" s="14" t="str">
        <f t="shared" si="5"/>
        <v>20251</v>
      </c>
      <c r="D294" s="3">
        <v>45684</v>
      </c>
      <c r="E294" s="21">
        <v>2123.2399999999998</v>
      </c>
      <c r="F294" s="21">
        <v>1979.17</v>
      </c>
      <c r="G294" s="21">
        <v>2061.64</v>
      </c>
      <c r="H294" s="21">
        <v>2035.53</v>
      </c>
      <c r="I294" s="21">
        <v>1979.17</v>
      </c>
      <c r="J294" s="21">
        <v>1949.3</v>
      </c>
      <c r="K294" s="21">
        <v>1940.91</v>
      </c>
      <c r="L294" s="21">
        <v>2012.85</v>
      </c>
      <c r="M294" s="21">
        <v>1894.55</v>
      </c>
      <c r="N294" s="21">
        <v>1913.84</v>
      </c>
      <c r="O294" s="21">
        <v>1905.25</v>
      </c>
      <c r="P294" s="21">
        <v>1865.11</v>
      </c>
      <c r="Q294" s="21">
        <v>6699.8</v>
      </c>
      <c r="R294" s="20">
        <v>116.41</v>
      </c>
      <c r="S294" s="20">
        <v>105.3</v>
      </c>
      <c r="T294" s="21">
        <v>118.58</v>
      </c>
      <c r="V294" s="1">
        <v>116.91</v>
      </c>
      <c r="W294" s="1">
        <v>119.05</v>
      </c>
      <c r="X294" s="1">
        <v>125.68</v>
      </c>
      <c r="Y294" s="1">
        <v>116.13</v>
      </c>
      <c r="Z294" s="1">
        <v>118.53</v>
      </c>
      <c r="AA294" s="1">
        <v>121.35</v>
      </c>
      <c r="AB294" s="1">
        <v>125.14</v>
      </c>
      <c r="AC294" s="1">
        <v>115.76</v>
      </c>
      <c r="AE294" s="1">
        <v>132.94999999999999</v>
      </c>
      <c r="AF294" s="1">
        <v>132.61000000000001</v>
      </c>
      <c r="AG294" s="1">
        <v>110.91</v>
      </c>
      <c r="AI294" s="1">
        <v>7.5</v>
      </c>
      <c r="AN294" s="1">
        <v>3703.59</v>
      </c>
      <c r="AR294" s="1">
        <v>3749.03</v>
      </c>
      <c r="AS294" s="1">
        <v>4367.9799999999996</v>
      </c>
      <c r="AT294" s="1">
        <v>4415.9799999999996</v>
      </c>
      <c r="AU294" s="1">
        <v>4030.8</v>
      </c>
      <c r="AW294" s="1">
        <v>4267.68</v>
      </c>
      <c r="AX294" s="1">
        <v>114.14</v>
      </c>
      <c r="AY294" s="1">
        <v>3797.87</v>
      </c>
      <c r="AZ294" s="1">
        <v>4217.16</v>
      </c>
      <c r="BA294" s="1">
        <v>116.3</v>
      </c>
      <c r="BB294" s="1">
        <v>128.01</v>
      </c>
      <c r="BC294" s="1">
        <v>121.01</v>
      </c>
      <c r="BD294" s="1">
        <v>125.2</v>
      </c>
      <c r="BE294" s="1">
        <v>124.08</v>
      </c>
      <c r="BF294" s="1">
        <v>119.39</v>
      </c>
      <c r="BG294" s="1">
        <v>133</v>
      </c>
      <c r="BH294" s="1">
        <v>116.29</v>
      </c>
      <c r="BI294" s="1">
        <v>126.2</v>
      </c>
      <c r="BJ294" s="1">
        <v>130.63</v>
      </c>
      <c r="BK294" s="1">
        <v>111.5</v>
      </c>
      <c r="BL294" s="1">
        <v>112.34</v>
      </c>
      <c r="BN294" s="1">
        <v>113.2</v>
      </c>
    </row>
    <row r="295" spans="1:66" x14ac:dyDescent="0.3">
      <c r="A295" s="2"/>
      <c r="C295" s="14" t="str">
        <f t="shared" si="5"/>
        <v>20251</v>
      </c>
      <c r="D295" s="3">
        <v>45681</v>
      </c>
      <c r="E295" s="21">
        <v>2136.4899999999998</v>
      </c>
      <c r="F295" s="21">
        <v>1979.17</v>
      </c>
      <c r="G295" s="21">
        <v>2061.64</v>
      </c>
      <c r="H295" s="21">
        <v>2029.72</v>
      </c>
      <c r="I295" s="21">
        <v>1979.17</v>
      </c>
      <c r="J295" s="21">
        <v>1954.63</v>
      </c>
      <c r="K295" s="21">
        <v>1940.91</v>
      </c>
      <c r="L295" s="21">
        <v>2001.55</v>
      </c>
      <c r="M295" s="21">
        <v>1894.55</v>
      </c>
      <c r="N295" s="21">
        <v>1929.27</v>
      </c>
      <c r="O295" s="21">
        <v>1921.39</v>
      </c>
      <c r="P295" s="21">
        <v>1865.11</v>
      </c>
      <c r="Q295" s="21">
        <v>6812.2</v>
      </c>
      <c r="R295" s="20">
        <v>116.16</v>
      </c>
      <c r="S295" s="20">
        <v>103.88</v>
      </c>
      <c r="T295" s="21">
        <v>118.95</v>
      </c>
      <c r="V295" s="1">
        <v>116.45</v>
      </c>
      <c r="W295" s="1">
        <v>120.63</v>
      </c>
      <c r="X295" s="1">
        <v>127.01</v>
      </c>
      <c r="Y295" s="1">
        <v>117.88</v>
      </c>
      <c r="Z295" s="1">
        <v>118.75</v>
      </c>
      <c r="AA295" s="1">
        <v>121.23</v>
      </c>
      <c r="AB295" s="1">
        <v>125.81</v>
      </c>
      <c r="AE295" s="1">
        <v>133.53</v>
      </c>
      <c r="AF295" s="1">
        <v>128.65</v>
      </c>
      <c r="AG295" s="1">
        <v>110.73</v>
      </c>
      <c r="AP295" s="1">
        <v>4207.5</v>
      </c>
      <c r="AR295" s="1">
        <v>3749.03</v>
      </c>
      <c r="AS295" s="1">
        <v>4367.9799999999996</v>
      </c>
      <c r="AT295" s="1">
        <v>4415.9799999999996</v>
      </c>
      <c r="AU295" s="1">
        <v>4030.8</v>
      </c>
      <c r="AW295" s="1">
        <v>4248.82</v>
      </c>
      <c r="AX295" s="1">
        <v>113.32</v>
      </c>
      <c r="AY295" s="1">
        <v>3679.98</v>
      </c>
      <c r="AZ295" s="1">
        <v>4233.63</v>
      </c>
      <c r="BA295" s="1">
        <v>117.55</v>
      </c>
      <c r="BB295" s="1">
        <v>128.91999999999999</v>
      </c>
      <c r="BC295" s="1">
        <v>126.08</v>
      </c>
      <c r="BD295" s="1">
        <v>126.14</v>
      </c>
      <c r="BE295" s="1">
        <v>123.83</v>
      </c>
      <c r="BF295" s="1">
        <v>118.23</v>
      </c>
      <c r="BG295" s="1">
        <v>134.4</v>
      </c>
      <c r="BH295" s="1">
        <v>117.51</v>
      </c>
      <c r="BI295" s="1">
        <v>126.2</v>
      </c>
      <c r="BJ295" s="1">
        <v>132.47</v>
      </c>
      <c r="BK295" s="1">
        <v>111.5</v>
      </c>
      <c r="BL295" s="1">
        <v>113.14</v>
      </c>
      <c r="BN295" s="1">
        <v>113.2</v>
      </c>
    </row>
    <row r="296" spans="1:66" x14ac:dyDescent="0.3">
      <c r="A296" s="2"/>
      <c r="C296" s="14" t="str">
        <f t="shared" si="5"/>
        <v>20251</v>
      </c>
      <c r="D296" s="3">
        <v>45680</v>
      </c>
      <c r="E296" s="21">
        <v>2202.73</v>
      </c>
      <c r="F296" s="21">
        <v>1979.17</v>
      </c>
      <c r="G296" s="21">
        <v>2061.64</v>
      </c>
      <c r="H296" s="21">
        <v>2046.12</v>
      </c>
      <c r="I296" s="21">
        <v>1987.09</v>
      </c>
      <c r="J296" s="21">
        <v>1954.63</v>
      </c>
      <c r="K296" s="21">
        <v>1940.91</v>
      </c>
      <c r="L296" s="21">
        <v>2026.05</v>
      </c>
      <c r="M296" s="21">
        <v>1894.55</v>
      </c>
      <c r="N296" s="21">
        <v>1935.26</v>
      </c>
      <c r="O296" s="21">
        <v>1943.13</v>
      </c>
      <c r="P296" s="21">
        <v>1865.11</v>
      </c>
      <c r="Q296" s="21">
        <v>6903.17</v>
      </c>
      <c r="R296" s="20">
        <v>118.15</v>
      </c>
      <c r="S296" s="20">
        <v>105.63</v>
      </c>
      <c r="T296" s="21">
        <v>119.92</v>
      </c>
      <c r="V296" s="1">
        <v>117.89</v>
      </c>
      <c r="W296" s="1">
        <v>120.29</v>
      </c>
      <c r="X296" s="1">
        <v>127.34</v>
      </c>
      <c r="Y296" s="1">
        <v>117.88</v>
      </c>
      <c r="Z296" s="1">
        <v>118.76</v>
      </c>
      <c r="AA296" s="1">
        <v>121.86</v>
      </c>
      <c r="AB296" s="1">
        <v>126.58</v>
      </c>
      <c r="AE296" s="1">
        <v>133.68</v>
      </c>
      <c r="AG296" s="1">
        <v>111.93</v>
      </c>
      <c r="AP296" s="1">
        <v>4207.5</v>
      </c>
      <c r="AR296" s="1">
        <v>3749.03</v>
      </c>
      <c r="AS296" s="1">
        <v>4367.9799999999996</v>
      </c>
      <c r="AT296" s="1">
        <v>4415.9799999999996</v>
      </c>
      <c r="AU296" s="1">
        <v>4024.4</v>
      </c>
      <c r="AW296" s="1">
        <v>4253.45</v>
      </c>
      <c r="AX296" s="1">
        <v>113.32</v>
      </c>
      <c r="AY296" s="1">
        <v>3679.98</v>
      </c>
      <c r="AZ296" s="1">
        <v>4233.63</v>
      </c>
      <c r="BA296" s="1">
        <v>117.8</v>
      </c>
      <c r="BB296" s="1">
        <v>129.94</v>
      </c>
      <c r="BC296" s="1">
        <v>126.08</v>
      </c>
      <c r="BD296" s="1">
        <v>126.83</v>
      </c>
      <c r="BE296" s="1">
        <v>125.82</v>
      </c>
      <c r="BF296" s="1">
        <v>120.83</v>
      </c>
      <c r="BG296" s="1">
        <v>135.78</v>
      </c>
      <c r="BH296" s="1">
        <v>119.5</v>
      </c>
      <c r="BI296" s="1">
        <v>126.45</v>
      </c>
      <c r="BJ296" s="1">
        <v>132.94999999999999</v>
      </c>
      <c r="BK296" s="1">
        <v>112</v>
      </c>
      <c r="BL296" s="1">
        <v>113.54</v>
      </c>
      <c r="BN296" s="1">
        <v>113.95</v>
      </c>
    </row>
    <row r="297" spans="1:66" x14ac:dyDescent="0.3">
      <c r="A297" s="2"/>
      <c r="C297" s="14" t="str">
        <f t="shared" si="5"/>
        <v>20251</v>
      </c>
      <c r="D297" s="3">
        <v>45679</v>
      </c>
      <c r="E297" s="21">
        <v>2177.88</v>
      </c>
      <c r="F297" s="21">
        <v>1979.17</v>
      </c>
      <c r="G297" s="21">
        <v>2094.62</v>
      </c>
      <c r="H297" s="21">
        <v>2074.1999999999998</v>
      </c>
      <c r="I297" s="21">
        <v>1987.09</v>
      </c>
      <c r="J297" s="21">
        <v>1954.63</v>
      </c>
      <c r="K297" s="21">
        <v>1940.91</v>
      </c>
      <c r="L297" s="21"/>
      <c r="M297" s="21">
        <v>1903.09</v>
      </c>
      <c r="N297" s="21">
        <v>1946.58</v>
      </c>
      <c r="O297" s="21">
        <v>1942.32</v>
      </c>
      <c r="P297" s="21">
        <v>1865.11</v>
      </c>
      <c r="Q297" s="21">
        <v>6903.17</v>
      </c>
      <c r="R297" s="20">
        <v>118.65</v>
      </c>
      <c r="S297" s="20">
        <v>105.63</v>
      </c>
      <c r="T297" s="21">
        <v>119.9</v>
      </c>
      <c r="V297" s="1">
        <v>117.78</v>
      </c>
      <c r="W297" s="1">
        <v>122.04</v>
      </c>
      <c r="X297" s="1">
        <v>128.78</v>
      </c>
      <c r="Y297" s="1">
        <v>119.06</v>
      </c>
      <c r="Z297" s="1">
        <v>119.2</v>
      </c>
      <c r="AA297" s="1">
        <v>122.34</v>
      </c>
      <c r="AB297" s="1">
        <v>127.36</v>
      </c>
      <c r="AE297" s="1">
        <v>133.66</v>
      </c>
      <c r="AG297" s="1">
        <v>111.93</v>
      </c>
      <c r="AN297" s="1">
        <v>4092.61</v>
      </c>
      <c r="AP297" s="1">
        <v>4207.5</v>
      </c>
      <c r="AS297" s="1">
        <v>4281.8</v>
      </c>
      <c r="AT297" s="1">
        <v>4415.9799999999996</v>
      </c>
      <c r="AU297" s="1">
        <v>3990.29</v>
      </c>
      <c r="AW297" s="1">
        <v>4306.95</v>
      </c>
      <c r="AX297" s="1">
        <v>113.32</v>
      </c>
      <c r="AZ297" s="1">
        <v>4233.63</v>
      </c>
      <c r="BA297" s="1">
        <v>117.8</v>
      </c>
      <c r="BB297" s="1">
        <v>130.63999999999999</v>
      </c>
      <c r="BC297" s="1">
        <v>127.13</v>
      </c>
      <c r="BD297" s="1">
        <v>127.97</v>
      </c>
      <c r="BE297" s="1">
        <v>126.39</v>
      </c>
      <c r="BF297" s="1">
        <v>121.13</v>
      </c>
      <c r="BG297" s="1">
        <v>135.78</v>
      </c>
      <c r="BH297" s="1">
        <v>119.07</v>
      </c>
      <c r="BI297" s="1">
        <v>126.57</v>
      </c>
      <c r="BJ297" s="1">
        <v>133.03</v>
      </c>
      <c r="BK297" s="1">
        <v>113.66</v>
      </c>
      <c r="BL297" s="1">
        <v>113.74</v>
      </c>
      <c r="BN297" s="1">
        <v>113.95</v>
      </c>
    </row>
    <row r="298" spans="1:66" x14ac:dyDescent="0.3">
      <c r="A298" s="2"/>
      <c r="C298" s="14" t="str">
        <f t="shared" si="5"/>
        <v>20251</v>
      </c>
      <c r="D298" s="3">
        <v>45678</v>
      </c>
      <c r="E298" s="21">
        <v>2177.88</v>
      </c>
      <c r="F298" s="21">
        <v>1979.17</v>
      </c>
      <c r="G298" s="21">
        <v>2094.62</v>
      </c>
      <c r="H298" s="21">
        <v>2052.4</v>
      </c>
      <c r="I298" s="21">
        <v>1971.26</v>
      </c>
      <c r="J298" s="21">
        <v>1973.57</v>
      </c>
      <c r="K298" s="21">
        <v>1940.91</v>
      </c>
      <c r="L298" s="21"/>
      <c r="M298" s="21">
        <v>1940.08</v>
      </c>
      <c r="N298" s="21">
        <v>1914.13</v>
      </c>
      <c r="O298" s="21">
        <v>1911.17</v>
      </c>
      <c r="P298" s="21">
        <v>1870.51</v>
      </c>
      <c r="Q298" s="21">
        <v>6894.84</v>
      </c>
      <c r="R298" s="20">
        <v>118.04</v>
      </c>
      <c r="S298" s="20">
        <v>102.55</v>
      </c>
      <c r="T298" s="21">
        <v>120.59</v>
      </c>
      <c r="V298" s="1">
        <v>118.1</v>
      </c>
      <c r="W298" s="1">
        <v>121.54</v>
      </c>
      <c r="X298" s="1">
        <v>127.45</v>
      </c>
      <c r="Y298" s="1">
        <v>118.58</v>
      </c>
      <c r="Z298" s="1">
        <v>119.36</v>
      </c>
      <c r="AA298" s="1">
        <v>121.63</v>
      </c>
      <c r="AB298" s="1">
        <v>126.25</v>
      </c>
      <c r="AE298" s="1">
        <v>134.54</v>
      </c>
      <c r="AG298" s="1">
        <v>110.65</v>
      </c>
      <c r="AN298" s="1">
        <v>4244.1899999999996</v>
      </c>
      <c r="AP298" s="1">
        <v>4173</v>
      </c>
      <c r="AS298" s="1">
        <v>4281.8</v>
      </c>
      <c r="AT298" s="1">
        <v>4273.32</v>
      </c>
      <c r="AW298" s="1">
        <v>4515.18</v>
      </c>
      <c r="AX298" s="1">
        <v>113.32</v>
      </c>
      <c r="AY298" s="1">
        <v>3776.82</v>
      </c>
      <c r="AZ298" s="1">
        <v>4262.95</v>
      </c>
      <c r="BA298" s="1">
        <v>116.67</v>
      </c>
      <c r="BB298" s="1">
        <v>130.38999999999999</v>
      </c>
      <c r="BC298" s="1">
        <v>126.64</v>
      </c>
      <c r="BD298" s="1">
        <v>126.08</v>
      </c>
      <c r="BE298" s="1">
        <v>126.39</v>
      </c>
      <c r="BF298" s="1">
        <v>121.1</v>
      </c>
      <c r="BG298" s="1">
        <v>135.38999999999999</v>
      </c>
      <c r="BH298" s="1">
        <v>120.39</v>
      </c>
      <c r="BI298" s="1">
        <v>126.57</v>
      </c>
      <c r="BJ298" s="1">
        <v>133</v>
      </c>
      <c r="BK298" s="1">
        <v>112.34</v>
      </c>
      <c r="BL298" s="1">
        <v>112.94</v>
      </c>
      <c r="BN298" s="1">
        <v>113.96</v>
      </c>
    </row>
    <row r="299" spans="1:66" x14ac:dyDescent="0.3">
      <c r="A299" s="2"/>
      <c r="C299" s="14" t="str">
        <f t="shared" si="5"/>
        <v>20251</v>
      </c>
      <c r="D299" s="3">
        <v>45677</v>
      </c>
      <c r="E299" s="21">
        <v>2177.88</v>
      </c>
      <c r="F299" s="21">
        <v>1979.17</v>
      </c>
      <c r="G299" s="21">
        <v>2094.62</v>
      </c>
      <c r="H299" s="21">
        <v>2069.34</v>
      </c>
      <c r="I299" s="21">
        <v>1971.26</v>
      </c>
      <c r="J299" s="21">
        <v>1966.68</v>
      </c>
      <c r="K299" s="21">
        <v>1940.91</v>
      </c>
      <c r="L299" s="21"/>
      <c r="M299" s="21">
        <v>1866.59</v>
      </c>
      <c r="N299" s="21">
        <v>1795.71</v>
      </c>
      <c r="O299" s="21">
        <v>1922.97</v>
      </c>
      <c r="P299" s="21">
        <v>1875.42</v>
      </c>
      <c r="Q299" s="21">
        <v>6873.76</v>
      </c>
      <c r="R299" s="20">
        <v>116.95</v>
      </c>
      <c r="S299" s="20">
        <v>102.55</v>
      </c>
      <c r="T299" s="21">
        <v>119.73</v>
      </c>
      <c r="V299" s="1">
        <v>117.27</v>
      </c>
      <c r="W299" s="1">
        <v>121.8</v>
      </c>
      <c r="X299" s="1">
        <v>126.45</v>
      </c>
      <c r="Y299" s="1">
        <v>117.92</v>
      </c>
      <c r="Z299" s="1">
        <v>121.96</v>
      </c>
      <c r="AA299" s="1">
        <v>120.63</v>
      </c>
      <c r="AB299" s="1">
        <v>126.03</v>
      </c>
      <c r="AE299" s="1">
        <v>133.94</v>
      </c>
      <c r="AG299" s="1">
        <v>108.8</v>
      </c>
      <c r="AN299" s="1">
        <v>4244.1899999999996</v>
      </c>
      <c r="AP299" s="1">
        <v>4173</v>
      </c>
      <c r="AS299" s="1">
        <v>4330.6400000000003</v>
      </c>
      <c r="AT299" s="1">
        <v>4130.67</v>
      </c>
      <c r="AU299" s="1">
        <v>3908.19</v>
      </c>
      <c r="AW299" s="1">
        <v>4527.13</v>
      </c>
      <c r="AX299" s="1">
        <v>114.48</v>
      </c>
      <c r="AY299" s="1">
        <v>3776.82</v>
      </c>
      <c r="AZ299" s="1">
        <v>4304.82</v>
      </c>
      <c r="BA299" s="1">
        <v>117.54</v>
      </c>
      <c r="BB299" s="1">
        <v>130.13</v>
      </c>
      <c r="BC299" s="1">
        <v>125.02</v>
      </c>
      <c r="BD299" s="1">
        <v>127.44</v>
      </c>
      <c r="BE299" s="1">
        <v>125.55</v>
      </c>
      <c r="BF299" s="1">
        <v>120.05</v>
      </c>
      <c r="BG299" s="1">
        <v>135.38999999999999</v>
      </c>
      <c r="BH299" s="1">
        <v>121.58</v>
      </c>
      <c r="BI299" s="1">
        <v>125.82</v>
      </c>
      <c r="BJ299" s="1">
        <v>131.81</v>
      </c>
      <c r="BK299" s="1">
        <v>117</v>
      </c>
      <c r="BL299" s="1">
        <v>113.34</v>
      </c>
      <c r="BN299" s="1">
        <v>114.21</v>
      </c>
    </row>
    <row r="300" spans="1:66" x14ac:dyDescent="0.3">
      <c r="A300" s="2"/>
      <c r="C300" s="14" t="str">
        <f t="shared" si="5"/>
        <v>20251</v>
      </c>
      <c r="D300" s="3">
        <v>45674</v>
      </c>
      <c r="E300" s="21">
        <v>2177.88</v>
      </c>
      <c r="F300" s="21">
        <v>1979.17</v>
      </c>
      <c r="G300" s="21">
        <v>2094.62</v>
      </c>
      <c r="H300" s="21">
        <v>2078.2600000000002</v>
      </c>
      <c r="I300" s="21">
        <v>1971.26</v>
      </c>
      <c r="J300" s="21">
        <v>1966.68</v>
      </c>
      <c r="K300" s="21">
        <v>1940.91</v>
      </c>
      <c r="L300" s="21"/>
      <c r="M300" s="21">
        <v>1866.59</v>
      </c>
      <c r="N300" s="21">
        <v>1817.06</v>
      </c>
      <c r="O300" s="21">
        <v>1920.52</v>
      </c>
      <c r="P300" s="21">
        <v>1861.26</v>
      </c>
      <c r="Q300" s="21">
        <v>6800.91</v>
      </c>
      <c r="R300" s="20">
        <v>117.65</v>
      </c>
      <c r="S300" s="20">
        <v>108.54</v>
      </c>
      <c r="T300" s="21">
        <v>120.41</v>
      </c>
      <c r="V300" s="1">
        <v>117.31</v>
      </c>
      <c r="W300" s="1">
        <v>121.54</v>
      </c>
      <c r="X300" s="1">
        <v>126.45</v>
      </c>
      <c r="Y300" s="1">
        <v>117.7</v>
      </c>
      <c r="Z300" s="1">
        <v>122.13</v>
      </c>
      <c r="AA300" s="1">
        <v>122.49</v>
      </c>
      <c r="AB300" s="1">
        <v>125.66</v>
      </c>
      <c r="AE300" s="1">
        <v>133.94</v>
      </c>
      <c r="AG300" s="1">
        <v>114.82</v>
      </c>
      <c r="AI300" s="1">
        <v>30</v>
      </c>
      <c r="AN300" s="1">
        <v>4250.8100000000004</v>
      </c>
      <c r="AP300" s="1">
        <v>4104</v>
      </c>
      <c r="AS300" s="1">
        <v>4330.6400000000003</v>
      </c>
      <c r="AT300" s="1">
        <v>4130.67</v>
      </c>
      <c r="AU300" s="1">
        <v>3908.19</v>
      </c>
      <c r="AW300" s="1">
        <v>4527.13</v>
      </c>
      <c r="AX300" s="1">
        <v>114.48</v>
      </c>
      <c r="AY300" s="1">
        <v>3776.82</v>
      </c>
      <c r="AZ300" s="1">
        <v>4274.5</v>
      </c>
      <c r="BA300" s="1">
        <v>117.54</v>
      </c>
      <c r="BB300" s="1">
        <v>130.51</v>
      </c>
      <c r="BC300" s="1">
        <v>127.23</v>
      </c>
      <c r="BD300" s="1">
        <v>128.19</v>
      </c>
      <c r="BE300" s="1">
        <v>125.53</v>
      </c>
      <c r="BF300" s="1">
        <v>120.99</v>
      </c>
      <c r="BG300" s="1">
        <v>135.16</v>
      </c>
      <c r="BH300" s="1">
        <v>120.14</v>
      </c>
      <c r="BI300" s="1">
        <v>125.82</v>
      </c>
      <c r="BJ300" s="1">
        <v>131.81</v>
      </c>
      <c r="BK300" s="1">
        <v>117</v>
      </c>
      <c r="BL300" s="1">
        <v>112.54</v>
      </c>
      <c r="BN300" s="1">
        <v>114.21</v>
      </c>
    </row>
    <row r="301" spans="1:66" x14ac:dyDescent="0.3">
      <c r="A301" s="2"/>
      <c r="C301" s="14" t="str">
        <f t="shared" si="5"/>
        <v>20251</v>
      </c>
      <c r="D301" s="3">
        <v>45673</v>
      </c>
      <c r="E301" s="21">
        <v>2184.5100000000002</v>
      </c>
      <c r="F301" s="21">
        <v>1979.17</v>
      </c>
      <c r="G301" s="21">
        <v>2094.62</v>
      </c>
      <c r="H301" s="21">
        <v>2069.34</v>
      </c>
      <c r="I301" s="21">
        <v>1987.09</v>
      </c>
      <c r="J301" s="21">
        <v>1966.68</v>
      </c>
      <c r="K301" s="21">
        <v>1940.91</v>
      </c>
      <c r="L301" s="21"/>
      <c r="M301" s="21">
        <v>1916.59</v>
      </c>
      <c r="N301" s="21">
        <v>1806.35</v>
      </c>
      <c r="O301" s="21">
        <v>1933.97</v>
      </c>
      <c r="P301" s="21">
        <v>1875.42</v>
      </c>
      <c r="Q301" s="21">
        <v>6825.91</v>
      </c>
      <c r="R301" s="20">
        <v>117.15</v>
      </c>
      <c r="S301" s="20">
        <v>108.87</v>
      </c>
      <c r="T301" s="21">
        <v>120.88</v>
      </c>
      <c r="V301" s="1">
        <v>117.31</v>
      </c>
      <c r="W301" s="1">
        <v>122.79</v>
      </c>
      <c r="X301" s="1">
        <v>127.01</v>
      </c>
      <c r="Y301" s="1">
        <v>118.64</v>
      </c>
      <c r="Z301" s="1">
        <v>122.46</v>
      </c>
      <c r="AA301" s="1">
        <v>122.24</v>
      </c>
      <c r="AB301" s="1">
        <v>126.25</v>
      </c>
      <c r="AE301" s="1">
        <v>133.55000000000001</v>
      </c>
      <c r="AG301" s="1">
        <v>114.82</v>
      </c>
      <c r="AI301" s="1">
        <v>30</v>
      </c>
      <c r="AN301" s="1">
        <v>4250.8100000000004</v>
      </c>
      <c r="AP301" s="1">
        <v>4104</v>
      </c>
      <c r="AS301" s="1">
        <v>4330.6400000000003</v>
      </c>
      <c r="AT301" s="1">
        <v>4130.67</v>
      </c>
      <c r="AU301" s="1">
        <v>3908.19</v>
      </c>
      <c r="AW301" s="1">
        <v>4527.13</v>
      </c>
      <c r="AX301" s="1">
        <v>114.48</v>
      </c>
      <c r="AY301" s="1">
        <v>3776.82</v>
      </c>
      <c r="AZ301" s="1">
        <v>4250.25</v>
      </c>
      <c r="BA301" s="1">
        <v>119.57</v>
      </c>
      <c r="BB301" s="1">
        <v>130.83000000000001</v>
      </c>
      <c r="BC301" s="1">
        <v>127.53</v>
      </c>
      <c r="BD301" s="1">
        <v>129.25</v>
      </c>
      <c r="BE301" s="1">
        <v>125.02</v>
      </c>
      <c r="BF301" s="1">
        <v>120.63</v>
      </c>
      <c r="BG301" s="1">
        <v>135.47999999999999</v>
      </c>
      <c r="BH301" s="1">
        <v>120.85</v>
      </c>
      <c r="BI301" s="1">
        <v>126.57</v>
      </c>
      <c r="BJ301" s="1">
        <v>132.59</v>
      </c>
      <c r="BK301" s="1">
        <v>117</v>
      </c>
      <c r="BL301" s="1">
        <v>113.74</v>
      </c>
      <c r="BN301" s="1">
        <v>114.21</v>
      </c>
    </row>
    <row r="302" spans="1:66" x14ac:dyDescent="0.3">
      <c r="A302" s="2"/>
      <c r="C302" s="14" t="str">
        <f t="shared" si="5"/>
        <v>20251</v>
      </c>
      <c r="D302" s="3">
        <v>45672</v>
      </c>
      <c r="E302" s="21">
        <v>2184.5100000000002</v>
      </c>
      <c r="F302" s="21">
        <v>1979.17</v>
      </c>
      <c r="G302" s="21">
        <v>2094.62</v>
      </c>
      <c r="H302" s="21">
        <v>2101.38</v>
      </c>
      <c r="I302" s="21">
        <v>1987.09</v>
      </c>
      <c r="J302" s="21">
        <v>1980.88</v>
      </c>
      <c r="K302" s="21">
        <v>1940.91</v>
      </c>
      <c r="L302" s="21"/>
      <c r="M302" s="21">
        <v>1916.59</v>
      </c>
      <c r="N302" s="21">
        <v>1833.48</v>
      </c>
      <c r="O302" s="21">
        <v>1940.35</v>
      </c>
      <c r="P302" s="21">
        <v>1875.42</v>
      </c>
      <c r="Q302" s="21">
        <v>6825.91</v>
      </c>
      <c r="R302" s="20">
        <v>117.4</v>
      </c>
      <c r="S302" s="20">
        <v>107.21</v>
      </c>
      <c r="T302" s="21">
        <v>121.25</v>
      </c>
      <c r="V302" s="1">
        <v>117.91</v>
      </c>
      <c r="W302" s="1">
        <v>122.43</v>
      </c>
      <c r="X302" s="1">
        <v>127.45</v>
      </c>
      <c r="Y302" s="1">
        <v>119.84</v>
      </c>
      <c r="Z302" s="1">
        <v>120.78</v>
      </c>
      <c r="AA302" s="1">
        <v>122.4</v>
      </c>
      <c r="AB302" s="1">
        <v>126.36</v>
      </c>
      <c r="AE302" s="1">
        <v>133.41</v>
      </c>
      <c r="AG302" s="1">
        <v>114.8</v>
      </c>
      <c r="AI302" s="1">
        <v>30</v>
      </c>
      <c r="AN302" s="1">
        <v>4253.0200000000004</v>
      </c>
      <c r="AP302" s="1">
        <v>4104</v>
      </c>
      <c r="AS302" s="1">
        <v>4294.71</v>
      </c>
      <c r="AT302" s="1">
        <v>4130.67</v>
      </c>
      <c r="AU302" s="1">
        <v>3917.79</v>
      </c>
      <c r="AY302" s="1">
        <v>3776.82</v>
      </c>
      <c r="AZ302" s="1">
        <v>4250.25</v>
      </c>
      <c r="BA302" s="1">
        <v>119.57</v>
      </c>
      <c r="BB302" s="1">
        <v>131.65</v>
      </c>
      <c r="BC302" s="1">
        <v>128.71</v>
      </c>
      <c r="BD302" s="1">
        <v>130.69999999999999</v>
      </c>
      <c r="BE302" s="1">
        <v>125.01</v>
      </c>
      <c r="BF302" s="1">
        <v>120.76</v>
      </c>
      <c r="BG302" s="1">
        <v>135.63999999999999</v>
      </c>
      <c r="BH302" s="1">
        <v>120.78</v>
      </c>
      <c r="BI302" s="1">
        <v>126.94</v>
      </c>
      <c r="BJ302" s="1">
        <v>132.58000000000001</v>
      </c>
      <c r="BK302" s="1">
        <v>117.66</v>
      </c>
      <c r="BL302" s="1">
        <v>114.14</v>
      </c>
      <c r="BN302" s="1">
        <v>115.2</v>
      </c>
    </row>
    <row r="303" spans="1:66" x14ac:dyDescent="0.3">
      <c r="A303" s="2"/>
      <c r="C303" s="14" t="str">
        <f t="shared" si="5"/>
        <v>20251</v>
      </c>
      <c r="D303" s="3">
        <v>45671</v>
      </c>
      <c r="E303" s="21">
        <v>2092.39</v>
      </c>
      <c r="F303" s="21">
        <v>1979.17</v>
      </c>
      <c r="G303" s="21">
        <v>2016.28</v>
      </c>
      <c r="H303" s="21">
        <v>2062.4699999999998</v>
      </c>
      <c r="I303" s="21">
        <v>1979.17</v>
      </c>
      <c r="J303" s="21">
        <v>1990.87</v>
      </c>
      <c r="K303" s="21">
        <v>1940.91</v>
      </c>
      <c r="L303" s="21"/>
      <c r="M303" s="21">
        <v>1916.59</v>
      </c>
      <c r="N303" s="21">
        <v>1849.2</v>
      </c>
      <c r="O303" s="21">
        <v>1963.53</v>
      </c>
      <c r="P303" s="21">
        <v>1869.11</v>
      </c>
      <c r="Q303" s="21">
        <v>6923.76</v>
      </c>
      <c r="R303" s="20">
        <v>118.15</v>
      </c>
      <c r="S303" s="20">
        <v>106.21</v>
      </c>
      <c r="T303" s="21">
        <v>121.38</v>
      </c>
      <c r="V303" s="1">
        <v>117.9</v>
      </c>
      <c r="W303" s="1">
        <v>124.03</v>
      </c>
      <c r="X303" s="1">
        <v>127.56</v>
      </c>
      <c r="Y303" s="1">
        <v>119.9</v>
      </c>
      <c r="Z303" s="1">
        <v>120.45</v>
      </c>
      <c r="AA303" s="1">
        <v>122.46</v>
      </c>
      <c r="AB303" s="1">
        <v>126.25</v>
      </c>
      <c r="AE303" s="1">
        <v>133.59</v>
      </c>
      <c r="AG303" s="1">
        <v>114.72</v>
      </c>
      <c r="AI303" s="1">
        <v>30</v>
      </c>
      <c r="AN303" s="1">
        <v>4253.0200000000004</v>
      </c>
      <c r="AS303" s="1">
        <v>4294.71</v>
      </c>
      <c r="AU303" s="1">
        <v>3917.79</v>
      </c>
      <c r="AZ303" s="1">
        <v>4267.7700000000004</v>
      </c>
      <c r="BA303" s="1">
        <v>118.67</v>
      </c>
      <c r="BB303" s="1">
        <v>133.16</v>
      </c>
      <c r="BC303" s="1">
        <v>129.75</v>
      </c>
      <c r="BD303" s="1">
        <v>130.43</v>
      </c>
      <c r="BE303" s="1">
        <v>129.41</v>
      </c>
      <c r="BF303" s="1">
        <v>123.53</v>
      </c>
      <c r="BG303" s="1">
        <v>135</v>
      </c>
      <c r="BH303" s="1">
        <v>120.77</v>
      </c>
      <c r="BI303" s="1">
        <v>126.57</v>
      </c>
      <c r="BJ303" s="1">
        <v>133.27000000000001</v>
      </c>
      <c r="BK303" s="1">
        <v>119</v>
      </c>
      <c r="BL303" s="1">
        <v>114.74</v>
      </c>
      <c r="BN303" s="1">
        <v>114.21</v>
      </c>
    </row>
    <row r="304" spans="1:66" x14ac:dyDescent="0.3">
      <c r="A304" s="2"/>
      <c r="C304" s="14" t="str">
        <f t="shared" si="5"/>
        <v>20251</v>
      </c>
      <c r="D304" s="3">
        <v>45670</v>
      </c>
      <c r="E304" s="21">
        <v>2094.87</v>
      </c>
      <c r="F304" s="21">
        <v>1979.17</v>
      </c>
      <c r="G304" s="21">
        <v>1991.54</v>
      </c>
      <c r="H304" s="21">
        <v>2062.4699999999998</v>
      </c>
      <c r="I304" s="21">
        <v>1979.17</v>
      </c>
      <c r="J304" s="21">
        <v>2014.89</v>
      </c>
      <c r="K304" s="21">
        <v>1940.91</v>
      </c>
      <c r="L304" s="21"/>
      <c r="M304" s="21">
        <v>1918.3</v>
      </c>
      <c r="N304" s="21">
        <v>1912.68</v>
      </c>
      <c r="O304" s="21">
        <v>1962.44</v>
      </c>
      <c r="P304" s="21">
        <v>1875.42</v>
      </c>
      <c r="Q304" s="21">
        <v>6923.76</v>
      </c>
      <c r="R304" s="20">
        <v>117.9</v>
      </c>
      <c r="S304" s="20">
        <v>106.21</v>
      </c>
      <c r="T304" s="21">
        <v>121.6</v>
      </c>
      <c r="V304" s="1">
        <v>117.93</v>
      </c>
      <c r="W304" s="1">
        <v>122.79</v>
      </c>
      <c r="X304" s="1">
        <v>126.9</v>
      </c>
      <c r="Y304" s="1">
        <v>119.58</v>
      </c>
      <c r="Z304" s="1">
        <v>119.96</v>
      </c>
      <c r="AA304" s="1">
        <v>120.43</v>
      </c>
      <c r="AB304" s="1">
        <v>126.03</v>
      </c>
      <c r="AE304" s="1">
        <v>134.34</v>
      </c>
      <c r="AG304" s="1">
        <v>114.72</v>
      </c>
      <c r="AI304" s="1">
        <v>30</v>
      </c>
      <c r="AN304" s="1">
        <v>4340.3</v>
      </c>
      <c r="AP304" s="1">
        <v>4187.5</v>
      </c>
      <c r="AR304" s="1">
        <v>4072.4</v>
      </c>
      <c r="AU304" s="1">
        <v>3924.19</v>
      </c>
      <c r="AZ304" s="1">
        <v>4267.7700000000004</v>
      </c>
      <c r="BA304" s="1">
        <v>118.89</v>
      </c>
      <c r="BB304" s="1">
        <v>133.11000000000001</v>
      </c>
      <c r="BC304" s="1">
        <v>130.1</v>
      </c>
      <c r="BD304" s="1">
        <v>130.30000000000001</v>
      </c>
      <c r="BE304" s="1">
        <v>129.4</v>
      </c>
      <c r="BF304" s="1">
        <v>123.53</v>
      </c>
      <c r="BG304" s="1">
        <v>135.16999999999999</v>
      </c>
      <c r="BH304" s="1">
        <v>121.53</v>
      </c>
      <c r="BI304" s="1">
        <v>126.57</v>
      </c>
      <c r="BJ304" s="1">
        <v>132.36000000000001</v>
      </c>
      <c r="BK304" s="1">
        <v>117.67</v>
      </c>
      <c r="BL304" s="1">
        <v>114.14</v>
      </c>
      <c r="BN304" s="1">
        <v>113.46</v>
      </c>
    </row>
    <row r="305" spans="1:66" x14ac:dyDescent="0.3">
      <c r="A305" s="2"/>
      <c r="C305" s="14" t="str">
        <f t="shared" si="5"/>
        <v>20251</v>
      </c>
      <c r="D305" s="3">
        <v>45667</v>
      </c>
      <c r="E305" s="21">
        <v>2094.87</v>
      </c>
      <c r="F305" s="21">
        <v>1979.17</v>
      </c>
      <c r="G305" s="21">
        <v>2016.28</v>
      </c>
      <c r="H305" s="21">
        <v>2057.16</v>
      </c>
      <c r="I305" s="21">
        <v>1959.38</v>
      </c>
      <c r="J305" s="21">
        <v>1991.5</v>
      </c>
      <c r="K305" s="21">
        <v>1907.75</v>
      </c>
      <c r="L305" s="21"/>
      <c r="M305" s="21">
        <v>1882.02</v>
      </c>
      <c r="N305" s="21">
        <v>1956.29</v>
      </c>
      <c r="O305" s="21">
        <v>1966.12</v>
      </c>
      <c r="P305" s="21">
        <v>1858.84</v>
      </c>
      <c r="Q305" s="21">
        <v>6773.76</v>
      </c>
      <c r="R305" s="20">
        <v>116.41</v>
      </c>
      <c r="S305" s="20">
        <v>107.82</v>
      </c>
      <c r="T305" s="21">
        <v>119.55</v>
      </c>
      <c r="V305" s="1">
        <v>117.93</v>
      </c>
      <c r="W305" s="1">
        <v>122.78</v>
      </c>
      <c r="X305" s="1">
        <v>125.68</v>
      </c>
      <c r="Y305" s="1">
        <v>116.95</v>
      </c>
      <c r="Z305" s="1">
        <v>118.16</v>
      </c>
      <c r="AA305" s="1">
        <v>120.04</v>
      </c>
      <c r="AB305" s="1">
        <v>125.04</v>
      </c>
      <c r="AE305" s="1">
        <v>133.15</v>
      </c>
      <c r="AG305" s="1">
        <v>113.13</v>
      </c>
      <c r="AP305" s="1">
        <v>4186.25</v>
      </c>
      <c r="AR305" s="1">
        <v>4072.4</v>
      </c>
      <c r="AU305" s="1">
        <v>3937.42</v>
      </c>
      <c r="AY305" s="1">
        <v>3880.4</v>
      </c>
      <c r="AZ305" s="1">
        <v>4333.6899999999996</v>
      </c>
      <c r="BA305" s="1">
        <v>119.98</v>
      </c>
      <c r="BB305" s="1">
        <v>131.85</v>
      </c>
      <c r="BC305" s="1">
        <v>128.69</v>
      </c>
      <c r="BD305" s="1">
        <v>130.30000000000001</v>
      </c>
      <c r="BE305" s="1">
        <v>127.45</v>
      </c>
      <c r="BF305" s="1">
        <v>125.75</v>
      </c>
      <c r="BG305" s="1">
        <v>133.85</v>
      </c>
      <c r="BH305" s="1">
        <v>123.23</v>
      </c>
      <c r="BI305" s="1">
        <v>126.45</v>
      </c>
      <c r="BJ305" s="1">
        <v>131</v>
      </c>
      <c r="BK305" s="1">
        <v>117.67</v>
      </c>
      <c r="BL305" s="1">
        <v>112.54</v>
      </c>
      <c r="BN305" s="1">
        <v>112.96</v>
      </c>
    </row>
    <row r="306" spans="1:66" x14ac:dyDescent="0.3">
      <c r="A306" s="2"/>
      <c r="C306" s="14" t="str">
        <f t="shared" si="5"/>
        <v>20251</v>
      </c>
      <c r="D306" s="3">
        <v>45666</v>
      </c>
      <c r="E306" s="21">
        <v>2101.0700000000002</v>
      </c>
      <c r="F306" s="21">
        <v>1979.17</v>
      </c>
      <c r="G306" s="21">
        <v>2016.28</v>
      </c>
      <c r="H306" s="21">
        <v>2049.62</v>
      </c>
      <c r="I306" s="21">
        <v>1959.38</v>
      </c>
      <c r="J306" s="21">
        <v>1991.5</v>
      </c>
      <c r="K306" s="21">
        <v>1907.75</v>
      </c>
      <c r="L306" s="21">
        <v>1894.1</v>
      </c>
      <c r="M306" s="21">
        <v>1882.02</v>
      </c>
      <c r="N306" s="21">
        <v>1967.03</v>
      </c>
      <c r="O306" s="21">
        <v>1971.07</v>
      </c>
      <c r="P306" s="21">
        <v>1842.05</v>
      </c>
      <c r="Q306" s="21">
        <v>6911.78</v>
      </c>
      <c r="R306" s="20">
        <v>116.41</v>
      </c>
      <c r="S306" s="20">
        <v>107.83</v>
      </c>
      <c r="T306" s="21">
        <v>118.06</v>
      </c>
      <c r="V306" s="1">
        <v>118.19</v>
      </c>
      <c r="W306" s="1">
        <v>122.78</v>
      </c>
      <c r="X306" s="1">
        <v>125.68</v>
      </c>
      <c r="Y306" s="1">
        <v>116.82</v>
      </c>
      <c r="Z306" s="1">
        <v>117.36</v>
      </c>
      <c r="AA306" s="1">
        <v>120.04</v>
      </c>
      <c r="AB306" s="1">
        <v>125.14</v>
      </c>
      <c r="AE306" s="1">
        <v>133.15</v>
      </c>
      <c r="AG306" s="1">
        <v>111.83</v>
      </c>
      <c r="AP306" s="1">
        <v>4186.25</v>
      </c>
      <c r="AR306" s="1">
        <v>4072.4</v>
      </c>
      <c r="AU306" s="1">
        <v>3937.87</v>
      </c>
      <c r="AY306" s="1">
        <v>3880.4</v>
      </c>
      <c r="AZ306" s="1">
        <v>4301.45</v>
      </c>
      <c r="BA306" s="1">
        <v>119.23</v>
      </c>
      <c r="BB306" s="1">
        <v>130.97999999999999</v>
      </c>
      <c r="BC306" s="1">
        <v>127.64</v>
      </c>
      <c r="BD306" s="1">
        <v>130</v>
      </c>
      <c r="BE306" s="1">
        <v>127.45</v>
      </c>
      <c r="BF306" s="1">
        <v>125.72</v>
      </c>
      <c r="BG306" s="1">
        <v>133.85</v>
      </c>
      <c r="BH306" s="1">
        <v>123.08</v>
      </c>
      <c r="BI306" s="1">
        <v>126.45</v>
      </c>
      <c r="BJ306" s="1">
        <v>131</v>
      </c>
      <c r="BK306" s="1">
        <v>117.34</v>
      </c>
      <c r="BL306" s="1">
        <v>112.34</v>
      </c>
      <c r="BN306" s="1">
        <v>112.46</v>
      </c>
    </row>
    <row r="307" spans="1:66" x14ac:dyDescent="0.3">
      <c r="A307" s="2"/>
      <c r="C307" s="14" t="str">
        <f t="shared" si="5"/>
        <v>20251</v>
      </c>
      <c r="D307" s="3">
        <v>45665</v>
      </c>
      <c r="E307" s="21">
        <v>2101.0700000000002</v>
      </c>
      <c r="F307" s="21">
        <v>1979.17</v>
      </c>
      <c r="G307" s="21">
        <v>1995.67</v>
      </c>
      <c r="H307" s="21">
        <v>2058.0500000000002</v>
      </c>
      <c r="I307" s="21">
        <v>1967.3</v>
      </c>
      <c r="J307" s="21">
        <v>1991.5</v>
      </c>
      <c r="K307" s="21">
        <v>1907.75</v>
      </c>
      <c r="L307" s="21">
        <v>1898.53</v>
      </c>
      <c r="M307" s="21">
        <v>1892.02</v>
      </c>
      <c r="N307" s="21">
        <v>1869.81</v>
      </c>
      <c r="O307" s="21">
        <v>1971.07</v>
      </c>
      <c r="P307" s="21">
        <v>1842.05</v>
      </c>
      <c r="Q307" s="21">
        <v>6911.78</v>
      </c>
      <c r="R307" s="20">
        <v>115.41</v>
      </c>
      <c r="S307" s="20">
        <v>107.87</v>
      </c>
      <c r="T307" s="21">
        <v>118.8</v>
      </c>
      <c r="V307" s="1">
        <v>118.55</v>
      </c>
      <c r="W307" s="1">
        <v>123.53</v>
      </c>
      <c r="X307" s="1">
        <v>125.68</v>
      </c>
      <c r="Y307" s="1">
        <v>117.35</v>
      </c>
      <c r="Z307" s="1">
        <v>119.45</v>
      </c>
      <c r="AA307" s="1">
        <v>119.21</v>
      </c>
      <c r="AB307" s="1">
        <v>125.14</v>
      </c>
      <c r="AE307" s="1">
        <v>133.15</v>
      </c>
      <c r="AF307" s="1">
        <v>134.83000000000001</v>
      </c>
      <c r="AG307" s="1">
        <v>112.03</v>
      </c>
      <c r="AP307" s="1">
        <v>4186.25</v>
      </c>
      <c r="AR307" s="1">
        <v>4072.4</v>
      </c>
      <c r="AU307" s="1">
        <v>3973.03</v>
      </c>
      <c r="AW307" s="1">
        <v>3817.24</v>
      </c>
      <c r="AX307" s="1">
        <v>123.86</v>
      </c>
      <c r="AY307" s="1">
        <v>3880.4</v>
      </c>
      <c r="AZ307" s="1">
        <v>4301.45</v>
      </c>
      <c r="BA307" s="1">
        <v>119.23</v>
      </c>
      <c r="BB307" s="1">
        <v>132.01</v>
      </c>
      <c r="BC307" s="1">
        <v>128.22</v>
      </c>
      <c r="BD307" s="1">
        <v>131.72999999999999</v>
      </c>
      <c r="BE307" s="1">
        <v>126.45</v>
      </c>
      <c r="BF307" s="1">
        <v>125.03</v>
      </c>
      <c r="BG307" s="1">
        <v>134.01</v>
      </c>
      <c r="BH307" s="1">
        <v>122.24</v>
      </c>
      <c r="BI307" s="1">
        <v>126.82</v>
      </c>
      <c r="BJ307" s="1">
        <v>131.65</v>
      </c>
      <c r="BK307" s="1">
        <v>117.67</v>
      </c>
      <c r="BL307" s="1">
        <v>112.94</v>
      </c>
      <c r="BN307" s="1">
        <v>112.96</v>
      </c>
    </row>
    <row r="308" spans="1:66" x14ac:dyDescent="0.3">
      <c r="A308" s="2"/>
      <c r="C308" s="14" t="str">
        <f t="shared" si="5"/>
        <v>20251</v>
      </c>
      <c r="D308" s="3">
        <v>45664</v>
      </c>
      <c r="E308" s="21">
        <v>2099.83</v>
      </c>
      <c r="F308" s="21">
        <v>1979.17</v>
      </c>
      <c r="G308" s="21">
        <v>1995.67</v>
      </c>
      <c r="H308" s="21">
        <v>2162.86</v>
      </c>
      <c r="I308" s="21">
        <v>1984.12</v>
      </c>
      <c r="J308" s="21">
        <v>1992.72</v>
      </c>
      <c r="K308" s="21">
        <v>1971.71</v>
      </c>
      <c r="L308" s="21">
        <v>1911.8</v>
      </c>
      <c r="M308" s="21">
        <v>1892.02</v>
      </c>
      <c r="N308" s="21">
        <v>1808.73</v>
      </c>
      <c r="O308" s="21">
        <v>1964.11</v>
      </c>
      <c r="P308" s="21">
        <v>1830.52</v>
      </c>
      <c r="Q308" s="21">
        <v>6909.28</v>
      </c>
      <c r="R308" s="20">
        <v>115.16</v>
      </c>
      <c r="S308" s="20">
        <v>107.87</v>
      </c>
      <c r="T308" s="21">
        <v>120.16</v>
      </c>
      <c r="V308" s="1">
        <v>119.33</v>
      </c>
      <c r="W308" s="1">
        <v>123.78</v>
      </c>
      <c r="X308" s="1">
        <v>125.46</v>
      </c>
      <c r="Y308" s="1">
        <v>117.68</v>
      </c>
      <c r="Z308" s="1">
        <v>118.95</v>
      </c>
      <c r="AA308" s="1">
        <v>119.79</v>
      </c>
      <c r="AB308" s="1">
        <v>125.16</v>
      </c>
      <c r="AE308" s="1">
        <v>132.94999999999999</v>
      </c>
      <c r="AF308" s="1">
        <v>135.08000000000001</v>
      </c>
      <c r="AG308" s="1">
        <v>113</v>
      </c>
      <c r="AP308" s="1">
        <v>4192.5</v>
      </c>
      <c r="AQ308" s="1">
        <v>4547.34</v>
      </c>
      <c r="AR308" s="1">
        <v>4072.4</v>
      </c>
      <c r="AU308" s="1">
        <v>3973.03</v>
      </c>
      <c r="AW308" s="1">
        <v>3817.24</v>
      </c>
      <c r="AX308" s="1">
        <v>124.06</v>
      </c>
      <c r="AY308" s="1">
        <v>3880.4</v>
      </c>
      <c r="BA308" s="1">
        <v>123.02</v>
      </c>
      <c r="BB308" s="1">
        <v>131.22</v>
      </c>
      <c r="BC308" s="1">
        <v>127.18</v>
      </c>
      <c r="BD308" s="1">
        <v>129.97</v>
      </c>
      <c r="BE308" s="1">
        <v>125.49</v>
      </c>
      <c r="BF308" s="1">
        <v>137.19999999999999</v>
      </c>
      <c r="BG308" s="1">
        <v>133.88999999999999</v>
      </c>
      <c r="BH308" s="1">
        <v>124.18</v>
      </c>
      <c r="BI308" s="1">
        <v>126.99</v>
      </c>
      <c r="BJ308" s="1">
        <v>131.77000000000001</v>
      </c>
      <c r="BK308" s="1">
        <v>113.96</v>
      </c>
      <c r="BL308" s="1">
        <v>113.63</v>
      </c>
      <c r="BN308" s="1">
        <v>112.52</v>
      </c>
    </row>
    <row r="309" spans="1:66" x14ac:dyDescent="0.3">
      <c r="A309" s="2"/>
      <c r="C309" s="14" t="str">
        <f t="shared" si="5"/>
        <v>20251</v>
      </c>
      <c r="D309" s="3">
        <v>45663</v>
      </c>
      <c r="E309" s="21">
        <v>2107.2199999999998</v>
      </c>
      <c r="F309" s="21">
        <v>1965.68</v>
      </c>
      <c r="G309" s="21">
        <v>2022.06</v>
      </c>
      <c r="H309" s="21">
        <v>2180.16</v>
      </c>
      <c r="I309" s="21">
        <v>1983.13</v>
      </c>
      <c r="J309" s="21">
        <v>2001.25</v>
      </c>
      <c r="K309" s="21">
        <v>1950.39</v>
      </c>
      <c r="L309" s="21">
        <v>1869.16</v>
      </c>
      <c r="M309" s="21">
        <v>1845.35</v>
      </c>
      <c r="N309" s="21">
        <v>1948.4</v>
      </c>
      <c r="O309" s="21">
        <v>1976.62</v>
      </c>
      <c r="P309" s="21">
        <v>1855.71</v>
      </c>
      <c r="Q309" s="21">
        <v>6909.28</v>
      </c>
      <c r="R309" s="20">
        <v>117.15</v>
      </c>
      <c r="S309" s="20">
        <v>108.71</v>
      </c>
      <c r="T309" s="21">
        <v>120.36</v>
      </c>
      <c r="V309" s="1">
        <v>122.39</v>
      </c>
      <c r="W309" s="1">
        <v>124.03</v>
      </c>
      <c r="X309" s="1">
        <v>125.57</v>
      </c>
      <c r="Y309" s="1">
        <v>121.13</v>
      </c>
      <c r="Z309" s="1">
        <v>119.95</v>
      </c>
      <c r="AA309" s="1">
        <v>123.1</v>
      </c>
      <c r="AB309" s="1">
        <v>125.16</v>
      </c>
      <c r="AE309" s="1">
        <v>133.15</v>
      </c>
      <c r="AF309" s="1">
        <v>135.57</v>
      </c>
      <c r="AG309" s="1">
        <v>122.62</v>
      </c>
      <c r="AP309" s="1">
        <v>4185</v>
      </c>
      <c r="AU309" s="1">
        <v>3973.03</v>
      </c>
      <c r="AW309" s="1">
        <v>3817.24</v>
      </c>
      <c r="AX309" s="1">
        <v>124.64</v>
      </c>
      <c r="AY309" s="1">
        <v>3880.4</v>
      </c>
      <c r="BA309" s="1">
        <v>120.47</v>
      </c>
      <c r="BB309" s="1">
        <v>133.38</v>
      </c>
      <c r="BC309" s="1">
        <v>129.84</v>
      </c>
      <c r="BD309" s="1">
        <v>133.27000000000001</v>
      </c>
      <c r="BE309" s="1">
        <v>127.84</v>
      </c>
      <c r="BF309" s="1">
        <v>141.6</v>
      </c>
      <c r="BG309" s="1">
        <v>134.08000000000001</v>
      </c>
      <c r="BH309" s="1">
        <v>126.04</v>
      </c>
      <c r="BI309" s="1">
        <v>127.56</v>
      </c>
      <c r="BJ309" s="1">
        <v>132.22999999999999</v>
      </c>
      <c r="BK309" s="1">
        <v>117.67</v>
      </c>
      <c r="BL309" s="1">
        <v>116.34</v>
      </c>
      <c r="BN309" s="1">
        <v>115.45</v>
      </c>
    </row>
    <row r="310" spans="1:66" x14ac:dyDescent="0.3">
      <c r="A310" s="2"/>
      <c r="C310" s="14" t="str">
        <f t="shared" si="5"/>
        <v>20251</v>
      </c>
      <c r="D310" s="3">
        <v>45660</v>
      </c>
      <c r="E310" s="21">
        <v>2107.2199999999998</v>
      </c>
      <c r="F310" s="21">
        <v>1916.2</v>
      </c>
      <c r="G310" s="21">
        <v>2011.33</v>
      </c>
      <c r="H310" s="21">
        <v>2238.91</v>
      </c>
      <c r="I310" s="21">
        <v>1990.06</v>
      </c>
      <c r="J310" s="21">
        <v>2034.07</v>
      </c>
      <c r="K310" s="21">
        <v>1907.75</v>
      </c>
      <c r="L310" s="21">
        <v>1781.2</v>
      </c>
      <c r="M310" s="21">
        <v>1908.68</v>
      </c>
      <c r="N310" s="21">
        <v>1913.52</v>
      </c>
      <c r="O310" s="21">
        <v>1934.07</v>
      </c>
      <c r="P310" s="21">
        <v>1842.05</v>
      </c>
      <c r="Q310" s="21">
        <v>7007.17</v>
      </c>
      <c r="R310" s="20">
        <v>117.15</v>
      </c>
      <c r="S310" s="20">
        <v>110.37</v>
      </c>
      <c r="T310" s="21">
        <v>124.74</v>
      </c>
      <c r="V310" s="1">
        <v>123.32</v>
      </c>
      <c r="W310" s="1">
        <v>125.53</v>
      </c>
      <c r="X310" s="1">
        <v>125.34</v>
      </c>
      <c r="Y310" s="1">
        <v>122.81</v>
      </c>
      <c r="Z310" s="1">
        <v>123.76</v>
      </c>
      <c r="AA310" s="1">
        <v>121.51</v>
      </c>
      <c r="AB310" s="1">
        <v>124.81</v>
      </c>
      <c r="AE310" s="1">
        <v>132.75</v>
      </c>
      <c r="AF310" s="1">
        <v>133.59</v>
      </c>
      <c r="AG310" s="1">
        <v>137.86000000000001</v>
      </c>
      <c r="AP310" s="1">
        <v>4320</v>
      </c>
      <c r="AT310" s="1">
        <v>4042.08</v>
      </c>
      <c r="AU310" s="1">
        <v>3941.03</v>
      </c>
      <c r="AW310" s="1">
        <v>3817.24</v>
      </c>
      <c r="AX310" s="1">
        <v>124.64</v>
      </c>
      <c r="BA310" s="1">
        <v>128.72</v>
      </c>
      <c r="BB310" s="1">
        <v>132.69</v>
      </c>
      <c r="BC310" s="1">
        <v>130.88999999999999</v>
      </c>
      <c r="BD310" s="1">
        <v>133.61000000000001</v>
      </c>
      <c r="BE310" s="1">
        <v>129.75</v>
      </c>
      <c r="BF310" s="1">
        <v>144.59</v>
      </c>
      <c r="BG310" s="1">
        <v>133.79</v>
      </c>
      <c r="BH310" s="1">
        <v>126.25</v>
      </c>
      <c r="BI310" s="1">
        <v>127.56</v>
      </c>
      <c r="BJ310" s="1">
        <v>134.06</v>
      </c>
      <c r="BL310" s="1">
        <v>117.45</v>
      </c>
      <c r="BN310" s="1">
        <v>116.3</v>
      </c>
    </row>
    <row r="311" spans="1:66" x14ac:dyDescent="0.3">
      <c r="A311" s="2"/>
      <c r="C311" s="14" t="str">
        <f t="shared" si="5"/>
        <v>20251</v>
      </c>
      <c r="D311" s="3">
        <v>45659</v>
      </c>
      <c r="E311" s="21">
        <v>2107.2199999999998</v>
      </c>
      <c r="F311" s="21">
        <v>1916.2</v>
      </c>
      <c r="G311" s="21">
        <v>2011.33</v>
      </c>
      <c r="H311" s="21">
        <v>2232.25</v>
      </c>
      <c r="I311" s="21">
        <v>1990.06</v>
      </c>
      <c r="J311" s="21">
        <v>2046.86</v>
      </c>
      <c r="K311" s="21">
        <v>1907.75</v>
      </c>
      <c r="L311" s="21">
        <v>1781.2</v>
      </c>
      <c r="M311" s="21">
        <v>1938.92</v>
      </c>
      <c r="N311" s="21">
        <v>1929.07</v>
      </c>
      <c r="O311" s="21">
        <v>1940.26</v>
      </c>
      <c r="P311" s="21">
        <v>1842.05</v>
      </c>
      <c r="Q311" s="21">
        <v>6999.17</v>
      </c>
      <c r="R311" s="20">
        <v>117.15</v>
      </c>
      <c r="S311" s="20">
        <v>113.64</v>
      </c>
      <c r="T311" s="21">
        <v>126.24</v>
      </c>
      <c r="V311" s="1">
        <v>123.32</v>
      </c>
      <c r="W311" s="1">
        <v>126.03</v>
      </c>
      <c r="X311" s="1">
        <v>125.57</v>
      </c>
      <c r="Y311" s="1">
        <v>123.68</v>
      </c>
      <c r="Z311" s="1">
        <v>125.16</v>
      </c>
      <c r="AA311" s="1">
        <v>121.51</v>
      </c>
      <c r="AB311" s="1">
        <v>124.81</v>
      </c>
      <c r="AE311" s="1">
        <v>132.94999999999999</v>
      </c>
      <c r="AF311" s="1">
        <v>132.94999999999999</v>
      </c>
      <c r="AG311" s="1">
        <v>137.86000000000001</v>
      </c>
      <c r="AP311" s="1">
        <v>4320</v>
      </c>
      <c r="AQ311" s="1">
        <v>4501.87</v>
      </c>
      <c r="AT311" s="1">
        <v>4042.08</v>
      </c>
      <c r="AW311" s="1">
        <v>3723.77</v>
      </c>
      <c r="AX311" s="1">
        <v>124.66</v>
      </c>
      <c r="AY311" s="1">
        <v>3819.77</v>
      </c>
      <c r="BA311" s="1">
        <v>128.43</v>
      </c>
      <c r="BB311" s="1">
        <v>135.01</v>
      </c>
      <c r="BC311" s="1">
        <v>131.04</v>
      </c>
      <c r="BD311" s="1">
        <v>134.61000000000001</v>
      </c>
      <c r="BE311" s="1">
        <v>129.75</v>
      </c>
      <c r="BF311" s="1">
        <v>144.59</v>
      </c>
      <c r="BG311" s="1">
        <v>133.79</v>
      </c>
      <c r="BH311" s="1">
        <v>126.25</v>
      </c>
      <c r="BI311" s="1">
        <v>127.44</v>
      </c>
      <c r="BJ311" s="1">
        <v>134.06</v>
      </c>
      <c r="BL311" s="1">
        <v>118.44</v>
      </c>
      <c r="BN311" s="1">
        <v>118.28</v>
      </c>
    </row>
    <row r="312" spans="1:66" x14ac:dyDescent="0.3">
      <c r="A312" s="2"/>
      <c r="C312" s="14" t="str">
        <f t="shared" si="5"/>
        <v>202412</v>
      </c>
      <c r="D312" s="3">
        <v>45656</v>
      </c>
      <c r="E312" s="21">
        <v>2107.98</v>
      </c>
      <c r="F312" s="21">
        <v>1903.56</v>
      </c>
      <c r="G312" s="21">
        <v>1989.96</v>
      </c>
      <c r="H312" s="21">
        <v>2235.17</v>
      </c>
      <c r="I312" s="21">
        <v>1975.11</v>
      </c>
      <c r="J312" s="21">
        <v>2047.41</v>
      </c>
      <c r="K312" s="21">
        <v>1908.13</v>
      </c>
      <c r="L312" s="21">
        <v>1796.86</v>
      </c>
      <c r="M312" s="21">
        <v>1939.18</v>
      </c>
      <c r="N312" s="21">
        <v>1929.72</v>
      </c>
      <c r="O312" s="21">
        <v>1940.58</v>
      </c>
      <c r="P312" s="21">
        <v>1842.32</v>
      </c>
      <c r="Q312" s="21">
        <v>7040.04</v>
      </c>
      <c r="R312" s="20">
        <v>117.17</v>
      </c>
      <c r="S312" s="20">
        <v>118.03</v>
      </c>
      <c r="T312" s="21">
        <v>126.27</v>
      </c>
      <c r="V312" s="1">
        <v>123.33</v>
      </c>
      <c r="W312" s="1">
        <v>126.29</v>
      </c>
      <c r="X312" s="1">
        <v>125.58</v>
      </c>
      <c r="Y312" s="1">
        <v>123.02</v>
      </c>
      <c r="Z312" s="1">
        <v>125.16</v>
      </c>
      <c r="AA312" s="1">
        <v>122.11</v>
      </c>
      <c r="AB312" s="1">
        <v>124.82</v>
      </c>
      <c r="AE312" s="1">
        <v>132.58000000000001</v>
      </c>
      <c r="AF312" s="1">
        <v>133.01</v>
      </c>
      <c r="AG312" s="1">
        <v>136.51</v>
      </c>
      <c r="AP312" s="1">
        <v>4320</v>
      </c>
      <c r="AQ312" s="1">
        <v>4499.82</v>
      </c>
      <c r="AT312" s="1">
        <v>4040.24</v>
      </c>
      <c r="AX312" s="1">
        <v>124.7</v>
      </c>
      <c r="AY312" s="1">
        <v>3818.03</v>
      </c>
      <c r="BA312" s="1">
        <v>128.44999999999999</v>
      </c>
      <c r="BB312" s="1">
        <v>135.93</v>
      </c>
      <c r="BC312" s="1">
        <v>131.1</v>
      </c>
      <c r="BD312" s="1">
        <v>136.32</v>
      </c>
      <c r="BE312" s="1">
        <v>132.43</v>
      </c>
      <c r="BF312" s="1">
        <v>144.6</v>
      </c>
      <c r="BG312" s="1">
        <v>133.62</v>
      </c>
      <c r="BH312" s="1">
        <v>126.27</v>
      </c>
      <c r="BI312" s="1">
        <v>126.69</v>
      </c>
      <c r="BJ312" s="1">
        <v>133.55000000000001</v>
      </c>
      <c r="BL312" s="1">
        <v>118.45</v>
      </c>
      <c r="BN312" s="1">
        <v>118.31</v>
      </c>
    </row>
    <row r="313" spans="1:66" x14ac:dyDescent="0.3">
      <c r="A313" s="2"/>
      <c r="C313" s="14" t="str">
        <f t="shared" si="5"/>
        <v>202412</v>
      </c>
      <c r="D313" s="3">
        <v>45653</v>
      </c>
      <c r="E313" s="21">
        <v>2120.39</v>
      </c>
      <c r="F313" s="21">
        <v>1903.56</v>
      </c>
      <c r="G313" s="21">
        <v>1987.49</v>
      </c>
      <c r="H313" s="21">
        <v>2239.13</v>
      </c>
      <c r="I313" s="21">
        <v>1975.11</v>
      </c>
      <c r="J313" s="21">
        <v>2047.41</v>
      </c>
      <c r="K313" s="21">
        <v>1908.13</v>
      </c>
      <c r="L313" s="21">
        <v>1796.86</v>
      </c>
      <c r="M313" s="21">
        <v>1939.18</v>
      </c>
      <c r="N313" s="21">
        <v>1929.72</v>
      </c>
      <c r="O313" s="21">
        <v>1940.58</v>
      </c>
      <c r="P313" s="21">
        <v>1842.32</v>
      </c>
      <c r="Q313" s="21">
        <v>7040.04</v>
      </c>
      <c r="R313" s="20">
        <v>117.17</v>
      </c>
      <c r="S313" s="20">
        <v>119.36</v>
      </c>
      <c r="T313" s="21">
        <v>126.27</v>
      </c>
      <c r="V313" s="1">
        <v>123.33</v>
      </c>
      <c r="W313" s="1">
        <v>125.54</v>
      </c>
      <c r="X313" s="1">
        <v>125.24</v>
      </c>
      <c r="Y313" s="1">
        <v>122.47</v>
      </c>
      <c r="Z313" s="1">
        <v>124.96</v>
      </c>
      <c r="AA313" s="1">
        <v>122.11</v>
      </c>
      <c r="AB313" s="1">
        <v>124.82</v>
      </c>
      <c r="AE313" s="1">
        <v>132.18</v>
      </c>
      <c r="AF313" s="1">
        <v>133.1</v>
      </c>
      <c r="AG313" s="1">
        <v>136.96</v>
      </c>
      <c r="AQ313" s="1">
        <v>4399.83</v>
      </c>
      <c r="AS313" s="1">
        <v>3939.24</v>
      </c>
      <c r="AU313" s="1">
        <v>4040.24</v>
      </c>
      <c r="AW313" s="1">
        <v>3722.07</v>
      </c>
      <c r="AX313" s="1">
        <v>124.76</v>
      </c>
      <c r="AY313" s="1">
        <v>3818.03</v>
      </c>
      <c r="BA313" s="1">
        <v>128.44999999999999</v>
      </c>
      <c r="BB313" s="1">
        <v>136.83000000000001</v>
      </c>
      <c r="BC313" s="1">
        <v>130.87</v>
      </c>
      <c r="BD313" s="1">
        <v>136.32</v>
      </c>
      <c r="BE313" s="1">
        <v>132.43</v>
      </c>
      <c r="BF313" s="1">
        <v>144.6</v>
      </c>
      <c r="BG313" s="1">
        <v>133.22</v>
      </c>
      <c r="BH313" s="1">
        <v>126.27</v>
      </c>
      <c r="BI313" s="1">
        <v>126.69</v>
      </c>
      <c r="BJ313" s="1">
        <v>132.96</v>
      </c>
      <c r="BL313" s="1">
        <v>117.96</v>
      </c>
      <c r="BN313" s="1">
        <v>117.65</v>
      </c>
    </row>
    <row r="314" spans="1:66" x14ac:dyDescent="0.3">
      <c r="A314" s="2"/>
      <c r="C314" s="14" t="str">
        <f t="shared" si="5"/>
        <v>202412</v>
      </c>
      <c r="D314" s="3">
        <v>45652</v>
      </c>
      <c r="E314" s="21">
        <v>2078.16</v>
      </c>
      <c r="F314" s="21">
        <v>1894.56</v>
      </c>
      <c r="G314" s="21">
        <v>1987.49</v>
      </c>
      <c r="H314" s="21">
        <v>2239.13</v>
      </c>
      <c r="I314" s="21">
        <v>1975.11</v>
      </c>
      <c r="J314" s="21">
        <v>1982.22</v>
      </c>
      <c r="K314" s="21">
        <v>1908.13</v>
      </c>
      <c r="L314" s="21">
        <v>1799.34</v>
      </c>
      <c r="M314" s="21">
        <v>1914.98</v>
      </c>
      <c r="N314" s="21">
        <v>1916.76</v>
      </c>
      <c r="O314" s="21">
        <v>1925.72</v>
      </c>
      <c r="P314" s="21">
        <v>1842.32</v>
      </c>
      <c r="Q314" s="21">
        <v>7080.04</v>
      </c>
      <c r="R314" s="20">
        <v>117.17</v>
      </c>
      <c r="S314" s="20">
        <v>119.36</v>
      </c>
      <c r="T314" s="21">
        <v>125.77</v>
      </c>
      <c r="V314" s="1">
        <v>123.33</v>
      </c>
      <c r="W314" s="1">
        <v>127.54</v>
      </c>
      <c r="X314" s="1">
        <v>125.24</v>
      </c>
      <c r="Y314" s="1">
        <v>122.25</v>
      </c>
      <c r="Z314" s="1">
        <v>124.56</v>
      </c>
      <c r="AA314" s="1">
        <v>122.11</v>
      </c>
      <c r="AB314" s="1">
        <v>124.82</v>
      </c>
      <c r="AE314" s="1">
        <v>132.18</v>
      </c>
      <c r="AF314" s="1">
        <v>133.37</v>
      </c>
      <c r="AG314" s="1">
        <v>136.96</v>
      </c>
      <c r="AP314" s="1">
        <v>4485</v>
      </c>
      <c r="AQ314" s="1">
        <v>4333.16</v>
      </c>
      <c r="AS314" s="1">
        <v>3939.24</v>
      </c>
      <c r="AU314" s="1">
        <v>4040.24</v>
      </c>
      <c r="AW314" s="1">
        <v>3787.73</v>
      </c>
      <c r="AX314" s="1">
        <v>124.94</v>
      </c>
      <c r="BA314" s="1">
        <v>128.44999999999999</v>
      </c>
      <c r="BB314" s="1">
        <v>137.03</v>
      </c>
      <c r="BC314" s="1">
        <v>130.79</v>
      </c>
      <c r="BD314" s="1">
        <v>136.32</v>
      </c>
      <c r="BE314" s="1">
        <v>132.43</v>
      </c>
      <c r="BF314" s="1">
        <v>144.6</v>
      </c>
      <c r="BG314" s="1">
        <v>133.22</v>
      </c>
      <c r="BH314" s="1">
        <v>126.27</v>
      </c>
      <c r="BI314" s="1">
        <v>126.69</v>
      </c>
      <c r="BJ314" s="1">
        <v>132.96</v>
      </c>
      <c r="BL314" s="1">
        <v>117.96</v>
      </c>
      <c r="BN314" s="1">
        <v>117.65</v>
      </c>
    </row>
    <row r="315" spans="1:66" x14ac:dyDescent="0.3">
      <c r="A315" s="2"/>
      <c r="C315" s="14" t="str">
        <f t="shared" si="5"/>
        <v>202412</v>
      </c>
      <c r="D315" s="3">
        <v>45649</v>
      </c>
      <c r="E315" s="21">
        <v>2078.16</v>
      </c>
      <c r="F315" s="21">
        <v>1894.56</v>
      </c>
      <c r="G315" s="21">
        <v>1987.49</v>
      </c>
      <c r="H315" s="21">
        <v>2233.19</v>
      </c>
      <c r="I315" s="21">
        <v>1975.11</v>
      </c>
      <c r="J315" s="21">
        <v>1982.22</v>
      </c>
      <c r="K315" s="21">
        <v>1908.13</v>
      </c>
      <c r="L315" s="21">
        <v>1819.14</v>
      </c>
      <c r="M315" s="21">
        <v>1914.98</v>
      </c>
      <c r="N315" s="21">
        <v>1916.76</v>
      </c>
      <c r="O315" s="21">
        <v>1925.72</v>
      </c>
      <c r="P315" s="21">
        <v>1842.32</v>
      </c>
      <c r="Q315" s="21">
        <v>7080.04</v>
      </c>
      <c r="R315" s="20">
        <v>117.17</v>
      </c>
      <c r="S315" s="20">
        <v>119.36</v>
      </c>
      <c r="T315" s="21">
        <v>125.8</v>
      </c>
      <c r="V315" s="1">
        <v>123.47</v>
      </c>
      <c r="W315" s="1">
        <v>124.79</v>
      </c>
      <c r="X315" s="1">
        <v>125.24</v>
      </c>
      <c r="Y315" s="1">
        <v>122.61</v>
      </c>
      <c r="Z315" s="1">
        <v>124.56</v>
      </c>
      <c r="AA315" s="1">
        <v>122.11</v>
      </c>
      <c r="AB315" s="1">
        <v>124.82</v>
      </c>
      <c r="AE315" s="1">
        <v>132.18</v>
      </c>
      <c r="AF315" s="1">
        <v>134.19</v>
      </c>
      <c r="AG315" s="1">
        <v>136.96</v>
      </c>
      <c r="AP315" s="1">
        <v>4386</v>
      </c>
      <c r="AQ315" s="1">
        <v>4333.16</v>
      </c>
      <c r="AS315" s="1">
        <v>3939.24</v>
      </c>
      <c r="AU315" s="1">
        <v>3995.63</v>
      </c>
      <c r="AV315" s="1">
        <v>30</v>
      </c>
      <c r="AW315" s="1">
        <v>3880.45</v>
      </c>
      <c r="AX315" s="1">
        <v>125.49</v>
      </c>
      <c r="AY315" s="1">
        <v>3939.24</v>
      </c>
      <c r="AZ315" s="1">
        <v>4166.5</v>
      </c>
      <c r="BA315" s="1">
        <v>128.44999999999999</v>
      </c>
      <c r="BB315" s="1">
        <v>136.53</v>
      </c>
      <c r="BC315" s="1">
        <v>130.79</v>
      </c>
      <c r="BD315" s="1">
        <v>136.32</v>
      </c>
      <c r="BE315" s="1">
        <v>132.43</v>
      </c>
      <c r="BF315" s="1">
        <v>144.6</v>
      </c>
      <c r="BG315" s="1">
        <v>133.22</v>
      </c>
      <c r="BH315" s="1">
        <v>126.27</v>
      </c>
      <c r="BI315" s="1">
        <v>128.33000000000001</v>
      </c>
      <c r="BJ315" s="1">
        <v>132.96</v>
      </c>
      <c r="BL315" s="1">
        <v>117.96</v>
      </c>
      <c r="BN315" s="1">
        <v>117.65</v>
      </c>
    </row>
    <row r="316" spans="1:66" x14ac:dyDescent="0.3">
      <c r="A316" s="2"/>
      <c r="C316" s="14" t="str">
        <f t="shared" si="5"/>
        <v>202412</v>
      </c>
      <c r="D316" s="3">
        <v>45646</v>
      </c>
      <c r="E316" s="21">
        <v>2058.2800000000002</v>
      </c>
      <c r="F316" s="21">
        <v>1894.56</v>
      </c>
      <c r="G316" s="21">
        <v>1987.49</v>
      </c>
      <c r="H316" s="21">
        <v>2229.23</v>
      </c>
      <c r="I316" s="21">
        <v>1975.11</v>
      </c>
      <c r="J316" s="21">
        <v>1982.22</v>
      </c>
      <c r="K316" s="21">
        <v>1908.13</v>
      </c>
      <c r="L316" s="21">
        <v>1803.05</v>
      </c>
      <c r="M316" s="21">
        <v>1914.98</v>
      </c>
      <c r="N316" s="21">
        <v>1916.76</v>
      </c>
      <c r="O316" s="21">
        <v>1925.72</v>
      </c>
      <c r="P316" s="21">
        <v>1892.2</v>
      </c>
      <c r="Q316" s="21">
        <v>7080.04</v>
      </c>
      <c r="R316" s="20">
        <v>117.17</v>
      </c>
      <c r="S316" s="20">
        <v>119.36</v>
      </c>
      <c r="T316" s="21">
        <v>125.8</v>
      </c>
      <c r="V316" s="1">
        <v>124.04</v>
      </c>
      <c r="W316" s="1">
        <v>125.04</v>
      </c>
      <c r="X316" s="1">
        <v>125.35</v>
      </c>
      <c r="Y316" s="1">
        <v>122.75</v>
      </c>
      <c r="Z316" s="1">
        <v>124.56</v>
      </c>
      <c r="AA316" s="1">
        <v>122.11</v>
      </c>
      <c r="AB316" s="1">
        <v>125.08</v>
      </c>
      <c r="AE316" s="1">
        <v>132.18</v>
      </c>
      <c r="AF316" s="1">
        <v>134.19</v>
      </c>
      <c r="AG316" s="1">
        <v>136.96</v>
      </c>
      <c r="AN316" s="1">
        <v>3939.24</v>
      </c>
      <c r="AP316" s="1">
        <v>4311.43</v>
      </c>
      <c r="AT316" s="1">
        <v>3811.4</v>
      </c>
      <c r="AU316" s="1">
        <v>3891.09</v>
      </c>
      <c r="AV316" s="1">
        <v>30</v>
      </c>
      <c r="AW316" s="1">
        <v>3878.67</v>
      </c>
      <c r="AX316" s="1">
        <v>125.49</v>
      </c>
      <c r="AY316" s="1">
        <v>3939.24</v>
      </c>
      <c r="AZ316" s="1">
        <v>4166.5</v>
      </c>
      <c r="BA316" s="1">
        <v>128.44999999999999</v>
      </c>
      <c r="BB316" s="1">
        <v>136.83000000000001</v>
      </c>
      <c r="BC316" s="1">
        <v>130.94999999999999</v>
      </c>
      <c r="BD316" s="1">
        <v>134.61000000000001</v>
      </c>
      <c r="BE316" s="1">
        <v>132.91999999999999</v>
      </c>
      <c r="BF316" s="1">
        <v>144.6</v>
      </c>
      <c r="BG316" s="1">
        <v>133.22</v>
      </c>
      <c r="BH316" s="1">
        <v>126.27</v>
      </c>
      <c r="BI316" s="1">
        <v>128.33000000000001</v>
      </c>
      <c r="BJ316" s="1">
        <v>132.96</v>
      </c>
      <c r="BL316" s="1">
        <v>117.96</v>
      </c>
      <c r="BN316" s="1">
        <v>117.65</v>
      </c>
    </row>
    <row r="317" spans="1:66" x14ac:dyDescent="0.3">
      <c r="A317" s="2"/>
      <c r="C317" s="14" t="str">
        <f t="shared" si="5"/>
        <v>202412</v>
      </c>
      <c r="D317" s="3">
        <v>45645</v>
      </c>
      <c r="E317" s="21">
        <v>2068.2199999999998</v>
      </c>
      <c r="F317" s="21">
        <v>1894.56</v>
      </c>
      <c r="G317" s="21">
        <v>1987.49</v>
      </c>
      <c r="H317" s="21">
        <v>2214.35</v>
      </c>
      <c r="I317" s="21">
        <v>1975.11</v>
      </c>
      <c r="J317" s="21">
        <v>1982.22</v>
      </c>
      <c r="K317" s="21">
        <v>1908.13</v>
      </c>
      <c r="L317" s="21">
        <v>1803.05</v>
      </c>
      <c r="M317" s="21">
        <v>1914.98</v>
      </c>
      <c r="N317" s="21">
        <v>1945.63</v>
      </c>
      <c r="O317" s="21">
        <v>1919.1</v>
      </c>
      <c r="P317" s="21">
        <v>1902.18</v>
      </c>
      <c r="Q317" s="21">
        <v>7110.04</v>
      </c>
      <c r="R317" s="20">
        <v>117.17</v>
      </c>
      <c r="S317" s="20">
        <v>120.36</v>
      </c>
      <c r="T317" s="21">
        <v>126.69</v>
      </c>
      <c r="V317" s="1">
        <v>124.91</v>
      </c>
      <c r="W317" s="1">
        <v>126.54</v>
      </c>
      <c r="X317" s="1">
        <v>125.47</v>
      </c>
      <c r="Y317" s="1">
        <v>126.02</v>
      </c>
      <c r="Z317" s="1">
        <v>125.96</v>
      </c>
      <c r="AA317" s="1">
        <v>122.11</v>
      </c>
      <c r="AB317" s="1">
        <v>125.15</v>
      </c>
      <c r="AE317" s="1">
        <v>132.38</v>
      </c>
      <c r="AF317" s="1">
        <v>136.29</v>
      </c>
      <c r="AG317" s="1">
        <v>136.96</v>
      </c>
      <c r="AN317" s="1">
        <v>3939.24</v>
      </c>
      <c r="AP317" s="1">
        <v>4242</v>
      </c>
      <c r="AT317" s="1">
        <v>3811.4</v>
      </c>
      <c r="AU317" s="1">
        <v>3891.09</v>
      </c>
      <c r="AV317" s="1">
        <v>30</v>
      </c>
      <c r="AW317" s="1">
        <v>3860.49</v>
      </c>
      <c r="AX317" s="1">
        <v>127.13</v>
      </c>
      <c r="AY317" s="1">
        <v>3988.48</v>
      </c>
      <c r="AZ317" s="1">
        <v>4166.5</v>
      </c>
      <c r="BA317" s="1">
        <v>128.44999999999999</v>
      </c>
      <c r="BB317" s="1">
        <v>137.85</v>
      </c>
      <c r="BC317" s="1">
        <v>131.84</v>
      </c>
      <c r="BD317" s="1">
        <v>135.53</v>
      </c>
      <c r="BE317" s="1">
        <v>134.18</v>
      </c>
      <c r="BF317" s="1">
        <v>144.6</v>
      </c>
      <c r="BG317" s="1">
        <v>133.62</v>
      </c>
      <c r="BH317" s="1">
        <v>126.27</v>
      </c>
      <c r="BI317" s="1">
        <v>128.69999999999999</v>
      </c>
      <c r="BJ317" s="1">
        <v>133.53</v>
      </c>
      <c r="BL317" s="1">
        <v>119.46</v>
      </c>
      <c r="BN317" s="1">
        <v>117.65</v>
      </c>
    </row>
    <row r="318" spans="1:66" x14ac:dyDescent="0.3">
      <c r="A318" s="2"/>
      <c r="C318" s="14" t="str">
        <f t="shared" si="5"/>
        <v>202412</v>
      </c>
      <c r="D318" s="3">
        <v>45644</v>
      </c>
      <c r="E318" s="21">
        <v>2107.98</v>
      </c>
      <c r="F318" s="21">
        <v>1894.56</v>
      </c>
      <c r="G318" s="21">
        <v>1987.49</v>
      </c>
      <c r="H318" s="21">
        <v>2214.35</v>
      </c>
      <c r="I318" s="21">
        <v>1975.11</v>
      </c>
      <c r="J318" s="21">
        <v>1978.47</v>
      </c>
      <c r="K318" s="21">
        <v>1908.13</v>
      </c>
      <c r="L318" s="21">
        <v>1803.05</v>
      </c>
      <c r="M318" s="21">
        <v>1914.98</v>
      </c>
      <c r="N318" s="21">
        <v>1937.94</v>
      </c>
      <c r="O318" s="21">
        <v>1914.85</v>
      </c>
      <c r="P318" s="21">
        <v>1920.64</v>
      </c>
      <c r="Q318" s="21">
        <v>7074.56</v>
      </c>
      <c r="R318" s="20">
        <v>118.2</v>
      </c>
      <c r="S318" s="20">
        <v>121.03</v>
      </c>
      <c r="T318" s="21">
        <v>127.68</v>
      </c>
      <c r="V318" s="1">
        <v>125.33</v>
      </c>
      <c r="W318" s="1">
        <v>126.79</v>
      </c>
      <c r="X318" s="1">
        <v>125.35</v>
      </c>
      <c r="Y318" s="1">
        <v>126.51</v>
      </c>
      <c r="Z318" s="1">
        <v>126.96</v>
      </c>
      <c r="AA318" s="1">
        <v>123.61</v>
      </c>
      <c r="AB318" s="1">
        <v>125.08</v>
      </c>
      <c r="AE318" s="1">
        <v>131.97999999999999</v>
      </c>
      <c r="AF318" s="1">
        <v>137.61000000000001</v>
      </c>
      <c r="AG318" s="1">
        <v>136.96</v>
      </c>
      <c r="AN318" s="1">
        <v>3939.24</v>
      </c>
      <c r="AP318" s="1">
        <v>4305</v>
      </c>
      <c r="AT318" s="1">
        <v>3811.4</v>
      </c>
      <c r="AU318" s="1">
        <v>3891.09</v>
      </c>
      <c r="AV318" s="1">
        <v>30</v>
      </c>
      <c r="AW318" s="1">
        <v>3826.75</v>
      </c>
      <c r="AX318" s="1">
        <v>127.93</v>
      </c>
      <c r="AY318" s="1">
        <v>3988.48</v>
      </c>
      <c r="AZ318" s="1">
        <v>4166.5</v>
      </c>
      <c r="BA318" s="1">
        <v>127.72</v>
      </c>
      <c r="BB318" s="1">
        <v>137.87</v>
      </c>
      <c r="BC318" s="1">
        <v>134.68</v>
      </c>
      <c r="BD318" s="1">
        <v>136.31</v>
      </c>
      <c r="BE318" s="1">
        <v>139.07</v>
      </c>
      <c r="BF318" s="1">
        <v>148.4</v>
      </c>
      <c r="BG318" s="1">
        <v>132.82</v>
      </c>
      <c r="BH318" s="1">
        <v>126.97</v>
      </c>
      <c r="BI318" s="1">
        <v>131.69999999999999</v>
      </c>
      <c r="BJ318" s="1">
        <v>134.69999999999999</v>
      </c>
      <c r="BL318" s="1">
        <v>120.7</v>
      </c>
      <c r="BN318" s="1">
        <v>119.63</v>
      </c>
    </row>
    <row r="319" spans="1:66" x14ac:dyDescent="0.3">
      <c r="A319" s="2"/>
      <c r="C319" s="14" t="str">
        <f t="shared" si="5"/>
        <v>202412</v>
      </c>
      <c r="D319" s="3">
        <v>45643</v>
      </c>
      <c r="E319" s="21">
        <v>2107.98</v>
      </c>
      <c r="F319" s="21">
        <v>1894.56</v>
      </c>
      <c r="G319" s="21">
        <v>1987.49</v>
      </c>
      <c r="H319" s="21">
        <v>2197.7399999999998</v>
      </c>
      <c r="I319" s="21">
        <v>1979.07</v>
      </c>
      <c r="J319" s="21">
        <v>1976.54</v>
      </c>
      <c r="K319" s="21">
        <v>1908.13</v>
      </c>
      <c r="L319" s="21">
        <v>1838.65</v>
      </c>
      <c r="M319" s="21">
        <v>1924.06</v>
      </c>
      <c r="N319" s="21">
        <v>1945.73</v>
      </c>
      <c r="O319" s="21">
        <v>1973.74</v>
      </c>
      <c r="P319" s="21">
        <v>1920.64</v>
      </c>
      <c r="Q319" s="21">
        <v>7200.04</v>
      </c>
      <c r="R319" s="20">
        <v>117.17</v>
      </c>
      <c r="S319" s="20">
        <v>121.03</v>
      </c>
      <c r="T319" s="21">
        <v>128.96</v>
      </c>
      <c r="V319" s="1">
        <v>125.89</v>
      </c>
      <c r="W319" s="1">
        <v>128.54</v>
      </c>
      <c r="X319" s="1">
        <v>125.35</v>
      </c>
      <c r="Y319" s="1">
        <v>128.19999999999999</v>
      </c>
      <c r="Z319" s="1">
        <v>128.56</v>
      </c>
      <c r="AA319" s="1">
        <v>122.11</v>
      </c>
      <c r="AB319" s="1">
        <v>125.08</v>
      </c>
      <c r="AE319" s="1">
        <v>131.97999999999999</v>
      </c>
      <c r="AF319" s="1">
        <v>137.59</v>
      </c>
      <c r="AG319" s="1">
        <v>136.96</v>
      </c>
      <c r="AN319" s="1">
        <v>3939.24</v>
      </c>
      <c r="AP319" s="1">
        <v>4305</v>
      </c>
      <c r="AS319" s="1">
        <v>3979.64</v>
      </c>
      <c r="AT319" s="1">
        <v>3892.13</v>
      </c>
      <c r="AU319" s="1">
        <v>3860.45</v>
      </c>
      <c r="AW319" s="1">
        <v>3753.14</v>
      </c>
      <c r="AX319" s="1">
        <v>129.53</v>
      </c>
      <c r="AY319" s="1">
        <v>4004.89</v>
      </c>
      <c r="AZ319" s="1">
        <v>4333.16</v>
      </c>
      <c r="BA319" s="1">
        <v>128.74</v>
      </c>
      <c r="BB319" s="1">
        <v>137.46</v>
      </c>
      <c r="BC319" s="1">
        <v>136</v>
      </c>
      <c r="BD319" s="1">
        <v>136.66999999999999</v>
      </c>
      <c r="BE319" s="1">
        <v>134.81</v>
      </c>
      <c r="BF319" s="1">
        <v>144.6</v>
      </c>
      <c r="BG319" s="1">
        <v>132.82</v>
      </c>
      <c r="BH319" s="1">
        <v>127.32</v>
      </c>
      <c r="BI319" s="1">
        <v>131.69999999999999</v>
      </c>
      <c r="BJ319" s="1">
        <v>134.68</v>
      </c>
      <c r="BL319" s="1">
        <v>123.19</v>
      </c>
      <c r="BN319" s="1">
        <v>122.62</v>
      </c>
    </row>
    <row r="320" spans="1:66" x14ac:dyDescent="0.3">
      <c r="A320" s="2"/>
      <c r="C320" s="14" t="str">
        <f t="shared" si="5"/>
        <v>202412</v>
      </c>
      <c r="D320" s="3">
        <v>45642</v>
      </c>
      <c r="E320" s="21">
        <v>2110.46</v>
      </c>
      <c r="F320" s="21">
        <v>1894.56</v>
      </c>
      <c r="G320" s="21">
        <v>1975.11</v>
      </c>
      <c r="H320" s="21">
        <v>2198.94</v>
      </c>
      <c r="I320" s="21">
        <v>1979.07</v>
      </c>
      <c r="J320" s="21">
        <v>1977.46</v>
      </c>
      <c r="K320" s="21">
        <v>1908.13</v>
      </c>
      <c r="L320" s="21">
        <v>1877.92</v>
      </c>
      <c r="M320" s="21">
        <v>1924.06</v>
      </c>
      <c r="N320" s="21">
        <v>2017.41</v>
      </c>
      <c r="O320" s="21">
        <v>1973.08</v>
      </c>
      <c r="P320" s="21">
        <v>1920.64</v>
      </c>
      <c r="Q320" s="21">
        <v>7182.74</v>
      </c>
      <c r="R320" s="20">
        <v>117.17</v>
      </c>
      <c r="S320" s="20">
        <v>121.7</v>
      </c>
      <c r="T320" s="21">
        <v>128.78</v>
      </c>
      <c r="V320" s="1">
        <v>128.05000000000001</v>
      </c>
      <c r="W320" s="1">
        <v>130.28</v>
      </c>
      <c r="X320" s="1">
        <v>125.35</v>
      </c>
      <c r="Y320" s="1">
        <v>127.88</v>
      </c>
      <c r="Z320" s="1">
        <v>128.76</v>
      </c>
      <c r="AA320" s="1">
        <v>121.42</v>
      </c>
      <c r="AB320" s="1">
        <v>124.95</v>
      </c>
      <c r="AE320" s="1">
        <v>131.97999999999999</v>
      </c>
      <c r="AF320" s="1">
        <v>135.76</v>
      </c>
      <c r="AG320" s="1">
        <v>141.97999999999999</v>
      </c>
      <c r="AN320" s="1">
        <v>3939.24</v>
      </c>
      <c r="AP320" s="1">
        <v>4284</v>
      </c>
      <c r="AQ320" s="1">
        <v>4333.16</v>
      </c>
      <c r="AS320" s="1">
        <v>4090.75</v>
      </c>
      <c r="AT320" s="1">
        <v>4005.76</v>
      </c>
      <c r="AU320" s="1">
        <v>3860.45</v>
      </c>
      <c r="AW320" s="1">
        <v>3514.71</v>
      </c>
      <c r="AX320" s="1">
        <v>132.74</v>
      </c>
      <c r="AY320" s="1">
        <v>4004.89</v>
      </c>
      <c r="AZ320" s="1">
        <v>4186.7</v>
      </c>
      <c r="BA320" s="1">
        <v>129.99</v>
      </c>
      <c r="BB320" s="1">
        <v>137.76</v>
      </c>
      <c r="BC320" s="1">
        <v>136.1</v>
      </c>
      <c r="BD320" s="1">
        <v>137.37</v>
      </c>
      <c r="BE320" s="1">
        <v>133.1</v>
      </c>
      <c r="BF320" s="1">
        <v>146.19</v>
      </c>
      <c r="BG320" s="1">
        <v>132.62</v>
      </c>
      <c r="BH320" s="1">
        <v>128.91999999999999</v>
      </c>
      <c r="BI320" s="1">
        <v>131.69999999999999</v>
      </c>
      <c r="BJ320" s="1">
        <v>134.66999999999999</v>
      </c>
      <c r="BK320" s="1">
        <v>124.2</v>
      </c>
      <c r="BL320" s="1">
        <v>123.19</v>
      </c>
      <c r="BN320" s="1">
        <v>122.62</v>
      </c>
    </row>
    <row r="321" spans="1:66" x14ac:dyDescent="0.3">
      <c r="A321" s="2"/>
      <c r="C321" s="14" t="str">
        <f t="shared" si="5"/>
        <v>202412</v>
      </c>
      <c r="D321" s="3">
        <v>45639</v>
      </c>
      <c r="E321" s="21">
        <v>2090.58</v>
      </c>
      <c r="F321" s="21">
        <v>1908.06</v>
      </c>
      <c r="G321" s="21">
        <v>1987.49</v>
      </c>
      <c r="H321" s="21">
        <v>2164.2399999999998</v>
      </c>
      <c r="I321" s="21">
        <v>1998.87</v>
      </c>
      <c r="J321" s="21">
        <v>1977.46</v>
      </c>
      <c r="K321" s="21">
        <v>1908.13</v>
      </c>
      <c r="L321" s="21">
        <v>1877.14</v>
      </c>
      <c r="M321" s="21">
        <v>1924.06</v>
      </c>
      <c r="N321" s="21">
        <v>2017.41</v>
      </c>
      <c r="O321" s="21">
        <v>1973.08</v>
      </c>
      <c r="P321" s="21">
        <v>1920.64</v>
      </c>
      <c r="Q321" s="21">
        <v>7194.1</v>
      </c>
      <c r="R321" s="20">
        <v>117.17</v>
      </c>
      <c r="S321" s="20">
        <v>121.7</v>
      </c>
      <c r="T321" s="21">
        <v>128.83000000000001</v>
      </c>
      <c r="V321" s="1">
        <v>128.34</v>
      </c>
      <c r="W321" s="1">
        <v>130.28</v>
      </c>
      <c r="X321" s="1">
        <v>126.46</v>
      </c>
      <c r="Y321" s="1">
        <v>127.88</v>
      </c>
      <c r="Z321" s="1">
        <v>129.76</v>
      </c>
      <c r="AA321" s="1">
        <v>122.11</v>
      </c>
      <c r="AB321" s="1">
        <v>124.95</v>
      </c>
      <c r="AE321" s="1">
        <v>132.88</v>
      </c>
      <c r="AF321" s="1">
        <v>136</v>
      </c>
      <c r="AG321" s="1">
        <v>138.16999999999999</v>
      </c>
      <c r="AI321" s="1">
        <v>7</v>
      </c>
      <c r="AN321" s="1">
        <v>4112.6400000000003</v>
      </c>
      <c r="AP321" s="1">
        <v>4312.5</v>
      </c>
      <c r="AQ321" s="1">
        <v>4348.3100000000004</v>
      </c>
      <c r="AS321" s="1">
        <v>4146.3</v>
      </c>
      <c r="AT321" s="1">
        <v>4070.55</v>
      </c>
      <c r="AW321" s="1">
        <v>3434.21</v>
      </c>
      <c r="AX321" s="1">
        <v>132.62</v>
      </c>
      <c r="AY321" s="1">
        <v>4078.63</v>
      </c>
      <c r="AZ321" s="1">
        <v>4186.7</v>
      </c>
      <c r="BA321" s="1">
        <v>129.99</v>
      </c>
      <c r="BB321" s="1">
        <v>139.06</v>
      </c>
      <c r="BC321" s="1">
        <v>136.66</v>
      </c>
      <c r="BD321" s="1">
        <v>138.53</v>
      </c>
      <c r="BE321" s="1">
        <v>131.12</v>
      </c>
      <c r="BF321" s="1">
        <v>145</v>
      </c>
      <c r="BG321" s="1">
        <v>133.53</v>
      </c>
      <c r="BH321" s="1">
        <v>128.91999999999999</v>
      </c>
      <c r="BI321" s="1">
        <v>131.07</v>
      </c>
      <c r="BJ321" s="1">
        <v>134.61000000000001</v>
      </c>
      <c r="BK321" s="1">
        <v>124.52</v>
      </c>
      <c r="BL321" s="1">
        <v>123.19</v>
      </c>
      <c r="BN321" s="1">
        <v>122.62</v>
      </c>
    </row>
    <row r="322" spans="1:66" x14ac:dyDescent="0.3">
      <c r="A322" s="2"/>
      <c r="C322" s="14" t="str">
        <f t="shared" si="5"/>
        <v>202412</v>
      </c>
      <c r="D322" s="3">
        <v>45638</v>
      </c>
      <c r="E322" s="21">
        <v>2081.9499999999998</v>
      </c>
      <c r="F322" s="21">
        <v>1909.55</v>
      </c>
      <c r="G322" s="21">
        <v>1989.04</v>
      </c>
      <c r="H322" s="21">
        <v>2118.88</v>
      </c>
      <c r="I322" s="21">
        <v>2000.43</v>
      </c>
      <c r="J322" s="21">
        <v>1985.89</v>
      </c>
      <c r="K322" s="21">
        <v>1908.79</v>
      </c>
      <c r="L322" s="21">
        <v>1893.02</v>
      </c>
      <c r="M322" s="21">
        <v>1924.51</v>
      </c>
      <c r="N322" s="21">
        <v>1874.19</v>
      </c>
      <c r="O322" s="21">
        <v>1984.33</v>
      </c>
      <c r="P322" s="21">
        <v>1957.71</v>
      </c>
      <c r="Q322" s="21">
        <v>7196.34</v>
      </c>
      <c r="R322" s="20">
        <v>117.54</v>
      </c>
      <c r="S322" s="20">
        <v>121.71</v>
      </c>
      <c r="T322" s="21">
        <v>129.02000000000001</v>
      </c>
      <c r="V322" s="1">
        <v>128.32</v>
      </c>
      <c r="W322" s="1">
        <v>130.04</v>
      </c>
      <c r="X322" s="1">
        <v>126.81</v>
      </c>
      <c r="Y322" s="1">
        <v>128.82</v>
      </c>
      <c r="Z322" s="1">
        <v>129.9</v>
      </c>
      <c r="AA322" s="1">
        <v>121.55</v>
      </c>
      <c r="AB322" s="1">
        <v>126.06</v>
      </c>
      <c r="AE322" s="1">
        <v>133.32</v>
      </c>
      <c r="AF322" s="1">
        <v>136.37</v>
      </c>
      <c r="AG322" s="1">
        <v>138.27000000000001</v>
      </c>
      <c r="AI322" s="1">
        <v>7</v>
      </c>
      <c r="AN322" s="1">
        <v>4109.5200000000004</v>
      </c>
      <c r="AP322" s="1">
        <v>4312.5</v>
      </c>
      <c r="AQ322" s="1">
        <v>4344.91</v>
      </c>
      <c r="AS322" s="1">
        <v>4143.0600000000004</v>
      </c>
      <c r="AT322" s="1">
        <v>4067.36</v>
      </c>
      <c r="AW322" s="1">
        <v>3431.52</v>
      </c>
      <c r="AX322" s="1">
        <v>132.76</v>
      </c>
      <c r="AY322" s="1">
        <v>4001.76</v>
      </c>
      <c r="AZ322" s="1">
        <v>4183.43</v>
      </c>
      <c r="BA322" s="1">
        <v>131.04</v>
      </c>
      <c r="BB322" s="1">
        <v>139.08000000000001</v>
      </c>
      <c r="BC322" s="1">
        <v>136.13999999999999</v>
      </c>
      <c r="BD322" s="1">
        <v>139.47999999999999</v>
      </c>
      <c r="BE322" s="1">
        <v>136.12</v>
      </c>
      <c r="BF322" s="1">
        <v>143.99</v>
      </c>
      <c r="BG322" s="1">
        <v>134.16999999999999</v>
      </c>
      <c r="BH322" s="1">
        <v>128.94999999999999</v>
      </c>
      <c r="BI322" s="1">
        <v>131.1</v>
      </c>
      <c r="BJ322" s="1">
        <v>134.75</v>
      </c>
      <c r="BK322" s="1">
        <v>125.49</v>
      </c>
      <c r="BL322" s="1">
        <v>124.21</v>
      </c>
      <c r="BN322" s="1">
        <v>124.66</v>
      </c>
    </row>
    <row r="323" spans="1:66" x14ac:dyDescent="0.3">
      <c r="A323" s="2"/>
      <c r="C323" s="14" t="str">
        <f t="shared" si="5"/>
        <v>202412</v>
      </c>
      <c r="D323" s="3">
        <v>45637</v>
      </c>
      <c r="E323" s="21">
        <v>2114.27</v>
      </c>
      <c r="F323" s="21">
        <v>1909.55</v>
      </c>
      <c r="G323" s="21">
        <v>1989.04</v>
      </c>
      <c r="H323" s="21">
        <v>2164.5100000000002</v>
      </c>
      <c r="I323" s="21">
        <v>2005.55</v>
      </c>
      <c r="J323" s="21">
        <v>1973.87</v>
      </c>
      <c r="K323" s="21">
        <v>1908.79</v>
      </c>
      <c r="L323" s="21">
        <v>1924.48</v>
      </c>
      <c r="M323" s="21">
        <v>1955.17</v>
      </c>
      <c r="N323" s="21">
        <v>1953.9</v>
      </c>
      <c r="O323" s="21">
        <v>1978.76</v>
      </c>
      <c r="P323" s="21">
        <v>1961.03</v>
      </c>
      <c r="Q323" s="21">
        <v>7188.45</v>
      </c>
      <c r="R323" s="20">
        <v>117.44</v>
      </c>
      <c r="S323" s="20">
        <v>122.04</v>
      </c>
      <c r="T323" s="21">
        <v>130.01</v>
      </c>
      <c r="V323" s="1">
        <v>128.63999999999999</v>
      </c>
      <c r="W323" s="1">
        <v>130.87</v>
      </c>
      <c r="X323" s="1">
        <v>127.94</v>
      </c>
      <c r="Y323" s="1">
        <v>130.09</v>
      </c>
      <c r="Z323" s="1">
        <v>131.16</v>
      </c>
      <c r="AA323" s="1">
        <v>121.8</v>
      </c>
      <c r="AB323" s="1">
        <v>127.16</v>
      </c>
      <c r="AC323" s="1">
        <v>125.75</v>
      </c>
      <c r="AE323" s="1">
        <v>135.51</v>
      </c>
      <c r="AF323" s="1">
        <v>136.4</v>
      </c>
      <c r="AG323" s="1">
        <v>138.78</v>
      </c>
      <c r="AI323" s="1">
        <v>7</v>
      </c>
      <c r="AN323" s="1">
        <v>4109.5200000000004</v>
      </c>
      <c r="AP323" s="1">
        <v>4140</v>
      </c>
      <c r="AQ323" s="1">
        <v>4344.91</v>
      </c>
      <c r="AS323" s="1">
        <v>4201.6000000000004</v>
      </c>
      <c r="AT323" s="1">
        <v>4067.36</v>
      </c>
      <c r="AW323" s="1">
        <v>3431.52</v>
      </c>
      <c r="AX323" s="1">
        <v>132.74</v>
      </c>
      <c r="AY323" s="1">
        <v>4018.34</v>
      </c>
      <c r="AZ323" s="1">
        <v>4183.43</v>
      </c>
      <c r="BA323" s="1">
        <v>130.99</v>
      </c>
      <c r="BB323" s="1">
        <v>139.78</v>
      </c>
      <c r="BC323" s="1">
        <v>136.91999999999999</v>
      </c>
      <c r="BD323" s="1">
        <v>139.44999999999999</v>
      </c>
      <c r="BE323" s="1">
        <v>136.55000000000001</v>
      </c>
      <c r="BF323" s="1">
        <v>138.74</v>
      </c>
      <c r="BG323" s="1">
        <v>135.58000000000001</v>
      </c>
      <c r="BH323" s="1">
        <v>128.94999999999999</v>
      </c>
      <c r="BI323" s="1">
        <v>131.85</v>
      </c>
      <c r="BJ323" s="1">
        <v>135.32</v>
      </c>
      <c r="BK323" s="1">
        <v>125.32</v>
      </c>
      <c r="BL323" s="1">
        <v>125.47</v>
      </c>
      <c r="BN323" s="1">
        <v>124.78</v>
      </c>
    </row>
    <row r="324" spans="1:66" x14ac:dyDescent="0.3">
      <c r="A324" s="2"/>
      <c r="C324" s="14" t="str">
        <f t="shared" si="5"/>
        <v>202412</v>
      </c>
      <c r="D324" s="3">
        <v>45636</v>
      </c>
      <c r="E324" s="21">
        <v>2114.27</v>
      </c>
      <c r="F324" s="21">
        <v>1941.98</v>
      </c>
      <c r="G324" s="21">
        <v>1996.47</v>
      </c>
      <c r="H324" s="21">
        <v>2149.9699999999998</v>
      </c>
      <c r="I324" s="21">
        <v>2018.76</v>
      </c>
      <c r="J324" s="21">
        <v>2002.74</v>
      </c>
      <c r="K324" s="21">
        <v>1908.79</v>
      </c>
      <c r="L324" s="21">
        <v>1991.2</v>
      </c>
      <c r="M324" s="21">
        <v>2047.16</v>
      </c>
      <c r="N324" s="21">
        <v>1881.1</v>
      </c>
      <c r="O324" s="21">
        <v>1964.94</v>
      </c>
      <c r="P324" s="21">
        <v>1957.71</v>
      </c>
      <c r="Q324" s="21">
        <v>7158.45</v>
      </c>
      <c r="R324" s="20">
        <v>117.44</v>
      </c>
      <c r="S324" s="20">
        <v>124.04</v>
      </c>
      <c r="T324" s="21">
        <v>129.99</v>
      </c>
      <c r="V324" s="1">
        <v>128.77000000000001</v>
      </c>
      <c r="W324" s="1">
        <v>131.15</v>
      </c>
      <c r="X324" s="1">
        <v>129.41999999999999</v>
      </c>
      <c r="Y324" s="1">
        <v>131.58000000000001</v>
      </c>
      <c r="Z324" s="1">
        <v>131.72</v>
      </c>
      <c r="AA324" s="1">
        <v>121.07</v>
      </c>
      <c r="AB324" s="1">
        <v>127.16</v>
      </c>
      <c r="AC324" s="1">
        <v>125.53</v>
      </c>
      <c r="AE324" s="1">
        <v>133.11000000000001</v>
      </c>
      <c r="AF324" s="1">
        <v>136.99</v>
      </c>
      <c r="AG324" s="1">
        <v>139.18</v>
      </c>
      <c r="AI324" s="1">
        <v>7</v>
      </c>
      <c r="AN324" s="1">
        <v>4109.5200000000004</v>
      </c>
      <c r="AP324" s="1">
        <v>4140</v>
      </c>
      <c r="AQ324" s="1">
        <v>4344.91</v>
      </c>
      <c r="AS324" s="1">
        <v>4409.25</v>
      </c>
      <c r="AV324" s="1">
        <v>30</v>
      </c>
      <c r="AW324" s="1">
        <v>3427.25</v>
      </c>
      <c r="AX324" s="1">
        <v>132.41999999999999</v>
      </c>
      <c r="AY324" s="1">
        <v>4018.34</v>
      </c>
      <c r="AZ324" s="1">
        <v>4037.09</v>
      </c>
      <c r="BA324" s="1">
        <v>132.30000000000001</v>
      </c>
      <c r="BB324" s="1">
        <v>140.38999999999999</v>
      </c>
      <c r="BC324" s="1">
        <v>137.63</v>
      </c>
      <c r="BD324" s="1">
        <v>140.37</v>
      </c>
      <c r="BE324" s="1">
        <v>131.88</v>
      </c>
      <c r="BF324" s="1">
        <v>138.74</v>
      </c>
      <c r="BG324" s="1">
        <v>134.86000000000001</v>
      </c>
      <c r="BH324" s="1">
        <v>128.41999999999999</v>
      </c>
      <c r="BI324" s="1">
        <v>131.85</v>
      </c>
      <c r="BJ324" s="1">
        <v>135.24</v>
      </c>
      <c r="BK324" s="1">
        <v>122.46</v>
      </c>
      <c r="BL324" s="1">
        <v>124.37</v>
      </c>
      <c r="BN324" s="1">
        <v>125.57</v>
      </c>
    </row>
    <row r="325" spans="1:66" x14ac:dyDescent="0.3">
      <c r="A325" s="2"/>
      <c r="C325" s="14" t="str">
        <f t="shared" si="5"/>
        <v>202412</v>
      </c>
      <c r="D325" s="3">
        <v>45635</v>
      </c>
      <c r="E325" s="21">
        <v>2116.75</v>
      </c>
      <c r="F325" s="21">
        <v>1946.38</v>
      </c>
      <c r="G325" s="21">
        <v>1996.47</v>
      </c>
      <c r="H325" s="21">
        <v>2138.6</v>
      </c>
      <c r="I325" s="21">
        <v>2023.72</v>
      </c>
      <c r="J325" s="21">
        <v>2002.74</v>
      </c>
      <c r="K325" s="21">
        <v>1908.79</v>
      </c>
      <c r="L325" s="21">
        <v>1991.2</v>
      </c>
      <c r="M325" s="21">
        <v>2047.16</v>
      </c>
      <c r="N325" s="21">
        <v>1819.64</v>
      </c>
      <c r="O325" s="21">
        <v>1951.18</v>
      </c>
      <c r="P325" s="21">
        <v>1961.03</v>
      </c>
      <c r="Q325" s="21">
        <v>7172.34</v>
      </c>
      <c r="R325" s="20">
        <v>117.94</v>
      </c>
      <c r="S325" s="20">
        <v>124.04</v>
      </c>
      <c r="T325" s="21">
        <v>130.49</v>
      </c>
      <c r="V325" s="1">
        <v>128.74</v>
      </c>
      <c r="W325" s="1">
        <v>132.63</v>
      </c>
      <c r="X325" s="1">
        <v>128.83000000000001</v>
      </c>
      <c r="Y325" s="1">
        <v>131.83000000000001</v>
      </c>
      <c r="Z325" s="1">
        <v>132.16</v>
      </c>
      <c r="AA325" s="1">
        <v>121.8</v>
      </c>
      <c r="AB325" s="1">
        <v>127.16</v>
      </c>
      <c r="AC325" s="1">
        <v>124.88</v>
      </c>
      <c r="AE325" s="1">
        <v>133.81</v>
      </c>
      <c r="AF325" s="1">
        <v>138.65</v>
      </c>
      <c r="AG325" s="1">
        <v>135.78</v>
      </c>
      <c r="AN325" s="1">
        <v>4198.57</v>
      </c>
      <c r="AP325" s="1">
        <v>4080</v>
      </c>
      <c r="AQ325" s="1">
        <v>4352.4799999999996</v>
      </c>
      <c r="AS325" s="1">
        <v>4409.25</v>
      </c>
      <c r="AT325" s="1">
        <v>3391.91</v>
      </c>
      <c r="AU325" s="1">
        <v>3804.95</v>
      </c>
      <c r="AV325" s="1">
        <v>30</v>
      </c>
      <c r="AW325" s="1">
        <v>3293.16</v>
      </c>
      <c r="AX325" s="1">
        <v>131.96</v>
      </c>
      <c r="AY325" s="1">
        <v>4018.34</v>
      </c>
      <c r="AZ325" s="1">
        <v>4238.9399999999996</v>
      </c>
      <c r="BA325" s="1">
        <v>132.80000000000001</v>
      </c>
      <c r="BB325" s="1">
        <v>141.09</v>
      </c>
      <c r="BC325" s="1">
        <v>137.74</v>
      </c>
      <c r="BD325" s="1">
        <v>140.80000000000001</v>
      </c>
      <c r="BE325" s="1">
        <v>135.71</v>
      </c>
      <c r="BF325" s="1">
        <v>139.22999999999999</v>
      </c>
      <c r="BG325" s="1">
        <v>136.06</v>
      </c>
      <c r="BH325" s="1">
        <v>128.41999999999999</v>
      </c>
      <c r="BI325" s="1">
        <v>131.85</v>
      </c>
      <c r="BJ325" s="1">
        <v>135.22999999999999</v>
      </c>
      <c r="BK325" s="1">
        <v>122.7</v>
      </c>
      <c r="BL325" s="1">
        <v>124.7</v>
      </c>
      <c r="BN325" s="1">
        <v>125.97</v>
      </c>
    </row>
    <row r="326" spans="1:66" x14ac:dyDescent="0.3">
      <c r="A326" s="2"/>
      <c r="C326" s="14" t="str">
        <f t="shared" ref="C326:C389" si="6">YEAR(D326)&amp;MONTH(D326)</f>
        <v>202412</v>
      </c>
      <c r="D326" s="3">
        <v>45632</v>
      </c>
      <c r="E326" s="21">
        <v>2077.0500000000002</v>
      </c>
      <c r="F326" s="21">
        <v>1935.78</v>
      </c>
      <c r="G326" s="21">
        <v>1981.61</v>
      </c>
      <c r="H326" s="21">
        <v>2152.0300000000002</v>
      </c>
      <c r="I326" s="21">
        <v>2021.24</v>
      </c>
      <c r="J326" s="21">
        <v>1988.85</v>
      </c>
      <c r="K326" s="21">
        <v>1908.79</v>
      </c>
      <c r="L326" s="21">
        <v>1971.38</v>
      </c>
      <c r="M326" s="21">
        <v>2007.16</v>
      </c>
      <c r="N326" s="21">
        <v>1863.58</v>
      </c>
      <c r="O326" s="21">
        <v>1911.8</v>
      </c>
      <c r="P326" s="21">
        <v>1957.71</v>
      </c>
      <c r="Q326" s="21">
        <v>7274.69</v>
      </c>
      <c r="R326" s="20">
        <v>117.94</v>
      </c>
      <c r="S326" s="20">
        <v>124.37</v>
      </c>
      <c r="T326" s="21">
        <v>131.06</v>
      </c>
      <c r="V326" s="1">
        <v>129.57</v>
      </c>
      <c r="W326" s="1">
        <v>130.80000000000001</v>
      </c>
      <c r="X326" s="1">
        <v>128.72</v>
      </c>
      <c r="Y326" s="1">
        <v>131.26</v>
      </c>
      <c r="Z326" s="1">
        <v>131.72</v>
      </c>
      <c r="AA326" s="1">
        <v>122.05</v>
      </c>
      <c r="AB326" s="1">
        <v>127.16</v>
      </c>
      <c r="AC326" s="1">
        <v>122.91</v>
      </c>
      <c r="AE326" s="1">
        <v>133.81</v>
      </c>
      <c r="AF326" s="1">
        <v>139.16</v>
      </c>
      <c r="AG326" s="1">
        <v>136.76</v>
      </c>
      <c r="AS326" s="1">
        <v>4460.9799999999996</v>
      </c>
      <c r="AT326" s="1">
        <v>3416.03</v>
      </c>
      <c r="AU326" s="1">
        <v>3804.95</v>
      </c>
      <c r="AV326" s="1">
        <v>30</v>
      </c>
      <c r="AW326" s="1">
        <v>3293.16</v>
      </c>
      <c r="AX326" s="1">
        <v>133</v>
      </c>
      <c r="AY326" s="1">
        <v>4117.83</v>
      </c>
      <c r="AZ326" s="1">
        <v>4238.9399999999996</v>
      </c>
      <c r="BA326" s="1">
        <v>134.86000000000001</v>
      </c>
      <c r="BB326" s="1">
        <v>139.77000000000001</v>
      </c>
      <c r="BC326" s="1">
        <v>137.41999999999999</v>
      </c>
      <c r="BD326" s="1">
        <v>141</v>
      </c>
      <c r="BE326" s="1">
        <v>137.11000000000001</v>
      </c>
      <c r="BF326" s="1">
        <v>138.72999999999999</v>
      </c>
      <c r="BG326" s="1">
        <v>136.06</v>
      </c>
      <c r="BH326" s="1">
        <v>128.84</v>
      </c>
      <c r="BI326" s="1">
        <v>132.09</v>
      </c>
      <c r="BJ326" s="1">
        <v>135.16999999999999</v>
      </c>
      <c r="BK326" s="1">
        <v>122</v>
      </c>
      <c r="BL326" s="1">
        <v>124.34</v>
      </c>
      <c r="BN326" s="1">
        <v>126.65</v>
      </c>
    </row>
    <row r="327" spans="1:66" x14ac:dyDescent="0.3">
      <c r="A327" s="2"/>
      <c r="C327" s="14" t="str">
        <f t="shared" si="6"/>
        <v>202412</v>
      </c>
      <c r="D327" s="3">
        <v>45631</v>
      </c>
      <c r="E327" s="21">
        <v>2096.94</v>
      </c>
      <c r="F327" s="21">
        <v>1938.26</v>
      </c>
      <c r="G327" s="21">
        <v>1981.61</v>
      </c>
      <c r="H327" s="21">
        <v>2087.27</v>
      </c>
      <c r="I327" s="21">
        <v>1968.4</v>
      </c>
      <c r="J327" s="21">
        <v>1975.82</v>
      </c>
      <c r="K327" s="21">
        <v>1908.79</v>
      </c>
      <c r="L327" s="21">
        <v>1968.08</v>
      </c>
      <c r="M327" s="21">
        <v>2007.16</v>
      </c>
      <c r="N327" s="21">
        <v>1886.8</v>
      </c>
      <c r="O327" s="21">
        <v>1924.98</v>
      </c>
      <c r="P327" s="21">
        <v>1957.71</v>
      </c>
      <c r="Q327" s="21">
        <v>7175.37</v>
      </c>
      <c r="R327" s="20">
        <v>118.44</v>
      </c>
      <c r="S327" s="20">
        <v>124.37</v>
      </c>
      <c r="T327" s="21">
        <v>131.21</v>
      </c>
      <c r="V327" s="1">
        <v>129.59</v>
      </c>
      <c r="W327" s="1">
        <v>131.74</v>
      </c>
      <c r="X327" s="1">
        <v>128.07</v>
      </c>
      <c r="Y327" s="1">
        <v>131.82</v>
      </c>
      <c r="Z327" s="1">
        <v>132.16</v>
      </c>
      <c r="AA327" s="1">
        <v>122.3</v>
      </c>
      <c r="AB327" s="1">
        <v>126.72</v>
      </c>
      <c r="AC327" s="1">
        <v>122.91</v>
      </c>
      <c r="AE327" s="1">
        <v>135.33000000000001</v>
      </c>
      <c r="AF327" s="1">
        <v>140.51</v>
      </c>
      <c r="AG327" s="1">
        <v>137.07</v>
      </c>
      <c r="AS327" s="1">
        <v>4460.9799999999996</v>
      </c>
      <c r="AT327" s="1">
        <v>3416.03</v>
      </c>
      <c r="AU327" s="1">
        <v>3804.95</v>
      </c>
      <c r="AV327" s="1">
        <v>30</v>
      </c>
      <c r="AW327" s="1">
        <v>3293.16</v>
      </c>
      <c r="AX327" s="1">
        <v>132.97999999999999</v>
      </c>
      <c r="AY327" s="1">
        <v>4117.83</v>
      </c>
      <c r="AZ327" s="1">
        <v>4238.9399999999996</v>
      </c>
      <c r="BA327" s="1">
        <v>134.86000000000001</v>
      </c>
      <c r="BB327" s="1">
        <v>140.38</v>
      </c>
      <c r="BC327" s="1">
        <v>137.97999999999999</v>
      </c>
      <c r="BD327" s="1">
        <v>141.69</v>
      </c>
      <c r="BE327" s="1">
        <v>138.63</v>
      </c>
      <c r="BF327" s="1">
        <v>139.22999999999999</v>
      </c>
      <c r="BG327" s="1">
        <v>135.26</v>
      </c>
      <c r="BH327" s="1">
        <v>128.76</v>
      </c>
      <c r="BI327" s="1">
        <v>132.09</v>
      </c>
      <c r="BJ327" s="1">
        <v>135.16</v>
      </c>
      <c r="BK327" s="1">
        <v>122</v>
      </c>
      <c r="BL327" s="1">
        <v>124.54</v>
      </c>
      <c r="BN327" s="1">
        <v>126.65</v>
      </c>
    </row>
    <row r="328" spans="1:66" x14ac:dyDescent="0.3">
      <c r="A328" s="2"/>
      <c r="C328" s="14" t="str">
        <f t="shared" si="6"/>
        <v>202412</v>
      </c>
      <c r="D328" s="3">
        <v>45630</v>
      </c>
      <c r="E328" s="21">
        <v>2084.5100000000002</v>
      </c>
      <c r="F328" s="21">
        <v>1979.41</v>
      </c>
      <c r="G328" s="21">
        <v>1993.99</v>
      </c>
      <c r="H328" s="21">
        <v>2152.9899999999998</v>
      </c>
      <c r="I328" s="21">
        <v>2021.24</v>
      </c>
      <c r="J328" s="21">
        <v>2004.87</v>
      </c>
      <c r="K328" s="21">
        <v>1908.79</v>
      </c>
      <c r="L328" s="21">
        <v>1950.27</v>
      </c>
      <c r="M328" s="21">
        <v>2007.16</v>
      </c>
      <c r="N328" s="21">
        <v>1849.98</v>
      </c>
      <c r="O328" s="21">
        <v>1941.44</v>
      </c>
      <c r="P328" s="21">
        <v>1957.71</v>
      </c>
      <c r="Q328" s="21">
        <v>7185.88</v>
      </c>
      <c r="R328" s="20">
        <v>119.19</v>
      </c>
      <c r="S328" s="20">
        <v>126.37</v>
      </c>
      <c r="T328" s="21">
        <v>131.19999999999999</v>
      </c>
      <c r="V328" s="1">
        <v>130.13</v>
      </c>
      <c r="W328" s="1">
        <v>132.34</v>
      </c>
      <c r="X328" s="1">
        <v>128.07</v>
      </c>
      <c r="Y328" s="1">
        <v>131.88999999999999</v>
      </c>
      <c r="Z328" s="1">
        <v>132.12</v>
      </c>
      <c r="AA328" s="1">
        <v>122.88</v>
      </c>
      <c r="AB328" s="1">
        <v>127.16</v>
      </c>
      <c r="AC328" s="1">
        <v>123.24</v>
      </c>
      <c r="AE328" s="1">
        <v>135.58000000000001</v>
      </c>
      <c r="AG328" s="1">
        <v>137.69999999999999</v>
      </c>
      <c r="AT328" s="1">
        <v>3416.03</v>
      </c>
      <c r="AU328" s="1">
        <v>3804.95</v>
      </c>
      <c r="AV328" s="1">
        <v>30</v>
      </c>
      <c r="AW328" s="1">
        <v>3293.16</v>
      </c>
      <c r="AX328" s="1">
        <v>133.94999999999999</v>
      </c>
      <c r="AZ328" s="1">
        <v>4238.9399999999996</v>
      </c>
      <c r="BA328" s="1">
        <v>132.06</v>
      </c>
      <c r="BB328" s="1">
        <v>140.47999999999999</v>
      </c>
      <c r="BC328" s="1">
        <v>139.05000000000001</v>
      </c>
      <c r="BD328" s="1">
        <v>141.53</v>
      </c>
      <c r="BE328" s="1">
        <v>133.91999999999999</v>
      </c>
      <c r="BF328" s="1">
        <v>139.72999999999999</v>
      </c>
      <c r="BG328" s="1">
        <v>135.55000000000001</v>
      </c>
      <c r="BH328" s="1">
        <v>129.16999999999999</v>
      </c>
      <c r="BI328" s="1">
        <v>132.47</v>
      </c>
      <c r="BJ328" s="1">
        <v>135.74</v>
      </c>
      <c r="BK328" s="1">
        <v>123.33</v>
      </c>
      <c r="BL328" s="1">
        <v>125.34</v>
      </c>
      <c r="BN328" s="1">
        <v>124.2</v>
      </c>
    </row>
    <row r="329" spans="1:66" x14ac:dyDescent="0.3">
      <c r="A329" s="2"/>
      <c r="C329" s="14" t="str">
        <f t="shared" si="6"/>
        <v>202412</v>
      </c>
      <c r="D329" s="3">
        <v>45629</v>
      </c>
      <c r="E329" s="21">
        <v>2091.9699999999998</v>
      </c>
      <c r="F329" s="21">
        <v>1968.1</v>
      </c>
      <c r="G329" s="21">
        <v>1981.61</v>
      </c>
      <c r="H329" s="21">
        <v>2173.61</v>
      </c>
      <c r="I329" s="21">
        <v>2003.41</v>
      </c>
      <c r="J329" s="21">
        <v>2024.17</v>
      </c>
      <c r="K329" s="21">
        <v>1908.79</v>
      </c>
      <c r="L329" s="21">
        <v>1976.03</v>
      </c>
      <c r="M329" s="21">
        <v>1950.55</v>
      </c>
      <c r="N329" s="21">
        <v>1849.98</v>
      </c>
      <c r="O329" s="21">
        <v>1938.15</v>
      </c>
      <c r="P329" s="21">
        <v>1957.71</v>
      </c>
      <c r="Q329" s="21">
        <v>7233.26</v>
      </c>
      <c r="R329" s="20">
        <v>119.19</v>
      </c>
      <c r="S329" s="20">
        <v>126.37</v>
      </c>
      <c r="T329" s="21">
        <v>131.66999999999999</v>
      </c>
      <c r="V329" s="1">
        <v>127.32</v>
      </c>
      <c r="W329" s="1">
        <v>132.34</v>
      </c>
      <c r="X329" s="1">
        <v>128.83000000000001</v>
      </c>
      <c r="Y329" s="1">
        <v>132.27000000000001</v>
      </c>
      <c r="Z329" s="1">
        <v>132.16</v>
      </c>
      <c r="AA329" s="1">
        <v>122.88</v>
      </c>
      <c r="AB329" s="1">
        <v>127.16</v>
      </c>
      <c r="AC329" s="1">
        <v>125.57</v>
      </c>
      <c r="AE329" s="1">
        <v>134.83000000000001</v>
      </c>
      <c r="AF329" s="1">
        <v>138.05000000000001</v>
      </c>
      <c r="AG329" s="1">
        <v>137.69</v>
      </c>
      <c r="AS329" s="1">
        <v>4189.74</v>
      </c>
      <c r="AT329" s="1">
        <v>3416.03</v>
      </c>
      <c r="AU329" s="1">
        <v>3804.95</v>
      </c>
      <c r="AV329" s="1">
        <v>30</v>
      </c>
      <c r="AW329" s="1">
        <v>3254.28</v>
      </c>
      <c r="AX329" s="1">
        <v>133.84</v>
      </c>
      <c r="AZ329" s="1">
        <v>4238.9399999999996</v>
      </c>
      <c r="BA329" s="1">
        <v>135.07</v>
      </c>
      <c r="BB329" s="1">
        <v>139.80000000000001</v>
      </c>
      <c r="BC329" s="1">
        <v>139.68</v>
      </c>
      <c r="BD329" s="1">
        <v>140.79</v>
      </c>
      <c r="BE329" s="1">
        <v>137.77000000000001</v>
      </c>
      <c r="BF329" s="1">
        <v>139.72999999999999</v>
      </c>
      <c r="BG329" s="1">
        <v>136.06</v>
      </c>
      <c r="BH329" s="1">
        <v>131.5</v>
      </c>
      <c r="BI329" s="1">
        <v>132.09</v>
      </c>
      <c r="BJ329" s="1">
        <v>135.72</v>
      </c>
      <c r="BK329" s="1">
        <v>123.67</v>
      </c>
      <c r="BL329" s="1">
        <v>124.94</v>
      </c>
      <c r="BN329" s="1">
        <v>123.46</v>
      </c>
    </row>
    <row r="330" spans="1:66" x14ac:dyDescent="0.3">
      <c r="A330" s="2"/>
      <c r="C330" s="14" t="str">
        <f t="shared" si="6"/>
        <v>202412</v>
      </c>
      <c r="D330" s="3">
        <v>45628</v>
      </c>
      <c r="E330" s="21">
        <v>2126.77</v>
      </c>
      <c r="F330" s="21">
        <v>1934.77</v>
      </c>
      <c r="G330" s="21">
        <v>1981.61</v>
      </c>
      <c r="H330" s="21">
        <v>2201.87</v>
      </c>
      <c r="I330" s="21">
        <v>2003.41</v>
      </c>
      <c r="J330" s="21">
        <v>1988.42</v>
      </c>
      <c r="K330" s="21">
        <v>1908.79</v>
      </c>
      <c r="L330" s="21">
        <v>1930.15</v>
      </c>
      <c r="M330" s="21">
        <v>1876.76</v>
      </c>
      <c r="N330" s="21">
        <v>1746.31</v>
      </c>
      <c r="O330" s="21">
        <v>1927.23</v>
      </c>
      <c r="P330" s="21">
        <v>1957.71</v>
      </c>
      <c r="Q330" s="21">
        <v>7150.37</v>
      </c>
      <c r="R330" s="20">
        <v>118.69</v>
      </c>
      <c r="S330" s="20">
        <v>126.37</v>
      </c>
      <c r="T330" s="21">
        <v>131.68</v>
      </c>
      <c r="V330" s="1">
        <v>127.39</v>
      </c>
      <c r="W330" s="1">
        <v>131.05000000000001</v>
      </c>
      <c r="X330" s="1">
        <v>127.82</v>
      </c>
      <c r="Y330" s="1">
        <v>131.02000000000001</v>
      </c>
      <c r="Z330" s="1">
        <v>131.12</v>
      </c>
      <c r="AA330" s="1">
        <v>122.3</v>
      </c>
      <c r="AB330" s="1">
        <v>127.05</v>
      </c>
      <c r="AE330" s="1">
        <v>133.84</v>
      </c>
      <c r="AF330" s="1">
        <v>137.74</v>
      </c>
      <c r="AG330" s="1">
        <v>138.84</v>
      </c>
      <c r="AI330" s="1">
        <v>19.670000000000002</v>
      </c>
      <c r="AN330" s="1">
        <v>4102.8500000000004</v>
      </c>
      <c r="AQ330" s="1">
        <v>4723.3900000000003</v>
      </c>
      <c r="AS330" s="1">
        <v>4189.74</v>
      </c>
      <c r="AT330" s="1">
        <v>3452.22</v>
      </c>
      <c r="AX330" s="1">
        <v>135.31</v>
      </c>
      <c r="AZ330" s="1">
        <v>4341.8900000000003</v>
      </c>
      <c r="BA330" s="1">
        <v>133.85</v>
      </c>
      <c r="BB330" s="1">
        <v>140.31</v>
      </c>
      <c r="BC330" s="1">
        <v>138.72999999999999</v>
      </c>
      <c r="BD330" s="1">
        <v>141.56</v>
      </c>
      <c r="BE330" s="1">
        <v>137.77000000000001</v>
      </c>
      <c r="BF330" s="1">
        <v>139.22999999999999</v>
      </c>
      <c r="BG330" s="1">
        <v>134.30000000000001</v>
      </c>
      <c r="BH330" s="1">
        <v>130.77000000000001</v>
      </c>
      <c r="BI330" s="1">
        <v>130.85</v>
      </c>
      <c r="BJ330" s="1">
        <v>135.69999999999999</v>
      </c>
      <c r="BK330" s="1">
        <v>123.34</v>
      </c>
      <c r="BL330" s="1">
        <v>124.34</v>
      </c>
      <c r="BN330" s="1">
        <v>122.96</v>
      </c>
    </row>
    <row r="331" spans="1:66" x14ac:dyDescent="0.3">
      <c r="A331" s="2"/>
      <c r="C331" s="14" t="str">
        <f t="shared" si="6"/>
        <v>202411</v>
      </c>
      <c r="D331" s="3">
        <v>45625</v>
      </c>
      <c r="E331" s="21">
        <v>2095.16</v>
      </c>
      <c r="F331" s="21">
        <v>1927.1</v>
      </c>
      <c r="G331" s="21">
        <v>1965.09</v>
      </c>
      <c r="H331" s="21">
        <v>2199.65</v>
      </c>
      <c r="I331" s="21">
        <v>1990.37</v>
      </c>
      <c r="J331" s="21">
        <v>1988.87</v>
      </c>
      <c r="K331" s="21">
        <v>1942.34</v>
      </c>
      <c r="L331" s="21">
        <v>1879.33</v>
      </c>
      <c r="M331" s="21">
        <v>1877.12</v>
      </c>
      <c r="N331" s="21">
        <v>1773.81</v>
      </c>
      <c r="O331" s="21">
        <v>1934.2</v>
      </c>
      <c r="P331" s="21">
        <v>1974.56</v>
      </c>
      <c r="Q331" s="21">
        <v>7184.51</v>
      </c>
      <c r="R331" s="20">
        <v>118.7</v>
      </c>
      <c r="S331" s="20">
        <v>127.04</v>
      </c>
      <c r="T331" s="21">
        <v>131.47</v>
      </c>
      <c r="V331" s="1">
        <v>127.9</v>
      </c>
      <c r="W331" s="1">
        <v>131.56</v>
      </c>
      <c r="X331" s="1">
        <v>127.83</v>
      </c>
      <c r="Y331" s="1">
        <v>130.02000000000001</v>
      </c>
      <c r="Z331" s="1">
        <v>130.76</v>
      </c>
      <c r="AA331" s="1">
        <v>122.23</v>
      </c>
      <c r="AB331" s="1">
        <v>126.61</v>
      </c>
      <c r="AE331" s="1">
        <v>133.86000000000001</v>
      </c>
      <c r="AF331" s="1">
        <v>137.62</v>
      </c>
      <c r="AG331" s="1">
        <v>135.74</v>
      </c>
      <c r="AI331" s="1">
        <v>19.670000000000002</v>
      </c>
      <c r="AN331" s="1">
        <v>4101.95</v>
      </c>
      <c r="AS331" s="1">
        <v>4187.9799999999996</v>
      </c>
      <c r="AX331" s="1">
        <v>135.09</v>
      </c>
      <c r="AY331" s="1">
        <v>4122.83</v>
      </c>
      <c r="AZ331" s="1">
        <v>4340.0600000000004</v>
      </c>
      <c r="BA331" s="1">
        <v>133.87</v>
      </c>
      <c r="BB331" s="1">
        <v>138.63999999999999</v>
      </c>
      <c r="BC331" s="1">
        <v>137.66999999999999</v>
      </c>
      <c r="BD331" s="1">
        <v>140.52000000000001</v>
      </c>
      <c r="BE331" s="1">
        <v>137.13999999999999</v>
      </c>
      <c r="BF331" s="1">
        <v>139.46</v>
      </c>
      <c r="BG331" s="1">
        <v>134.25</v>
      </c>
      <c r="BH331" s="1">
        <v>130.79</v>
      </c>
      <c r="BI331" s="1">
        <v>130.74</v>
      </c>
      <c r="BJ331" s="1">
        <v>135.62</v>
      </c>
      <c r="BK331" s="1">
        <v>123.36</v>
      </c>
      <c r="BL331" s="1">
        <v>124.11</v>
      </c>
      <c r="BN331" s="1">
        <v>126.35</v>
      </c>
    </row>
    <row r="332" spans="1:66" x14ac:dyDescent="0.3">
      <c r="A332" s="2"/>
      <c r="C332" s="14" t="str">
        <f t="shared" si="6"/>
        <v>202411</v>
      </c>
      <c r="D332" s="3">
        <v>45624</v>
      </c>
      <c r="E332" s="21">
        <v>2059.9899999999998</v>
      </c>
      <c r="F332" s="21">
        <v>1924.77</v>
      </c>
      <c r="G332" s="21">
        <v>1965.09</v>
      </c>
      <c r="H332" s="21">
        <v>2127.27</v>
      </c>
      <c r="I332" s="21">
        <v>2039.93</v>
      </c>
      <c r="J332" s="21">
        <v>1953.1</v>
      </c>
      <c r="K332" s="21">
        <v>1942.34</v>
      </c>
      <c r="L332" s="21">
        <v>1875.37</v>
      </c>
      <c r="M332" s="21">
        <v>1864.77</v>
      </c>
      <c r="N332" s="21">
        <v>1839.82</v>
      </c>
      <c r="O332" s="21">
        <v>1867.57</v>
      </c>
      <c r="P332" s="21">
        <v>1974.56</v>
      </c>
      <c r="Q332" s="21">
        <v>7176.15</v>
      </c>
      <c r="R332" s="20">
        <v>117.71</v>
      </c>
      <c r="S332" s="20">
        <v>126.71</v>
      </c>
      <c r="T332" s="21">
        <v>131</v>
      </c>
      <c r="V332" s="1">
        <v>127.34</v>
      </c>
      <c r="W332" s="1">
        <v>129.56</v>
      </c>
      <c r="X332" s="1">
        <v>126.83</v>
      </c>
      <c r="Y332" s="1">
        <v>129.03</v>
      </c>
      <c r="Z332" s="1">
        <v>128.54</v>
      </c>
      <c r="AA332" s="1">
        <v>121.98</v>
      </c>
      <c r="AB332" s="1">
        <v>126.17</v>
      </c>
      <c r="AE332" s="1">
        <v>133.36000000000001</v>
      </c>
      <c r="AF332" s="1">
        <v>137.46</v>
      </c>
      <c r="AG332" s="1">
        <v>135.72</v>
      </c>
      <c r="AI332" s="1">
        <v>19.670000000000002</v>
      </c>
      <c r="AN332" s="1">
        <v>4101.95</v>
      </c>
      <c r="AS332" s="1">
        <v>4187.9799999999996</v>
      </c>
      <c r="AX332" s="1">
        <v>132.11000000000001</v>
      </c>
      <c r="AY332" s="1">
        <v>4122.83</v>
      </c>
      <c r="AZ332" s="1">
        <v>4340.0600000000004</v>
      </c>
      <c r="BA332" s="1">
        <v>132.52000000000001</v>
      </c>
      <c r="BB332" s="1">
        <v>139.51</v>
      </c>
      <c r="BC332" s="1">
        <v>137.1</v>
      </c>
      <c r="BD332" s="1">
        <v>138.63999999999999</v>
      </c>
      <c r="BE332" s="1">
        <v>136.34</v>
      </c>
      <c r="BF332" s="1">
        <v>138.79</v>
      </c>
      <c r="BG332" s="1">
        <v>133.44</v>
      </c>
      <c r="BH332" s="1">
        <v>129.41999999999999</v>
      </c>
      <c r="BI332" s="1">
        <v>129.99</v>
      </c>
      <c r="BJ332" s="1">
        <v>133.91999999999999</v>
      </c>
      <c r="BK332" s="1">
        <v>123.64</v>
      </c>
      <c r="BL332" s="1">
        <v>124.76</v>
      </c>
      <c r="BN332" s="1">
        <v>124.04</v>
      </c>
    </row>
    <row r="333" spans="1:66" x14ac:dyDescent="0.3">
      <c r="A333" s="2"/>
      <c r="C333" s="14" t="str">
        <f t="shared" si="6"/>
        <v>202411</v>
      </c>
      <c r="D333" s="3">
        <v>45623</v>
      </c>
      <c r="E333" s="21">
        <v>2040.45</v>
      </c>
      <c r="F333" s="21">
        <v>1928.37</v>
      </c>
      <c r="G333" s="21">
        <v>1965.09</v>
      </c>
      <c r="H333" s="21">
        <v>2127.27</v>
      </c>
      <c r="I333" s="21">
        <v>2039.93</v>
      </c>
      <c r="J333" s="21">
        <v>1953.1</v>
      </c>
      <c r="K333" s="21">
        <v>1942.34</v>
      </c>
      <c r="L333" s="21">
        <v>1876.91</v>
      </c>
      <c r="M333" s="21">
        <v>1867.2</v>
      </c>
      <c r="N333" s="21">
        <v>1830.91</v>
      </c>
      <c r="O333" s="21">
        <v>1828.08</v>
      </c>
      <c r="P333" s="21">
        <v>1974.56</v>
      </c>
      <c r="Q333" s="21">
        <v>7176.15</v>
      </c>
      <c r="R333" s="20">
        <v>117.71</v>
      </c>
      <c r="S333" s="20">
        <v>125.04</v>
      </c>
      <c r="T333" s="21">
        <v>130.75</v>
      </c>
      <c r="V333" s="1">
        <v>127.12</v>
      </c>
      <c r="W333" s="1">
        <v>129.62</v>
      </c>
      <c r="X333" s="1">
        <v>126.08</v>
      </c>
      <c r="Y333" s="1">
        <v>128.13999999999999</v>
      </c>
      <c r="Z333" s="1">
        <v>128.24</v>
      </c>
      <c r="AA333" s="1">
        <v>121.98</v>
      </c>
      <c r="AB333" s="1">
        <v>125.62</v>
      </c>
      <c r="AC333" s="1">
        <v>127.36</v>
      </c>
      <c r="AE333" s="1">
        <v>133.11000000000001</v>
      </c>
      <c r="AF333" s="1">
        <v>137.08000000000001</v>
      </c>
      <c r="AG333" s="1">
        <v>135.37</v>
      </c>
      <c r="AI333" s="1">
        <v>19.670000000000002</v>
      </c>
      <c r="AN333" s="1">
        <v>4101.95</v>
      </c>
      <c r="AQ333" s="1">
        <v>4590.26</v>
      </c>
      <c r="AS333" s="1">
        <v>4187.9799999999996</v>
      </c>
      <c r="AT333" s="1">
        <v>3595.49</v>
      </c>
      <c r="AX333" s="1">
        <v>131.6</v>
      </c>
      <c r="AY333" s="1">
        <v>4122.83</v>
      </c>
      <c r="AZ333" s="1">
        <v>4361.1099999999997</v>
      </c>
      <c r="BA333" s="1">
        <v>132</v>
      </c>
      <c r="BB333" s="1">
        <v>139.29</v>
      </c>
      <c r="BC333" s="1">
        <v>137.71</v>
      </c>
      <c r="BD333" s="1">
        <v>138.94</v>
      </c>
      <c r="BE333" s="1">
        <v>136.51</v>
      </c>
      <c r="BF333" s="1">
        <v>138.79</v>
      </c>
      <c r="BG333" s="1">
        <v>132.57</v>
      </c>
      <c r="BH333" s="1">
        <v>129.41999999999999</v>
      </c>
      <c r="BI333" s="1">
        <v>129.99</v>
      </c>
      <c r="BJ333" s="1">
        <v>133.9</v>
      </c>
      <c r="BK333" s="1">
        <v>120.7</v>
      </c>
      <c r="BL333" s="1">
        <v>124.36</v>
      </c>
      <c r="BN333" s="1">
        <v>121.5</v>
      </c>
    </row>
    <row r="334" spans="1:66" x14ac:dyDescent="0.3">
      <c r="A334" s="2"/>
      <c r="C334" s="14" t="str">
        <f t="shared" si="6"/>
        <v>202411</v>
      </c>
      <c r="D334" s="3">
        <v>45622</v>
      </c>
      <c r="E334" s="21">
        <v>2042.94</v>
      </c>
      <c r="F334" s="21">
        <v>1932.88</v>
      </c>
      <c r="G334" s="21">
        <v>1970.05</v>
      </c>
      <c r="H334" s="21">
        <v>2128.29</v>
      </c>
      <c r="I334" s="21">
        <v>2039.93</v>
      </c>
      <c r="J334" s="21">
        <v>2007.27</v>
      </c>
      <c r="K334" s="21">
        <v>1942.34</v>
      </c>
      <c r="L334" s="21">
        <v>1869.61</v>
      </c>
      <c r="M334" s="21">
        <v>1874.02</v>
      </c>
      <c r="N334" s="21">
        <v>1838.95</v>
      </c>
      <c r="O334" s="21">
        <v>1817.71</v>
      </c>
      <c r="P334" s="21">
        <v>1974.56</v>
      </c>
      <c r="Q334" s="21">
        <v>7176.15</v>
      </c>
      <c r="R334" s="20">
        <v>117.21</v>
      </c>
      <c r="S334" s="20">
        <v>126.34</v>
      </c>
      <c r="T334" s="21">
        <v>130.74</v>
      </c>
      <c r="V334" s="1">
        <v>127.27</v>
      </c>
      <c r="W334" s="1">
        <v>129.97999999999999</v>
      </c>
      <c r="X334" s="1">
        <v>125.96</v>
      </c>
      <c r="Y334" s="1">
        <v>127.96</v>
      </c>
      <c r="Z334" s="1">
        <v>128.83000000000001</v>
      </c>
      <c r="AA334" s="1">
        <v>121.4</v>
      </c>
      <c r="AB334" s="1">
        <v>124.93</v>
      </c>
      <c r="AC334" s="1">
        <v>127.31</v>
      </c>
      <c r="AE334" s="1">
        <v>132.36000000000001</v>
      </c>
      <c r="AF334" s="1">
        <v>138.54</v>
      </c>
      <c r="AG334" s="1">
        <v>135.71</v>
      </c>
      <c r="AI334" s="1">
        <v>7</v>
      </c>
      <c r="AN334" s="1">
        <v>4016.52</v>
      </c>
      <c r="AQ334" s="1">
        <v>4590.26</v>
      </c>
      <c r="AT334" s="1">
        <v>3595.49</v>
      </c>
      <c r="AX334" s="1">
        <v>130.82</v>
      </c>
      <c r="AY334" s="1">
        <v>4122.83</v>
      </c>
      <c r="AZ334" s="1">
        <v>4361.1099999999997</v>
      </c>
      <c r="BA334" s="1">
        <v>133.57</v>
      </c>
      <c r="BB334" s="1">
        <v>139.03</v>
      </c>
      <c r="BC334" s="1">
        <v>136.54</v>
      </c>
      <c r="BD334" s="1">
        <v>138.94</v>
      </c>
      <c r="BE334" s="1">
        <v>136.5</v>
      </c>
      <c r="BF334" s="1">
        <v>135.6</v>
      </c>
      <c r="BG334" s="1">
        <v>132.81</v>
      </c>
      <c r="BH334" s="1">
        <v>129.79</v>
      </c>
      <c r="BI334" s="1">
        <v>130.74</v>
      </c>
      <c r="BJ334" s="1">
        <v>135.5</v>
      </c>
      <c r="BK334" s="1">
        <v>121.03</v>
      </c>
      <c r="BL334" s="1">
        <v>122.64</v>
      </c>
      <c r="BN334" s="1">
        <v>122</v>
      </c>
    </row>
    <row r="335" spans="1:66" x14ac:dyDescent="0.3">
      <c r="A335" s="2"/>
      <c r="C335" s="14" t="str">
        <f t="shared" si="6"/>
        <v>202411</v>
      </c>
      <c r="D335" s="3">
        <v>45621</v>
      </c>
      <c r="E335" s="21">
        <v>2042.94</v>
      </c>
      <c r="F335" s="21">
        <v>1937.38</v>
      </c>
      <c r="G335" s="21">
        <v>1970.05</v>
      </c>
      <c r="H335" s="21">
        <v>2134.75</v>
      </c>
      <c r="I335" s="21">
        <v>2045.22</v>
      </c>
      <c r="J335" s="21">
        <v>1987.6</v>
      </c>
      <c r="K335" s="21">
        <v>1942.34</v>
      </c>
      <c r="L335" s="21">
        <v>1869.61</v>
      </c>
      <c r="M335" s="21">
        <v>1888.77</v>
      </c>
      <c r="N335" s="21">
        <v>1839.39</v>
      </c>
      <c r="O335" s="21">
        <v>1819.7</v>
      </c>
      <c r="P335" s="21">
        <v>1974.56</v>
      </c>
      <c r="Q335" s="21">
        <v>7206.67</v>
      </c>
      <c r="R335" s="20">
        <v>118.2</v>
      </c>
      <c r="S335" s="20">
        <v>125.38</v>
      </c>
      <c r="T335" s="21">
        <v>131.22999999999999</v>
      </c>
      <c r="V335" s="1">
        <v>127.69</v>
      </c>
      <c r="W335" s="1">
        <v>130.06</v>
      </c>
      <c r="X335" s="1">
        <v>125.96</v>
      </c>
      <c r="Y335" s="1">
        <v>128.79</v>
      </c>
      <c r="Z335" s="1">
        <v>130.08000000000001</v>
      </c>
      <c r="AA335" s="1">
        <v>121.73</v>
      </c>
      <c r="AB335" s="1">
        <v>125.32</v>
      </c>
      <c r="AC335" s="1">
        <v>127.2</v>
      </c>
      <c r="AE335" s="1">
        <v>132.36000000000001</v>
      </c>
      <c r="AF335" s="1">
        <v>138.53</v>
      </c>
      <c r="AG335" s="1">
        <v>136.66999999999999</v>
      </c>
      <c r="AQ335" s="1">
        <v>4590.26</v>
      </c>
      <c r="AR335" s="1">
        <v>3934.51</v>
      </c>
      <c r="AT335" s="1">
        <v>3595.49</v>
      </c>
      <c r="AX335" s="1">
        <v>130.6</v>
      </c>
      <c r="AY335" s="1">
        <v>4122.83</v>
      </c>
      <c r="AZ335" s="1">
        <v>4354.8599999999997</v>
      </c>
      <c r="BA335" s="1">
        <v>132.96</v>
      </c>
      <c r="BB335" s="1">
        <v>137.75</v>
      </c>
      <c r="BC335" s="1">
        <v>137.77000000000001</v>
      </c>
      <c r="BD335" s="1">
        <v>138.93</v>
      </c>
      <c r="BE335" s="1">
        <v>131.91</v>
      </c>
      <c r="BF335" s="1">
        <v>134.79</v>
      </c>
      <c r="BG335" s="1">
        <v>132.30000000000001</v>
      </c>
      <c r="BH335" s="1">
        <v>129.57</v>
      </c>
      <c r="BI335" s="1">
        <v>130.24</v>
      </c>
      <c r="BJ335" s="1">
        <v>135.47999999999999</v>
      </c>
      <c r="BK335" s="1">
        <v>121.03</v>
      </c>
      <c r="BL335" s="1">
        <v>124.96</v>
      </c>
      <c r="BN335" s="1">
        <v>122</v>
      </c>
    </row>
    <row r="336" spans="1:66" x14ac:dyDescent="0.3">
      <c r="A336" s="2"/>
      <c r="C336" s="14" t="str">
        <f t="shared" si="6"/>
        <v>202411</v>
      </c>
      <c r="D336" s="3">
        <v>45618</v>
      </c>
      <c r="E336" s="21">
        <v>2042.94</v>
      </c>
      <c r="F336" s="21">
        <v>1970.05</v>
      </c>
      <c r="G336" s="21">
        <v>1970.05</v>
      </c>
      <c r="H336" s="21">
        <v>2111.7199999999998</v>
      </c>
      <c r="I336" s="21">
        <v>2055.79</v>
      </c>
      <c r="J336" s="21">
        <v>2020.43</v>
      </c>
      <c r="K336" s="21">
        <v>1942.34</v>
      </c>
      <c r="L336" s="21">
        <v>1880.64</v>
      </c>
      <c r="M336" s="21">
        <v>1891.04</v>
      </c>
      <c r="N336" s="21">
        <v>1813.94</v>
      </c>
      <c r="O336" s="21">
        <v>1855.9</v>
      </c>
      <c r="P336" s="21">
        <v>1979.55</v>
      </c>
      <c r="Q336" s="21">
        <v>7275.93</v>
      </c>
      <c r="R336" s="20">
        <v>118.2</v>
      </c>
      <c r="S336" s="20">
        <v>125.04</v>
      </c>
      <c r="T336" s="21">
        <v>131.22</v>
      </c>
      <c r="V336" s="1">
        <v>127.72</v>
      </c>
      <c r="W336" s="1">
        <v>130.06</v>
      </c>
      <c r="X336" s="1">
        <v>126.95</v>
      </c>
      <c r="Y336" s="1">
        <v>129.02000000000001</v>
      </c>
      <c r="Z336" s="1">
        <v>130.61000000000001</v>
      </c>
      <c r="AA336" s="1">
        <v>121.73</v>
      </c>
      <c r="AB336" s="1">
        <v>125.32</v>
      </c>
      <c r="AC336" s="1">
        <v>126.88</v>
      </c>
      <c r="AE336" s="1">
        <v>132.36000000000001</v>
      </c>
      <c r="AF336" s="1">
        <v>140.09</v>
      </c>
      <c r="AG336" s="1">
        <v>136.55000000000001</v>
      </c>
      <c r="AP336" s="1">
        <v>4290</v>
      </c>
      <c r="AQ336" s="1">
        <v>4476.76</v>
      </c>
      <c r="AR336" s="1">
        <v>3934.51</v>
      </c>
      <c r="AT336" s="1">
        <v>3595.49</v>
      </c>
      <c r="AU336" s="1">
        <v>4060.61</v>
      </c>
      <c r="AW336" s="1">
        <v>3871.96</v>
      </c>
      <c r="AX336" s="1">
        <v>131.04</v>
      </c>
      <c r="AY336" s="1">
        <v>4122.83</v>
      </c>
      <c r="AZ336" s="1">
        <v>4354.8599999999997</v>
      </c>
      <c r="BA336" s="1">
        <v>133.31</v>
      </c>
      <c r="BB336" s="1">
        <v>137.97</v>
      </c>
      <c r="BC336" s="1">
        <v>136.85</v>
      </c>
      <c r="BD336" s="1">
        <v>138.88999999999999</v>
      </c>
      <c r="BE336" s="1">
        <v>136.97999999999999</v>
      </c>
      <c r="BF336" s="1">
        <v>134.77000000000001</v>
      </c>
      <c r="BG336" s="1">
        <v>133.38</v>
      </c>
      <c r="BH336" s="1">
        <v>129.51</v>
      </c>
      <c r="BI336" s="1">
        <v>130.36000000000001</v>
      </c>
      <c r="BJ336" s="1">
        <v>135.83000000000001</v>
      </c>
      <c r="BK336" s="1">
        <v>121.03</v>
      </c>
      <c r="BL336" s="1">
        <v>122.96</v>
      </c>
      <c r="BN336" s="1">
        <v>122</v>
      </c>
    </row>
    <row r="337" spans="1:66" x14ac:dyDescent="0.3">
      <c r="A337" s="2"/>
      <c r="C337" s="14" t="str">
        <f t="shared" si="6"/>
        <v>202411</v>
      </c>
      <c r="D337" s="3">
        <v>45617</v>
      </c>
      <c r="E337" s="21">
        <v>2027.41</v>
      </c>
      <c r="F337" s="21">
        <v>1979.96</v>
      </c>
      <c r="G337" s="21">
        <v>1975.01</v>
      </c>
      <c r="H337" s="21">
        <v>2123.7800000000002</v>
      </c>
      <c r="I337" s="21">
        <v>2073.63</v>
      </c>
      <c r="J337" s="21">
        <v>1986.88</v>
      </c>
      <c r="K337" s="21">
        <v>1942.34</v>
      </c>
      <c r="L337" s="21">
        <v>1808.37</v>
      </c>
      <c r="M337" s="21">
        <v>1886.08</v>
      </c>
      <c r="N337" s="21">
        <v>1825.06</v>
      </c>
      <c r="O337" s="21">
        <v>1877.26</v>
      </c>
      <c r="P337" s="21">
        <v>1974.56</v>
      </c>
      <c r="Q337" s="21">
        <v>7517.48</v>
      </c>
      <c r="R337" s="20">
        <v>117.71</v>
      </c>
      <c r="S337" s="20">
        <v>126.38</v>
      </c>
      <c r="T337" s="21">
        <v>130.1</v>
      </c>
      <c r="V337" s="1">
        <v>127.72</v>
      </c>
      <c r="W337" s="1">
        <v>128.31</v>
      </c>
      <c r="X337" s="1">
        <v>127.39</v>
      </c>
      <c r="Y337" s="1">
        <v>130.43</v>
      </c>
      <c r="Z337" s="1">
        <v>131.81</v>
      </c>
      <c r="AA337" s="1">
        <v>122.15</v>
      </c>
      <c r="AB337" s="1">
        <v>125.57</v>
      </c>
      <c r="AC337" s="1">
        <v>126.91</v>
      </c>
      <c r="AE337" s="1">
        <v>133.11000000000001</v>
      </c>
      <c r="AF337" s="1">
        <v>140.09</v>
      </c>
      <c r="AG337" s="1">
        <v>136.71</v>
      </c>
      <c r="AP337" s="1">
        <v>4290</v>
      </c>
      <c r="AQ337" s="1">
        <v>4476.76</v>
      </c>
      <c r="AR337" s="1">
        <v>3934.51</v>
      </c>
      <c r="AT337" s="1">
        <v>3595.49</v>
      </c>
      <c r="AU337" s="1">
        <v>4060.61</v>
      </c>
      <c r="AW337" s="1">
        <v>3871.96</v>
      </c>
      <c r="AX337" s="1">
        <v>131.04</v>
      </c>
      <c r="AY337" s="1">
        <v>4122.83</v>
      </c>
      <c r="AZ337" s="1">
        <v>4354.8599999999997</v>
      </c>
      <c r="BA337" s="1">
        <v>136.4</v>
      </c>
      <c r="BB337" s="1">
        <v>139.19</v>
      </c>
      <c r="BC337" s="1">
        <v>137.99</v>
      </c>
      <c r="BD337" s="1">
        <v>139.75</v>
      </c>
      <c r="BE337" s="1">
        <v>136.91999999999999</v>
      </c>
      <c r="BF337" s="1">
        <v>132.75</v>
      </c>
      <c r="BG337" s="1">
        <v>133.49</v>
      </c>
      <c r="BH337" s="1">
        <v>128.51</v>
      </c>
      <c r="BI337" s="1">
        <v>130.36000000000001</v>
      </c>
      <c r="BJ337" s="1">
        <v>135.81</v>
      </c>
      <c r="BK337" s="1">
        <v>121.03</v>
      </c>
      <c r="BL337" s="1">
        <v>124.18</v>
      </c>
      <c r="BN337" s="1">
        <v>122.25</v>
      </c>
    </row>
    <row r="338" spans="1:66" x14ac:dyDescent="0.3">
      <c r="A338" s="2"/>
      <c r="C338" s="14" t="str">
        <f t="shared" si="6"/>
        <v>202411</v>
      </c>
      <c r="D338" s="3">
        <v>45615</v>
      </c>
      <c r="E338" s="21">
        <v>2067.8000000000002</v>
      </c>
      <c r="F338" s="21">
        <v>1981.61</v>
      </c>
      <c r="G338" s="21">
        <v>1975.01</v>
      </c>
      <c r="H338" s="21">
        <v>2120.9499999999998</v>
      </c>
      <c r="I338" s="21">
        <v>2116.25</v>
      </c>
      <c r="J338" s="21">
        <v>2040.43</v>
      </c>
      <c r="K338" s="21">
        <v>1909.1</v>
      </c>
      <c r="L338" s="21">
        <v>1841.16</v>
      </c>
      <c r="M338" s="21">
        <v>1888.58</v>
      </c>
      <c r="N338" s="21">
        <v>1834.14</v>
      </c>
      <c r="O338" s="21">
        <v>1955.58</v>
      </c>
      <c r="P338" s="21">
        <v>1979.55</v>
      </c>
      <c r="Q338" s="21">
        <v>7529.87</v>
      </c>
      <c r="R338" s="20">
        <v>117.71</v>
      </c>
      <c r="S338" s="20">
        <v>129.04</v>
      </c>
      <c r="T338" s="21">
        <v>130.97999999999999</v>
      </c>
      <c r="V338" s="1">
        <v>128.72</v>
      </c>
      <c r="W338" s="1">
        <v>131.06</v>
      </c>
      <c r="X338" s="1">
        <v>127.72</v>
      </c>
      <c r="Y338" s="1">
        <v>131.93</v>
      </c>
      <c r="Z338" s="1">
        <v>132.21</v>
      </c>
      <c r="AA338" s="1">
        <v>122.73</v>
      </c>
      <c r="AB338" s="1">
        <v>125.84</v>
      </c>
      <c r="AC338" s="1">
        <v>127.91</v>
      </c>
      <c r="AE338" s="1">
        <v>133.61000000000001</v>
      </c>
      <c r="AF338" s="1">
        <v>142.07</v>
      </c>
      <c r="AG338" s="1">
        <v>138.1</v>
      </c>
      <c r="AP338" s="1">
        <v>4290</v>
      </c>
      <c r="AQ338" s="1">
        <v>4358.22</v>
      </c>
      <c r="AR338" s="1">
        <v>3934.51</v>
      </c>
      <c r="AU338" s="1">
        <v>4060.61</v>
      </c>
      <c r="AW338" s="1">
        <v>3816.22</v>
      </c>
      <c r="AX338" s="1">
        <v>131.34</v>
      </c>
      <c r="AY338" s="1">
        <v>4122.83</v>
      </c>
      <c r="AZ338" s="1">
        <v>4237.16</v>
      </c>
      <c r="BA338" s="1">
        <v>137.9</v>
      </c>
      <c r="BB338" s="1">
        <v>139.44</v>
      </c>
      <c r="BC338" s="1">
        <v>137.19</v>
      </c>
      <c r="BD338" s="1">
        <v>139.82</v>
      </c>
      <c r="BE338" s="1">
        <v>139.51</v>
      </c>
      <c r="BF338" s="1">
        <v>134.79</v>
      </c>
      <c r="BG338" s="1">
        <v>134.41</v>
      </c>
      <c r="BH338" s="1">
        <v>129.11000000000001</v>
      </c>
      <c r="BI338" s="1">
        <v>130.36000000000001</v>
      </c>
      <c r="BJ338" s="1">
        <v>135.78</v>
      </c>
      <c r="BK338" s="1">
        <v>122.02</v>
      </c>
      <c r="BL338" s="1">
        <v>125.55</v>
      </c>
      <c r="BN338" s="1">
        <v>123.74</v>
      </c>
    </row>
    <row r="339" spans="1:66" x14ac:dyDescent="0.3">
      <c r="A339" s="2"/>
      <c r="C339" s="14" t="str">
        <f t="shared" si="6"/>
        <v>202411</v>
      </c>
      <c r="D339" s="3">
        <v>45614</v>
      </c>
      <c r="E339" s="21">
        <v>2028.02</v>
      </c>
      <c r="F339" s="21">
        <v>1981.61</v>
      </c>
      <c r="G339" s="21">
        <v>1999.79</v>
      </c>
      <c r="H339" s="21">
        <v>2119.54</v>
      </c>
      <c r="I339" s="21">
        <v>2101.39</v>
      </c>
      <c r="J339" s="21">
        <v>2049</v>
      </c>
      <c r="K339" s="21">
        <v>1942.34</v>
      </c>
      <c r="L339" s="21">
        <v>1923.93</v>
      </c>
      <c r="M339" s="21">
        <v>1901.44</v>
      </c>
      <c r="N339" s="21">
        <v>1886.38</v>
      </c>
      <c r="O339" s="21">
        <v>2000.73</v>
      </c>
      <c r="P339" s="21">
        <v>1979.55</v>
      </c>
      <c r="Q339" s="21">
        <v>7654.87</v>
      </c>
      <c r="R339" s="20">
        <v>117.21</v>
      </c>
      <c r="S339" s="20">
        <v>129.04</v>
      </c>
      <c r="T339" s="21">
        <v>130.97</v>
      </c>
      <c r="V339" s="1">
        <v>128.69</v>
      </c>
      <c r="W339" s="1">
        <v>131.06</v>
      </c>
      <c r="X339" s="1">
        <v>127.61</v>
      </c>
      <c r="Y339" s="1">
        <v>131.84</v>
      </c>
      <c r="Z339" s="1">
        <v>132.41</v>
      </c>
      <c r="AA339" s="1">
        <v>122.19</v>
      </c>
      <c r="AB339" s="1">
        <v>126.28</v>
      </c>
      <c r="AC339" s="1">
        <v>127.91</v>
      </c>
      <c r="AE339" s="1">
        <v>133.36000000000001</v>
      </c>
      <c r="AF339" s="1">
        <v>142.07</v>
      </c>
      <c r="AG339" s="1">
        <v>138.1</v>
      </c>
      <c r="AP339" s="1">
        <v>4290</v>
      </c>
      <c r="AQ339" s="1">
        <v>4297.6899999999996</v>
      </c>
      <c r="AR339" s="1">
        <v>3871.81</v>
      </c>
      <c r="AS339" s="1">
        <v>4035.39</v>
      </c>
      <c r="AT339" s="1">
        <v>3821.01</v>
      </c>
      <c r="AU339" s="1">
        <v>4060.61</v>
      </c>
      <c r="AW339" s="1">
        <v>3816.22</v>
      </c>
      <c r="AX339" s="1">
        <v>131.32</v>
      </c>
      <c r="AY339" s="1">
        <v>4122.83</v>
      </c>
      <c r="BA339" s="1">
        <v>136.38999999999999</v>
      </c>
      <c r="BB339" s="1">
        <v>139.19999999999999</v>
      </c>
      <c r="BC339" s="1">
        <v>137.47</v>
      </c>
      <c r="BD339" s="1">
        <v>140.30000000000001</v>
      </c>
      <c r="BE339" s="1">
        <v>138.02000000000001</v>
      </c>
      <c r="BF339" s="1">
        <v>135.79</v>
      </c>
      <c r="BG339" s="1">
        <v>134.32</v>
      </c>
      <c r="BH339" s="1">
        <v>132.13</v>
      </c>
      <c r="BI339" s="1">
        <v>130.36000000000001</v>
      </c>
      <c r="BJ339" s="1">
        <v>135.76</v>
      </c>
      <c r="BK339" s="1">
        <v>122.02</v>
      </c>
      <c r="BL339" s="1">
        <v>125.55</v>
      </c>
      <c r="BN339" s="1">
        <v>123.74</v>
      </c>
    </row>
    <row r="340" spans="1:66" x14ac:dyDescent="0.3">
      <c r="A340" s="2"/>
      <c r="C340" s="14" t="str">
        <f t="shared" si="6"/>
        <v>202411</v>
      </c>
      <c r="D340" s="3">
        <v>45610</v>
      </c>
      <c r="E340" s="21">
        <v>2040.45</v>
      </c>
      <c r="F340" s="21">
        <v>2027.87</v>
      </c>
      <c r="G340" s="21">
        <v>2007.22</v>
      </c>
      <c r="H340" s="21">
        <v>2128.7600000000002</v>
      </c>
      <c r="I340" s="21">
        <v>2101.39</v>
      </c>
      <c r="J340" s="21">
        <v>2055.6</v>
      </c>
      <c r="K340" s="21">
        <v>1942.34</v>
      </c>
      <c r="L340" s="21">
        <v>2027.4</v>
      </c>
      <c r="M340" s="21">
        <v>1913.22</v>
      </c>
      <c r="N340" s="21">
        <v>1853.45</v>
      </c>
      <c r="O340" s="21">
        <v>2008.23</v>
      </c>
      <c r="P340" s="21">
        <v>1986.2</v>
      </c>
      <c r="Q340" s="21">
        <v>7684.72</v>
      </c>
      <c r="R340" s="20">
        <v>118.7</v>
      </c>
      <c r="S340" s="20">
        <v>130.69999999999999</v>
      </c>
      <c r="T340" s="21">
        <v>131.44999999999999</v>
      </c>
      <c r="V340" s="1">
        <v>128.16999999999999</v>
      </c>
      <c r="W340" s="1">
        <v>131.56</v>
      </c>
      <c r="X340" s="1">
        <v>128.16999999999999</v>
      </c>
      <c r="Y340" s="1">
        <v>132.63</v>
      </c>
      <c r="Z340" s="1">
        <v>132.58000000000001</v>
      </c>
      <c r="AA340" s="1">
        <v>123.19</v>
      </c>
      <c r="AB340" s="1">
        <v>126.32</v>
      </c>
      <c r="AE340" s="1">
        <v>134.6</v>
      </c>
      <c r="AF340" s="1">
        <v>141.56</v>
      </c>
      <c r="AG340" s="1">
        <v>139.97999999999999</v>
      </c>
      <c r="AQ340" s="1">
        <v>4267.43</v>
      </c>
      <c r="AR340" s="1">
        <v>3871.81</v>
      </c>
      <c r="AS340" s="1">
        <v>4035.39</v>
      </c>
      <c r="AT340" s="1">
        <v>3909.29</v>
      </c>
      <c r="AW340" s="1">
        <v>3881.54</v>
      </c>
      <c r="AX340" s="1">
        <v>130.18</v>
      </c>
      <c r="AZ340" s="1">
        <v>4358.22</v>
      </c>
      <c r="BA340" s="1">
        <v>140.47999999999999</v>
      </c>
      <c r="BB340" s="1">
        <v>139.72999999999999</v>
      </c>
      <c r="BC340" s="1">
        <v>138.35</v>
      </c>
      <c r="BD340" s="1">
        <v>140.54</v>
      </c>
      <c r="BE340" s="1">
        <v>138.69</v>
      </c>
      <c r="BF340" s="1">
        <v>136.25</v>
      </c>
      <c r="BG340" s="1">
        <v>134.28</v>
      </c>
      <c r="BH340" s="1">
        <v>131.96</v>
      </c>
      <c r="BI340" s="1">
        <v>130.36000000000001</v>
      </c>
      <c r="BJ340" s="1">
        <v>136.29</v>
      </c>
      <c r="BK340" s="1">
        <v>123.36</v>
      </c>
      <c r="BL340" s="1">
        <v>126.75</v>
      </c>
      <c r="BN340" s="1">
        <v>124.48</v>
      </c>
    </row>
    <row r="341" spans="1:66" x14ac:dyDescent="0.3">
      <c r="A341" s="2"/>
      <c r="C341" s="14" t="str">
        <f t="shared" si="6"/>
        <v>202411</v>
      </c>
      <c r="D341" s="3">
        <v>45609</v>
      </c>
      <c r="E341" s="21"/>
      <c r="F341" s="21">
        <v>2032</v>
      </c>
      <c r="G341" s="21"/>
      <c r="H341" s="21">
        <v>2139.9299999999998</v>
      </c>
      <c r="I341" s="21">
        <v>2101.39</v>
      </c>
      <c r="J341" s="21">
        <v>2054.58</v>
      </c>
      <c r="K341" s="21">
        <v>1917.89</v>
      </c>
      <c r="L341" s="21">
        <v>2031.4</v>
      </c>
      <c r="M341" s="21">
        <v>1913.48</v>
      </c>
      <c r="N341" s="21">
        <v>1853.45</v>
      </c>
      <c r="O341" s="21">
        <v>2008.23</v>
      </c>
      <c r="P341" s="21">
        <v>1989.16</v>
      </c>
      <c r="Q341" s="21">
        <v>7684.72</v>
      </c>
      <c r="R341" s="20">
        <v>119.2</v>
      </c>
      <c r="S341" s="20">
        <v>130.69999999999999</v>
      </c>
      <c r="T341" s="21">
        <v>131.15</v>
      </c>
      <c r="V341" s="1">
        <v>127.82</v>
      </c>
      <c r="W341" s="1">
        <v>132.81</v>
      </c>
      <c r="X341" s="1">
        <v>128.28</v>
      </c>
      <c r="Y341" s="1">
        <v>132.77000000000001</v>
      </c>
      <c r="Z341" s="1">
        <v>133.33000000000001</v>
      </c>
      <c r="AA341" s="1">
        <v>123.19</v>
      </c>
      <c r="AB341" s="1">
        <v>126.32</v>
      </c>
      <c r="AE341" s="1">
        <v>134.6</v>
      </c>
      <c r="AF341" s="1">
        <v>142.07</v>
      </c>
      <c r="AG341" s="1">
        <v>141.21</v>
      </c>
      <c r="AQ341" s="1">
        <v>4267.43</v>
      </c>
      <c r="AR341" s="1">
        <v>3871.81</v>
      </c>
      <c r="AS341" s="1">
        <v>4035.39</v>
      </c>
      <c r="AT341" s="1">
        <v>3909.29</v>
      </c>
      <c r="AW341" s="1">
        <v>3881.54</v>
      </c>
      <c r="AX341" s="1">
        <v>130.18</v>
      </c>
      <c r="AY341" s="1">
        <v>4017.74</v>
      </c>
      <c r="AZ341" s="1">
        <v>4358.22</v>
      </c>
      <c r="BA341" s="1">
        <v>147.36000000000001</v>
      </c>
      <c r="BB341" s="1">
        <v>140.54</v>
      </c>
      <c r="BC341" s="1">
        <v>138.69</v>
      </c>
      <c r="BD341" s="1">
        <v>140.41999999999999</v>
      </c>
      <c r="BE341" s="1">
        <v>139.91999999999999</v>
      </c>
      <c r="BF341" s="1">
        <v>137.75</v>
      </c>
      <c r="BG341" s="1">
        <v>134.19</v>
      </c>
      <c r="BH341" s="1">
        <v>131.96</v>
      </c>
      <c r="BI341" s="1">
        <v>130.49</v>
      </c>
      <c r="BJ341" s="1">
        <v>136.24</v>
      </c>
      <c r="BK341" s="1">
        <v>127.26</v>
      </c>
      <c r="BL341" s="1">
        <v>126.95</v>
      </c>
      <c r="BN341" s="1">
        <v>124.98</v>
      </c>
    </row>
    <row r="342" spans="1:66" x14ac:dyDescent="0.3">
      <c r="A342" s="2"/>
      <c r="C342" s="14" t="str">
        <f t="shared" si="6"/>
        <v>202411</v>
      </c>
      <c r="D342" s="3">
        <v>45608</v>
      </c>
      <c r="E342" s="21"/>
      <c r="F342" s="21">
        <v>2012.18</v>
      </c>
      <c r="G342" s="21"/>
      <c r="H342" s="21">
        <v>2164.9499999999998</v>
      </c>
      <c r="I342" s="21">
        <v>2103.37</v>
      </c>
      <c r="J342" s="21">
        <v>2085.2399999999998</v>
      </c>
      <c r="K342" s="21">
        <v>1942.34</v>
      </c>
      <c r="L342" s="21">
        <v>1999.75</v>
      </c>
      <c r="M342" s="21">
        <v>1913.48</v>
      </c>
      <c r="N342" s="21">
        <v>1920.73</v>
      </c>
      <c r="O342" s="21">
        <v>1987.81</v>
      </c>
      <c r="P342" s="21">
        <v>1986.2</v>
      </c>
      <c r="Q342" s="21">
        <v>7413.32</v>
      </c>
      <c r="R342" s="20">
        <v>119.2</v>
      </c>
      <c r="S342" s="20">
        <v>130.69999999999999</v>
      </c>
      <c r="T342" s="21">
        <v>133.63999999999999</v>
      </c>
      <c r="V342" s="1">
        <v>126.93</v>
      </c>
      <c r="W342" s="1">
        <v>133.56</v>
      </c>
      <c r="X342" s="1">
        <v>128.72</v>
      </c>
      <c r="Y342" s="1">
        <v>133.6</v>
      </c>
      <c r="Z342" s="1">
        <v>134.19999999999999</v>
      </c>
      <c r="AA342" s="1">
        <v>125.82</v>
      </c>
      <c r="AB342" s="1">
        <v>126.94</v>
      </c>
      <c r="AC342" s="1">
        <v>128.34</v>
      </c>
      <c r="AE342" s="1">
        <v>134.6</v>
      </c>
      <c r="AF342" s="1">
        <v>141.56</v>
      </c>
      <c r="AG342" s="1">
        <v>139.49</v>
      </c>
      <c r="AQ342" s="1">
        <v>4267.43</v>
      </c>
      <c r="AR342" s="1">
        <v>3871.81</v>
      </c>
      <c r="AS342" s="1">
        <v>4035.39</v>
      </c>
      <c r="AT342" s="1">
        <v>3909.29</v>
      </c>
      <c r="AX342" s="1">
        <v>128.09</v>
      </c>
      <c r="AY342" s="1">
        <v>4017.74</v>
      </c>
      <c r="BA342" s="1">
        <v>147.36000000000001</v>
      </c>
      <c r="BB342" s="1">
        <v>141.22999999999999</v>
      </c>
      <c r="BC342" s="1">
        <v>139.96</v>
      </c>
      <c r="BD342" s="1">
        <v>141.07</v>
      </c>
      <c r="BE342" s="1">
        <v>140.11000000000001</v>
      </c>
      <c r="BF342" s="1">
        <v>137.75</v>
      </c>
      <c r="BG342" s="1">
        <v>135.9</v>
      </c>
      <c r="BH342" s="1">
        <v>131.96</v>
      </c>
      <c r="BI342" s="1">
        <v>130.86000000000001</v>
      </c>
      <c r="BJ342" s="1">
        <v>136.66</v>
      </c>
      <c r="BK342" s="1">
        <v>132.05000000000001</v>
      </c>
      <c r="BL342" s="1">
        <v>127.15</v>
      </c>
      <c r="BN342" s="1">
        <v>125.98</v>
      </c>
    </row>
    <row r="343" spans="1:66" x14ac:dyDescent="0.3">
      <c r="A343" s="2"/>
      <c r="C343" s="14" t="str">
        <f t="shared" si="6"/>
        <v>202411</v>
      </c>
      <c r="D343" s="3">
        <v>45607</v>
      </c>
      <c r="E343" s="21"/>
      <c r="F343" s="21">
        <v>2032</v>
      </c>
      <c r="G343" s="21"/>
      <c r="H343" s="21">
        <v>2126.31</v>
      </c>
      <c r="I343" s="21">
        <v>2101.39</v>
      </c>
      <c r="J343" s="21">
        <v>2082.13</v>
      </c>
      <c r="K343" s="21">
        <v>1942.34</v>
      </c>
      <c r="L343" s="21">
        <v>1990.71</v>
      </c>
      <c r="M343" s="21">
        <v>1904.4</v>
      </c>
      <c r="N343" s="21">
        <v>1894.86</v>
      </c>
      <c r="O343" s="21">
        <v>1967.88</v>
      </c>
      <c r="P343" s="21">
        <v>1986.2</v>
      </c>
      <c r="Q343" s="21">
        <v>7451.01</v>
      </c>
      <c r="R343" s="20">
        <v>119.7</v>
      </c>
      <c r="S343" s="20">
        <v>132.88999999999999</v>
      </c>
      <c r="T343" s="21">
        <v>133.63</v>
      </c>
      <c r="V343" s="1">
        <v>127.04</v>
      </c>
      <c r="W343" s="1">
        <v>132.81</v>
      </c>
      <c r="X343" s="1">
        <v>128.72</v>
      </c>
      <c r="Y343" s="1">
        <v>134.78</v>
      </c>
      <c r="Z343" s="1">
        <v>135.19999999999999</v>
      </c>
      <c r="AA343" s="1">
        <v>124.39</v>
      </c>
      <c r="AB343" s="1">
        <v>126.94</v>
      </c>
      <c r="AC343" s="1">
        <v>126.3</v>
      </c>
      <c r="AE343" s="1">
        <v>134.6</v>
      </c>
      <c r="AF343" s="1">
        <v>141.44999999999999</v>
      </c>
      <c r="AG343" s="1">
        <v>143.66999999999999</v>
      </c>
      <c r="AS343" s="1">
        <v>3991.68</v>
      </c>
      <c r="AU343" s="1">
        <v>4042.96</v>
      </c>
      <c r="AX343" s="1">
        <v>129.6</v>
      </c>
      <c r="AY343" s="1">
        <v>4017.74</v>
      </c>
      <c r="BA343" s="1">
        <v>146.58000000000001</v>
      </c>
      <c r="BB343" s="1">
        <v>140.65</v>
      </c>
      <c r="BC343" s="1">
        <v>141.27000000000001</v>
      </c>
      <c r="BD343" s="1">
        <v>140.61000000000001</v>
      </c>
      <c r="BE343" s="1">
        <v>139.99</v>
      </c>
      <c r="BF343" s="1">
        <v>139.24</v>
      </c>
      <c r="BG343" s="1">
        <v>134.75</v>
      </c>
      <c r="BH343" s="1">
        <v>130.07</v>
      </c>
      <c r="BI343" s="1">
        <v>130.86000000000001</v>
      </c>
      <c r="BJ343" s="1">
        <v>136.63999999999999</v>
      </c>
      <c r="BK343" s="1">
        <v>128.51</v>
      </c>
      <c r="BL343" s="1">
        <v>130.96</v>
      </c>
      <c r="BN343" s="1">
        <v>128.66</v>
      </c>
    </row>
    <row r="344" spans="1:66" x14ac:dyDescent="0.3">
      <c r="A344" s="2"/>
      <c r="C344" s="14" t="str">
        <f t="shared" si="6"/>
        <v>202411</v>
      </c>
      <c r="D344" s="3">
        <v>45604</v>
      </c>
      <c r="E344" s="21"/>
      <c r="F344" s="21">
        <v>2046.87</v>
      </c>
      <c r="G344" s="21"/>
      <c r="H344" s="21">
        <v>2092.7600000000002</v>
      </c>
      <c r="I344" s="21">
        <v>2101.39</v>
      </c>
      <c r="J344" s="21">
        <v>2082.13</v>
      </c>
      <c r="K344" s="21">
        <v>1942.34</v>
      </c>
      <c r="L344" s="21">
        <v>2061.42</v>
      </c>
      <c r="M344" s="21">
        <v>1903.21</v>
      </c>
      <c r="N344" s="21">
        <v>1890.83</v>
      </c>
      <c r="O344" s="21">
        <v>1970.38</v>
      </c>
      <c r="P344" s="21">
        <v>1986.2</v>
      </c>
      <c r="Q344" s="21">
        <v>7371.3</v>
      </c>
      <c r="R344" s="20">
        <v>119.2</v>
      </c>
      <c r="S344" s="20">
        <v>129.69999999999999</v>
      </c>
      <c r="T344" s="21">
        <v>133.11000000000001</v>
      </c>
      <c r="V344" s="1">
        <v>127.04</v>
      </c>
      <c r="W344" s="1">
        <v>132.31</v>
      </c>
      <c r="X344" s="1">
        <v>128.72</v>
      </c>
      <c r="Y344" s="1">
        <v>133.01</v>
      </c>
      <c r="Z344" s="1">
        <v>134.19999999999999</v>
      </c>
      <c r="AA344" s="1">
        <v>125.82</v>
      </c>
      <c r="AB344" s="1">
        <v>127.06</v>
      </c>
      <c r="AC344" s="1">
        <v>126.18</v>
      </c>
      <c r="AE344" s="1">
        <v>134.6</v>
      </c>
      <c r="AF344" s="1">
        <v>141.44999999999999</v>
      </c>
      <c r="AG344" s="1">
        <v>139.9</v>
      </c>
      <c r="AP344" s="1">
        <v>3900</v>
      </c>
      <c r="AS344" s="1">
        <v>3991.68</v>
      </c>
      <c r="AU344" s="1">
        <v>4056.2</v>
      </c>
      <c r="AV344" s="1">
        <v>30</v>
      </c>
      <c r="AW344" s="1">
        <v>3371.17</v>
      </c>
      <c r="AX344" s="1">
        <v>129.6</v>
      </c>
      <c r="AY344" s="1">
        <v>4038.27</v>
      </c>
      <c r="AZ344" s="1">
        <v>3662.12</v>
      </c>
      <c r="BA344" s="1">
        <v>146.58000000000001</v>
      </c>
      <c r="BB344" s="1">
        <v>139.84</v>
      </c>
      <c r="BC344" s="1">
        <v>140.75</v>
      </c>
      <c r="BD344" s="1">
        <v>140.61000000000001</v>
      </c>
      <c r="BE344" s="1">
        <v>138.35</v>
      </c>
      <c r="BF344" s="1">
        <v>137.25</v>
      </c>
      <c r="BG344" s="1">
        <v>134.18</v>
      </c>
      <c r="BH344" s="1">
        <v>131.07</v>
      </c>
      <c r="BI344" s="1">
        <v>130.49</v>
      </c>
      <c r="BJ344" s="1">
        <v>136.57</v>
      </c>
      <c r="BK344" s="1">
        <v>130.38999999999999</v>
      </c>
      <c r="BL344" s="1">
        <v>129.47</v>
      </c>
      <c r="BN344" s="1">
        <v>127.34</v>
      </c>
    </row>
    <row r="345" spans="1:66" x14ac:dyDescent="0.3">
      <c r="A345" s="2"/>
      <c r="C345" s="14" t="str">
        <f t="shared" si="6"/>
        <v>202411</v>
      </c>
      <c r="D345" s="3">
        <v>45603</v>
      </c>
      <c r="E345" s="21">
        <v>2137.6999999999998</v>
      </c>
      <c r="F345" s="21">
        <v>2063.5300000000002</v>
      </c>
      <c r="G345" s="21">
        <v>2037.2</v>
      </c>
      <c r="H345" s="21">
        <v>2095.89</v>
      </c>
      <c r="I345" s="21">
        <v>2102.21</v>
      </c>
      <c r="J345" s="21">
        <v>2082.65</v>
      </c>
      <c r="K345" s="21">
        <v>1942.67</v>
      </c>
      <c r="L345" s="21">
        <v>2070.21</v>
      </c>
      <c r="M345" s="21">
        <v>1932.22</v>
      </c>
      <c r="N345" s="21">
        <v>1891.56</v>
      </c>
      <c r="O345" s="21">
        <v>1970.99</v>
      </c>
      <c r="P345" s="21">
        <v>1986.45</v>
      </c>
      <c r="Q345" s="21">
        <v>7402.37</v>
      </c>
      <c r="R345" s="20">
        <v>118.22</v>
      </c>
      <c r="S345" s="20">
        <v>129.69999999999999</v>
      </c>
      <c r="T345" s="21">
        <v>132.58000000000001</v>
      </c>
      <c r="V345" s="1">
        <v>126.54</v>
      </c>
      <c r="W345" s="1">
        <v>130.76</v>
      </c>
      <c r="X345" s="1">
        <v>127.46</v>
      </c>
      <c r="Y345" s="1">
        <v>132.84</v>
      </c>
      <c r="Z345" s="1">
        <v>133.63999999999999</v>
      </c>
      <c r="AA345" s="1">
        <v>124.54</v>
      </c>
      <c r="AB345" s="1">
        <v>126.62</v>
      </c>
      <c r="AC345" s="1">
        <v>123.83</v>
      </c>
      <c r="AE345" s="1">
        <v>134.37</v>
      </c>
      <c r="AF345" s="1">
        <v>141.49</v>
      </c>
      <c r="AG345" s="1">
        <v>140.52000000000001</v>
      </c>
      <c r="AP345" s="1">
        <v>3900</v>
      </c>
      <c r="AS345" s="1">
        <v>3990.18</v>
      </c>
      <c r="AU345" s="1">
        <v>4054.68</v>
      </c>
      <c r="AV345" s="1">
        <v>30</v>
      </c>
      <c r="AW345" s="1">
        <v>3370.13</v>
      </c>
      <c r="AX345" s="1">
        <v>132.71</v>
      </c>
      <c r="AY345" s="1">
        <v>4036.76</v>
      </c>
      <c r="AZ345" s="1">
        <v>3660.74</v>
      </c>
      <c r="BA345" s="1">
        <v>146.24</v>
      </c>
      <c r="BB345" s="1">
        <v>139.63</v>
      </c>
      <c r="BC345" s="1">
        <v>139.85</v>
      </c>
      <c r="BD345" s="1">
        <v>142.72999999999999</v>
      </c>
      <c r="BE345" s="1">
        <v>138.87</v>
      </c>
      <c r="BF345" s="1">
        <v>136.76</v>
      </c>
      <c r="BG345" s="1">
        <v>133.07</v>
      </c>
      <c r="BH345" s="1">
        <v>127.43</v>
      </c>
      <c r="BI345" s="1">
        <v>129.75</v>
      </c>
      <c r="BJ345" s="1">
        <v>136.63999999999999</v>
      </c>
      <c r="BK345" s="1">
        <v>130.38999999999999</v>
      </c>
      <c r="BL345" s="1">
        <v>129.47999999999999</v>
      </c>
      <c r="BN345" s="1">
        <v>127.38</v>
      </c>
    </row>
    <row r="346" spans="1:66" x14ac:dyDescent="0.3">
      <c r="A346" s="2"/>
      <c r="C346" s="14" t="str">
        <f t="shared" si="6"/>
        <v>202411</v>
      </c>
      <c r="D346" s="3">
        <v>45602</v>
      </c>
      <c r="E346" s="21">
        <v>2145.35</v>
      </c>
      <c r="F346" s="21">
        <v>2063.5300000000002</v>
      </c>
      <c r="G346" s="21">
        <v>2046.02</v>
      </c>
      <c r="H346" s="21">
        <v>2100.85</v>
      </c>
      <c r="I346" s="21">
        <v>2102.21</v>
      </c>
      <c r="J346" s="21">
        <v>2082.65</v>
      </c>
      <c r="K346" s="21">
        <v>1942.67</v>
      </c>
      <c r="L346" s="21">
        <v>2065.25</v>
      </c>
      <c r="M346" s="21">
        <v>1932.22</v>
      </c>
      <c r="N346" s="21">
        <v>1894.4</v>
      </c>
      <c r="O346" s="21">
        <v>1990.46</v>
      </c>
      <c r="P346" s="21">
        <v>1991.44</v>
      </c>
      <c r="Q346" s="21">
        <v>7382.54</v>
      </c>
      <c r="R346" s="20">
        <v>118.22</v>
      </c>
      <c r="S346" s="20">
        <v>129.69999999999999</v>
      </c>
      <c r="T346" s="21">
        <v>132.41999999999999</v>
      </c>
      <c r="V346" s="1">
        <v>126.54</v>
      </c>
      <c r="W346" s="1">
        <v>131.82</v>
      </c>
      <c r="X346" s="1">
        <v>127.46</v>
      </c>
      <c r="Y346" s="1">
        <v>132.84</v>
      </c>
      <c r="Z346" s="1">
        <v>133.51</v>
      </c>
      <c r="AA346" s="1">
        <v>124.54</v>
      </c>
      <c r="AB346" s="1">
        <v>126.62</v>
      </c>
      <c r="AE346" s="1">
        <v>134.62</v>
      </c>
      <c r="AF346" s="1">
        <v>141.80000000000001</v>
      </c>
      <c r="AG346" s="1">
        <v>140.27000000000001</v>
      </c>
      <c r="AP346" s="1">
        <v>3900</v>
      </c>
      <c r="AS346" s="1">
        <v>3990.18</v>
      </c>
      <c r="AU346" s="1">
        <v>4054.68</v>
      </c>
      <c r="AV346" s="1">
        <v>30</v>
      </c>
      <c r="AW346" s="1">
        <v>3370.13</v>
      </c>
      <c r="AX346" s="1">
        <v>132.71</v>
      </c>
      <c r="AY346" s="1">
        <v>4064.13</v>
      </c>
      <c r="BA346" s="1">
        <v>146.34</v>
      </c>
      <c r="BB346" s="1">
        <v>139.1</v>
      </c>
      <c r="BC346" s="1">
        <v>140.46</v>
      </c>
      <c r="BD346" s="1">
        <v>141.87</v>
      </c>
      <c r="BE346" s="1">
        <v>138.86000000000001</v>
      </c>
      <c r="BF346" s="1">
        <v>139.80000000000001</v>
      </c>
      <c r="BG346" s="1">
        <v>132.63999999999999</v>
      </c>
      <c r="BH346" s="1">
        <v>129.09</v>
      </c>
      <c r="BI346" s="1">
        <v>130.12</v>
      </c>
      <c r="BJ346" s="1">
        <v>136.62</v>
      </c>
      <c r="BK346" s="1">
        <v>130.4</v>
      </c>
      <c r="BL346" s="1">
        <v>129.47999999999999</v>
      </c>
      <c r="BN346" s="1">
        <v>127.38</v>
      </c>
    </row>
    <row r="347" spans="1:66" x14ac:dyDescent="0.3">
      <c r="A347" s="2"/>
      <c r="C347" s="14" t="str">
        <f t="shared" si="6"/>
        <v>202411</v>
      </c>
      <c r="D347" s="3">
        <v>45601</v>
      </c>
      <c r="E347" s="21">
        <v>2158.36</v>
      </c>
      <c r="F347" s="21">
        <v>2054.83</v>
      </c>
      <c r="G347" s="21">
        <v>2072.46</v>
      </c>
      <c r="H347" s="21">
        <v>2155.85</v>
      </c>
      <c r="I347" s="21">
        <v>2126.0100000000002</v>
      </c>
      <c r="J347" s="21">
        <v>2091.5500000000002</v>
      </c>
      <c r="K347" s="21">
        <v>1975.87</v>
      </c>
      <c r="L347" s="21"/>
      <c r="M347" s="21">
        <v>1941.52</v>
      </c>
      <c r="N347" s="21">
        <v>1959.96</v>
      </c>
      <c r="O347" s="21">
        <v>2019.63</v>
      </c>
      <c r="P347" s="21">
        <v>2008.04</v>
      </c>
      <c r="Q347" s="21">
        <v>7139.47</v>
      </c>
      <c r="R347" s="20">
        <v>118.22</v>
      </c>
      <c r="S347" s="20">
        <v>133.93</v>
      </c>
      <c r="T347" s="21">
        <v>131.65</v>
      </c>
      <c r="V347" s="1">
        <v>125.93</v>
      </c>
      <c r="W347" s="1">
        <v>132.07</v>
      </c>
      <c r="X347" s="1">
        <v>127.21</v>
      </c>
      <c r="Y347" s="1">
        <v>133.46</v>
      </c>
      <c r="Z347" s="1">
        <v>133.71</v>
      </c>
      <c r="AA347" s="1">
        <v>120.93</v>
      </c>
      <c r="AB347" s="1">
        <v>126.45</v>
      </c>
      <c r="AC347" s="1">
        <v>126.57</v>
      </c>
      <c r="AE347" s="1">
        <v>134.12</v>
      </c>
      <c r="AF347" s="1">
        <v>138.86000000000001</v>
      </c>
      <c r="AG347" s="1">
        <v>139.76</v>
      </c>
      <c r="AP347" s="1">
        <v>3900</v>
      </c>
      <c r="AS347" s="1">
        <v>3990.18</v>
      </c>
      <c r="AT347" s="1">
        <v>3718.73</v>
      </c>
      <c r="AU347" s="1">
        <v>4054.68</v>
      </c>
      <c r="AW347" s="1">
        <v>3375.85</v>
      </c>
      <c r="AX347" s="1">
        <v>135.58000000000001</v>
      </c>
      <c r="AY347" s="1">
        <v>4064.13</v>
      </c>
      <c r="BA347" s="1">
        <v>147.04</v>
      </c>
      <c r="BB347" s="1">
        <v>139.71</v>
      </c>
      <c r="BC347" s="1">
        <v>139.86000000000001</v>
      </c>
      <c r="BD347" s="1">
        <v>143.15</v>
      </c>
      <c r="BE347" s="1">
        <v>139.13999999999999</v>
      </c>
      <c r="BF347" s="1">
        <v>139.80000000000001</v>
      </c>
      <c r="BG347" s="1">
        <v>134.94</v>
      </c>
      <c r="BH347" s="1">
        <v>129.79</v>
      </c>
      <c r="BI347" s="1">
        <v>130.12</v>
      </c>
      <c r="BJ347" s="1">
        <v>136.6</v>
      </c>
      <c r="BK347" s="1">
        <v>126.94</v>
      </c>
      <c r="BL347" s="1">
        <v>130.22999999999999</v>
      </c>
      <c r="BN347" s="1">
        <v>128.04</v>
      </c>
    </row>
    <row r="348" spans="1:66" x14ac:dyDescent="0.3">
      <c r="A348" s="2"/>
      <c r="C348" s="14" t="str">
        <f t="shared" si="6"/>
        <v>202411</v>
      </c>
      <c r="D348" s="3">
        <v>45600</v>
      </c>
      <c r="E348" s="21">
        <v>2197.39</v>
      </c>
      <c r="F348" s="21">
        <v>2111.16</v>
      </c>
      <c r="G348" s="21">
        <v>2151.79</v>
      </c>
      <c r="H348" s="21">
        <v>2155.85</v>
      </c>
      <c r="I348" s="21">
        <v>2126.0100000000002</v>
      </c>
      <c r="J348" s="21">
        <v>2098.69</v>
      </c>
      <c r="K348" s="21">
        <v>1975.87</v>
      </c>
      <c r="L348" s="21">
        <v>1938.57</v>
      </c>
      <c r="M348" s="21">
        <v>1931.62</v>
      </c>
      <c r="N348" s="21">
        <v>1916.72</v>
      </c>
      <c r="O348" s="21">
        <v>2019.63</v>
      </c>
      <c r="P348" s="21">
        <v>2008.04</v>
      </c>
      <c r="Q348" s="21">
        <v>7139.47</v>
      </c>
      <c r="R348" s="20">
        <v>119.22</v>
      </c>
      <c r="S348" s="20">
        <v>133.93</v>
      </c>
      <c r="T348" s="21">
        <v>131.63999999999999</v>
      </c>
      <c r="V348" s="1">
        <v>125.38</v>
      </c>
      <c r="W348" s="1">
        <v>132.32</v>
      </c>
      <c r="X348" s="1">
        <v>127.43</v>
      </c>
      <c r="Y348" s="1">
        <v>133.79</v>
      </c>
      <c r="Z348" s="1">
        <v>133.71</v>
      </c>
      <c r="AA348" s="1">
        <v>121.74</v>
      </c>
      <c r="AB348" s="1">
        <v>126.45</v>
      </c>
      <c r="AC348" s="1">
        <v>126.97</v>
      </c>
      <c r="AE348" s="1">
        <v>134.37</v>
      </c>
      <c r="AF348" s="1">
        <v>139.12</v>
      </c>
      <c r="AG348" s="1">
        <v>139.33000000000001</v>
      </c>
      <c r="AI348" s="1">
        <v>7</v>
      </c>
      <c r="AL348" s="1">
        <v>30</v>
      </c>
      <c r="AN348" s="1">
        <v>3849.83</v>
      </c>
      <c r="AP348" s="1">
        <v>3900</v>
      </c>
      <c r="AQ348" s="1">
        <v>3963.28</v>
      </c>
      <c r="AT348" s="1">
        <v>3718.73</v>
      </c>
      <c r="AW348" s="1">
        <v>3375.85</v>
      </c>
      <c r="AX348" s="1">
        <v>135.57</v>
      </c>
      <c r="AY348" s="1">
        <v>4064.13</v>
      </c>
      <c r="AZ348" s="1">
        <v>3840.3</v>
      </c>
      <c r="BA348" s="1">
        <v>147.28</v>
      </c>
      <c r="BB348" s="1">
        <v>140.22</v>
      </c>
      <c r="BC348" s="1">
        <v>140.16999999999999</v>
      </c>
      <c r="BD348" s="1">
        <v>141.12</v>
      </c>
      <c r="BE348" s="1">
        <v>138.79</v>
      </c>
      <c r="BF348" s="1">
        <v>139.13</v>
      </c>
      <c r="BG348" s="1">
        <v>134.94</v>
      </c>
      <c r="BH348" s="1">
        <v>129.79</v>
      </c>
      <c r="BI348" s="1">
        <v>130.18</v>
      </c>
      <c r="BJ348" s="1">
        <v>136.59</v>
      </c>
      <c r="BK348" s="1">
        <v>126.62</v>
      </c>
      <c r="BL348" s="1">
        <v>129.97999999999999</v>
      </c>
      <c r="BN348" s="1">
        <v>128.07</v>
      </c>
    </row>
    <row r="349" spans="1:66" x14ac:dyDescent="0.3">
      <c r="A349" s="2"/>
      <c r="C349" s="14" t="str">
        <f t="shared" si="6"/>
        <v>202411</v>
      </c>
      <c r="D349" s="3">
        <v>45597</v>
      </c>
      <c r="E349" s="21">
        <v>2191.75</v>
      </c>
      <c r="F349" s="21">
        <v>2138.5700000000002</v>
      </c>
      <c r="G349" s="21">
        <v>2151.79</v>
      </c>
      <c r="H349" s="21">
        <v>2187.23</v>
      </c>
      <c r="I349" s="21">
        <v>2126.0100000000002</v>
      </c>
      <c r="J349" s="21">
        <v>2098.69</v>
      </c>
      <c r="K349" s="21">
        <v>1975.87</v>
      </c>
      <c r="L349" s="21">
        <v>1963.34</v>
      </c>
      <c r="M349" s="21">
        <v>1931.62</v>
      </c>
      <c r="N349" s="21">
        <v>1913.42</v>
      </c>
      <c r="O349" s="21">
        <v>2035.16</v>
      </c>
      <c r="P349" s="21">
        <v>2008.04</v>
      </c>
      <c r="Q349" s="21">
        <v>7114.68</v>
      </c>
      <c r="R349" s="20">
        <v>119.07</v>
      </c>
      <c r="S349" s="20">
        <v>132.62</v>
      </c>
      <c r="T349" s="21">
        <v>132.56</v>
      </c>
      <c r="V349" s="1">
        <v>125.32</v>
      </c>
      <c r="W349" s="1">
        <v>132.32</v>
      </c>
      <c r="X349" s="1">
        <v>127.21</v>
      </c>
      <c r="Y349" s="1">
        <v>133.79</v>
      </c>
      <c r="Z349" s="1">
        <v>133.91</v>
      </c>
      <c r="AA349" s="1">
        <v>121.47</v>
      </c>
      <c r="AB349" s="1">
        <v>126.7</v>
      </c>
      <c r="AC349" s="1">
        <v>128.16</v>
      </c>
      <c r="AE349" s="1">
        <v>134.12</v>
      </c>
      <c r="AF349" s="1">
        <v>139.91</v>
      </c>
      <c r="AG349" s="1">
        <v>142.46</v>
      </c>
      <c r="AI349" s="1">
        <v>7</v>
      </c>
      <c r="AL349" s="1">
        <v>30</v>
      </c>
      <c r="AN349" s="1">
        <v>3849.83</v>
      </c>
      <c r="AP349" s="1">
        <v>3900</v>
      </c>
      <c r="AQ349" s="1">
        <v>3963.28</v>
      </c>
      <c r="AT349" s="1">
        <v>3620.68</v>
      </c>
      <c r="AU349" s="1">
        <v>3499.39</v>
      </c>
      <c r="AW349" s="1">
        <v>3302.74</v>
      </c>
      <c r="AX349" s="1">
        <v>138.88999999999999</v>
      </c>
      <c r="AZ349" s="1">
        <v>3960</v>
      </c>
      <c r="BA349" s="1">
        <v>146.88999999999999</v>
      </c>
      <c r="BB349" s="1">
        <v>139.51</v>
      </c>
      <c r="BC349" s="1">
        <v>139.77000000000001</v>
      </c>
      <c r="BD349" s="1">
        <v>142.07</v>
      </c>
      <c r="BE349" s="1">
        <v>139.99</v>
      </c>
      <c r="BF349" s="1">
        <v>141.32</v>
      </c>
      <c r="BG349" s="1">
        <v>134.41999999999999</v>
      </c>
      <c r="BH349" s="1">
        <v>131.78</v>
      </c>
      <c r="BI349" s="1">
        <v>129.75</v>
      </c>
      <c r="BJ349" s="1">
        <v>135.75</v>
      </c>
      <c r="BK349" s="1">
        <v>126.64</v>
      </c>
      <c r="BL349" s="1">
        <v>129.72999999999999</v>
      </c>
      <c r="BN349" s="1">
        <v>127.38</v>
      </c>
    </row>
    <row r="350" spans="1:66" x14ac:dyDescent="0.3">
      <c r="A350" s="2"/>
      <c r="C350" s="14" t="str">
        <f t="shared" si="6"/>
        <v>202410</v>
      </c>
      <c r="D350" s="3">
        <v>45596</v>
      </c>
      <c r="E350" s="21">
        <v>2208.2800000000002</v>
      </c>
      <c r="F350" s="21">
        <v>2098.6999999999998</v>
      </c>
      <c r="G350" s="21">
        <v>2150.0500000000002</v>
      </c>
      <c r="H350" s="21">
        <v>2252.52</v>
      </c>
      <c r="I350" s="21">
        <v>2096.54</v>
      </c>
      <c r="J350" s="21">
        <v>2097.5100000000002</v>
      </c>
      <c r="K350" s="21">
        <v>2008.33</v>
      </c>
      <c r="L350" s="21">
        <v>2027.76</v>
      </c>
      <c r="M350" s="21">
        <v>1930.9</v>
      </c>
      <c r="N350" s="21">
        <v>1910.48</v>
      </c>
      <c r="O350" s="21">
        <v>2042.74</v>
      </c>
      <c r="P350" s="21">
        <v>2024.11</v>
      </c>
      <c r="Q350" s="21">
        <v>6988.45</v>
      </c>
      <c r="R350" s="20">
        <v>118.38</v>
      </c>
      <c r="S350" s="20">
        <v>129.09</v>
      </c>
      <c r="T350" s="21">
        <v>132.02000000000001</v>
      </c>
      <c r="V350" s="1">
        <v>124.91</v>
      </c>
      <c r="W350" s="1">
        <v>132.05000000000001</v>
      </c>
      <c r="X350" s="1">
        <v>126.32</v>
      </c>
      <c r="Y350" s="1">
        <v>132.77000000000001</v>
      </c>
      <c r="Z350" s="1">
        <v>132.69999999999999</v>
      </c>
      <c r="AA350" s="1">
        <v>123.66</v>
      </c>
      <c r="AB350" s="1">
        <v>125.61</v>
      </c>
      <c r="AC350" s="1">
        <v>127.76</v>
      </c>
      <c r="AE350" s="1">
        <v>133.34</v>
      </c>
      <c r="AF350" s="1">
        <v>141.18</v>
      </c>
      <c r="AG350" s="1">
        <v>138.1</v>
      </c>
      <c r="AI350" s="1">
        <v>7</v>
      </c>
      <c r="AL350" s="1">
        <v>30</v>
      </c>
      <c r="AN350" s="1">
        <v>3716.22</v>
      </c>
      <c r="AP350" s="1">
        <v>3900</v>
      </c>
      <c r="AQ350" s="1">
        <v>3739.38</v>
      </c>
      <c r="AT350" s="1">
        <v>3640.06</v>
      </c>
      <c r="AU350" s="1">
        <v>3502.2</v>
      </c>
      <c r="AW350" s="1">
        <v>3305.39</v>
      </c>
      <c r="AX350" s="1">
        <v>134.63</v>
      </c>
      <c r="AY350" s="1">
        <v>3747.79</v>
      </c>
      <c r="AZ350" s="1">
        <v>3960</v>
      </c>
      <c r="BA350" s="1">
        <v>147.15</v>
      </c>
      <c r="BB350" s="1">
        <v>140.38</v>
      </c>
      <c r="BC350" s="1">
        <v>138.69999999999999</v>
      </c>
      <c r="BD350" s="1">
        <v>141.65</v>
      </c>
      <c r="BE350" s="1">
        <v>139.07</v>
      </c>
      <c r="BF350" s="1">
        <v>140.30000000000001</v>
      </c>
      <c r="BG350" s="1">
        <v>132.38999999999999</v>
      </c>
      <c r="BH350" s="1">
        <v>131.25</v>
      </c>
      <c r="BI350" s="1">
        <v>129.35</v>
      </c>
      <c r="BJ350" s="1">
        <v>135.59</v>
      </c>
      <c r="BK350" s="1">
        <v>126.72</v>
      </c>
      <c r="BL350" s="1">
        <v>129.19999999999999</v>
      </c>
      <c r="BN350" s="1">
        <v>127.31</v>
      </c>
    </row>
    <row r="351" spans="1:66" x14ac:dyDescent="0.3">
      <c r="A351" s="2"/>
      <c r="C351" s="14" t="str">
        <f t="shared" si="6"/>
        <v>202410</v>
      </c>
      <c r="D351" s="3">
        <v>45595</v>
      </c>
      <c r="E351" s="21">
        <v>2184.14</v>
      </c>
      <c r="F351" s="21">
        <v>2098.6999999999998</v>
      </c>
      <c r="G351" s="21">
        <v>2150.0500000000002</v>
      </c>
      <c r="H351" s="21">
        <v>2274.56</v>
      </c>
      <c r="I351" s="21">
        <v>2096.54</v>
      </c>
      <c r="J351" s="21">
        <v>2097.5100000000002</v>
      </c>
      <c r="K351" s="21">
        <v>2008.33</v>
      </c>
      <c r="L351" s="21">
        <v>2059.0500000000002</v>
      </c>
      <c r="M351" s="21">
        <v>1921</v>
      </c>
      <c r="N351" s="21">
        <v>1910.48</v>
      </c>
      <c r="O351" s="21">
        <v>2042.74</v>
      </c>
      <c r="P351" s="21">
        <v>2024.11</v>
      </c>
      <c r="Q351" s="21">
        <v>6988.45</v>
      </c>
      <c r="R351" s="20">
        <v>118.38</v>
      </c>
      <c r="S351" s="20">
        <v>128.88999999999999</v>
      </c>
      <c r="T351" s="21">
        <v>132.02000000000001</v>
      </c>
      <c r="V351" s="1">
        <v>124.68</v>
      </c>
      <c r="W351" s="1">
        <v>131.80000000000001</v>
      </c>
      <c r="X351" s="1">
        <v>126.07</v>
      </c>
      <c r="Y351" s="1">
        <v>132.11000000000001</v>
      </c>
      <c r="Z351" s="1">
        <v>132.30000000000001</v>
      </c>
      <c r="AA351" s="1">
        <v>123.66</v>
      </c>
      <c r="AB351" s="1">
        <v>125.06</v>
      </c>
      <c r="AC351" s="1">
        <v>127.57</v>
      </c>
      <c r="AE351" s="1">
        <v>132.84</v>
      </c>
      <c r="AF351" s="1">
        <v>140.77000000000001</v>
      </c>
      <c r="AG351" s="1">
        <v>136.94999999999999</v>
      </c>
      <c r="AI351" s="1">
        <v>7</v>
      </c>
      <c r="AL351" s="1">
        <v>30</v>
      </c>
      <c r="AN351" s="1">
        <v>3716.22</v>
      </c>
      <c r="AP351" s="1">
        <v>3900</v>
      </c>
      <c r="AQ351" s="1">
        <v>3739.38</v>
      </c>
      <c r="AS351" s="1">
        <v>3633.41</v>
      </c>
      <c r="AT351" s="1">
        <v>3640.06</v>
      </c>
      <c r="AU351" s="1">
        <v>3502.2</v>
      </c>
      <c r="AW351" s="1">
        <v>3341.98</v>
      </c>
      <c r="AX351" s="1">
        <v>129.66999999999999</v>
      </c>
      <c r="AY351" s="1">
        <v>3747.79</v>
      </c>
      <c r="AZ351" s="1">
        <v>3960</v>
      </c>
      <c r="BA351" s="1">
        <v>146.24</v>
      </c>
      <c r="BB351" s="1">
        <v>139.38999999999999</v>
      </c>
      <c r="BC351" s="1">
        <v>138.96</v>
      </c>
      <c r="BD351" s="1">
        <v>141</v>
      </c>
      <c r="BE351" s="1">
        <v>139.12</v>
      </c>
      <c r="BF351" s="1">
        <v>140.30000000000001</v>
      </c>
      <c r="BG351" s="1">
        <v>132.38999999999999</v>
      </c>
      <c r="BH351" s="1">
        <v>130.87</v>
      </c>
      <c r="BI351" s="1">
        <v>129.35</v>
      </c>
      <c r="BJ351" s="1">
        <v>135.18</v>
      </c>
      <c r="BK351" s="1">
        <v>127.04</v>
      </c>
      <c r="BL351" s="1">
        <v>128.44999999999999</v>
      </c>
      <c r="BN351" s="1">
        <v>126.65</v>
      </c>
    </row>
    <row r="352" spans="1:66" x14ac:dyDescent="0.3">
      <c r="A352" s="2"/>
      <c r="C352" s="14" t="str">
        <f t="shared" si="6"/>
        <v>202410</v>
      </c>
      <c r="D352" s="3">
        <v>45594</v>
      </c>
      <c r="E352" s="21">
        <v>2184.14</v>
      </c>
      <c r="F352" s="21">
        <v>2107.71</v>
      </c>
      <c r="G352" s="21">
        <v>2150.0500000000002</v>
      </c>
      <c r="H352" s="21">
        <v>2277.86</v>
      </c>
      <c r="I352" s="21">
        <v>2124.2800000000002</v>
      </c>
      <c r="J352" s="21">
        <v>2103.73</v>
      </c>
      <c r="K352" s="21">
        <v>2008.33</v>
      </c>
      <c r="L352" s="21">
        <v>2035.93</v>
      </c>
      <c r="M352" s="21">
        <v>1944.24</v>
      </c>
      <c r="N352" s="21">
        <v>1932.12</v>
      </c>
      <c r="O352" s="21">
        <v>2059.66</v>
      </c>
      <c r="P352" s="21">
        <v>2024.11</v>
      </c>
      <c r="Q352" s="21">
        <v>6988.45</v>
      </c>
      <c r="R352" s="20">
        <v>118.04</v>
      </c>
      <c r="S352" s="20">
        <v>129.09</v>
      </c>
      <c r="T352" s="21">
        <v>131.38</v>
      </c>
      <c r="V352" s="1">
        <v>123.45</v>
      </c>
      <c r="W352" s="1">
        <v>132.87</v>
      </c>
      <c r="X352" s="1">
        <v>126.57</v>
      </c>
      <c r="Y352" s="1">
        <v>131.30000000000001</v>
      </c>
      <c r="Z352" s="1">
        <v>131.69999999999999</v>
      </c>
      <c r="AA352" s="1">
        <v>122.43</v>
      </c>
      <c r="AB352" s="1">
        <v>125.44</v>
      </c>
      <c r="AC352" s="1">
        <v>126.24</v>
      </c>
      <c r="AE352" s="1">
        <v>133.68</v>
      </c>
      <c r="AF352" s="1">
        <v>138.46</v>
      </c>
      <c r="AG352" s="1">
        <v>136.36000000000001</v>
      </c>
      <c r="AI352" s="1">
        <v>7</v>
      </c>
      <c r="AL352" s="1">
        <v>30</v>
      </c>
      <c r="AN352" s="1">
        <v>3716.22</v>
      </c>
      <c r="AP352" s="1">
        <v>3900</v>
      </c>
      <c r="AQ352" s="1">
        <v>3739.38</v>
      </c>
      <c r="AS352" s="1">
        <v>3633.41</v>
      </c>
      <c r="AT352" s="1">
        <v>3558.17</v>
      </c>
      <c r="AU352" s="1">
        <v>3502.2</v>
      </c>
      <c r="AW352" s="1">
        <v>3270.07</v>
      </c>
      <c r="AX352" s="1">
        <v>129.83000000000001</v>
      </c>
      <c r="AY352" s="1">
        <v>3712.13</v>
      </c>
      <c r="AZ352" s="1">
        <v>3960</v>
      </c>
      <c r="BA352" s="1">
        <v>146.1</v>
      </c>
      <c r="BB352" s="1">
        <v>139.84</v>
      </c>
      <c r="BC352" s="1">
        <v>138.77000000000001</v>
      </c>
      <c r="BD352" s="1">
        <v>140.22999999999999</v>
      </c>
      <c r="BE352" s="1">
        <v>138.77000000000001</v>
      </c>
      <c r="BF352" s="1">
        <v>138.80000000000001</v>
      </c>
      <c r="BG352" s="1">
        <v>133.9</v>
      </c>
      <c r="BH352" s="1">
        <v>129.19999999999999</v>
      </c>
      <c r="BI352" s="1">
        <v>129.35</v>
      </c>
      <c r="BJ352" s="1">
        <v>134.72</v>
      </c>
      <c r="BK352" s="1">
        <v>126.71</v>
      </c>
      <c r="BL352" s="1">
        <v>127.95</v>
      </c>
      <c r="BN352" s="1">
        <v>126.31</v>
      </c>
    </row>
    <row r="353" spans="1:66" x14ac:dyDescent="0.3">
      <c r="A353" s="2"/>
      <c r="C353" s="14" t="str">
        <f t="shared" si="6"/>
        <v>202410</v>
      </c>
      <c r="D353" s="3">
        <v>45593</v>
      </c>
      <c r="E353" s="21">
        <v>2169.9299999999998</v>
      </c>
      <c r="F353" s="21">
        <v>2107.71</v>
      </c>
      <c r="G353" s="21">
        <v>2150.0500000000002</v>
      </c>
      <c r="H353" s="21">
        <v>2289.2800000000002</v>
      </c>
      <c r="I353" s="21">
        <v>2120.3200000000002</v>
      </c>
      <c r="J353" s="21">
        <v>2097.5100000000002</v>
      </c>
      <c r="K353" s="21">
        <v>2008.33</v>
      </c>
      <c r="L353" s="21"/>
      <c r="M353" s="21">
        <v>1955.05</v>
      </c>
      <c r="N353" s="21">
        <v>1927.59</v>
      </c>
      <c r="O353" s="21">
        <v>2061.88</v>
      </c>
      <c r="P353" s="21">
        <v>2024.11</v>
      </c>
      <c r="Q353" s="21">
        <v>6988.45</v>
      </c>
      <c r="R353" s="20">
        <v>118.04</v>
      </c>
      <c r="S353" s="20">
        <v>129.09</v>
      </c>
      <c r="T353" s="21">
        <v>131.37</v>
      </c>
      <c r="V353" s="1">
        <v>123.56</v>
      </c>
      <c r="W353" s="1">
        <v>132.72999999999999</v>
      </c>
      <c r="X353" s="1">
        <v>126.7</v>
      </c>
      <c r="Y353" s="1">
        <v>130.82</v>
      </c>
      <c r="Z353" s="1">
        <v>131.5</v>
      </c>
      <c r="AA353" s="1">
        <v>122.43</v>
      </c>
      <c r="AB353" s="1">
        <v>125.69</v>
      </c>
      <c r="AC353" s="1">
        <v>126.24</v>
      </c>
      <c r="AE353" s="1">
        <v>133.86000000000001</v>
      </c>
      <c r="AF353" s="1">
        <v>138.63999999999999</v>
      </c>
      <c r="AG353" s="1">
        <v>134.12</v>
      </c>
      <c r="AP353" s="1">
        <v>3900</v>
      </c>
      <c r="AQ353" s="1">
        <v>3936.19</v>
      </c>
      <c r="AS353" s="1">
        <v>3633.41</v>
      </c>
      <c r="AT353" s="1">
        <v>3558.17</v>
      </c>
      <c r="AU353" s="1">
        <v>3624.57</v>
      </c>
      <c r="AW353" s="1">
        <v>3270.07</v>
      </c>
      <c r="AX353" s="1">
        <v>130.22999999999999</v>
      </c>
      <c r="AY353" s="1">
        <v>3678.82</v>
      </c>
      <c r="AZ353" s="1">
        <v>3870.59</v>
      </c>
      <c r="BA353" s="1">
        <v>146.09</v>
      </c>
      <c r="BB353" s="1">
        <v>140.4</v>
      </c>
      <c r="BC353" s="1">
        <v>139.05000000000001</v>
      </c>
      <c r="BD353" s="1">
        <v>140.88</v>
      </c>
      <c r="BE353" s="1">
        <v>143.74</v>
      </c>
      <c r="BF353" s="1">
        <v>137.44999999999999</v>
      </c>
      <c r="BG353" s="1">
        <v>133.05000000000001</v>
      </c>
      <c r="BH353" s="1">
        <v>129.19999999999999</v>
      </c>
      <c r="BI353" s="1">
        <v>129.22999999999999</v>
      </c>
      <c r="BJ353" s="1">
        <v>134.1</v>
      </c>
      <c r="BL353" s="1">
        <v>127.46</v>
      </c>
      <c r="BN353" s="1">
        <v>125.65</v>
      </c>
    </row>
    <row r="354" spans="1:66" x14ac:dyDescent="0.3">
      <c r="A354" s="2"/>
      <c r="C354" s="14" t="str">
        <f t="shared" si="6"/>
        <v>202410</v>
      </c>
      <c r="D354" s="3">
        <v>45590</v>
      </c>
      <c r="E354" s="21">
        <v>2230.75</v>
      </c>
      <c r="F354" s="21">
        <v>2139.2399999999998</v>
      </c>
      <c r="G354" s="21">
        <v>2174.8200000000002</v>
      </c>
      <c r="H354" s="21">
        <v>2296.0300000000002</v>
      </c>
      <c r="I354" s="21">
        <v>2112.39</v>
      </c>
      <c r="J354" s="21">
        <v>2070.2399999999998</v>
      </c>
      <c r="K354" s="21">
        <v>2041.51</v>
      </c>
      <c r="L354" s="21"/>
      <c r="M354" s="21">
        <v>1954.13</v>
      </c>
      <c r="N354" s="21">
        <v>1942.82</v>
      </c>
      <c r="O354" s="21">
        <v>2070.21</v>
      </c>
      <c r="P354" s="21">
        <v>2040.7</v>
      </c>
      <c r="Q354" s="21">
        <v>6938.68</v>
      </c>
      <c r="R354" s="20">
        <v>119.37</v>
      </c>
      <c r="S354" s="20">
        <v>129.91999999999999</v>
      </c>
      <c r="T354" s="21">
        <v>131.79</v>
      </c>
      <c r="V354" s="1">
        <v>124.1</v>
      </c>
      <c r="W354" s="1">
        <v>131.31</v>
      </c>
      <c r="X354" s="1">
        <v>127.32</v>
      </c>
      <c r="Y354" s="1">
        <v>131.80000000000001</v>
      </c>
      <c r="Z354" s="1">
        <v>131.9</v>
      </c>
      <c r="AA354" s="1">
        <v>123.49</v>
      </c>
      <c r="AB354" s="1">
        <v>126.31</v>
      </c>
      <c r="AC354" s="1">
        <v>125.91</v>
      </c>
      <c r="AE354" s="1">
        <v>134.63999999999999</v>
      </c>
      <c r="AF354" s="1">
        <v>139.18</v>
      </c>
      <c r="AG354" s="1">
        <v>134.75</v>
      </c>
      <c r="AN354" s="1">
        <v>3804.98</v>
      </c>
      <c r="AP354" s="1">
        <v>3921.67</v>
      </c>
      <c r="AQ354" s="1">
        <v>3807.51</v>
      </c>
      <c r="AR354" s="1">
        <v>3804.98</v>
      </c>
      <c r="AU354" s="1">
        <v>3624.57</v>
      </c>
      <c r="AW354" s="1">
        <v>3451.74</v>
      </c>
      <c r="AX354" s="1">
        <v>126.77</v>
      </c>
      <c r="AY354" s="1">
        <v>3678.82</v>
      </c>
      <c r="AZ354" s="1">
        <v>3870.59</v>
      </c>
      <c r="BA354" s="1">
        <v>146.08000000000001</v>
      </c>
      <c r="BB354" s="1">
        <v>142.33000000000001</v>
      </c>
      <c r="BC354" s="1">
        <v>139.21</v>
      </c>
      <c r="BD354" s="1">
        <v>141.99</v>
      </c>
      <c r="BE354" s="1">
        <v>143.78</v>
      </c>
      <c r="BF354" s="1">
        <v>135.97</v>
      </c>
      <c r="BG354" s="1">
        <v>134.19999999999999</v>
      </c>
      <c r="BH354" s="1">
        <v>128.80000000000001</v>
      </c>
      <c r="BI354" s="1">
        <v>128.85</v>
      </c>
      <c r="BJ354" s="1">
        <v>130.94</v>
      </c>
      <c r="BL354" s="1">
        <v>127.96</v>
      </c>
      <c r="BN354" s="1">
        <v>125.65</v>
      </c>
    </row>
    <row r="355" spans="1:66" x14ac:dyDescent="0.3">
      <c r="A355" s="2"/>
      <c r="C355" s="14" t="str">
        <f t="shared" si="6"/>
        <v>202410</v>
      </c>
      <c r="D355" s="3">
        <v>45589</v>
      </c>
      <c r="E355" s="21">
        <v>2230.75</v>
      </c>
      <c r="F355" s="21">
        <v>2173.9899999999998</v>
      </c>
      <c r="G355" s="21">
        <v>2174.8200000000002</v>
      </c>
      <c r="H355" s="21">
        <v>2322</v>
      </c>
      <c r="I355" s="21">
        <v>2120.3200000000002</v>
      </c>
      <c r="J355" s="21">
        <v>2106.08</v>
      </c>
      <c r="K355" s="21">
        <v>2041.51</v>
      </c>
      <c r="L355" s="21"/>
      <c r="M355" s="21">
        <v>1978.61</v>
      </c>
      <c r="N355" s="21">
        <v>1953.69</v>
      </c>
      <c r="O355" s="21">
        <v>2112.42</v>
      </c>
      <c r="P355" s="21">
        <v>2040.7</v>
      </c>
      <c r="Q355" s="21">
        <v>6838.91</v>
      </c>
      <c r="R355" s="20">
        <v>119.69</v>
      </c>
      <c r="S355" s="20">
        <v>129.35</v>
      </c>
      <c r="T355" s="21">
        <v>131.51</v>
      </c>
      <c r="V355" s="1">
        <v>123.54</v>
      </c>
      <c r="W355" s="1">
        <v>130.55000000000001</v>
      </c>
      <c r="X355" s="1">
        <v>126.82</v>
      </c>
      <c r="Y355" s="1">
        <v>131.68</v>
      </c>
      <c r="Z355" s="1">
        <v>132.5</v>
      </c>
      <c r="AA355" s="1">
        <v>123.72</v>
      </c>
      <c r="AB355" s="1">
        <v>125.18</v>
      </c>
      <c r="AC355" s="1">
        <v>123.49</v>
      </c>
      <c r="AE355" s="1">
        <v>133.09</v>
      </c>
      <c r="AF355" s="1">
        <v>140.81</v>
      </c>
      <c r="AG355" s="1">
        <v>134.15</v>
      </c>
      <c r="AN355" s="1">
        <v>3804.98</v>
      </c>
      <c r="AP355" s="1">
        <v>3921.67</v>
      </c>
      <c r="AQ355" s="1">
        <v>3807.51</v>
      </c>
      <c r="AR355" s="1">
        <v>3804.98</v>
      </c>
      <c r="AS355" s="1">
        <v>3756.2</v>
      </c>
      <c r="AT355" s="1">
        <v>3988.17</v>
      </c>
      <c r="AU355" s="1">
        <v>3624.57</v>
      </c>
      <c r="AW355" s="1">
        <v>3451.74</v>
      </c>
      <c r="AX355" s="1">
        <v>128.69</v>
      </c>
      <c r="AY355" s="1">
        <v>3609.86</v>
      </c>
      <c r="AZ355" s="1">
        <v>3870.59</v>
      </c>
      <c r="BA355" s="1">
        <v>146.83000000000001</v>
      </c>
      <c r="BB355" s="1">
        <v>141.75</v>
      </c>
      <c r="BC355" s="1">
        <v>139.21</v>
      </c>
      <c r="BD355" s="1">
        <v>141.41</v>
      </c>
      <c r="BE355" s="1">
        <v>140.49</v>
      </c>
      <c r="BF355" s="1">
        <v>134.24</v>
      </c>
      <c r="BG355" s="1">
        <v>133.63</v>
      </c>
      <c r="BH355" s="1">
        <v>126.45</v>
      </c>
      <c r="BI355" s="1">
        <v>128.33000000000001</v>
      </c>
      <c r="BJ355" s="1">
        <v>131.4</v>
      </c>
      <c r="BL355" s="1">
        <v>128.19999999999999</v>
      </c>
      <c r="BN355" s="1">
        <v>126.31</v>
      </c>
    </row>
    <row r="356" spans="1:66" x14ac:dyDescent="0.3">
      <c r="A356" s="2"/>
      <c r="C356" s="14" t="str">
        <f t="shared" si="6"/>
        <v>202410</v>
      </c>
      <c r="D356" s="3">
        <v>45588</v>
      </c>
      <c r="E356" s="21">
        <v>2230.75</v>
      </c>
      <c r="F356" s="21">
        <v>2173.9899999999998</v>
      </c>
      <c r="G356" s="21">
        <v>2174.8200000000002</v>
      </c>
      <c r="H356" s="21">
        <v>2338.87</v>
      </c>
      <c r="I356" s="21">
        <v>2120.3200000000002</v>
      </c>
      <c r="J356" s="21">
        <v>2106.08</v>
      </c>
      <c r="K356" s="21">
        <v>2041.51</v>
      </c>
      <c r="L356" s="21"/>
      <c r="M356" s="21">
        <v>1995.9</v>
      </c>
      <c r="N356" s="21">
        <v>2006.1</v>
      </c>
      <c r="O356" s="21">
        <v>2126.9899999999998</v>
      </c>
      <c r="P356" s="21">
        <v>2040.7</v>
      </c>
      <c r="Q356" s="21">
        <v>6838.91</v>
      </c>
      <c r="R356" s="20">
        <v>119.19</v>
      </c>
      <c r="S356" s="20">
        <v>129.21</v>
      </c>
      <c r="T356" s="21">
        <v>131.1</v>
      </c>
      <c r="V356" s="1">
        <v>122.32</v>
      </c>
      <c r="W356" s="1">
        <v>130.30000000000001</v>
      </c>
      <c r="X356" s="1">
        <v>126.2</v>
      </c>
      <c r="Y356" s="1">
        <v>131.12</v>
      </c>
      <c r="Z356" s="1">
        <v>131.5</v>
      </c>
      <c r="AA356" s="1">
        <v>120.81</v>
      </c>
      <c r="AB356" s="1">
        <v>124.94</v>
      </c>
      <c r="AE356" s="1">
        <v>132.59</v>
      </c>
      <c r="AF356" s="1">
        <v>138.03</v>
      </c>
      <c r="AG356" s="1">
        <v>134.13999999999999</v>
      </c>
      <c r="AN356" s="1">
        <v>3804.98</v>
      </c>
      <c r="AP356" s="1">
        <v>3921.67</v>
      </c>
      <c r="AQ356" s="1">
        <v>3807.51</v>
      </c>
      <c r="AR356" s="1">
        <v>3804.98</v>
      </c>
      <c r="AS356" s="1">
        <v>3723.61</v>
      </c>
      <c r="AT356" s="1">
        <v>3988.17</v>
      </c>
      <c r="AU356" s="1">
        <v>3624.57</v>
      </c>
      <c r="AX356" s="1">
        <v>128.69</v>
      </c>
      <c r="AY356" s="1">
        <v>3609.86</v>
      </c>
      <c r="AZ356" s="1">
        <v>3870.59</v>
      </c>
      <c r="BA356" s="1">
        <v>144.97</v>
      </c>
      <c r="BB356" s="1">
        <v>140.99</v>
      </c>
      <c r="BC356" s="1">
        <v>138.27000000000001</v>
      </c>
      <c r="BD356" s="1">
        <v>139.63999999999999</v>
      </c>
      <c r="BE356" s="1">
        <v>137.11000000000001</v>
      </c>
      <c r="BF356" s="1">
        <v>133.74</v>
      </c>
      <c r="BG356" s="1">
        <v>132.69</v>
      </c>
      <c r="BH356" s="1">
        <v>128.62</v>
      </c>
      <c r="BI356" s="1">
        <v>128.22999999999999</v>
      </c>
      <c r="BJ356" s="1">
        <v>133.22999999999999</v>
      </c>
      <c r="BL356" s="1">
        <v>127.7</v>
      </c>
      <c r="BN356" s="1">
        <v>126.31</v>
      </c>
    </row>
    <row r="357" spans="1:66" x14ac:dyDescent="0.3">
      <c r="A357" s="2"/>
      <c r="C357" s="14" t="str">
        <f t="shared" si="6"/>
        <v>202410</v>
      </c>
      <c r="D357" s="3">
        <v>45587</v>
      </c>
      <c r="E357" s="21">
        <v>2238.21</v>
      </c>
      <c r="F357" s="21">
        <v>2173.9899999999998</v>
      </c>
      <c r="G357" s="21">
        <v>2199.59</v>
      </c>
      <c r="H357" s="21">
        <v>2340.52</v>
      </c>
      <c r="I357" s="21">
        <v>2104.4699999999998</v>
      </c>
      <c r="J357" s="21">
        <v>2088.17</v>
      </c>
      <c r="K357" s="21">
        <v>2041.51</v>
      </c>
      <c r="L357" s="21"/>
      <c r="M357" s="21">
        <v>1976.02</v>
      </c>
      <c r="N357" s="21">
        <v>1983.26</v>
      </c>
      <c r="O357" s="21">
        <v>2136.7399999999998</v>
      </c>
      <c r="P357" s="21">
        <v>2040.7</v>
      </c>
      <c r="Q357" s="21">
        <v>6788.91</v>
      </c>
      <c r="R357" s="20">
        <v>118.69</v>
      </c>
      <c r="S357" s="20">
        <v>128.63999999999999</v>
      </c>
      <c r="T357" s="21">
        <v>131.16</v>
      </c>
      <c r="V357" s="1">
        <v>122.76</v>
      </c>
      <c r="W357" s="1">
        <v>130.30000000000001</v>
      </c>
      <c r="X357" s="1">
        <v>125.33</v>
      </c>
      <c r="Y357" s="1">
        <v>129.87</v>
      </c>
      <c r="Z357" s="1">
        <v>130.30000000000001</v>
      </c>
      <c r="AA357" s="1">
        <v>122.33</v>
      </c>
      <c r="AB357" s="1">
        <v>124.06</v>
      </c>
      <c r="AE357" s="1">
        <v>132.44</v>
      </c>
      <c r="AF357" s="1">
        <v>137.37</v>
      </c>
      <c r="AG357" s="1">
        <v>133.49</v>
      </c>
      <c r="AN357" s="1">
        <v>3804.98</v>
      </c>
      <c r="AP357" s="1">
        <v>3921.67</v>
      </c>
      <c r="AQ357" s="1">
        <v>3772.69</v>
      </c>
      <c r="AR357" s="1">
        <v>3804.98</v>
      </c>
      <c r="AS357" s="1">
        <v>3723.61</v>
      </c>
      <c r="AT357" s="1">
        <v>3988.17</v>
      </c>
      <c r="AU357" s="1">
        <v>3624.57</v>
      </c>
      <c r="AX357" s="1">
        <v>130.02000000000001</v>
      </c>
      <c r="AY357" s="1">
        <v>3504.22</v>
      </c>
      <c r="AZ357" s="1">
        <v>3870.59</v>
      </c>
      <c r="BA357" s="1">
        <v>145.33000000000001</v>
      </c>
      <c r="BB357" s="1">
        <v>140.19999999999999</v>
      </c>
      <c r="BC357" s="1">
        <v>137.69</v>
      </c>
      <c r="BD357" s="1">
        <v>139.6</v>
      </c>
      <c r="BE357" s="1">
        <v>137.41</v>
      </c>
      <c r="BF357" s="1">
        <v>133.24</v>
      </c>
      <c r="BG357" s="1">
        <v>131.97</v>
      </c>
      <c r="BH357" s="1">
        <v>127.75</v>
      </c>
      <c r="BI357" s="1">
        <v>128.22999999999999</v>
      </c>
      <c r="BJ357" s="1">
        <v>133.21</v>
      </c>
      <c r="BL357" s="1">
        <v>125.96</v>
      </c>
      <c r="BN357" s="1">
        <v>125.65</v>
      </c>
    </row>
    <row r="358" spans="1:66" x14ac:dyDescent="0.3">
      <c r="A358" s="2"/>
      <c r="C358" s="14" t="str">
        <f t="shared" si="6"/>
        <v>202410</v>
      </c>
      <c r="D358" s="3">
        <v>45586</v>
      </c>
      <c r="E358" s="21">
        <v>2228.2600000000002</v>
      </c>
      <c r="F358" s="21">
        <v>2173.9899999999998</v>
      </c>
      <c r="G358" s="21">
        <v>2199.59</v>
      </c>
      <c r="H358" s="21">
        <v>2360.7800000000002</v>
      </c>
      <c r="I358" s="21">
        <v>2104.4699999999998</v>
      </c>
      <c r="J358" s="21">
        <v>2108.4</v>
      </c>
      <c r="K358" s="21">
        <v>2041.51</v>
      </c>
      <c r="L358" s="21"/>
      <c r="M358" s="21">
        <v>1992.06</v>
      </c>
      <c r="N358" s="21">
        <v>2002.69</v>
      </c>
      <c r="O358" s="21">
        <v>2112.2800000000002</v>
      </c>
      <c r="P358" s="21">
        <v>2040.7</v>
      </c>
      <c r="Q358" s="21">
        <v>6689.6</v>
      </c>
      <c r="R358" s="20">
        <v>118.69</v>
      </c>
      <c r="S358" s="20">
        <v>127.78</v>
      </c>
      <c r="T358" s="21">
        <v>130.49</v>
      </c>
      <c r="U358" s="1">
        <v>143.84</v>
      </c>
      <c r="V358" s="1">
        <v>122.15</v>
      </c>
      <c r="W358" s="1">
        <v>129.80000000000001</v>
      </c>
      <c r="X358" s="1">
        <v>123.7</v>
      </c>
      <c r="Y358" s="1">
        <v>129.81</v>
      </c>
      <c r="Z358" s="1">
        <v>130.1</v>
      </c>
      <c r="AA358" s="1">
        <v>122.33</v>
      </c>
      <c r="AB358" s="1">
        <v>122.72</v>
      </c>
      <c r="AC358" s="1">
        <v>126.57</v>
      </c>
      <c r="AE358" s="1">
        <v>131.63999999999999</v>
      </c>
      <c r="AF358" s="1">
        <v>137.35</v>
      </c>
      <c r="AG358" s="1">
        <v>132.94</v>
      </c>
      <c r="AN358" s="1">
        <v>3804.98</v>
      </c>
      <c r="AP358" s="1">
        <v>3932.5</v>
      </c>
      <c r="AQ358" s="1">
        <v>3731.81</v>
      </c>
      <c r="AR358" s="1">
        <v>3804.98</v>
      </c>
      <c r="AS358" s="1">
        <v>3723.61</v>
      </c>
      <c r="AX358" s="1">
        <v>128.11000000000001</v>
      </c>
      <c r="AY358" s="1">
        <v>3401.27</v>
      </c>
      <c r="BA358" s="1">
        <v>143.72</v>
      </c>
      <c r="BB358" s="1">
        <v>139.91</v>
      </c>
      <c r="BC358" s="1">
        <v>136.59</v>
      </c>
      <c r="BD358" s="1">
        <v>139.12</v>
      </c>
      <c r="BE358" s="1">
        <v>133.68</v>
      </c>
      <c r="BF358" s="1">
        <v>133.24</v>
      </c>
      <c r="BG358" s="1">
        <v>130.96</v>
      </c>
      <c r="BH358" s="1">
        <v>128.16999999999999</v>
      </c>
      <c r="BI358" s="1">
        <v>127.85</v>
      </c>
      <c r="BJ358" s="1">
        <v>133.19</v>
      </c>
      <c r="BK358" s="1">
        <v>124.57</v>
      </c>
      <c r="BL358" s="1">
        <v>125.71</v>
      </c>
      <c r="BN358" s="1">
        <v>124.99</v>
      </c>
    </row>
    <row r="359" spans="1:66" x14ac:dyDescent="0.3">
      <c r="A359" s="2"/>
      <c r="C359" s="14" t="str">
        <f t="shared" si="6"/>
        <v>202410</v>
      </c>
      <c r="D359" s="3">
        <v>45583</v>
      </c>
      <c r="E359" s="21">
        <v>2228.6</v>
      </c>
      <c r="F359" s="21">
        <v>2166.56</v>
      </c>
      <c r="G359" s="21">
        <v>2199.59</v>
      </c>
      <c r="H359" s="21">
        <v>2259.81</v>
      </c>
      <c r="I359" s="21">
        <v>2112.39</v>
      </c>
      <c r="J359" s="21">
        <v>2108.4</v>
      </c>
      <c r="K359" s="21">
        <v>2041.51</v>
      </c>
      <c r="L359" s="21">
        <v>1911.47</v>
      </c>
      <c r="M359" s="21">
        <v>2013.59</v>
      </c>
      <c r="N359" s="21">
        <v>2004.98</v>
      </c>
      <c r="O359" s="21">
        <v>2112.2800000000002</v>
      </c>
      <c r="P359" s="21">
        <v>2040.7</v>
      </c>
      <c r="Q359" s="21">
        <v>6639.6</v>
      </c>
      <c r="R359" s="20">
        <v>117.94</v>
      </c>
      <c r="S359" s="20">
        <v>125.26</v>
      </c>
      <c r="T359" s="21">
        <v>130.47</v>
      </c>
      <c r="V359" s="1">
        <v>121.65</v>
      </c>
      <c r="W359" s="1">
        <v>129.80000000000001</v>
      </c>
      <c r="X359" s="1">
        <v>123.61</v>
      </c>
      <c r="Y359" s="1">
        <v>129.81</v>
      </c>
      <c r="Z359" s="1">
        <v>130.1</v>
      </c>
      <c r="AA359" s="1">
        <v>122.16</v>
      </c>
      <c r="AB359" s="1">
        <v>121.5</v>
      </c>
      <c r="AC359" s="1">
        <v>123.41</v>
      </c>
      <c r="AE359" s="1">
        <v>131.61000000000001</v>
      </c>
      <c r="AF359" s="1">
        <v>137.30000000000001</v>
      </c>
      <c r="AG359" s="1">
        <v>129.86000000000001</v>
      </c>
      <c r="AQ359" s="1">
        <v>3633.41</v>
      </c>
      <c r="AS359" s="1">
        <v>3723.61</v>
      </c>
      <c r="AT359" s="1">
        <v>3483.02</v>
      </c>
      <c r="AU359" s="1">
        <v>3406.32</v>
      </c>
      <c r="AV359" s="1">
        <v>30</v>
      </c>
      <c r="AW359" s="1">
        <v>2942.02</v>
      </c>
      <c r="AX359" s="1">
        <v>128.09</v>
      </c>
      <c r="AY359" s="1">
        <v>3401.27</v>
      </c>
      <c r="AZ359" s="1">
        <v>3512.29</v>
      </c>
      <c r="BA359" s="1">
        <v>140.1</v>
      </c>
      <c r="BB359" s="1">
        <v>139.68</v>
      </c>
      <c r="BC359" s="1">
        <v>136.47</v>
      </c>
      <c r="BD359" s="1">
        <v>138.88999999999999</v>
      </c>
      <c r="BE359" s="1">
        <v>132.93</v>
      </c>
      <c r="BF359" s="1">
        <v>131.24</v>
      </c>
      <c r="BG359" s="1">
        <v>131.77000000000001</v>
      </c>
      <c r="BH359" s="1">
        <v>126.5</v>
      </c>
      <c r="BI359" s="1">
        <v>127.73</v>
      </c>
      <c r="BJ359" s="1">
        <v>133.08000000000001</v>
      </c>
      <c r="BL359" s="1">
        <v>125.71</v>
      </c>
      <c r="BN359" s="1">
        <v>124.99</v>
      </c>
    </row>
    <row r="360" spans="1:66" x14ac:dyDescent="0.3">
      <c r="A360" s="2"/>
      <c r="C360" s="14" t="str">
        <f t="shared" si="6"/>
        <v>202410</v>
      </c>
      <c r="D360" s="3">
        <v>45582</v>
      </c>
      <c r="E360" s="21">
        <v>2250.98</v>
      </c>
      <c r="F360" s="21">
        <v>2166.56</v>
      </c>
      <c r="G360" s="21">
        <v>2199.59</v>
      </c>
      <c r="H360" s="21">
        <v>2259.81</v>
      </c>
      <c r="I360" s="21">
        <v>2116.36</v>
      </c>
      <c r="J360" s="21">
        <v>2129.65</v>
      </c>
      <c r="K360" s="21">
        <v>2041.51</v>
      </c>
      <c r="L360" s="21">
        <v>1917</v>
      </c>
      <c r="M360" s="21">
        <v>2013.28</v>
      </c>
      <c r="N360" s="21">
        <v>1993.08</v>
      </c>
      <c r="O360" s="21">
        <v>2103.16</v>
      </c>
      <c r="P360" s="21">
        <v>2040.7</v>
      </c>
      <c r="Q360" s="21">
        <v>6664.6</v>
      </c>
      <c r="R360" s="20">
        <v>117.94</v>
      </c>
      <c r="S360" s="20">
        <v>125.55</v>
      </c>
      <c r="T360" s="21">
        <v>129.08000000000001</v>
      </c>
      <c r="U360" s="1">
        <v>136.87</v>
      </c>
      <c r="V360" s="1">
        <v>121.35</v>
      </c>
      <c r="W360" s="1">
        <v>129.80000000000001</v>
      </c>
      <c r="X360" s="1">
        <v>123.5</v>
      </c>
      <c r="Y360" s="1">
        <v>127.9</v>
      </c>
      <c r="Z360" s="1">
        <v>128.30000000000001</v>
      </c>
      <c r="AA360" s="1">
        <v>120.54</v>
      </c>
      <c r="AB360" s="1">
        <v>121.44</v>
      </c>
      <c r="AC360" s="1">
        <v>121.52</v>
      </c>
      <c r="AE360" s="1">
        <v>131.21</v>
      </c>
      <c r="AF360" s="1">
        <v>136.47999999999999</v>
      </c>
      <c r="AG360" s="1">
        <v>129.59</v>
      </c>
      <c r="AQ360" s="1">
        <v>3633.41</v>
      </c>
      <c r="AS360" s="1">
        <v>3445.43</v>
      </c>
      <c r="AT360" s="1">
        <v>3406.32</v>
      </c>
      <c r="AU360" s="1">
        <v>3406.32</v>
      </c>
      <c r="AV360" s="1">
        <v>30</v>
      </c>
      <c r="AW360" s="1">
        <v>2942.02</v>
      </c>
      <c r="AX360" s="1">
        <v>128.84</v>
      </c>
      <c r="AY360" s="1">
        <v>3401.27</v>
      </c>
      <c r="AZ360" s="1">
        <v>3568.81</v>
      </c>
      <c r="BA360" s="1">
        <v>139.37</v>
      </c>
      <c r="BB360" s="1">
        <v>138.61000000000001</v>
      </c>
      <c r="BC360" s="1">
        <v>138.72999999999999</v>
      </c>
      <c r="BD360" s="1">
        <v>138.77000000000001</v>
      </c>
      <c r="BE360" s="1">
        <v>131.01</v>
      </c>
      <c r="BF360" s="1">
        <v>131.24</v>
      </c>
      <c r="BG360" s="1">
        <v>131.93</v>
      </c>
      <c r="BH360" s="1">
        <v>124.01</v>
      </c>
      <c r="BI360" s="1">
        <v>128.35</v>
      </c>
      <c r="BJ360" s="1">
        <v>130.79</v>
      </c>
      <c r="BK360" s="1">
        <v>124.07</v>
      </c>
      <c r="BL360" s="1">
        <v>124.46</v>
      </c>
      <c r="BN360" s="1">
        <v>124.33</v>
      </c>
    </row>
    <row r="361" spans="1:66" x14ac:dyDescent="0.3">
      <c r="A361" s="2"/>
      <c r="C361" s="14" t="str">
        <f t="shared" si="6"/>
        <v>202410</v>
      </c>
      <c r="D361" s="3">
        <v>45581</v>
      </c>
      <c r="E361" s="21">
        <v>2228.6</v>
      </c>
      <c r="F361" s="21">
        <v>2166.56</v>
      </c>
      <c r="G361" s="21">
        <v>2199.59</v>
      </c>
      <c r="H361" s="21">
        <v>2259.81</v>
      </c>
      <c r="I361" s="21">
        <v>2116.36</v>
      </c>
      <c r="J361" s="21">
        <v>2107.2600000000002</v>
      </c>
      <c r="K361" s="21">
        <v>2041.51</v>
      </c>
      <c r="L361" s="21">
        <v>1933.6</v>
      </c>
      <c r="M361" s="21">
        <v>2005.77</v>
      </c>
      <c r="N361" s="21">
        <v>2045.8</v>
      </c>
      <c r="O361" s="21">
        <v>2112.29</v>
      </c>
      <c r="P361" s="21">
        <v>2060.65</v>
      </c>
      <c r="Q361" s="21">
        <v>6639.6</v>
      </c>
      <c r="R361" s="20">
        <v>118.44</v>
      </c>
      <c r="S361" s="20">
        <v>125.22</v>
      </c>
      <c r="T361" s="21">
        <v>129.08000000000001</v>
      </c>
      <c r="V361" s="1">
        <v>121.57</v>
      </c>
      <c r="W361" s="1">
        <v>129.55000000000001</v>
      </c>
      <c r="X361" s="1">
        <v>122.83</v>
      </c>
      <c r="Y361" s="1">
        <v>127.31</v>
      </c>
      <c r="Z361" s="1">
        <v>128.1</v>
      </c>
      <c r="AA361" s="1">
        <v>122.2</v>
      </c>
      <c r="AB361" s="1">
        <v>121.17</v>
      </c>
      <c r="AC361" s="1">
        <v>120.82</v>
      </c>
      <c r="AE361" s="1">
        <v>131.29</v>
      </c>
      <c r="AF361" s="1">
        <v>134.69999999999999</v>
      </c>
      <c r="AG361" s="1">
        <v>130.83000000000001</v>
      </c>
      <c r="AQ361" s="1">
        <v>3633.41</v>
      </c>
      <c r="AT361" s="1">
        <v>3406.32</v>
      </c>
      <c r="AU361" s="1">
        <v>3406.32</v>
      </c>
      <c r="AV361" s="1">
        <v>30</v>
      </c>
      <c r="AW361" s="1">
        <v>2869.7</v>
      </c>
      <c r="AX361" s="1">
        <v>128.84</v>
      </c>
      <c r="AY361" s="1">
        <v>3274.1</v>
      </c>
      <c r="AZ361" s="1">
        <v>3568.81</v>
      </c>
      <c r="BA361" s="1">
        <v>139.12</v>
      </c>
      <c r="BB361" s="1">
        <v>139.69</v>
      </c>
      <c r="BC361" s="1">
        <v>137.97999999999999</v>
      </c>
      <c r="BD361" s="1">
        <v>138.77000000000001</v>
      </c>
      <c r="BE361" s="1">
        <v>133.43</v>
      </c>
      <c r="BF361" s="1">
        <v>135.44999999999999</v>
      </c>
      <c r="BG361" s="1">
        <v>132.02000000000001</v>
      </c>
      <c r="BH361" s="1">
        <v>122.75</v>
      </c>
      <c r="BI361" s="1">
        <v>128.35</v>
      </c>
      <c r="BL361" s="1">
        <v>123.21</v>
      </c>
      <c r="BN361" s="1">
        <v>123.67</v>
      </c>
    </row>
    <row r="362" spans="1:66" x14ac:dyDescent="0.3">
      <c r="A362" s="2"/>
      <c r="C362" s="14" t="str">
        <f t="shared" si="6"/>
        <v>202410</v>
      </c>
      <c r="D362" s="3">
        <v>45580</v>
      </c>
      <c r="E362" s="21">
        <v>2233.2399999999998</v>
      </c>
      <c r="F362" s="21">
        <v>2152.75</v>
      </c>
      <c r="G362" s="21">
        <v>2187.1999999999998</v>
      </c>
      <c r="H362" s="21">
        <v>2228.5</v>
      </c>
      <c r="I362" s="21">
        <v>2116.36</v>
      </c>
      <c r="J362" s="21">
        <v>2146.0500000000002</v>
      </c>
      <c r="K362" s="21">
        <v>2041.51</v>
      </c>
      <c r="L362" s="21">
        <v>1983.38</v>
      </c>
      <c r="M362" s="21">
        <v>2000.93</v>
      </c>
      <c r="N362" s="21">
        <v>2041.13</v>
      </c>
      <c r="O362" s="21">
        <v>2131.9499999999998</v>
      </c>
      <c r="P362" s="21">
        <v>2060.65</v>
      </c>
      <c r="Q362" s="21">
        <v>6664.6</v>
      </c>
      <c r="R362" s="20">
        <v>118.19</v>
      </c>
      <c r="S362" s="20">
        <v>123.9</v>
      </c>
      <c r="T362" s="21">
        <v>128.24</v>
      </c>
      <c r="V362" s="1">
        <v>121.13</v>
      </c>
      <c r="W362" s="1">
        <v>129.02000000000001</v>
      </c>
      <c r="X362" s="1">
        <v>122.28</v>
      </c>
      <c r="Y362" s="1">
        <v>125.83</v>
      </c>
      <c r="Z362" s="1">
        <v>126.71</v>
      </c>
      <c r="AA362" s="1">
        <v>120.89</v>
      </c>
      <c r="AB362" s="1">
        <v>121.06</v>
      </c>
      <c r="AC362" s="1">
        <v>122.05</v>
      </c>
      <c r="AE362" s="1">
        <v>130.94</v>
      </c>
      <c r="AF362" s="1">
        <v>134.69999999999999</v>
      </c>
      <c r="AG362" s="1">
        <v>129.84</v>
      </c>
      <c r="AI362" s="1">
        <v>30</v>
      </c>
      <c r="AN362" s="1">
        <v>3317.29</v>
      </c>
      <c r="AT362" s="1">
        <v>3406.32</v>
      </c>
      <c r="AU362" s="1">
        <v>3406.32</v>
      </c>
      <c r="AW362" s="1">
        <v>2800.75</v>
      </c>
      <c r="AX362" s="1">
        <v>128.84</v>
      </c>
      <c r="AY362" s="1">
        <v>2952.14</v>
      </c>
      <c r="AZ362" s="1">
        <v>3597.07</v>
      </c>
      <c r="BA362" s="1">
        <v>137.41</v>
      </c>
      <c r="BB362" s="1">
        <v>138.99</v>
      </c>
      <c r="BC362" s="1">
        <v>138.26</v>
      </c>
      <c r="BD362" s="1">
        <v>138.71</v>
      </c>
      <c r="BE362" s="1">
        <v>134.91</v>
      </c>
      <c r="BF362" s="1">
        <v>135.44999999999999</v>
      </c>
      <c r="BG362" s="1">
        <v>132.02000000000001</v>
      </c>
      <c r="BH362" s="1">
        <v>124.01</v>
      </c>
      <c r="BI362" s="1">
        <v>127.98</v>
      </c>
      <c r="BJ362" s="1">
        <v>130.86000000000001</v>
      </c>
      <c r="BL362" s="1">
        <v>122.97</v>
      </c>
      <c r="BN362" s="1">
        <v>123.01</v>
      </c>
    </row>
    <row r="363" spans="1:66" x14ac:dyDescent="0.3">
      <c r="A363" s="2"/>
      <c r="C363" s="14" t="str">
        <f t="shared" si="6"/>
        <v>202410</v>
      </c>
      <c r="D363" s="3">
        <v>45579</v>
      </c>
      <c r="E363" s="21">
        <v>2238.5500000000002</v>
      </c>
      <c r="F363" s="21">
        <v>2184.7199999999998</v>
      </c>
      <c r="G363" s="21">
        <v>2199.59</v>
      </c>
      <c r="H363" s="21">
        <v>2225.5500000000002</v>
      </c>
      <c r="I363" s="21">
        <v>2110.41</v>
      </c>
      <c r="J363" s="21">
        <v>2144.1799999999998</v>
      </c>
      <c r="K363" s="21">
        <v>2047.95</v>
      </c>
      <c r="L363" s="21">
        <v>2004.97</v>
      </c>
      <c r="M363" s="21">
        <v>1971.28</v>
      </c>
      <c r="N363" s="21">
        <v>2027.61</v>
      </c>
      <c r="O363" s="21">
        <v>2163.11</v>
      </c>
      <c r="P363" s="21">
        <v>2076.16</v>
      </c>
      <c r="Q363" s="21">
        <v>6664.6</v>
      </c>
      <c r="R363" s="20">
        <v>117.69</v>
      </c>
      <c r="S363" s="20">
        <v>124.23</v>
      </c>
      <c r="T363" s="21">
        <v>128.22999999999999</v>
      </c>
      <c r="V363" s="1">
        <v>121.57</v>
      </c>
      <c r="W363" s="1">
        <v>129.66999999999999</v>
      </c>
      <c r="X363" s="1">
        <v>122.83</v>
      </c>
      <c r="Y363" s="1">
        <v>126.9</v>
      </c>
      <c r="Z363" s="1">
        <v>126.43</v>
      </c>
      <c r="AA363" s="1">
        <v>120.89</v>
      </c>
      <c r="AB363" s="1">
        <v>121.44</v>
      </c>
      <c r="AC363" s="1">
        <v>122.41</v>
      </c>
      <c r="AE363" s="1">
        <v>131.43</v>
      </c>
      <c r="AF363" s="1">
        <v>136.5</v>
      </c>
      <c r="AG363" s="1">
        <v>129.87</v>
      </c>
      <c r="AT363" s="1">
        <v>3406.32</v>
      </c>
      <c r="AU363" s="1">
        <v>3406.32</v>
      </c>
      <c r="AW363" s="1">
        <v>2725.05</v>
      </c>
      <c r="AX363" s="1">
        <v>128.97999999999999</v>
      </c>
      <c r="AY363" s="1">
        <v>2952.14</v>
      </c>
      <c r="AZ363" s="1">
        <v>3597.07</v>
      </c>
      <c r="BA363" s="1">
        <v>134.25</v>
      </c>
      <c r="BB363" s="1">
        <v>139.34</v>
      </c>
      <c r="BC363" s="1">
        <v>136.15</v>
      </c>
      <c r="BD363" s="1">
        <v>138.87</v>
      </c>
      <c r="BE363" s="1">
        <v>133.55000000000001</v>
      </c>
      <c r="BF363" s="1">
        <v>135.24</v>
      </c>
      <c r="BG363" s="1">
        <v>132.21</v>
      </c>
      <c r="BH363" s="1">
        <v>123.91</v>
      </c>
      <c r="BI363" s="1">
        <v>128.35</v>
      </c>
      <c r="BJ363" s="1">
        <v>131.08000000000001</v>
      </c>
      <c r="BL363" s="1">
        <v>123.72</v>
      </c>
      <c r="BN363" s="1">
        <v>123.01</v>
      </c>
    </row>
    <row r="364" spans="1:66" x14ac:dyDescent="0.3">
      <c r="A364" s="2"/>
      <c r="C364" s="14" t="str">
        <f t="shared" si="6"/>
        <v>202410</v>
      </c>
      <c r="D364" s="3">
        <v>45576</v>
      </c>
      <c r="E364" s="21">
        <v>2238.5500000000002</v>
      </c>
      <c r="F364" s="21">
        <v>2184.27</v>
      </c>
      <c r="G364" s="21">
        <v>2199.59</v>
      </c>
      <c r="H364" s="21">
        <v>2227.4899999999998</v>
      </c>
      <c r="I364" s="21">
        <v>2108.4299999999998</v>
      </c>
      <c r="J364" s="21">
        <v>2132.9299999999998</v>
      </c>
      <c r="K364" s="21">
        <v>2041.51</v>
      </c>
      <c r="L364" s="21">
        <v>2005.94</v>
      </c>
      <c r="M364" s="21">
        <v>2000.02</v>
      </c>
      <c r="N364" s="21">
        <v>2026.26</v>
      </c>
      <c r="O364" s="21">
        <v>2133.46</v>
      </c>
      <c r="P364" s="21">
        <v>2068.9699999999998</v>
      </c>
      <c r="Q364" s="21">
        <v>6689.6</v>
      </c>
      <c r="R364" s="20">
        <v>117.69</v>
      </c>
      <c r="S364" s="20">
        <v>124.27</v>
      </c>
      <c r="T364" s="21">
        <v>128.5</v>
      </c>
      <c r="V364" s="1">
        <v>121.05</v>
      </c>
      <c r="W364" s="1">
        <v>130.16999999999999</v>
      </c>
      <c r="X364" s="1">
        <v>122.56</v>
      </c>
      <c r="Y364" s="1">
        <v>127.95</v>
      </c>
      <c r="Z364" s="1">
        <v>128.88999999999999</v>
      </c>
      <c r="AA364" s="1">
        <v>122</v>
      </c>
      <c r="AB364" s="1">
        <v>121.13</v>
      </c>
      <c r="AC364" s="1">
        <v>121.49</v>
      </c>
      <c r="AE364" s="1">
        <v>130.99</v>
      </c>
      <c r="AF364" s="1">
        <v>138.87</v>
      </c>
      <c r="AG364" s="1">
        <v>130.76</v>
      </c>
      <c r="AW364" s="1">
        <v>2649.36</v>
      </c>
      <c r="AX364" s="1">
        <v>127.9</v>
      </c>
      <c r="AY364" s="1">
        <v>2952.14</v>
      </c>
      <c r="AZ364" s="1">
        <v>3597.07</v>
      </c>
      <c r="BA364" s="1">
        <v>135.81</v>
      </c>
      <c r="BB364" s="1">
        <v>139.72999999999999</v>
      </c>
      <c r="BC364" s="1">
        <v>137.03</v>
      </c>
      <c r="BD364" s="1">
        <v>140.01</v>
      </c>
      <c r="BE364" s="1">
        <v>134.47999999999999</v>
      </c>
      <c r="BF364" s="1">
        <v>135.24</v>
      </c>
      <c r="BG364" s="1">
        <v>131.66999999999999</v>
      </c>
      <c r="BH364" s="1">
        <v>123.91</v>
      </c>
      <c r="BI364" s="1">
        <v>128.35</v>
      </c>
      <c r="BJ364" s="1">
        <v>131.97</v>
      </c>
      <c r="BL364" s="1">
        <v>125.55</v>
      </c>
      <c r="BN364" s="1">
        <v>124.34</v>
      </c>
    </row>
    <row r="365" spans="1:66" x14ac:dyDescent="0.3">
      <c r="A365" s="2"/>
      <c r="C365" s="14" t="str">
        <f t="shared" si="6"/>
        <v>202410</v>
      </c>
      <c r="D365" s="3">
        <v>45575</v>
      </c>
      <c r="E365" s="21">
        <v>2238.5500000000002</v>
      </c>
      <c r="F365" s="21">
        <v>2170.7600000000002</v>
      </c>
      <c r="G365" s="21">
        <v>2199.59</v>
      </c>
      <c r="H365" s="21">
        <v>2230.3200000000002</v>
      </c>
      <c r="I365" s="21">
        <v>2108.4299999999998</v>
      </c>
      <c r="J365" s="21">
        <v>2137.9299999999998</v>
      </c>
      <c r="K365" s="21">
        <v>2041.51</v>
      </c>
      <c r="L365" s="21">
        <v>2004.95</v>
      </c>
      <c r="M365" s="21">
        <v>1984.99</v>
      </c>
      <c r="N365" s="21">
        <v>2065.63</v>
      </c>
      <c r="O365" s="21">
        <v>2164.21</v>
      </c>
      <c r="P365" s="21">
        <v>2068.9699999999998</v>
      </c>
      <c r="Q365" s="21">
        <v>6639.6</v>
      </c>
      <c r="R365" s="20">
        <v>117.69</v>
      </c>
      <c r="S365" s="20">
        <v>124.8</v>
      </c>
      <c r="T365" s="21">
        <v>127.99</v>
      </c>
      <c r="V365" s="1">
        <v>120.91</v>
      </c>
      <c r="W365" s="1">
        <v>130.30000000000001</v>
      </c>
      <c r="X365" s="1">
        <v>121.39</v>
      </c>
      <c r="Y365" s="1">
        <v>128.84</v>
      </c>
      <c r="Z365" s="1">
        <v>128.72</v>
      </c>
      <c r="AA365" s="1">
        <v>122</v>
      </c>
      <c r="AB365" s="1">
        <v>120.74</v>
      </c>
      <c r="AC365" s="1">
        <v>121.16</v>
      </c>
      <c r="AE365" s="1">
        <v>130.97999999999999</v>
      </c>
      <c r="AF365" s="1">
        <v>138.87</v>
      </c>
      <c r="AG365" s="1">
        <v>130.69999999999999</v>
      </c>
      <c r="AI365" s="1">
        <v>30</v>
      </c>
      <c r="AN365" s="1">
        <v>3640.73</v>
      </c>
      <c r="AW365" s="1">
        <v>2649.36</v>
      </c>
      <c r="AX365" s="1">
        <v>128.88</v>
      </c>
      <c r="AY365" s="1">
        <v>2952.14</v>
      </c>
      <c r="BA365" s="1">
        <v>136.43</v>
      </c>
      <c r="BB365" s="1">
        <v>140.13</v>
      </c>
      <c r="BC365" s="1">
        <v>137.35</v>
      </c>
      <c r="BD365" s="1">
        <v>139.13</v>
      </c>
      <c r="BE365" s="1">
        <v>134.47</v>
      </c>
      <c r="BF365" s="1">
        <v>136.12</v>
      </c>
      <c r="BG365" s="1">
        <v>130.66999999999999</v>
      </c>
      <c r="BH365" s="1">
        <v>122.68</v>
      </c>
      <c r="BI365" s="1">
        <v>127.48</v>
      </c>
      <c r="BJ365" s="1">
        <v>134.03</v>
      </c>
      <c r="BL365" s="1">
        <v>125.75</v>
      </c>
      <c r="BN365" s="1">
        <v>124.34</v>
      </c>
    </row>
    <row r="366" spans="1:66" x14ac:dyDescent="0.3">
      <c r="A366" s="2"/>
      <c r="C366" s="14" t="str">
        <f t="shared" si="6"/>
        <v>202410</v>
      </c>
      <c r="D366" s="3">
        <v>45574</v>
      </c>
      <c r="E366" s="21">
        <v>2223.69</v>
      </c>
      <c r="F366" s="21">
        <v>2173.16</v>
      </c>
      <c r="G366" s="21">
        <v>2209.4899999999998</v>
      </c>
      <c r="H366" s="21">
        <v>2243.48</v>
      </c>
      <c r="I366" s="21">
        <v>2108.4299999999998</v>
      </c>
      <c r="J366" s="21">
        <v>2125.31</v>
      </c>
      <c r="K366" s="21">
        <v>2041.51</v>
      </c>
      <c r="L366" s="21">
        <v>1968.89</v>
      </c>
      <c r="M366" s="21">
        <v>1999.52</v>
      </c>
      <c r="N366" s="21">
        <v>2075.54</v>
      </c>
      <c r="O366" s="21">
        <v>2157.0700000000002</v>
      </c>
      <c r="P366" s="21">
        <v>2068.9699999999998</v>
      </c>
      <c r="Q366" s="21">
        <v>6639.6</v>
      </c>
      <c r="R366" s="20">
        <v>117.69</v>
      </c>
      <c r="S366" s="20">
        <v>123.94</v>
      </c>
      <c r="T366" s="21">
        <v>127.48</v>
      </c>
      <c r="V366" s="1">
        <v>121.89</v>
      </c>
      <c r="W366" s="1">
        <v>130.16999999999999</v>
      </c>
      <c r="X366" s="1">
        <v>120.96</v>
      </c>
      <c r="Y366" s="1">
        <v>128.47999999999999</v>
      </c>
      <c r="Z366" s="1">
        <v>128.72</v>
      </c>
      <c r="AA366" s="1">
        <v>122</v>
      </c>
      <c r="AB366" s="1">
        <v>120.07</v>
      </c>
      <c r="AC366" s="1">
        <v>120.82</v>
      </c>
      <c r="AE366" s="1">
        <v>130.35</v>
      </c>
      <c r="AF366" s="1">
        <v>138.87</v>
      </c>
      <c r="AG366" s="1">
        <v>131.61000000000001</v>
      </c>
      <c r="AI366" s="1">
        <v>30</v>
      </c>
      <c r="AN366" s="1">
        <v>3640.73</v>
      </c>
      <c r="AS366" s="1">
        <v>3229.69</v>
      </c>
      <c r="AW366" s="1">
        <v>2573.66</v>
      </c>
      <c r="AX366" s="1">
        <v>132.9</v>
      </c>
      <c r="BA366" s="1">
        <v>136.41999999999999</v>
      </c>
      <c r="BB366" s="1">
        <v>139.66999999999999</v>
      </c>
      <c r="BC366" s="1">
        <v>138.59</v>
      </c>
      <c r="BD366" s="1">
        <v>139.26</v>
      </c>
      <c r="BE366" s="1">
        <v>134.47</v>
      </c>
      <c r="BF366" s="1">
        <v>133.74</v>
      </c>
      <c r="BG366" s="1">
        <v>131.41</v>
      </c>
      <c r="BH366" s="1">
        <v>123.41</v>
      </c>
      <c r="BI366" s="1">
        <v>127.48</v>
      </c>
      <c r="BJ366" s="1">
        <v>134.21</v>
      </c>
      <c r="BL366" s="1">
        <v>125.75</v>
      </c>
      <c r="BN366" s="1">
        <v>125</v>
      </c>
    </row>
    <row r="367" spans="1:66" x14ac:dyDescent="0.3">
      <c r="A367" s="2"/>
      <c r="C367" s="14" t="str">
        <f t="shared" si="6"/>
        <v>202410</v>
      </c>
      <c r="D367" s="3">
        <v>45573</v>
      </c>
      <c r="E367" s="21">
        <v>2223.69</v>
      </c>
      <c r="F367" s="21">
        <v>2136.5300000000002</v>
      </c>
      <c r="G367" s="21">
        <v>2197.11</v>
      </c>
      <c r="H367" s="21">
        <v>2268.08</v>
      </c>
      <c r="I367" s="21">
        <v>2108.4299999999998</v>
      </c>
      <c r="J367" s="21">
        <v>2113.54</v>
      </c>
      <c r="K367" s="21">
        <v>2041.51</v>
      </c>
      <c r="L367" s="21">
        <v>1917.93</v>
      </c>
      <c r="M367" s="21">
        <v>2021.48</v>
      </c>
      <c r="N367" s="21">
        <v>2097.2199999999998</v>
      </c>
      <c r="O367" s="21">
        <v>2156.5100000000002</v>
      </c>
      <c r="P367" s="21">
        <v>2068.9699999999998</v>
      </c>
      <c r="Q367" s="21">
        <v>6614.6</v>
      </c>
      <c r="R367" s="20">
        <v>117.69</v>
      </c>
      <c r="S367" s="20">
        <v>123.94</v>
      </c>
      <c r="T367" s="21">
        <v>127.08</v>
      </c>
      <c r="V367" s="1">
        <v>122.55</v>
      </c>
      <c r="W367" s="1">
        <v>130.30000000000001</v>
      </c>
      <c r="X367" s="1">
        <v>120.96</v>
      </c>
      <c r="Y367" s="1">
        <v>127.95</v>
      </c>
      <c r="Z367" s="1">
        <v>129.72</v>
      </c>
      <c r="AA367" s="1">
        <v>121.84</v>
      </c>
      <c r="AB367" s="1">
        <v>120.5</v>
      </c>
      <c r="AC367" s="1">
        <v>122.93</v>
      </c>
      <c r="AE367" s="1">
        <v>130.6</v>
      </c>
      <c r="AF367" s="1">
        <v>139.18</v>
      </c>
      <c r="AG367" s="1">
        <v>130.99</v>
      </c>
      <c r="AP367" s="1">
        <v>3530</v>
      </c>
      <c r="AS367" s="1">
        <v>3229.69</v>
      </c>
      <c r="AW367" s="1">
        <v>2573.66</v>
      </c>
      <c r="AX367" s="1">
        <v>133.30000000000001</v>
      </c>
      <c r="BA367" s="1">
        <v>136.41999999999999</v>
      </c>
      <c r="BB367" s="1">
        <v>139.35</v>
      </c>
      <c r="BC367" s="1">
        <v>137.32</v>
      </c>
      <c r="BD367" s="1">
        <v>139.4</v>
      </c>
      <c r="BE367" s="1">
        <v>133.76</v>
      </c>
      <c r="BF367" s="1">
        <v>132.74</v>
      </c>
      <c r="BG367" s="1">
        <v>131.36000000000001</v>
      </c>
      <c r="BH367" s="1">
        <v>123.54</v>
      </c>
      <c r="BI367" s="1">
        <v>127.31</v>
      </c>
      <c r="BJ367" s="1">
        <v>133.30000000000001</v>
      </c>
      <c r="BK367" s="1">
        <v>125.07</v>
      </c>
      <c r="BL367" s="1">
        <v>125.35</v>
      </c>
      <c r="BN367" s="1">
        <v>125</v>
      </c>
    </row>
    <row r="368" spans="1:66" x14ac:dyDescent="0.3">
      <c r="A368" s="2"/>
      <c r="C368" s="14" t="str">
        <f t="shared" si="6"/>
        <v>202410</v>
      </c>
      <c r="D368" s="3">
        <v>45572</v>
      </c>
      <c r="E368" s="21">
        <v>2231.15</v>
      </c>
      <c r="F368" s="21">
        <v>2136.5300000000002</v>
      </c>
      <c r="G368" s="21">
        <v>2197.11</v>
      </c>
      <c r="H368" s="21">
        <v>2299.7399999999998</v>
      </c>
      <c r="I368" s="21">
        <v>2108.4299999999998</v>
      </c>
      <c r="J368" s="21">
        <v>2134.71</v>
      </c>
      <c r="K368" s="21">
        <v>2041.51</v>
      </c>
      <c r="L368" s="21">
        <v>1960.73</v>
      </c>
      <c r="M368" s="21">
        <v>2072.14</v>
      </c>
      <c r="N368" s="21">
        <v>2085.0100000000002</v>
      </c>
      <c r="O368" s="21">
        <v>2153.27</v>
      </c>
      <c r="P368" s="21">
        <v>2068.9699999999998</v>
      </c>
      <c r="Q368" s="21">
        <v>6589.83</v>
      </c>
      <c r="R368" s="20">
        <v>118.69</v>
      </c>
      <c r="S368" s="20">
        <v>123.91</v>
      </c>
      <c r="T368" s="21">
        <v>126.78</v>
      </c>
      <c r="V368" s="1">
        <v>122.79</v>
      </c>
      <c r="W368" s="1">
        <v>130.63999999999999</v>
      </c>
      <c r="X368" s="1">
        <v>121.71</v>
      </c>
      <c r="Y368" s="1">
        <v>127.98</v>
      </c>
      <c r="Z368" s="1">
        <v>129.38999999999999</v>
      </c>
      <c r="AA368" s="1">
        <v>126.2</v>
      </c>
      <c r="AB368" s="1">
        <v>121.07</v>
      </c>
      <c r="AC368" s="1">
        <v>123.07</v>
      </c>
      <c r="AE368" s="1">
        <v>131.1</v>
      </c>
      <c r="AF368" s="1">
        <v>137.84</v>
      </c>
      <c r="AG368" s="1">
        <v>130.26</v>
      </c>
      <c r="AP368" s="1">
        <v>3530</v>
      </c>
      <c r="AQ368" s="1">
        <v>3280.16</v>
      </c>
      <c r="AS368" s="1">
        <v>3229.69</v>
      </c>
      <c r="AU368" s="1">
        <v>3497.15</v>
      </c>
      <c r="AX368" s="1">
        <v>130.04</v>
      </c>
      <c r="BA368" s="1">
        <v>136.9</v>
      </c>
      <c r="BB368" s="1">
        <v>140.32</v>
      </c>
      <c r="BC368" s="1">
        <v>137.26</v>
      </c>
      <c r="BD368" s="1">
        <v>139.69999999999999</v>
      </c>
      <c r="BE368" s="1">
        <v>134.62</v>
      </c>
      <c r="BF368" s="1">
        <v>133.24</v>
      </c>
      <c r="BG368" s="1">
        <v>131.52000000000001</v>
      </c>
      <c r="BH368" s="1">
        <v>124.69</v>
      </c>
      <c r="BI368" s="1">
        <v>127.35</v>
      </c>
      <c r="BJ368" s="1">
        <v>133.28</v>
      </c>
      <c r="BK368" s="1">
        <v>125.07</v>
      </c>
      <c r="BL368" s="1">
        <v>125.56</v>
      </c>
      <c r="BN368" s="1">
        <v>125</v>
      </c>
    </row>
    <row r="369" spans="1:66" x14ac:dyDescent="0.3">
      <c r="A369" s="2"/>
      <c r="C369" s="14" t="str">
        <f t="shared" si="6"/>
        <v>202410</v>
      </c>
      <c r="D369" s="3">
        <v>45569</v>
      </c>
      <c r="E369" s="21">
        <v>2273.42</v>
      </c>
      <c r="F369" s="21">
        <v>2132.9299999999998</v>
      </c>
      <c r="G369" s="21">
        <v>2197.11</v>
      </c>
      <c r="H369" s="21">
        <v>2311.3200000000002</v>
      </c>
      <c r="I369" s="21">
        <v>2108.4299999999998</v>
      </c>
      <c r="J369" s="21">
        <v>2134.71</v>
      </c>
      <c r="K369" s="21">
        <v>2041.51</v>
      </c>
      <c r="L369" s="21">
        <v>2002.91</v>
      </c>
      <c r="M369" s="21">
        <v>2115.39</v>
      </c>
      <c r="N369" s="21">
        <v>2096.14</v>
      </c>
      <c r="O369" s="21">
        <v>2154.94</v>
      </c>
      <c r="P369" s="21">
        <v>2068.9699999999998</v>
      </c>
      <c r="Q369" s="21">
        <v>6589.83</v>
      </c>
      <c r="R369" s="20">
        <v>119.19</v>
      </c>
      <c r="S369" s="20">
        <v>124.91</v>
      </c>
      <c r="T369" s="21">
        <v>127.45</v>
      </c>
      <c r="V369" s="1">
        <v>122.67</v>
      </c>
      <c r="W369" s="1">
        <v>130.05000000000001</v>
      </c>
      <c r="X369" s="1">
        <v>121.71</v>
      </c>
      <c r="Y369" s="1">
        <v>129.08000000000001</v>
      </c>
      <c r="Z369" s="1">
        <v>129.38999999999999</v>
      </c>
      <c r="AA369" s="1">
        <v>126.81</v>
      </c>
      <c r="AB369" s="1">
        <v>121.07</v>
      </c>
      <c r="AC369" s="1">
        <v>122.49</v>
      </c>
      <c r="AE369" s="1">
        <v>131.1</v>
      </c>
      <c r="AF369" s="1">
        <v>137.96</v>
      </c>
      <c r="AG369" s="1">
        <v>130.09</v>
      </c>
      <c r="AN369" s="1">
        <v>3179.23</v>
      </c>
      <c r="AP369" s="1">
        <v>3530</v>
      </c>
      <c r="AQ369" s="1">
        <v>3280.16</v>
      </c>
      <c r="AS369" s="1">
        <v>3229.69</v>
      </c>
      <c r="AT369" s="1">
        <v>2932.84</v>
      </c>
      <c r="AU369" s="1">
        <v>3497.15</v>
      </c>
      <c r="AX369" s="1">
        <v>128.94999999999999</v>
      </c>
      <c r="AY369" s="1">
        <v>2957.19</v>
      </c>
      <c r="BA369" s="1">
        <v>138.37</v>
      </c>
      <c r="BB369" s="1">
        <v>140.51</v>
      </c>
      <c r="BC369" s="1">
        <v>137.96</v>
      </c>
      <c r="BD369" s="1">
        <v>141.13999999999999</v>
      </c>
      <c r="BE369" s="1">
        <v>135.09</v>
      </c>
      <c r="BF369" s="1">
        <v>134.74</v>
      </c>
      <c r="BG369" s="1">
        <v>132.04</v>
      </c>
      <c r="BH369" s="1">
        <v>124.1</v>
      </c>
      <c r="BI369" s="1">
        <v>127.35</v>
      </c>
      <c r="BJ369" s="1">
        <v>133.43</v>
      </c>
      <c r="BK369" s="1">
        <v>125.07</v>
      </c>
      <c r="BL369" s="1">
        <v>125.55</v>
      </c>
      <c r="BN369" s="1">
        <v>125</v>
      </c>
    </row>
    <row r="370" spans="1:66" x14ac:dyDescent="0.3">
      <c r="A370" s="2"/>
      <c r="C370" s="14" t="str">
        <f t="shared" si="6"/>
        <v>202410</v>
      </c>
      <c r="D370" s="3">
        <v>45568</v>
      </c>
      <c r="E370" s="21">
        <v>2285.85</v>
      </c>
      <c r="F370" s="21">
        <v>2141.04</v>
      </c>
      <c r="G370" s="21">
        <v>2197.11</v>
      </c>
      <c r="H370" s="21">
        <v>2346.14</v>
      </c>
      <c r="I370" s="21">
        <v>2104.4699999999998</v>
      </c>
      <c r="J370" s="21">
        <v>2130.29</v>
      </c>
      <c r="K370" s="21">
        <v>2041.51</v>
      </c>
      <c r="L370" s="21">
        <v>2024.31</v>
      </c>
      <c r="M370" s="21">
        <v>2131.0500000000002</v>
      </c>
      <c r="N370" s="21">
        <v>2083.81</v>
      </c>
      <c r="O370" s="21">
        <v>2137.71</v>
      </c>
      <c r="P370" s="21">
        <v>2068.9699999999998</v>
      </c>
      <c r="Q370" s="21">
        <v>6564.83</v>
      </c>
      <c r="R370" s="20">
        <v>118.69</v>
      </c>
      <c r="S370" s="20">
        <v>124.91</v>
      </c>
      <c r="T370" s="21">
        <v>127.14</v>
      </c>
      <c r="V370" s="1">
        <v>122.71</v>
      </c>
      <c r="W370" s="1">
        <v>128.80000000000001</v>
      </c>
      <c r="X370" s="1">
        <v>121.71</v>
      </c>
      <c r="Y370" s="1">
        <v>127.95</v>
      </c>
      <c r="Z370" s="1">
        <v>128.88999999999999</v>
      </c>
      <c r="AA370" s="1">
        <v>126.68</v>
      </c>
      <c r="AB370" s="1">
        <v>121.07</v>
      </c>
      <c r="AC370" s="1">
        <v>123.79</v>
      </c>
      <c r="AE370" s="1">
        <v>130.6</v>
      </c>
      <c r="AF370" s="1">
        <v>137.13999999999999</v>
      </c>
      <c r="AG370" s="1">
        <v>130.1</v>
      </c>
      <c r="AN370" s="1">
        <v>3179.23</v>
      </c>
      <c r="AP370" s="1">
        <v>3530</v>
      </c>
      <c r="AQ370" s="1">
        <v>3280.16</v>
      </c>
      <c r="AS370" s="1">
        <v>3229.69</v>
      </c>
      <c r="AT370" s="1">
        <v>2932.84</v>
      </c>
      <c r="AU370" s="1">
        <v>3497.15</v>
      </c>
      <c r="AX370" s="1">
        <v>128.94</v>
      </c>
      <c r="AY370" s="1">
        <v>2957.19</v>
      </c>
      <c r="BA370" s="1">
        <v>135.21</v>
      </c>
      <c r="BB370" s="1">
        <v>139.69999999999999</v>
      </c>
      <c r="BC370" s="1">
        <v>138.19</v>
      </c>
      <c r="BD370" s="1">
        <v>140.16999999999999</v>
      </c>
      <c r="BE370" s="1">
        <v>135.09</v>
      </c>
      <c r="BF370" s="1">
        <v>134.74</v>
      </c>
      <c r="BG370" s="1">
        <v>131.87</v>
      </c>
      <c r="BH370" s="1">
        <v>125.44</v>
      </c>
      <c r="BI370" s="1">
        <v>127.11</v>
      </c>
      <c r="BJ370" s="1">
        <v>133.81</v>
      </c>
      <c r="BK370" s="1">
        <v>120.41</v>
      </c>
      <c r="BL370" s="1">
        <v>123.85</v>
      </c>
      <c r="BN370" s="1">
        <v>122.5</v>
      </c>
    </row>
    <row r="371" spans="1:66" x14ac:dyDescent="0.3">
      <c r="A371" s="2"/>
      <c r="C371" s="14" t="str">
        <f t="shared" si="6"/>
        <v>202410</v>
      </c>
      <c r="D371" s="3">
        <v>45567</v>
      </c>
      <c r="E371" s="21">
        <v>2285.85</v>
      </c>
      <c r="F371" s="21">
        <v>2141.04</v>
      </c>
      <c r="G371" s="21">
        <v>2197.11</v>
      </c>
      <c r="H371" s="21">
        <v>2361.61</v>
      </c>
      <c r="I371" s="21">
        <v>2104.4699999999998</v>
      </c>
      <c r="J371" s="21">
        <v>2142.48</v>
      </c>
      <c r="K371" s="21">
        <v>2041.51</v>
      </c>
      <c r="L371" s="21">
        <v>2024.31</v>
      </c>
      <c r="M371" s="21">
        <v>2114.85</v>
      </c>
      <c r="N371" s="21">
        <v>2092.62</v>
      </c>
      <c r="O371" s="21">
        <v>2131.1799999999998</v>
      </c>
      <c r="P371" s="21">
        <v>2068.9699999999998</v>
      </c>
      <c r="Q371" s="21">
        <v>6564.83</v>
      </c>
      <c r="R371" s="20">
        <v>118.19</v>
      </c>
      <c r="S371" s="20">
        <v>124.41</v>
      </c>
      <c r="T371" s="21">
        <v>125.99</v>
      </c>
      <c r="V371" s="1">
        <v>122.91</v>
      </c>
      <c r="W371" s="1">
        <v>129.18</v>
      </c>
      <c r="X371" s="1">
        <v>121.95</v>
      </c>
      <c r="Y371" s="1">
        <v>127.76</v>
      </c>
      <c r="Z371" s="1">
        <v>128.05000000000001</v>
      </c>
      <c r="AA371" s="1">
        <v>126.35</v>
      </c>
      <c r="AB371" s="1">
        <v>121.27</v>
      </c>
      <c r="AC371" s="1">
        <v>123.64</v>
      </c>
      <c r="AE371" s="1">
        <v>131.31</v>
      </c>
      <c r="AF371" s="1">
        <v>136.72999999999999</v>
      </c>
      <c r="AG371" s="1">
        <v>129.9</v>
      </c>
      <c r="AN371" s="1">
        <v>3179.23</v>
      </c>
      <c r="AP371" s="1">
        <v>3530</v>
      </c>
      <c r="AQ371" s="1">
        <v>3280.16</v>
      </c>
      <c r="AT371" s="1">
        <v>2932.84</v>
      </c>
      <c r="AU371" s="1">
        <v>3497.15</v>
      </c>
      <c r="AX371" s="1">
        <v>128.63999999999999</v>
      </c>
      <c r="AY371" s="1">
        <v>2957.19</v>
      </c>
      <c r="AZ371" s="1">
        <v>3280.16</v>
      </c>
      <c r="BA371" s="1">
        <v>133.38</v>
      </c>
      <c r="BB371" s="1">
        <v>139.41</v>
      </c>
      <c r="BC371" s="1">
        <v>136.72</v>
      </c>
      <c r="BD371" s="1">
        <v>139.52000000000001</v>
      </c>
      <c r="BE371" s="1">
        <v>135.58000000000001</v>
      </c>
      <c r="BF371" s="1">
        <v>134.24</v>
      </c>
      <c r="BG371" s="1">
        <v>131.27000000000001</v>
      </c>
      <c r="BH371" s="1">
        <v>125.44</v>
      </c>
      <c r="BI371" s="1">
        <v>127.11</v>
      </c>
      <c r="BJ371" s="1">
        <v>133.79</v>
      </c>
      <c r="BK371" s="1">
        <v>120.41</v>
      </c>
      <c r="BL371" s="1">
        <v>123.85</v>
      </c>
      <c r="BN371" s="1">
        <v>122.5</v>
      </c>
    </row>
    <row r="372" spans="1:66" x14ac:dyDescent="0.3">
      <c r="A372" s="2"/>
      <c r="C372" s="14" t="str">
        <f t="shared" si="6"/>
        <v>202410</v>
      </c>
      <c r="D372" s="3">
        <v>45566</v>
      </c>
      <c r="E372" s="21">
        <v>2285.85</v>
      </c>
      <c r="F372" s="21">
        <v>2141.04</v>
      </c>
      <c r="G372" s="21">
        <v>2197.11</v>
      </c>
      <c r="H372" s="21">
        <v>2445.16</v>
      </c>
      <c r="I372" s="21">
        <v>2104.4699999999998</v>
      </c>
      <c r="J372" s="21">
        <v>2150.94</v>
      </c>
      <c r="K372" s="21">
        <v>2041.51</v>
      </c>
      <c r="L372" s="21">
        <v>2076.56</v>
      </c>
      <c r="M372" s="21">
        <v>2099.6</v>
      </c>
      <c r="N372" s="21">
        <v>2082.2199999999998</v>
      </c>
      <c r="O372" s="21">
        <v>2091.2800000000002</v>
      </c>
      <c r="P372" s="21">
        <v>2068.9699999999998</v>
      </c>
      <c r="Q372" s="21">
        <v>6589.83</v>
      </c>
      <c r="R372" s="20">
        <v>120.19</v>
      </c>
      <c r="S372" s="20">
        <v>122.83</v>
      </c>
      <c r="T372" s="21">
        <v>125.82</v>
      </c>
      <c r="V372" s="1">
        <v>122.39</v>
      </c>
      <c r="X372" s="1">
        <v>123.93</v>
      </c>
      <c r="Y372" s="1">
        <v>126.78</v>
      </c>
      <c r="Z372" s="1">
        <v>127.22</v>
      </c>
      <c r="AA372" s="1">
        <v>127.02</v>
      </c>
      <c r="AB372" s="1">
        <v>121.95</v>
      </c>
      <c r="AC372" s="1">
        <v>123.19</v>
      </c>
      <c r="AE372" s="1">
        <v>131.69999999999999</v>
      </c>
      <c r="AF372" s="1">
        <v>136.77000000000001</v>
      </c>
      <c r="AG372" s="1">
        <v>129.81</v>
      </c>
      <c r="AN372" s="1">
        <v>3179.23</v>
      </c>
      <c r="AQ372" s="1">
        <v>3280.16</v>
      </c>
      <c r="AT372" s="1">
        <v>2932.84</v>
      </c>
      <c r="AU372" s="1">
        <v>3497.15</v>
      </c>
      <c r="AX372" s="1">
        <v>128.53</v>
      </c>
      <c r="AY372" s="1">
        <v>2957.19</v>
      </c>
      <c r="AZ372" s="1">
        <v>3280.16</v>
      </c>
      <c r="BA372" s="1">
        <v>132.13999999999999</v>
      </c>
      <c r="BB372" s="1">
        <v>138.86000000000001</v>
      </c>
      <c r="BC372" s="1">
        <v>135.63999999999999</v>
      </c>
      <c r="BD372" s="1">
        <v>139.44</v>
      </c>
      <c r="BE372" s="1">
        <v>136.22</v>
      </c>
      <c r="BF372" s="1">
        <v>135.72999999999999</v>
      </c>
      <c r="BG372" s="1">
        <v>131.87</v>
      </c>
      <c r="BH372" s="1">
        <v>125.44</v>
      </c>
      <c r="BI372" s="1">
        <v>127.23</v>
      </c>
      <c r="BJ372" s="1">
        <v>133.38</v>
      </c>
      <c r="BK372" s="1">
        <v>120.17</v>
      </c>
      <c r="BL372" s="1">
        <v>123.25</v>
      </c>
      <c r="BN372" s="1">
        <v>121.84</v>
      </c>
    </row>
    <row r="373" spans="1:66" x14ac:dyDescent="0.3">
      <c r="A373" s="2"/>
      <c r="C373" s="14" t="str">
        <f t="shared" si="6"/>
        <v>20249</v>
      </c>
      <c r="D373" s="3">
        <v>45565</v>
      </c>
      <c r="E373" s="21">
        <v>2299.75</v>
      </c>
      <c r="F373" s="21">
        <v>2151.79</v>
      </c>
      <c r="G373" s="21">
        <v>2198.89</v>
      </c>
      <c r="H373" s="21">
        <v>2427.12</v>
      </c>
      <c r="I373" s="21">
        <v>2106.17</v>
      </c>
      <c r="J373" s="21">
        <v>2124.5100000000002</v>
      </c>
      <c r="K373" s="21">
        <v>2042.25</v>
      </c>
      <c r="L373" s="21">
        <v>2083.9299999999998</v>
      </c>
      <c r="M373" s="21">
        <v>1994.33</v>
      </c>
      <c r="N373" s="21">
        <v>2037.73</v>
      </c>
      <c r="O373" s="21">
        <v>2028.71</v>
      </c>
      <c r="P373" s="21">
        <v>2052.88</v>
      </c>
      <c r="Q373" s="21">
        <v>6591.15</v>
      </c>
      <c r="R373" s="20">
        <v>120.21</v>
      </c>
      <c r="S373" s="20">
        <v>124.83</v>
      </c>
      <c r="T373" s="21">
        <v>125.89</v>
      </c>
      <c r="V373" s="1">
        <v>122.12</v>
      </c>
      <c r="X373" s="1">
        <v>122.72</v>
      </c>
      <c r="Y373" s="1">
        <v>126.79</v>
      </c>
      <c r="Z373" s="1">
        <v>127.23</v>
      </c>
      <c r="AA373" s="1">
        <v>123.96</v>
      </c>
      <c r="AB373" s="1">
        <v>121.96</v>
      </c>
      <c r="AC373" s="1">
        <v>121.84</v>
      </c>
      <c r="AE373" s="1">
        <v>131.38</v>
      </c>
      <c r="AF373" s="1">
        <v>134.37</v>
      </c>
      <c r="AG373" s="1">
        <v>131.74</v>
      </c>
      <c r="AN373" s="1">
        <v>3176.68</v>
      </c>
      <c r="AP373" s="1">
        <v>3605</v>
      </c>
      <c r="AV373" s="1">
        <v>30</v>
      </c>
      <c r="AW373" s="1">
        <v>2615.02</v>
      </c>
      <c r="AX373" s="1">
        <v>128.07</v>
      </c>
      <c r="AY373" s="1">
        <v>2954.81</v>
      </c>
      <c r="AZ373" s="1">
        <v>3277.52</v>
      </c>
      <c r="BA373" s="1">
        <v>134.31</v>
      </c>
      <c r="BB373" s="1">
        <v>138.44999999999999</v>
      </c>
      <c r="BC373" s="1">
        <v>136.77000000000001</v>
      </c>
      <c r="BD373" s="1">
        <v>139.9</v>
      </c>
      <c r="BE373" s="1">
        <v>136.28</v>
      </c>
      <c r="BF373" s="1">
        <v>135.76</v>
      </c>
      <c r="BG373" s="1">
        <v>131.91999999999999</v>
      </c>
      <c r="BH373" s="1">
        <v>124.81</v>
      </c>
      <c r="BI373" s="1">
        <v>127.13</v>
      </c>
      <c r="BJ373" s="1">
        <v>133.47</v>
      </c>
      <c r="BK373" s="1">
        <v>120.19</v>
      </c>
      <c r="BL373" s="1">
        <v>123.27</v>
      </c>
      <c r="BN373" s="1">
        <v>121.91</v>
      </c>
    </row>
    <row r="374" spans="1:66" x14ac:dyDescent="0.3">
      <c r="A374" s="2"/>
      <c r="C374" s="14" t="str">
        <f t="shared" si="6"/>
        <v>20249</v>
      </c>
      <c r="D374" s="3">
        <v>45562</v>
      </c>
      <c r="E374" s="21">
        <v>2239.8000000000002</v>
      </c>
      <c r="F374" s="21">
        <v>2181.54</v>
      </c>
      <c r="G374" s="21">
        <v>2174.1</v>
      </c>
      <c r="H374" s="21">
        <v>2364.41</v>
      </c>
      <c r="I374" s="21">
        <v>2098.2399999999998</v>
      </c>
      <c r="J374" s="21">
        <v>2131.1799999999998</v>
      </c>
      <c r="K374" s="21">
        <v>2042.25</v>
      </c>
      <c r="L374" s="21">
        <v>2043.08</v>
      </c>
      <c r="M374" s="21">
        <v>2028.37</v>
      </c>
      <c r="N374" s="21">
        <v>2030.4</v>
      </c>
      <c r="O374" s="21">
        <v>2067</v>
      </c>
      <c r="P374" s="21">
        <v>2052.88</v>
      </c>
      <c r="Q374" s="21">
        <v>6466.15</v>
      </c>
      <c r="R374" s="20">
        <v>119.21</v>
      </c>
      <c r="S374" s="20">
        <v>123.03</v>
      </c>
      <c r="T374" s="21">
        <v>125.82</v>
      </c>
      <c r="V374" s="1">
        <v>122.47</v>
      </c>
      <c r="X374" s="1">
        <v>122.11</v>
      </c>
      <c r="Y374" s="1">
        <v>126.27</v>
      </c>
      <c r="Z374" s="1">
        <v>126.91</v>
      </c>
      <c r="AA374" s="1">
        <v>123.49</v>
      </c>
      <c r="AB374" s="1">
        <v>121.71</v>
      </c>
      <c r="AE374" s="1">
        <v>130.63</v>
      </c>
      <c r="AF374" s="1">
        <v>136.33000000000001</v>
      </c>
      <c r="AG374" s="1">
        <v>129.49</v>
      </c>
      <c r="AP374" s="1">
        <v>3605</v>
      </c>
      <c r="AQ374" s="1">
        <v>3403.58</v>
      </c>
      <c r="AT374" s="1">
        <v>2591.77</v>
      </c>
      <c r="AV374" s="1">
        <v>30</v>
      </c>
      <c r="AW374" s="1">
        <v>2615.02</v>
      </c>
      <c r="AX374" s="1">
        <v>128.04</v>
      </c>
      <c r="AZ374" s="1">
        <v>3277.52</v>
      </c>
      <c r="BA374" s="1">
        <v>132.68</v>
      </c>
      <c r="BB374" s="1">
        <v>138.61000000000001</v>
      </c>
      <c r="BC374" s="1">
        <v>136.16999999999999</v>
      </c>
      <c r="BD374" s="1">
        <v>139.44999999999999</v>
      </c>
      <c r="BE374" s="1">
        <v>137.04</v>
      </c>
      <c r="BF374" s="1">
        <v>137.47</v>
      </c>
      <c r="BG374" s="1">
        <v>131.88999999999999</v>
      </c>
      <c r="BH374" s="1">
        <v>126.3</v>
      </c>
      <c r="BI374" s="1">
        <v>126.75</v>
      </c>
      <c r="BJ374" s="1">
        <v>133.41999999999999</v>
      </c>
      <c r="BK374" s="1">
        <v>119.94</v>
      </c>
      <c r="BL374" s="1">
        <v>121.47</v>
      </c>
      <c r="BN374" s="1">
        <v>121.25</v>
      </c>
    </row>
    <row r="375" spans="1:66" x14ac:dyDescent="0.3">
      <c r="A375" s="2"/>
      <c r="C375" s="14" t="str">
        <f t="shared" si="6"/>
        <v>20249</v>
      </c>
      <c r="D375" s="3">
        <v>45561</v>
      </c>
      <c r="E375" s="21">
        <v>2237.64</v>
      </c>
      <c r="F375" s="21">
        <v>2166.66</v>
      </c>
      <c r="G375" s="21">
        <v>2174.1</v>
      </c>
      <c r="H375" s="21">
        <v>2365.0500000000002</v>
      </c>
      <c r="I375" s="21">
        <v>2131.96</v>
      </c>
      <c r="J375" s="21">
        <v>2131.1799999999998</v>
      </c>
      <c r="K375" s="21">
        <v>2042.25</v>
      </c>
      <c r="L375" s="21">
        <v>2050.02</v>
      </c>
      <c r="M375" s="21">
        <v>2028.14</v>
      </c>
      <c r="N375" s="21">
        <v>2031.77</v>
      </c>
      <c r="O375" s="21">
        <v>2034.84</v>
      </c>
      <c r="P375" s="21">
        <v>2052.88</v>
      </c>
      <c r="Q375" s="21">
        <v>6466.15</v>
      </c>
      <c r="R375" s="20">
        <v>120.21</v>
      </c>
      <c r="S375" s="20">
        <v>123.77</v>
      </c>
      <c r="T375" s="21">
        <v>125.82</v>
      </c>
      <c r="V375" s="1">
        <v>123.02</v>
      </c>
      <c r="X375" s="1">
        <v>122.59</v>
      </c>
      <c r="Y375" s="1">
        <v>126.23</v>
      </c>
      <c r="Z375" s="1">
        <v>126.49</v>
      </c>
      <c r="AA375" s="1">
        <v>124.11</v>
      </c>
      <c r="AB375" s="1">
        <v>121.67</v>
      </c>
      <c r="AE375" s="1">
        <v>130.88</v>
      </c>
      <c r="AF375" s="1">
        <v>135.04</v>
      </c>
      <c r="AG375" s="1">
        <v>128.62</v>
      </c>
      <c r="AP375" s="1">
        <v>3605</v>
      </c>
      <c r="AQ375" s="1">
        <v>3403.58</v>
      </c>
      <c r="AT375" s="1">
        <v>2591.77</v>
      </c>
      <c r="AV375" s="1">
        <v>30</v>
      </c>
      <c r="AW375" s="1">
        <v>2615.02</v>
      </c>
      <c r="AX375" s="1">
        <v>128.29</v>
      </c>
      <c r="AY375" s="1">
        <v>3106.09</v>
      </c>
      <c r="AZ375" s="1">
        <v>3277.52</v>
      </c>
      <c r="BA375" s="1">
        <v>130.24</v>
      </c>
      <c r="BB375" s="1">
        <v>138.47</v>
      </c>
      <c r="BC375" s="1">
        <v>135.24</v>
      </c>
      <c r="BD375" s="1">
        <v>140.16</v>
      </c>
      <c r="BE375" s="1">
        <v>137.15</v>
      </c>
      <c r="BF375" s="1">
        <v>135.26</v>
      </c>
      <c r="BG375" s="1">
        <v>131.71</v>
      </c>
      <c r="BH375" s="1">
        <v>126.97</v>
      </c>
      <c r="BI375" s="1">
        <v>126.9</v>
      </c>
      <c r="BJ375" s="1">
        <v>133.61000000000001</v>
      </c>
      <c r="BK375" s="1">
        <v>119.57</v>
      </c>
      <c r="BL375" s="1">
        <v>121.38</v>
      </c>
      <c r="BN375" s="1">
        <v>120.09</v>
      </c>
    </row>
    <row r="376" spans="1:66" x14ac:dyDescent="0.3">
      <c r="A376" s="2"/>
      <c r="C376" s="14" t="str">
        <f t="shared" si="6"/>
        <v>20249</v>
      </c>
      <c r="D376" s="3">
        <v>45560</v>
      </c>
      <c r="E376" s="21">
        <v>2225.1999999999998</v>
      </c>
      <c r="F376" s="21">
        <v>2141.87</v>
      </c>
      <c r="G376" s="21">
        <v>2155.09</v>
      </c>
      <c r="H376" s="21">
        <v>2357.34</v>
      </c>
      <c r="I376" s="21">
        <v>2131.96</v>
      </c>
      <c r="J376" s="21">
        <v>2140.98</v>
      </c>
      <c r="K376" s="21">
        <v>2042.25</v>
      </c>
      <c r="L376" s="21">
        <v>2048.88</v>
      </c>
      <c r="M376" s="21">
        <v>2041.63</v>
      </c>
      <c r="N376" s="21">
        <v>2056.04</v>
      </c>
      <c r="O376" s="21">
        <v>2035.34</v>
      </c>
      <c r="P376" s="21">
        <v>2052.88</v>
      </c>
      <c r="Q376" s="21">
        <v>6466.15</v>
      </c>
      <c r="R376" s="20">
        <v>120.21</v>
      </c>
      <c r="S376" s="20">
        <v>123.6</v>
      </c>
      <c r="T376" s="21">
        <v>124.67</v>
      </c>
      <c r="V376" s="1">
        <v>122.58</v>
      </c>
      <c r="X376" s="1">
        <v>121.72</v>
      </c>
      <c r="Y376" s="1">
        <v>125.51</v>
      </c>
      <c r="Z376" s="1">
        <v>126.23</v>
      </c>
      <c r="AA376" s="1">
        <v>123.47</v>
      </c>
      <c r="AB376" s="1">
        <v>120.52</v>
      </c>
      <c r="AE376" s="1">
        <v>131.13</v>
      </c>
      <c r="AF376" s="1">
        <v>132.62</v>
      </c>
      <c r="AG376" s="1">
        <v>127.93</v>
      </c>
      <c r="AJ376" s="1">
        <v>30</v>
      </c>
      <c r="AP376" s="1">
        <v>3605</v>
      </c>
      <c r="AQ376" s="1">
        <v>3403.58</v>
      </c>
      <c r="AR376" s="1">
        <v>2875</v>
      </c>
      <c r="AT376" s="1">
        <v>2591.77</v>
      </c>
      <c r="AV376" s="1">
        <v>30</v>
      </c>
      <c r="AW376" s="1">
        <v>2615.02</v>
      </c>
      <c r="AX376" s="1">
        <v>128.6</v>
      </c>
      <c r="AY376" s="1">
        <v>3106.09</v>
      </c>
      <c r="BA376" s="1">
        <v>130.24</v>
      </c>
      <c r="BB376" s="1">
        <v>138.07</v>
      </c>
      <c r="BC376" s="1">
        <v>133.53</v>
      </c>
      <c r="BD376" s="1">
        <v>139.16999999999999</v>
      </c>
      <c r="BE376" s="1">
        <v>135.65</v>
      </c>
      <c r="BF376" s="1">
        <v>134.76</v>
      </c>
      <c r="BG376" s="1">
        <v>131.71</v>
      </c>
      <c r="BI376" s="1">
        <v>126.51</v>
      </c>
      <c r="BJ376" s="1">
        <v>133.59</v>
      </c>
      <c r="BK376" s="1">
        <v>119.57</v>
      </c>
      <c r="BL376" s="1">
        <v>120.78</v>
      </c>
      <c r="BN376" s="1">
        <v>120.09</v>
      </c>
    </row>
    <row r="377" spans="1:66" x14ac:dyDescent="0.3">
      <c r="A377" s="2"/>
      <c r="C377" s="14" t="str">
        <f t="shared" si="6"/>
        <v>20249</v>
      </c>
      <c r="D377" s="3">
        <v>45559</v>
      </c>
      <c r="E377" s="21">
        <v>2252.5700000000002</v>
      </c>
      <c r="F377" s="21">
        <v>2133.7600000000002</v>
      </c>
      <c r="G377" s="21">
        <v>2161.6999999999998</v>
      </c>
      <c r="H377" s="21">
        <v>2413.04</v>
      </c>
      <c r="I377" s="21">
        <v>2090.31</v>
      </c>
      <c r="J377" s="21">
        <v>2134.56</v>
      </c>
      <c r="K377" s="21">
        <v>2042.25</v>
      </c>
      <c r="L377" s="21">
        <v>2108.14</v>
      </c>
      <c r="M377" s="21">
        <v>2056.2800000000002</v>
      </c>
      <c r="N377" s="21">
        <v>2116.94</v>
      </c>
      <c r="O377" s="21">
        <v>2054.86</v>
      </c>
      <c r="P377" s="21">
        <v>2052.88</v>
      </c>
      <c r="Q377" s="21">
        <v>6416.57</v>
      </c>
      <c r="R377" s="20">
        <v>121.21</v>
      </c>
      <c r="S377" s="20">
        <v>118.93</v>
      </c>
      <c r="T377" s="21">
        <v>124.65</v>
      </c>
      <c r="V377" s="1">
        <v>122.55</v>
      </c>
      <c r="X377" s="1">
        <v>122.34</v>
      </c>
      <c r="Y377" s="1">
        <v>125.86</v>
      </c>
      <c r="Z377" s="1">
        <v>126.4</v>
      </c>
      <c r="AA377" s="1">
        <v>124.03</v>
      </c>
      <c r="AB377" s="1">
        <v>121.59</v>
      </c>
      <c r="AC377" s="1">
        <v>122.76</v>
      </c>
      <c r="AE377" s="1">
        <v>131.13</v>
      </c>
      <c r="AF377" s="1">
        <v>132.5</v>
      </c>
      <c r="AG377" s="1">
        <v>128.72</v>
      </c>
      <c r="AJ377" s="1">
        <v>30</v>
      </c>
      <c r="AP377" s="1">
        <v>3605</v>
      </c>
      <c r="AR377" s="1">
        <v>2875</v>
      </c>
      <c r="AT377" s="1">
        <v>2591.77</v>
      </c>
      <c r="AW377" s="1">
        <v>2541.34</v>
      </c>
      <c r="AX377" s="1">
        <v>127.16</v>
      </c>
      <c r="AY377" s="1">
        <v>3106.09</v>
      </c>
      <c r="AZ377" s="1">
        <v>3388.46</v>
      </c>
      <c r="BA377" s="1">
        <v>128.37</v>
      </c>
      <c r="BB377" s="1">
        <v>138.97999999999999</v>
      </c>
      <c r="BC377" s="1">
        <v>135.05000000000001</v>
      </c>
      <c r="BD377" s="1">
        <v>138.87</v>
      </c>
      <c r="BE377" s="1">
        <v>135.5</v>
      </c>
      <c r="BF377" s="1">
        <v>135.26</v>
      </c>
      <c r="BG377" s="1">
        <v>132.52000000000001</v>
      </c>
      <c r="BH377" s="1">
        <v>122.57</v>
      </c>
      <c r="BI377" s="1">
        <v>126.88</v>
      </c>
      <c r="BJ377" s="1">
        <v>133.77000000000001</v>
      </c>
      <c r="BK377" s="1">
        <v>119.57</v>
      </c>
      <c r="BL377" s="1">
        <v>121.25</v>
      </c>
      <c r="BN377" s="1">
        <v>120.09</v>
      </c>
    </row>
    <row r="378" spans="1:66" x14ac:dyDescent="0.3">
      <c r="A378" s="2"/>
      <c r="C378" s="14" t="str">
        <f t="shared" si="6"/>
        <v>20249</v>
      </c>
      <c r="D378" s="3">
        <v>45558</v>
      </c>
      <c r="E378" s="21">
        <v>2257.54</v>
      </c>
      <c r="F378" s="21">
        <v>2131.96</v>
      </c>
      <c r="G378" s="21">
        <v>2161.6999999999998</v>
      </c>
      <c r="H378" s="21">
        <v>2413.04</v>
      </c>
      <c r="I378" s="21">
        <v>2090.31</v>
      </c>
      <c r="J378" s="21">
        <v>2121.85</v>
      </c>
      <c r="K378" s="21">
        <v>2052.23</v>
      </c>
      <c r="L378" s="21">
        <v>2046.61</v>
      </c>
      <c r="M378" s="21"/>
      <c r="N378" s="21">
        <v>2099.3200000000002</v>
      </c>
      <c r="O378" s="21">
        <v>2066.3200000000002</v>
      </c>
      <c r="P378" s="21">
        <v>2052.88</v>
      </c>
      <c r="Q378" s="21">
        <v>6416.57</v>
      </c>
      <c r="R378" s="20">
        <v>118.72</v>
      </c>
      <c r="S378" s="20">
        <v>115.98</v>
      </c>
      <c r="T378" s="21">
        <v>124.89</v>
      </c>
      <c r="V378" s="1">
        <v>122.04</v>
      </c>
      <c r="X378" s="1">
        <v>120.25</v>
      </c>
      <c r="Y378" s="1">
        <v>124.68</v>
      </c>
      <c r="Z378" s="1">
        <v>125.73</v>
      </c>
      <c r="AA378" s="1">
        <v>122.85</v>
      </c>
      <c r="AB378" s="1">
        <v>120.57</v>
      </c>
      <c r="AC378" s="1">
        <v>118.76</v>
      </c>
      <c r="AE378" s="1">
        <v>130.13999999999999</v>
      </c>
      <c r="AF378" s="1">
        <v>133.03</v>
      </c>
      <c r="AG378" s="1">
        <v>127.78</v>
      </c>
      <c r="AJ378" s="1">
        <v>30</v>
      </c>
      <c r="AQ378" s="1">
        <v>3146.42</v>
      </c>
      <c r="AR378" s="1">
        <v>2875</v>
      </c>
      <c r="AS378" s="1">
        <v>3199.37</v>
      </c>
      <c r="AX378" s="1">
        <v>125.19</v>
      </c>
      <c r="AY378" s="1">
        <v>3126.25</v>
      </c>
      <c r="AZ378" s="1">
        <v>3353.16</v>
      </c>
      <c r="BA378" s="1">
        <v>129.47</v>
      </c>
      <c r="BB378" s="1">
        <v>137.30000000000001</v>
      </c>
      <c r="BC378" s="1">
        <v>134.63999999999999</v>
      </c>
      <c r="BD378" s="1">
        <v>135.12</v>
      </c>
      <c r="BE378" s="1">
        <v>136.55000000000001</v>
      </c>
      <c r="BF378" s="1">
        <v>134.26</v>
      </c>
      <c r="BG378" s="1">
        <v>133.12</v>
      </c>
      <c r="BH378" s="1">
        <v>120.53</v>
      </c>
      <c r="BI378" s="1">
        <v>125.51</v>
      </c>
      <c r="BJ378" s="1">
        <v>133.76</v>
      </c>
      <c r="BK378" s="1">
        <v>119.82</v>
      </c>
      <c r="BL378" s="1">
        <v>120.74</v>
      </c>
      <c r="BN378" s="1">
        <v>120.75</v>
      </c>
    </row>
    <row r="379" spans="1:66" x14ac:dyDescent="0.3">
      <c r="A379" s="2"/>
      <c r="C379" s="14" t="str">
        <f t="shared" si="6"/>
        <v>20249</v>
      </c>
      <c r="D379" s="3">
        <v>45555</v>
      </c>
      <c r="E379" s="21">
        <v>2220.2199999999998</v>
      </c>
      <c r="F379" s="21">
        <v>2088.69</v>
      </c>
      <c r="G379" s="21">
        <v>2149.31</v>
      </c>
      <c r="H379" s="21">
        <v>2354.6799999999998</v>
      </c>
      <c r="I379" s="21">
        <v>2074.44</v>
      </c>
      <c r="J379" s="21">
        <v>2116.34</v>
      </c>
      <c r="K379" s="21">
        <v>2052.23</v>
      </c>
      <c r="L379" s="21">
        <v>2128.14</v>
      </c>
      <c r="M379" s="21"/>
      <c r="N379" s="21">
        <v>2084.3200000000002</v>
      </c>
      <c r="O379" s="21">
        <v>2077.4699999999998</v>
      </c>
      <c r="P379" s="21">
        <v>2042.08</v>
      </c>
      <c r="Q379" s="21">
        <v>6316.57</v>
      </c>
      <c r="R379" s="20">
        <v>118.72</v>
      </c>
      <c r="S379" s="20">
        <v>115.39</v>
      </c>
      <c r="T379" s="21">
        <v>123.79</v>
      </c>
      <c r="V379" s="1">
        <v>120.97</v>
      </c>
      <c r="X379" s="1">
        <v>119.66</v>
      </c>
      <c r="Y379" s="1">
        <v>123.11</v>
      </c>
      <c r="Z379" s="1">
        <v>124.23</v>
      </c>
      <c r="AA379" s="1">
        <v>121.49</v>
      </c>
      <c r="AB379" s="1">
        <v>119.24</v>
      </c>
      <c r="AC379" s="1">
        <v>118.76</v>
      </c>
      <c r="AE379" s="1">
        <v>130.19999999999999</v>
      </c>
      <c r="AF379" s="1">
        <v>131.62</v>
      </c>
      <c r="AG379" s="1">
        <v>124.03</v>
      </c>
      <c r="AJ379" s="1">
        <v>30</v>
      </c>
      <c r="AP379" s="1">
        <v>3221.67</v>
      </c>
      <c r="AQ379" s="1">
        <v>3146.42</v>
      </c>
      <c r="AR379" s="1">
        <v>2875</v>
      </c>
      <c r="AS379" s="1">
        <v>3175.42</v>
      </c>
      <c r="AX379" s="1">
        <v>120.64</v>
      </c>
      <c r="AY379" s="1">
        <v>3126.25</v>
      </c>
      <c r="AZ379" s="1">
        <v>3353.16</v>
      </c>
      <c r="BA379" s="1">
        <v>128.37</v>
      </c>
      <c r="BB379" s="1">
        <v>134.49</v>
      </c>
      <c r="BC379" s="1">
        <v>132.38</v>
      </c>
      <c r="BD379" s="1">
        <v>134.34</v>
      </c>
      <c r="BE379" s="1">
        <v>135.74</v>
      </c>
      <c r="BF379" s="1">
        <v>131.26</v>
      </c>
      <c r="BG379" s="1">
        <v>131.35</v>
      </c>
      <c r="BH379" s="1">
        <v>120.64</v>
      </c>
      <c r="BI379" s="1">
        <v>125.33</v>
      </c>
      <c r="BJ379" s="1">
        <v>131.53</v>
      </c>
      <c r="BK379" s="1">
        <v>120.11</v>
      </c>
      <c r="BL379" s="1">
        <v>117.51</v>
      </c>
      <c r="BN379" s="1">
        <v>116.45</v>
      </c>
    </row>
    <row r="380" spans="1:66" x14ac:dyDescent="0.3">
      <c r="A380" s="2"/>
      <c r="C380" s="14" t="str">
        <f t="shared" si="6"/>
        <v>20249</v>
      </c>
      <c r="D380" s="3">
        <v>45554</v>
      </c>
      <c r="E380" s="21">
        <v>2220.54</v>
      </c>
      <c r="F380" s="21">
        <v>2082.75</v>
      </c>
      <c r="G380" s="21">
        <v>2149.69</v>
      </c>
      <c r="H380" s="21">
        <v>2341.6799999999998</v>
      </c>
      <c r="I380" s="21">
        <v>2051.0100000000002</v>
      </c>
      <c r="J380" s="21">
        <v>2116.58</v>
      </c>
      <c r="K380" s="21">
        <v>2052.39</v>
      </c>
      <c r="L380" s="21">
        <v>2135</v>
      </c>
      <c r="M380" s="21"/>
      <c r="N380" s="21">
        <v>2093.37</v>
      </c>
      <c r="O380" s="21">
        <v>2054.69</v>
      </c>
      <c r="P380" s="21">
        <v>2042.21</v>
      </c>
      <c r="Q380" s="21">
        <v>6316.86</v>
      </c>
      <c r="R380" s="20">
        <v>118.72</v>
      </c>
      <c r="S380" s="20">
        <v>113.66</v>
      </c>
      <c r="T380" s="21">
        <v>123.43</v>
      </c>
      <c r="V380" s="1">
        <v>122.09</v>
      </c>
      <c r="X380" s="1">
        <v>121.08</v>
      </c>
      <c r="Y380" s="1">
        <v>121.67</v>
      </c>
      <c r="Z380" s="1">
        <v>122.91</v>
      </c>
      <c r="AA380" s="1">
        <v>121.45</v>
      </c>
      <c r="AB380" s="1">
        <v>119.02</v>
      </c>
      <c r="AC380" s="1">
        <v>119.51</v>
      </c>
      <c r="AE380" s="1">
        <v>131</v>
      </c>
      <c r="AF380" s="1">
        <v>130.80000000000001</v>
      </c>
      <c r="AG380" s="1">
        <v>123.69</v>
      </c>
      <c r="AJ380" s="1">
        <v>30</v>
      </c>
      <c r="AP380" s="1">
        <v>3221.67</v>
      </c>
      <c r="AQ380" s="1">
        <v>3145.83</v>
      </c>
      <c r="AR380" s="1">
        <v>2875</v>
      </c>
      <c r="AS380" s="1">
        <v>3174.82</v>
      </c>
      <c r="AX380" s="1">
        <v>120.65</v>
      </c>
      <c r="AY380" s="1">
        <v>3145.83</v>
      </c>
      <c r="AZ380" s="1">
        <v>3352.53</v>
      </c>
      <c r="BA380" s="1">
        <v>128.37</v>
      </c>
      <c r="BB380" s="1">
        <v>134.06</v>
      </c>
      <c r="BC380" s="1">
        <v>131.72999999999999</v>
      </c>
      <c r="BD380" s="1">
        <v>134.63999999999999</v>
      </c>
      <c r="BE380" s="1">
        <v>134.46</v>
      </c>
      <c r="BF380" s="1">
        <v>131.27000000000001</v>
      </c>
      <c r="BG380" s="1">
        <v>130.36000000000001</v>
      </c>
      <c r="BH380" s="1">
        <v>120.49</v>
      </c>
      <c r="BI380" s="1">
        <v>125.26</v>
      </c>
      <c r="BJ380" s="1">
        <v>129.12</v>
      </c>
      <c r="BK380" s="1">
        <v>119.78</v>
      </c>
      <c r="BL380" s="1">
        <v>117.01</v>
      </c>
      <c r="BN380" s="1">
        <v>116.13</v>
      </c>
    </row>
    <row r="381" spans="1:66" x14ac:dyDescent="0.3">
      <c r="A381" s="2"/>
      <c r="C381" s="14" t="str">
        <f t="shared" si="6"/>
        <v>20249</v>
      </c>
      <c r="D381" s="3">
        <v>45553</v>
      </c>
      <c r="E381" s="21">
        <v>2237.9499999999998</v>
      </c>
      <c r="F381" s="21">
        <v>2089.06</v>
      </c>
      <c r="G381" s="21">
        <v>2149.69</v>
      </c>
      <c r="H381" s="21">
        <v>2340.69</v>
      </c>
      <c r="I381" s="21">
        <v>2051.0100000000002</v>
      </c>
      <c r="J381" s="21">
        <v>2114.56</v>
      </c>
      <c r="K381" s="21">
        <v>2052.39</v>
      </c>
      <c r="L381" s="21"/>
      <c r="M381" s="21"/>
      <c r="N381" s="21">
        <v>2086.2800000000002</v>
      </c>
      <c r="O381" s="21">
        <v>2054.85</v>
      </c>
      <c r="P381" s="21">
        <v>2042.85</v>
      </c>
      <c r="Q381" s="21">
        <v>6379.36</v>
      </c>
      <c r="R381" s="20">
        <v>119.72</v>
      </c>
      <c r="S381" s="20">
        <v>114.14</v>
      </c>
      <c r="T381" s="21">
        <v>123.3</v>
      </c>
      <c r="V381" s="1">
        <v>122.42</v>
      </c>
      <c r="X381" s="1">
        <v>120.97</v>
      </c>
      <c r="Y381" s="1">
        <v>121.58</v>
      </c>
      <c r="Z381" s="1">
        <v>122.9</v>
      </c>
      <c r="AA381" s="1">
        <v>122.31</v>
      </c>
      <c r="AB381" s="1">
        <v>120.09</v>
      </c>
      <c r="AE381" s="1">
        <v>131.6</v>
      </c>
      <c r="AF381" s="1">
        <v>130.80000000000001</v>
      </c>
      <c r="AG381" s="1">
        <v>123.4</v>
      </c>
      <c r="AP381" s="1">
        <v>3221.67</v>
      </c>
      <c r="AQ381" s="1">
        <v>3145.83</v>
      </c>
      <c r="AS381" s="1">
        <v>3174.82</v>
      </c>
      <c r="AX381" s="1">
        <v>124.54</v>
      </c>
      <c r="AY381" s="1">
        <v>3145.83</v>
      </c>
      <c r="AZ381" s="1">
        <v>3352.53</v>
      </c>
      <c r="BA381" s="1">
        <v>128.37</v>
      </c>
      <c r="BB381" s="1">
        <v>135.08000000000001</v>
      </c>
      <c r="BC381" s="1">
        <v>132.46</v>
      </c>
      <c r="BD381" s="1">
        <v>134.61000000000001</v>
      </c>
      <c r="BE381" s="1">
        <v>135.78</v>
      </c>
      <c r="BF381" s="1">
        <v>132.47</v>
      </c>
      <c r="BG381" s="1">
        <v>131.35</v>
      </c>
      <c r="BH381" s="1">
        <v>121.73</v>
      </c>
      <c r="BI381" s="1">
        <v>125.26</v>
      </c>
      <c r="BJ381" s="1">
        <v>129.66999999999999</v>
      </c>
      <c r="BK381" s="1">
        <v>116.67</v>
      </c>
      <c r="BL381" s="1">
        <v>117.01</v>
      </c>
      <c r="BN381" s="1">
        <v>116.79</v>
      </c>
    </row>
    <row r="382" spans="1:66" x14ac:dyDescent="0.3">
      <c r="A382" s="2"/>
      <c r="C382" s="14" t="str">
        <f t="shared" si="6"/>
        <v>20249</v>
      </c>
      <c r="D382" s="3">
        <v>45552</v>
      </c>
      <c r="E382" s="21">
        <v>2237.9499999999998</v>
      </c>
      <c r="F382" s="21">
        <v>2089.06</v>
      </c>
      <c r="G382" s="21">
        <v>2162.09</v>
      </c>
      <c r="H382" s="21">
        <v>2434.36</v>
      </c>
      <c r="I382" s="21">
        <v>2054.98</v>
      </c>
      <c r="J382" s="21">
        <v>2128.0300000000002</v>
      </c>
      <c r="K382" s="21">
        <v>2052.39</v>
      </c>
      <c r="L382" s="21"/>
      <c r="M382" s="21"/>
      <c r="N382" s="21">
        <v>2103.04</v>
      </c>
      <c r="O382" s="21">
        <v>2021.27</v>
      </c>
      <c r="P382" s="21">
        <v>2049.67</v>
      </c>
      <c r="Q382" s="21">
        <v>6379.36</v>
      </c>
      <c r="R382" s="20">
        <v>119.22</v>
      </c>
      <c r="S382" s="20">
        <v>114.55</v>
      </c>
      <c r="T382" s="21">
        <v>124.59</v>
      </c>
      <c r="V382" s="1">
        <v>122.42</v>
      </c>
      <c r="X382" s="1">
        <v>121.74</v>
      </c>
      <c r="Y382" s="1">
        <v>120.94</v>
      </c>
      <c r="Z382" s="1">
        <v>121.92</v>
      </c>
      <c r="AA382" s="1">
        <v>121.38</v>
      </c>
      <c r="AB382" s="1">
        <v>120.09</v>
      </c>
      <c r="AE382" s="1">
        <v>131.38999999999999</v>
      </c>
      <c r="AF382" s="1">
        <v>130.47</v>
      </c>
      <c r="AG382" s="1">
        <v>123.54</v>
      </c>
      <c r="AP382" s="1">
        <v>3249.25</v>
      </c>
      <c r="AQ382" s="1">
        <v>3145.83</v>
      </c>
      <c r="AS382" s="1">
        <v>3174.82</v>
      </c>
      <c r="AU382" s="1">
        <v>3005.93</v>
      </c>
      <c r="AX382" s="1">
        <v>124.65</v>
      </c>
      <c r="AY382" s="1">
        <v>3145.83</v>
      </c>
      <c r="BA382" s="1">
        <v>128.81</v>
      </c>
      <c r="BB382" s="1">
        <v>135.44999999999999</v>
      </c>
      <c r="BC382" s="1">
        <v>133.59</v>
      </c>
      <c r="BD382" s="1">
        <v>135.41999999999999</v>
      </c>
      <c r="BE382" s="1">
        <v>135.46</v>
      </c>
      <c r="BF382" s="1">
        <v>132.13999999999999</v>
      </c>
      <c r="BG382" s="1">
        <v>131.33000000000001</v>
      </c>
      <c r="BH382" s="1">
        <v>120.53</v>
      </c>
      <c r="BI382" s="1">
        <v>125.89</v>
      </c>
      <c r="BJ382" s="1">
        <v>131.9</v>
      </c>
      <c r="BK382" s="1">
        <v>116.14</v>
      </c>
      <c r="BL382" s="1">
        <v>116.26</v>
      </c>
      <c r="BN382" s="1">
        <v>115.8</v>
      </c>
    </row>
    <row r="383" spans="1:66" x14ac:dyDescent="0.3">
      <c r="A383" s="2"/>
      <c r="C383" s="14" t="str">
        <f t="shared" si="6"/>
        <v>20249</v>
      </c>
      <c r="D383" s="3">
        <v>45551</v>
      </c>
      <c r="E383" s="21">
        <v>2257.86</v>
      </c>
      <c r="F383" s="21">
        <v>2048.04</v>
      </c>
      <c r="G383" s="21">
        <v>2149.69</v>
      </c>
      <c r="H383" s="21">
        <v>2434.36</v>
      </c>
      <c r="I383" s="21">
        <v>2058.9499999999998</v>
      </c>
      <c r="J383" s="21">
        <v>2126.61</v>
      </c>
      <c r="K383" s="21">
        <v>2052.39</v>
      </c>
      <c r="L383" s="21">
        <v>2111.04</v>
      </c>
      <c r="M383" s="21"/>
      <c r="N383" s="21">
        <v>2120.44</v>
      </c>
      <c r="O383" s="21">
        <v>2073.2800000000002</v>
      </c>
      <c r="P383" s="21">
        <v>2042.85</v>
      </c>
      <c r="Q383" s="21">
        <v>6379.36</v>
      </c>
      <c r="R383" s="20">
        <v>119.72</v>
      </c>
      <c r="S383" s="20">
        <v>114.55</v>
      </c>
      <c r="T383" s="21">
        <v>122.9</v>
      </c>
      <c r="V383" s="1">
        <v>122.42</v>
      </c>
      <c r="X383" s="1">
        <v>121.1</v>
      </c>
      <c r="Y383" s="1">
        <v>121.45</v>
      </c>
      <c r="Z383" s="1">
        <v>122.48</v>
      </c>
      <c r="AA383" s="1">
        <v>121.77</v>
      </c>
      <c r="AB383" s="1">
        <v>120.34</v>
      </c>
      <c r="AC383" s="1">
        <v>120.55</v>
      </c>
      <c r="AE383" s="1">
        <v>131.13999999999999</v>
      </c>
      <c r="AF383" s="1">
        <v>130.47</v>
      </c>
      <c r="AG383" s="1">
        <v>123.5</v>
      </c>
      <c r="AI383" s="1">
        <v>7</v>
      </c>
      <c r="AN383" s="1">
        <v>2982.4</v>
      </c>
      <c r="AP383" s="1">
        <v>3249.25</v>
      </c>
      <c r="AQ383" s="1">
        <v>3186.16</v>
      </c>
      <c r="AR383" s="1">
        <v>2883.68</v>
      </c>
      <c r="AS383" s="1">
        <v>3150.87</v>
      </c>
      <c r="AU383" s="1">
        <v>3000.26</v>
      </c>
      <c r="AW383" s="1">
        <v>3044.5</v>
      </c>
      <c r="AX383" s="1">
        <v>124.61</v>
      </c>
      <c r="AY383" s="1">
        <v>3105.5</v>
      </c>
      <c r="AZ383" s="1">
        <v>2903.84</v>
      </c>
      <c r="BA383" s="1">
        <v>128.81</v>
      </c>
      <c r="BB383" s="1">
        <v>134.81</v>
      </c>
      <c r="BC383" s="1">
        <v>134</v>
      </c>
      <c r="BD383" s="1">
        <v>135.08000000000001</v>
      </c>
      <c r="BE383" s="1">
        <v>136.13999999999999</v>
      </c>
      <c r="BF383" s="1">
        <v>132.47</v>
      </c>
      <c r="BG383" s="1">
        <v>131.33000000000001</v>
      </c>
      <c r="BH383" s="1">
        <v>120.53</v>
      </c>
      <c r="BI383" s="1">
        <v>125.89</v>
      </c>
      <c r="BJ383" s="1">
        <v>131.88999999999999</v>
      </c>
      <c r="BK383" s="1">
        <v>117.09</v>
      </c>
      <c r="BL383" s="1">
        <v>116.51</v>
      </c>
      <c r="BN383" s="1">
        <v>115.8</v>
      </c>
    </row>
    <row r="384" spans="1:66" x14ac:dyDescent="0.3">
      <c r="A384" s="2"/>
      <c r="C384" s="14" t="str">
        <f t="shared" si="6"/>
        <v>20249</v>
      </c>
      <c r="D384" s="3">
        <v>45548</v>
      </c>
      <c r="E384" s="21">
        <v>2252.88</v>
      </c>
      <c r="F384" s="21">
        <v>1985.37</v>
      </c>
      <c r="G384" s="21">
        <v>2124.9</v>
      </c>
      <c r="H384" s="21">
        <v>2414.88</v>
      </c>
      <c r="I384" s="21">
        <v>2078.7800000000002</v>
      </c>
      <c r="J384" s="21">
        <v>2102.38</v>
      </c>
      <c r="K384" s="21">
        <v>2042.42</v>
      </c>
      <c r="L384" s="21">
        <v>2109.58</v>
      </c>
      <c r="M384" s="21">
        <v>1918.07</v>
      </c>
      <c r="N384" s="21">
        <v>2134.61</v>
      </c>
      <c r="O384" s="21">
        <v>2103.23</v>
      </c>
      <c r="P384" s="21">
        <v>2042.85</v>
      </c>
      <c r="Q384" s="21">
        <v>6366.86</v>
      </c>
      <c r="R384" s="20">
        <v>118.72</v>
      </c>
      <c r="S384" s="20">
        <v>116.46</v>
      </c>
      <c r="T384" s="21">
        <v>123.41</v>
      </c>
      <c r="V384" s="1">
        <v>122.67</v>
      </c>
      <c r="X384" s="1">
        <v>121.86</v>
      </c>
      <c r="Y384" s="1">
        <v>122.85</v>
      </c>
      <c r="Z384" s="1">
        <v>123.88</v>
      </c>
      <c r="AA384" s="1">
        <v>121.25</v>
      </c>
      <c r="AB384" s="1">
        <v>121.84</v>
      </c>
      <c r="AC384" s="1">
        <v>120.88</v>
      </c>
      <c r="AE384" s="1">
        <v>131.96</v>
      </c>
      <c r="AF384" s="1">
        <v>135.46</v>
      </c>
      <c r="AG384" s="1">
        <v>126.03</v>
      </c>
      <c r="AI384" s="1">
        <v>7</v>
      </c>
      <c r="AN384" s="1">
        <v>2982.4</v>
      </c>
      <c r="AP384" s="1">
        <v>3332</v>
      </c>
      <c r="AQ384" s="1">
        <v>3163.98</v>
      </c>
      <c r="AR384" s="1">
        <v>2883.68</v>
      </c>
      <c r="AU384" s="1">
        <v>3000.26</v>
      </c>
      <c r="AW384" s="1">
        <v>3044.5</v>
      </c>
      <c r="AX384" s="1">
        <v>125.18</v>
      </c>
      <c r="AY384" s="1">
        <v>3105.5</v>
      </c>
      <c r="AZ384" s="1">
        <v>2918.97</v>
      </c>
      <c r="BA384" s="1">
        <v>130.69</v>
      </c>
      <c r="BB384" s="1">
        <v>135.81</v>
      </c>
      <c r="BC384" s="1">
        <v>133.53</v>
      </c>
      <c r="BD384" s="1">
        <v>135.6</v>
      </c>
      <c r="BE384" s="1">
        <v>134.02000000000001</v>
      </c>
      <c r="BF384" s="1">
        <v>133.77000000000001</v>
      </c>
      <c r="BG384" s="1">
        <v>132.31</v>
      </c>
      <c r="BH384" s="1">
        <v>120.86</v>
      </c>
      <c r="BI384" s="1">
        <v>126.26</v>
      </c>
      <c r="BJ384" s="1">
        <v>131.74</v>
      </c>
      <c r="BK384" s="1">
        <v>119.94</v>
      </c>
      <c r="BL384" s="1">
        <v>117.51</v>
      </c>
      <c r="BN384" s="1">
        <v>116.46</v>
      </c>
    </row>
    <row r="385" spans="1:66" x14ac:dyDescent="0.3">
      <c r="A385" s="2"/>
      <c r="C385" s="14" t="str">
        <f t="shared" si="6"/>
        <v>20249</v>
      </c>
      <c r="D385" s="3">
        <v>45547</v>
      </c>
      <c r="E385" s="21">
        <v>2223.0300000000002</v>
      </c>
      <c r="F385" s="21">
        <v>1962.83</v>
      </c>
      <c r="G385" s="21">
        <v>2124.9</v>
      </c>
      <c r="H385" s="21">
        <v>2386.87</v>
      </c>
      <c r="I385" s="21">
        <v>2068.86</v>
      </c>
      <c r="J385" s="21">
        <v>2106.7199999999998</v>
      </c>
      <c r="K385" s="21">
        <v>2042.42</v>
      </c>
      <c r="L385" s="21">
        <v>2103.7399999999998</v>
      </c>
      <c r="M385" s="21">
        <v>1927.3</v>
      </c>
      <c r="N385" s="21">
        <v>2141.15</v>
      </c>
      <c r="O385" s="21">
        <v>2052.6</v>
      </c>
      <c r="P385" s="21">
        <v>2042.85</v>
      </c>
      <c r="Q385" s="21">
        <v>6366.86</v>
      </c>
      <c r="R385" s="20">
        <v>119.72</v>
      </c>
      <c r="S385" s="20">
        <v>115.21</v>
      </c>
      <c r="T385" s="21">
        <v>123.39</v>
      </c>
      <c r="V385" s="1">
        <v>122.42</v>
      </c>
      <c r="X385" s="1">
        <v>121.51</v>
      </c>
      <c r="Y385" s="1">
        <v>123.28</v>
      </c>
      <c r="Z385" s="1">
        <v>124.23</v>
      </c>
      <c r="AA385" s="1">
        <v>122.03</v>
      </c>
      <c r="AB385" s="1">
        <v>121.52</v>
      </c>
      <c r="AC385" s="1">
        <v>121.36</v>
      </c>
      <c r="AE385" s="1">
        <v>131.63999999999999</v>
      </c>
      <c r="AF385" s="1">
        <v>135.22</v>
      </c>
      <c r="AG385" s="1">
        <v>125.61</v>
      </c>
      <c r="AI385" s="1">
        <v>7</v>
      </c>
      <c r="AN385" s="1">
        <v>2982.4</v>
      </c>
      <c r="AP385" s="1">
        <v>3332</v>
      </c>
      <c r="AQ385" s="1">
        <v>3163.98</v>
      </c>
      <c r="AR385" s="1">
        <v>2883.68</v>
      </c>
      <c r="AU385" s="1">
        <v>3000.26</v>
      </c>
      <c r="AW385" s="1">
        <v>3025.44</v>
      </c>
      <c r="AX385" s="1">
        <v>124.6</v>
      </c>
      <c r="AY385" s="1">
        <v>3083.65</v>
      </c>
      <c r="AZ385" s="1">
        <v>2918.97</v>
      </c>
      <c r="BA385" s="1">
        <v>127.69</v>
      </c>
      <c r="BB385" s="1">
        <v>135.79</v>
      </c>
      <c r="BC385" s="1">
        <v>133.63999999999999</v>
      </c>
      <c r="BD385" s="1">
        <v>135.94999999999999</v>
      </c>
      <c r="BE385" s="1">
        <v>132.83000000000001</v>
      </c>
      <c r="BF385" s="1">
        <v>134.26</v>
      </c>
      <c r="BG385" s="1">
        <v>131.24</v>
      </c>
      <c r="BH385" s="1">
        <v>121.19</v>
      </c>
      <c r="BI385" s="1">
        <v>125.89</v>
      </c>
      <c r="BJ385" s="1">
        <v>131.72999999999999</v>
      </c>
      <c r="BK385" s="1">
        <v>118.2</v>
      </c>
      <c r="BL385" s="1">
        <v>118</v>
      </c>
      <c r="BN385" s="1">
        <v>117.78</v>
      </c>
    </row>
    <row r="386" spans="1:66" x14ac:dyDescent="0.3">
      <c r="A386" s="2"/>
      <c r="C386" s="14" t="str">
        <f t="shared" si="6"/>
        <v>20249</v>
      </c>
      <c r="D386" s="3">
        <v>45546</v>
      </c>
      <c r="E386" s="21">
        <v>2223.0300000000002</v>
      </c>
      <c r="F386" s="21">
        <v>1953.82</v>
      </c>
      <c r="G386" s="21">
        <v>2100.1</v>
      </c>
      <c r="H386" s="21">
        <v>2401.77</v>
      </c>
      <c r="I386" s="21">
        <v>2081.1</v>
      </c>
      <c r="J386" s="21">
        <v>2113.87</v>
      </c>
      <c r="K386" s="21">
        <v>2058.39</v>
      </c>
      <c r="L386" s="21">
        <v>2110.89</v>
      </c>
      <c r="M386" s="21">
        <v>1945.76</v>
      </c>
      <c r="N386" s="21">
        <v>2044.21</v>
      </c>
      <c r="O386" s="21">
        <v>2065.41</v>
      </c>
      <c r="P386" s="21">
        <v>2044.68</v>
      </c>
      <c r="Q386" s="21">
        <v>6404.36</v>
      </c>
      <c r="R386" s="20">
        <v>119.72</v>
      </c>
      <c r="S386" s="20">
        <v>115.21</v>
      </c>
      <c r="T386" s="21">
        <v>122.95</v>
      </c>
      <c r="V386" s="1">
        <v>122.42</v>
      </c>
      <c r="X386" s="1">
        <v>121.97</v>
      </c>
      <c r="Y386" s="1">
        <v>122.21</v>
      </c>
      <c r="Z386" s="1">
        <v>123.06</v>
      </c>
      <c r="AA386" s="1">
        <v>121.62</v>
      </c>
      <c r="AB386" s="1">
        <v>121.21</v>
      </c>
      <c r="AC386" s="1">
        <v>121.32</v>
      </c>
      <c r="AE386" s="1">
        <v>131.24</v>
      </c>
      <c r="AF386" s="1">
        <v>133.52000000000001</v>
      </c>
      <c r="AG386" s="1">
        <v>123.77</v>
      </c>
      <c r="AI386" s="1">
        <v>7</v>
      </c>
      <c r="AN386" s="1">
        <v>2982.4</v>
      </c>
      <c r="AP386" s="1">
        <v>3332</v>
      </c>
      <c r="AQ386" s="1">
        <v>3163.98</v>
      </c>
      <c r="AR386" s="1">
        <v>2883.68</v>
      </c>
      <c r="AU386" s="1">
        <v>3000.26</v>
      </c>
      <c r="AW386" s="1">
        <v>3025.44</v>
      </c>
      <c r="AX386" s="1">
        <v>125.72</v>
      </c>
      <c r="AY386" s="1">
        <v>3083.65</v>
      </c>
      <c r="AZ386" s="1">
        <v>2918.97</v>
      </c>
      <c r="BA386" s="1">
        <v>127.25</v>
      </c>
      <c r="BB386" s="1">
        <v>136.06</v>
      </c>
      <c r="BC386" s="1">
        <v>133.75</v>
      </c>
      <c r="BD386" s="1">
        <v>135.88999999999999</v>
      </c>
      <c r="BE386" s="1">
        <v>125.18</v>
      </c>
      <c r="BF386" s="1">
        <v>127.78</v>
      </c>
      <c r="BG386" s="1">
        <v>130.91</v>
      </c>
      <c r="BH386" s="1">
        <v>121.19</v>
      </c>
      <c r="BI386" s="1">
        <v>125.89</v>
      </c>
      <c r="BJ386" s="1">
        <v>131.72999999999999</v>
      </c>
      <c r="BK386" s="1">
        <v>120.28</v>
      </c>
      <c r="BL386" s="1">
        <v>117.51</v>
      </c>
      <c r="BN386" s="1">
        <v>116.95</v>
      </c>
    </row>
    <row r="387" spans="1:66" x14ac:dyDescent="0.3">
      <c r="A387" s="2"/>
      <c r="C387" s="14" t="str">
        <f t="shared" si="6"/>
        <v>20249</v>
      </c>
      <c r="D387" s="3">
        <v>45545</v>
      </c>
      <c r="E387" s="21">
        <v>2205.61</v>
      </c>
      <c r="F387" s="21">
        <v>1958.32</v>
      </c>
      <c r="G387" s="21">
        <v>2100.1</v>
      </c>
      <c r="H387" s="21">
        <v>2382.46</v>
      </c>
      <c r="I387" s="21">
        <v>2068.86</v>
      </c>
      <c r="J387" s="21">
        <v>2113.87</v>
      </c>
      <c r="K387" s="21">
        <v>2042.42</v>
      </c>
      <c r="L387" s="21">
        <v>2110.89</v>
      </c>
      <c r="M387" s="21">
        <v>1982.68</v>
      </c>
      <c r="N387" s="21">
        <v>2079.31</v>
      </c>
      <c r="O387" s="21">
        <v>2062.04</v>
      </c>
      <c r="P387" s="21">
        <v>2044.68</v>
      </c>
      <c r="Q387" s="21">
        <v>6404.36</v>
      </c>
      <c r="R387" s="20">
        <v>119.57</v>
      </c>
      <c r="S387" s="20">
        <v>115.16</v>
      </c>
      <c r="T387" s="21">
        <v>123.63</v>
      </c>
      <c r="V387" s="1">
        <v>122.67</v>
      </c>
      <c r="W387" s="1">
        <v>125.44</v>
      </c>
      <c r="X387" s="1">
        <v>122.35</v>
      </c>
      <c r="Y387" s="1">
        <v>121.9</v>
      </c>
      <c r="Z387" s="1">
        <v>122.73</v>
      </c>
      <c r="AA387" s="1">
        <v>121.26</v>
      </c>
      <c r="AB387" s="1">
        <v>121.46</v>
      </c>
      <c r="AC387" s="1">
        <v>121.2</v>
      </c>
      <c r="AE387" s="1">
        <v>131.38999999999999</v>
      </c>
      <c r="AF387" s="1">
        <v>133.76</v>
      </c>
      <c r="AG387" s="1">
        <v>123.76</v>
      </c>
      <c r="AI387" s="1">
        <v>7</v>
      </c>
      <c r="AN387" s="1">
        <v>2982.4</v>
      </c>
      <c r="AP387" s="1">
        <v>3276</v>
      </c>
      <c r="AQ387" s="1">
        <v>3163.98</v>
      </c>
      <c r="AR387" s="1">
        <v>2883.68</v>
      </c>
      <c r="AU387" s="1">
        <v>2979.46</v>
      </c>
      <c r="AW387" s="1">
        <v>3083.07</v>
      </c>
      <c r="AX387" s="1">
        <v>123.95</v>
      </c>
      <c r="AY387" s="1">
        <v>3083.65</v>
      </c>
      <c r="BA387" s="1">
        <v>122.63</v>
      </c>
      <c r="BB387" s="1">
        <v>136.72</v>
      </c>
      <c r="BC387" s="1">
        <v>133.31</v>
      </c>
      <c r="BD387" s="1">
        <v>136.52000000000001</v>
      </c>
      <c r="BE387" s="1">
        <v>125.08</v>
      </c>
      <c r="BF387" s="1">
        <v>127.63</v>
      </c>
      <c r="BG387" s="1">
        <v>131.52000000000001</v>
      </c>
      <c r="BH387" s="1">
        <v>121.19</v>
      </c>
      <c r="BI387" s="1">
        <v>125.89</v>
      </c>
      <c r="BJ387" s="1">
        <v>130.99</v>
      </c>
      <c r="BK387" s="1">
        <v>119.78</v>
      </c>
      <c r="BL387" s="1">
        <v>117.01</v>
      </c>
      <c r="BN387" s="1">
        <v>116.46</v>
      </c>
    </row>
    <row r="388" spans="1:66" x14ac:dyDescent="0.3">
      <c r="A388" s="2"/>
      <c r="C388" s="14" t="str">
        <f t="shared" si="6"/>
        <v>20249</v>
      </c>
      <c r="D388" s="3">
        <v>45544</v>
      </c>
      <c r="E388" s="21">
        <v>2225.5100000000002</v>
      </c>
      <c r="F388" s="21">
        <v>1976.96</v>
      </c>
      <c r="G388" s="21">
        <v>2100.1</v>
      </c>
      <c r="H388" s="21">
        <v>2396.8200000000002</v>
      </c>
      <c r="I388" s="21">
        <v>2068.86</v>
      </c>
      <c r="J388" s="21">
        <v>2115.52</v>
      </c>
      <c r="K388" s="21">
        <v>2042.42</v>
      </c>
      <c r="L388" s="21">
        <v>2078.91</v>
      </c>
      <c r="M388" s="21">
        <v>1988.74</v>
      </c>
      <c r="N388" s="21">
        <v>2091.79</v>
      </c>
      <c r="O388" s="21">
        <v>2067.87</v>
      </c>
      <c r="P388" s="21">
        <v>2044.68</v>
      </c>
      <c r="Q388" s="21">
        <v>6404.36</v>
      </c>
      <c r="R388" s="20">
        <v>119.97</v>
      </c>
      <c r="S388" s="20">
        <v>115.44</v>
      </c>
      <c r="T388" s="21">
        <v>123.15</v>
      </c>
      <c r="V388" s="1">
        <v>122.67</v>
      </c>
      <c r="W388" s="1">
        <v>125.43</v>
      </c>
      <c r="X388" s="1">
        <v>121.72</v>
      </c>
      <c r="Y388" s="1">
        <v>122.52</v>
      </c>
      <c r="Z388" s="1">
        <v>123.06</v>
      </c>
      <c r="AA388" s="1">
        <v>122.48</v>
      </c>
      <c r="AB388" s="1">
        <v>121.09</v>
      </c>
      <c r="AC388" s="1">
        <v>120.84</v>
      </c>
      <c r="AE388" s="1">
        <v>130.88999999999999</v>
      </c>
      <c r="AF388" s="1">
        <v>129.44999999999999</v>
      </c>
      <c r="AG388" s="1">
        <v>123.72</v>
      </c>
      <c r="AP388" s="1">
        <v>3276</v>
      </c>
      <c r="AQ388" s="1">
        <v>3135.75</v>
      </c>
      <c r="AS388" s="1">
        <v>3014.75</v>
      </c>
      <c r="AU388" s="1">
        <v>2949.22</v>
      </c>
      <c r="AW388" s="1">
        <v>3125.67</v>
      </c>
      <c r="AX388" s="1">
        <v>120.61</v>
      </c>
      <c r="AY388" s="1">
        <v>3072.73</v>
      </c>
      <c r="AZ388" s="1">
        <v>3062.65</v>
      </c>
      <c r="BA388" s="1">
        <v>126.56</v>
      </c>
      <c r="BB388" s="1">
        <v>136.88</v>
      </c>
      <c r="BC388" s="1">
        <v>133.41999999999999</v>
      </c>
      <c r="BD388" s="1">
        <v>135.91999999999999</v>
      </c>
      <c r="BE388" s="1">
        <v>122.26</v>
      </c>
      <c r="BF388" s="1">
        <v>128.03</v>
      </c>
      <c r="BG388" s="1">
        <v>131.72999999999999</v>
      </c>
      <c r="BH388" s="1">
        <v>120.84</v>
      </c>
      <c r="BI388" s="1">
        <v>126.26</v>
      </c>
      <c r="BJ388" s="1">
        <v>131.72999999999999</v>
      </c>
      <c r="BK388" s="1">
        <v>122.34</v>
      </c>
      <c r="BL388" s="1">
        <v>117.51</v>
      </c>
      <c r="BN388" s="1">
        <v>116.79</v>
      </c>
    </row>
    <row r="389" spans="1:66" x14ac:dyDescent="0.3">
      <c r="A389" s="2"/>
      <c r="C389" s="14" t="str">
        <f t="shared" si="6"/>
        <v>20249</v>
      </c>
      <c r="D389" s="3">
        <v>45541</v>
      </c>
      <c r="E389" s="21">
        <v>2225.5100000000002</v>
      </c>
      <c r="F389" s="21">
        <v>2034.81</v>
      </c>
      <c r="G389" s="21">
        <v>2137.3000000000002</v>
      </c>
      <c r="H389" s="21">
        <v>2360.0500000000002</v>
      </c>
      <c r="I389" s="21">
        <v>2068.86</v>
      </c>
      <c r="J389" s="21">
        <v>2115.52</v>
      </c>
      <c r="K389" s="21">
        <v>2042.42</v>
      </c>
      <c r="L389" s="21">
        <v>2071.02</v>
      </c>
      <c r="M389" s="21">
        <v>1988.74</v>
      </c>
      <c r="N389" s="21">
        <v>2090.0500000000002</v>
      </c>
      <c r="O389" s="21">
        <v>2051.75</v>
      </c>
      <c r="P389" s="21">
        <v>2044.68</v>
      </c>
      <c r="Q389" s="21">
        <v>6379.36</v>
      </c>
      <c r="R389" s="20">
        <v>119.22</v>
      </c>
      <c r="S389" s="20">
        <v>115.83</v>
      </c>
      <c r="T389" s="21">
        <v>122.87</v>
      </c>
      <c r="V389" s="1">
        <v>121.81</v>
      </c>
      <c r="W389" s="1">
        <v>125.89</v>
      </c>
      <c r="X389" s="1">
        <v>121.72</v>
      </c>
      <c r="Y389" s="1">
        <v>122.46</v>
      </c>
      <c r="Z389" s="1">
        <v>122.89</v>
      </c>
      <c r="AA389" s="1">
        <v>120.92</v>
      </c>
      <c r="AB389" s="1">
        <v>121.09</v>
      </c>
      <c r="AC389" s="1">
        <v>120.01</v>
      </c>
      <c r="AE389" s="1">
        <v>130.88999999999999</v>
      </c>
      <c r="AF389" s="1">
        <v>131.15</v>
      </c>
      <c r="AG389" s="1">
        <v>125.01</v>
      </c>
      <c r="AP389" s="1">
        <v>3271.75</v>
      </c>
      <c r="AQ389" s="1">
        <v>3060.13</v>
      </c>
      <c r="AS389" s="1">
        <v>3014.75</v>
      </c>
      <c r="AU389" s="1">
        <v>2946.7</v>
      </c>
      <c r="AW389" s="1">
        <v>3125.67</v>
      </c>
      <c r="AX389" s="1">
        <v>123.51</v>
      </c>
      <c r="AY389" s="1">
        <v>3072.73</v>
      </c>
      <c r="AZ389" s="1">
        <v>3062.65</v>
      </c>
      <c r="BA389" s="1">
        <v>127.46</v>
      </c>
      <c r="BB389" s="1">
        <v>136.76</v>
      </c>
      <c r="BC389" s="1">
        <v>133.69999999999999</v>
      </c>
      <c r="BD389" s="1">
        <v>137.63</v>
      </c>
      <c r="BE389" s="1">
        <v>124.95</v>
      </c>
      <c r="BF389" s="1">
        <v>127.28</v>
      </c>
      <c r="BG389" s="1">
        <v>131.72999999999999</v>
      </c>
      <c r="BH389" s="1">
        <v>120.21</v>
      </c>
      <c r="BI389" s="1">
        <v>126.26</v>
      </c>
      <c r="BJ389" s="1">
        <v>132.57</v>
      </c>
      <c r="BL389" s="1">
        <v>117.76</v>
      </c>
      <c r="BN389" s="1">
        <v>116.79</v>
      </c>
    </row>
    <row r="390" spans="1:66" x14ac:dyDescent="0.3">
      <c r="A390" s="2"/>
      <c r="C390" s="14" t="str">
        <f t="shared" ref="C390:C453" si="7">YEAR(D390)&amp;MONTH(D390)</f>
        <v>20249</v>
      </c>
      <c r="D390" s="3">
        <v>45540</v>
      </c>
      <c r="E390" s="21">
        <v>2195.7399999999998</v>
      </c>
      <c r="F390" s="21">
        <v>2063.7399999999998</v>
      </c>
      <c r="G390" s="21">
        <v>2112.5</v>
      </c>
      <c r="H390" s="21">
        <v>2307.39</v>
      </c>
      <c r="I390" s="21">
        <v>2068.86</v>
      </c>
      <c r="J390" s="21">
        <v>2121.7199999999998</v>
      </c>
      <c r="K390" s="21">
        <v>2042.42</v>
      </c>
      <c r="L390" s="21">
        <v>2071.02</v>
      </c>
      <c r="M390" s="21">
        <v>1992.04</v>
      </c>
      <c r="N390" s="21">
        <v>2057.8000000000002</v>
      </c>
      <c r="O390" s="21">
        <v>2092.15</v>
      </c>
      <c r="P390" s="21">
        <v>2044.68</v>
      </c>
      <c r="Q390" s="21">
        <v>6416.86</v>
      </c>
      <c r="R390" s="20">
        <v>119.22</v>
      </c>
      <c r="S390" s="20">
        <v>115.83</v>
      </c>
      <c r="T390" s="21">
        <v>123.87</v>
      </c>
      <c r="V390" s="1">
        <v>123.17</v>
      </c>
      <c r="W390" s="1">
        <v>126.28</v>
      </c>
      <c r="X390" s="1">
        <v>121.6</v>
      </c>
      <c r="Y390" s="1">
        <v>123.66</v>
      </c>
      <c r="Z390" s="1">
        <v>123.03</v>
      </c>
      <c r="AA390" s="1">
        <v>120.79</v>
      </c>
      <c r="AB390" s="1">
        <v>120.74</v>
      </c>
      <c r="AE390" s="1">
        <v>131.13999999999999</v>
      </c>
      <c r="AF390" s="1">
        <v>130.81</v>
      </c>
      <c r="AG390" s="1">
        <v>124.99</v>
      </c>
      <c r="AN390" s="1">
        <v>3047.52</v>
      </c>
      <c r="AP390" s="1">
        <v>3271.75</v>
      </c>
      <c r="AQ390" s="1">
        <v>3060.13</v>
      </c>
      <c r="AS390" s="1">
        <v>3014.75</v>
      </c>
      <c r="AU390" s="1">
        <v>2946.7</v>
      </c>
      <c r="AW390" s="1">
        <v>3213.89</v>
      </c>
      <c r="AX390" s="1">
        <v>122.85</v>
      </c>
      <c r="AZ390" s="1">
        <v>3062.65</v>
      </c>
      <c r="BA390" s="1">
        <v>127.02</v>
      </c>
      <c r="BB390" s="1">
        <v>136.6</v>
      </c>
      <c r="BC390" s="1">
        <v>133.82</v>
      </c>
      <c r="BD390" s="1">
        <v>137.30000000000001</v>
      </c>
      <c r="BE390" s="1">
        <v>124.98</v>
      </c>
      <c r="BF390" s="1">
        <v>127.28</v>
      </c>
      <c r="BG390" s="1">
        <v>129.33000000000001</v>
      </c>
      <c r="BH390" s="1">
        <v>119.95</v>
      </c>
      <c r="BI390" s="1">
        <v>126.14</v>
      </c>
      <c r="BJ390" s="1">
        <v>132.15</v>
      </c>
      <c r="BL390" s="1">
        <v>118.76</v>
      </c>
      <c r="BN390" s="1">
        <v>118.12</v>
      </c>
    </row>
    <row r="391" spans="1:66" x14ac:dyDescent="0.3">
      <c r="A391" s="2"/>
      <c r="C391" s="14" t="str">
        <f t="shared" si="7"/>
        <v>20249</v>
      </c>
      <c r="D391" s="3">
        <v>45539</v>
      </c>
      <c r="E391" s="21">
        <v>2190.77</v>
      </c>
      <c r="F391" s="21">
        <v>2063.7399999999998</v>
      </c>
      <c r="G391" s="21">
        <v>2112.5</v>
      </c>
      <c r="H391" s="21">
        <v>2303.41</v>
      </c>
      <c r="I391" s="21">
        <v>2068.86</v>
      </c>
      <c r="J391" s="21">
        <v>2121.7199999999998</v>
      </c>
      <c r="K391" s="21">
        <v>2019.15</v>
      </c>
      <c r="L391" s="21">
        <v>2071.02</v>
      </c>
      <c r="M391" s="21">
        <v>1992.04</v>
      </c>
      <c r="N391" s="21">
        <v>2096.46</v>
      </c>
      <c r="O391" s="21">
        <v>2087.15</v>
      </c>
      <c r="P391" s="21">
        <v>2044.68</v>
      </c>
      <c r="Q391" s="21">
        <v>6416.86</v>
      </c>
      <c r="R391" s="20">
        <v>119.22</v>
      </c>
      <c r="S391" s="20">
        <v>112.51</v>
      </c>
      <c r="T391" s="21">
        <v>124.08</v>
      </c>
      <c r="V391" s="1">
        <v>123.42</v>
      </c>
      <c r="W391" s="1">
        <v>126.18</v>
      </c>
      <c r="X391" s="1">
        <v>121.01</v>
      </c>
      <c r="Y391" s="1">
        <v>123.26</v>
      </c>
      <c r="Z391" s="1">
        <v>123.14</v>
      </c>
      <c r="AA391" s="1">
        <v>120.93</v>
      </c>
      <c r="AB391" s="1">
        <v>120.41</v>
      </c>
      <c r="AE391" s="1">
        <v>128.19</v>
      </c>
      <c r="AF391" s="1">
        <v>130.80000000000001</v>
      </c>
      <c r="AG391" s="1">
        <v>121.2</v>
      </c>
      <c r="AN391" s="1">
        <v>3047.52</v>
      </c>
      <c r="AP391" s="1">
        <v>3251.67</v>
      </c>
      <c r="AQ391" s="1">
        <v>3060.13</v>
      </c>
      <c r="AS391" s="1">
        <v>3014.75</v>
      </c>
      <c r="AU391" s="1">
        <v>2946.7</v>
      </c>
      <c r="AW391" s="1">
        <v>3213.89</v>
      </c>
      <c r="AX391" s="1">
        <v>123.85</v>
      </c>
      <c r="AZ391" s="1">
        <v>3019.12</v>
      </c>
      <c r="BA391" s="1">
        <v>128.52000000000001</v>
      </c>
      <c r="BB391" s="1">
        <v>136.82</v>
      </c>
      <c r="BC391" s="1">
        <v>133.5</v>
      </c>
      <c r="BD391" s="1">
        <v>137.9</v>
      </c>
      <c r="BE391" s="1">
        <v>124.98</v>
      </c>
      <c r="BF391" s="1">
        <v>127.82</v>
      </c>
      <c r="BG391" s="1">
        <v>127.37</v>
      </c>
      <c r="BH391" s="1">
        <v>119.95</v>
      </c>
      <c r="BI391" s="1">
        <v>124.76</v>
      </c>
      <c r="BJ391" s="1">
        <v>130.35</v>
      </c>
      <c r="BL391" s="1">
        <v>119</v>
      </c>
      <c r="BN391" s="1">
        <v>118.78</v>
      </c>
    </row>
    <row r="392" spans="1:66" x14ac:dyDescent="0.3">
      <c r="A392" s="2"/>
      <c r="C392" s="14" t="str">
        <f t="shared" si="7"/>
        <v>20249</v>
      </c>
      <c r="D392" s="3">
        <v>45538</v>
      </c>
      <c r="E392" s="21">
        <v>2185.79</v>
      </c>
      <c r="F392" s="21">
        <v>2046.38</v>
      </c>
      <c r="G392" s="21">
        <v>2112.5</v>
      </c>
      <c r="H392" s="21">
        <v>2245.7399999999998</v>
      </c>
      <c r="I392" s="21">
        <v>2029.19</v>
      </c>
      <c r="J392" s="21">
        <v>2125.4699999999998</v>
      </c>
      <c r="K392" s="21">
        <v>2019.15</v>
      </c>
      <c r="L392" s="21">
        <v>2056.14</v>
      </c>
      <c r="M392" s="21">
        <v>1927.03</v>
      </c>
      <c r="N392" s="21">
        <v>2086.65</v>
      </c>
      <c r="O392" s="21">
        <v>2036.18</v>
      </c>
      <c r="P392" s="21">
        <v>2044.68</v>
      </c>
      <c r="Q392" s="21">
        <v>6466.86</v>
      </c>
      <c r="R392" s="20">
        <v>118.72</v>
      </c>
      <c r="S392" s="20">
        <v>111.14</v>
      </c>
      <c r="T392" s="21">
        <v>122.57</v>
      </c>
      <c r="V392" s="1">
        <v>123.42</v>
      </c>
      <c r="W392" s="1">
        <v>125.58</v>
      </c>
      <c r="X392" s="1">
        <v>120.1</v>
      </c>
      <c r="Y392" s="1">
        <v>122.63</v>
      </c>
      <c r="Z392" s="1">
        <v>123.04</v>
      </c>
      <c r="AA392" s="1">
        <v>120.71</v>
      </c>
      <c r="AB392" s="1">
        <v>119.71</v>
      </c>
      <c r="AC392" s="1">
        <v>118.57</v>
      </c>
      <c r="AE392" s="1">
        <v>127.95</v>
      </c>
      <c r="AF392" s="1">
        <v>127.63</v>
      </c>
      <c r="AG392" s="1">
        <v>121.18</v>
      </c>
      <c r="AN392" s="1">
        <v>3047.52</v>
      </c>
      <c r="AP392" s="1">
        <v>3267.5</v>
      </c>
      <c r="AQ392" s="1">
        <v>3060.13</v>
      </c>
      <c r="AR392" s="1">
        <v>3024.38</v>
      </c>
      <c r="AS392" s="1">
        <v>3014.75</v>
      </c>
      <c r="AU392" s="1">
        <v>2944.17</v>
      </c>
      <c r="AW392" s="1">
        <v>3231.53</v>
      </c>
      <c r="AX392" s="1">
        <v>123.83</v>
      </c>
      <c r="AY392" s="1">
        <v>2994.59</v>
      </c>
      <c r="AZ392" s="1">
        <v>3019.12</v>
      </c>
      <c r="BA392" s="1">
        <v>128.75</v>
      </c>
      <c r="BB392" s="1">
        <v>137.94</v>
      </c>
      <c r="BC392" s="1">
        <v>132.36000000000001</v>
      </c>
      <c r="BD392" s="1">
        <v>135.04</v>
      </c>
      <c r="BE392" s="1">
        <v>124.25</v>
      </c>
      <c r="BF392" s="1">
        <v>127.48</v>
      </c>
      <c r="BG392" s="1">
        <v>126.77</v>
      </c>
      <c r="BH392" s="1">
        <v>118.95</v>
      </c>
      <c r="BI392" s="1">
        <v>122.64</v>
      </c>
      <c r="BJ392" s="1">
        <v>130.34</v>
      </c>
      <c r="BL392" s="1">
        <v>117.75</v>
      </c>
      <c r="BN392" s="1">
        <v>118.11</v>
      </c>
    </row>
    <row r="393" spans="1:66" x14ac:dyDescent="0.3">
      <c r="A393" s="2"/>
      <c r="C393" s="14" t="str">
        <f t="shared" si="7"/>
        <v>20249</v>
      </c>
      <c r="D393" s="3">
        <v>45537</v>
      </c>
      <c r="E393" s="21">
        <v>2163.4</v>
      </c>
      <c r="F393" s="21">
        <v>2051.34</v>
      </c>
      <c r="G393" s="21">
        <v>2112.5</v>
      </c>
      <c r="H393" s="21">
        <v>2253.0100000000002</v>
      </c>
      <c r="I393" s="21">
        <v>2009.36</v>
      </c>
      <c r="J393" s="21">
        <v>2111.15</v>
      </c>
      <c r="K393" s="21">
        <v>1919.56</v>
      </c>
      <c r="L393" s="21">
        <v>2055.64</v>
      </c>
      <c r="M393" s="21">
        <v>1989.82</v>
      </c>
      <c r="N393" s="21">
        <v>2038.71</v>
      </c>
      <c r="O393" s="21">
        <v>2032.87</v>
      </c>
      <c r="P393" s="21">
        <v>1991.56</v>
      </c>
      <c r="Q393" s="21">
        <v>6466.86</v>
      </c>
      <c r="R393" s="20">
        <v>117.97</v>
      </c>
      <c r="S393" s="20">
        <v>111.14</v>
      </c>
      <c r="T393" s="21">
        <v>122.37</v>
      </c>
      <c r="V393" s="1">
        <v>124.04</v>
      </c>
      <c r="W393" s="1">
        <v>125.88</v>
      </c>
      <c r="X393" s="1">
        <v>119.48</v>
      </c>
      <c r="Y393" s="1">
        <v>121.74</v>
      </c>
      <c r="Z393" s="1">
        <v>122.54</v>
      </c>
      <c r="AA393" s="1">
        <v>119.84</v>
      </c>
      <c r="AB393" s="1">
        <v>118.97</v>
      </c>
      <c r="AC393" s="1">
        <v>117.93</v>
      </c>
      <c r="AE393" s="1">
        <v>127.45</v>
      </c>
      <c r="AF393" s="1">
        <v>127.3</v>
      </c>
      <c r="AG393" s="1">
        <v>119.22</v>
      </c>
      <c r="AN393" s="1">
        <v>3047.52</v>
      </c>
      <c r="AP393" s="1">
        <v>3267.5</v>
      </c>
      <c r="AQ393" s="1">
        <v>3060.13</v>
      </c>
      <c r="AR393" s="1">
        <v>3024.38</v>
      </c>
      <c r="AS393" s="1">
        <v>3024.84</v>
      </c>
      <c r="AT393" s="1">
        <v>3048.36</v>
      </c>
      <c r="AU393" s="1">
        <v>2881.16</v>
      </c>
      <c r="AX393" s="1">
        <v>123.82</v>
      </c>
      <c r="AY393" s="1">
        <v>2994.59</v>
      </c>
      <c r="AZ393" s="1">
        <v>2973.42</v>
      </c>
      <c r="BA393" s="1">
        <v>128.75</v>
      </c>
      <c r="BB393" s="1">
        <v>136.79</v>
      </c>
      <c r="BC393" s="1">
        <v>131.5</v>
      </c>
      <c r="BD393" s="1">
        <v>133.88</v>
      </c>
      <c r="BE393" s="1">
        <v>125.17</v>
      </c>
      <c r="BF393" s="1">
        <v>120.03</v>
      </c>
      <c r="BG393" s="1">
        <v>125.39</v>
      </c>
      <c r="BH393" s="1">
        <v>118.95</v>
      </c>
      <c r="BI393" s="1">
        <v>122.27</v>
      </c>
      <c r="BJ393" s="1">
        <v>129.94999999999999</v>
      </c>
      <c r="BL393" s="1">
        <v>117.26</v>
      </c>
      <c r="BN393" s="1">
        <v>116.79</v>
      </c>
    </row>
    <row r="394" spans="1:66" x14ac:dyDescent="0.3">
      <c r="A394" s="2"/>
      <c r="C394" s="14" t="str">
        <f t="shared" si="7"/>
        <v>20248</v>
      </c>
      <c r="D394" s="3">
        <v>45534</v>
      </c>
      <c r="E394" s="21">
        <v>2152.79</v>
      </c>
      <c r="F394" s="21">
        <v>2050.54</v>
      </c>
      <c r="G394" s="21">
        <v>2111.6799999999998</v>
      </c>
      <c r="H394" s="21">
        <v>2233.09</v>
      </c>
      <c r="I394" s="21">
        <v>1975.36</v>
      </c>
      <c r="J394" s="21">
        <v>2105.66</v>
      </c>
      <c r="K394" s="21">
        <v>1919.23</v>
      </c>
      <c r="L394" s="21">
        <v>2071.4499999999998</v>
      </c>
      <c r="M394" s="21">
        <v>1989.59</v>
      </c>
      <c r="N394" s="21">
        <v>2004.41</v>
      </c>
      <c r="O394" s="21">
        <v>2036.75</v>
      </c>
      <c r="P394" s="21">
        <v>1916.33</v>
      </c>
      <c r="Q394" s="21">
        <v>6403.74</v>
      </c>
      <c r="R394" s="20">
        <v>117.96</v>
      </c>
      <c r="S394" s="20">
        <v>109.54</v>
      </c>
      <c r="T394" s="21">
        <v>120.78</v>
      </c>
      <c r="V394" s="1">
        <v>121.18</v>
      </c>
      <c r="W394" s="1">
        <v>124.71</v>
      </c>
      <c r="X394" s="1">
        <v>118.97</v>
      </c>
      <c r="Y394" s="1">
        <v>122.67</v>
      </c>
      <c r="Z394" s="1">
        <v>122.23</v>
      </c>
      <c r="AA394" s="1">
        <v>119.27</v>
      </c>
      <c r="AB394" s="1">
        <v>118.58</v>
      </c>
      <c r="AC394" s="1">
        <v>116.03</v>
      </c>
      <c r="AE394" s="1">
        <v>126.43</v>
      </c>
      <c r="AF394" s="1">
        <v>127.22</v>
      </c>
      <c r="AG394" s="1">
        <v>121.12</v>
      </c>
      <c r="AN394" s="1">
        <v>3048.72</v>
      </c>
      <c r="AR394" s="1">
        <v>3025.57</v>
      </c>
      <c r="AS394" s="1">
        <v>3026.03</v>
      </c>
      <c r="AT394" s="1">
        <v>3049.56</v>
      </c>
      <c r="AU394" s="1">
        <v>2846.14</v>
      </c>
      <c r="AW394" s="1">
        <v>2955.42</v>
      </c>
      <c r="AX394" s="1">
        <v>123.74</v>
      </c>
      <c r="AY394" s="1">
        <v>2995.76</v>
      </c>
      <c r="AZ394" s="1">
        <v>2978.21</v>
      </c>
      <c r="BA394" s="1">
        <v>128.74</v>
      </c>
      <c r="BB394" s="1">
        <v>136.61000000000001</v>
      </c>
      <c r="BC394" s="1">
        <v>130.72999999999999</v>
      </c>
      <c r="BD394" s="1">
        <v>132.75</v>
      </c>
      <c r="BE394" s="1">
        <v>122.6</v>
      </c>
      <c r="BF394" s="1">
        <v>123.73</v>
      </c>
      <c r="BG394" s="1">
        <v>125.36</v>
      </c>
      <c r="BH394" s="1">
        <v>118.93</v>
      </c>
      <c r="BI394" s="1">
        <v>121.26</v>
      </c>
      <c r="BJ394" s="1">
        <v>129.86000000000001</v>
      </c>
      <c r="BL394" s="1">
        <v>117.75</v>
      </c>
      <c r="BN394" s="1">
        <v>116.76</v>
      </c>
    </row>
    <row r="395" spans="1:66" x14ac:dyDescent="0.3">
      <c r="A395" s="2"/>
      <c r="C395" s="14" t="str">
        <f t="shared" si="7"/>
        <v>20248</v>
      </c>
      <c r="D395" s="3">
        <v>45533</v>
      </c>
      <c r="E395" s="21">
        <v>2160.25</v>
      </c>
      <c r="F395" s="21">
        <v>1957.56</v>
      </c>
      <c r="G395" s="21">
        <v>2062.11</v>
      </c>
      <c r="H395" s="21">
        <v>2225.35</v>
      </c>
      <c r="I395" s="21">
        <v>2008.57</v>
      </c>
      <c r="J395" s="21">
        <v>2098.16</v>
      </c>
      <c r="K395" s="21">
        <v>1919.23</v>
      </c>
      <c r="L395" s="21">
        <v>2048.3200000000002</v>
      </c>
      <c r="M395" s="21">
        <v>1989.59</v>
      </c>
      <c r="N395" s="21">
        <v>1983.37</v>
      </c>
      <c r="O395" s="21">
        <v>2025.52</v>
      </c>
      <c r="P395" s="21">
        <v>1936.42</v>
      </c>
      <c r="Q395" s="21">
        <v>6357.6</v>
      </c>
      <c r="R395" s="20">
        <v>117.21</v>
      </c>
      <c r="S395" s="20">
        <v>108.94</v>
      </c>
      <c r="T395" s="21">
        <v>120.08</v>
      </c>
      <c r="V395" s="1">
        <v>120.66</v>
      </c>
      <c r="W395" s="1">
        <v>121.18</v>
      </c>
      <c r="X395" s="1">
        <v>115.63</v>
      </c>
      <c r="Y395" s="1">
        <v>120.23</v>
      </c>
      <c r="Z395" s="1">
        <v>120.04</v>
      </c>
      <c r="AA395" s="1">
        <v>118.52</v>
      </c>
      <c r="AB395" s="1">
        <v>115.58</v>
      </c>
      <c r="AC395" s="1">
        <v>110.35</v>
      </c>
      <c r="AE395" s="1">
        <v>123.56</v>
      </c>
      <c r="AF395" s="1">
        <v>127.2</v>
      </c>
      <c r="AG395" s="1">
        <v>119.97</v>
      </c>
      <c r="AM395" s="1">
        <v>30</v>
      </c>
      <c r="AR395" s="1">
        <v>3025.57</v>
      </c>
      <c r="AS395" s="1">
        <v>3026.03</v>
      </c>
      <c r="AT395" s="1">
        <v>3049.56</v>
      </c>
      <c r="AU395" s="1">
        <v>2846.14</v>
      </c>
      <c r="AW395" s="1">
        <v>2955.42</v>
      </c>
      <c r="AX395" s="1">
        <v>122.92</v>
      </c>
      <c r="AY395" s="1">
        <v>2921.45</v>
      </c>
      <c r="AZ395" s="1">
        <v>2978.21</v>
      </c>
      <c r="BA395" s="1">
        <v>127.24</v>
      </c>
      <c r="BB395" s="1">
        <v>132.1</v>
      </c>
      <c r="BC395" s="1">
        <v>128.86000000000001</v>
      </c>
      <c r="BD395" s="1">
        <v>130.28</v>
      </c>
      <c r="BE395" s="1">
        <v>121.84</v>
      </c>
      <c r="BF395" s="1">
        <v>123.28</v>
      </c>
      <c r="BG395" s="1">
        <v>124.17</v>
      </c>
      <c r="BH395" s="1">
        <v>115.02</v>
      </c>
      <c r="BI395" s="1">
        <v>120.64</v>
      </c>
      <c r="BJ395" s="1">
        <v>125.28</v>
      </c>
      <c r="BL395" s="1">
        <v>116.25</v>
      </c>
      <c r="BN395" s="1">
        <v>116.76</v>
      </c>
    </row>
    <row r="396" spans="1:66" x14ac:dyDescent="0.3">
      <c r="A396" s="2"/>
      <c r="C396" s="14" t="str">
        <f t="shared" si="7"/>
        <v>20248</v>
      </c>
      <c r="D396" s="3">
        <v>45532</v>
      </c>
      <c r="E396" s="21">
        <v>2160.25</v>
      </c>
      <c r="F396" s="21">
        <v>1933.23</v>
      </c>
      <c r="G396" s="21">
        <v>2062.11</v>
      </c>
      <c r="H396" s="21">
        <v>2225.35</v>
      </c>
      <c r="I396" s="21">
        <v>2048.23</v>
      </c>
      <c r="J396" s="21">
        <v>2102.08</v>
      </c>
      <c r="K396" s="21">
        <v>1919.23</v>
      </c>
      <c r="L396" s="21">
        <v>2048.3200000000002</v>
      </c>
      <c r="M396" s="21">
        <v>1976.39</v>
      </c>
      <c r="N396" s="21">
        <v>1949.79</v>
      </c>
      <c r="O396" s="21">
        <v>2015.41</v>
      </c>
      <c r="P396" s="21">
        <v>1916.33</v>
      </c>
      <c r="Q396" s="21">
        <v>6317.95</v>
      </c>
      <c r="R396" s="20">
        <v>115.72</v>
      </c>
      <c r="S396" s="20">
        <v>108.14</v>
      </c>
      <c r="T396" s="21">
        <v>118.64</v>
      </c>
      <c r="V396" s="1">
        <v>119.41</v>
      </c>
      <c r="W396" s="1">
        <v>120.78</v>
      </c>
      <c r="X396" s="1">
        <v>114.79</v>
      </c>
      <c r="Y396" s="1">
        <v>117.92</v>
      </c>
      <c r="Z396" s="1">
        <v>118.74</v>
      </c>
      <c r="AA396" s="1">
        <v>116.67</v>
      </c>
      <c r="AB396" s="1">
        <v>115.13</v>
      </c>
      <c r="AC396" s="1">
        <v>111.06</v>
      </c>
      <c r="AE396" s="1">
        <v>123.19</v>
      </c>
      <c r="AF396" s="1">
        <v>125.86</v>
      </c>
      <c r="AG396" s="1">
        <v>119.34</v>
      </c>
      <c r="AM396" s="1">
        <v>30</v>
      </c>
      <c r="AR396" s="1">
        <v>3025.57</v>
      </c>
      <c r="AS396" s="1">
        <v>3042.67</v>
      </c>
      <c r="AT396" s="1">
        <v>3049.56</v>
      </c>
      <c r="AU396" s="1">
        <v>2846.14</v>
      </c>
      <c r="AW396" s="1">
        <v>2955.42</v>
      </c>
      <c r="AX396" s="1">
        <v>122.9</v>
      </c>
      <c r="AY396" s="1">
        <v>2921.45</v>
      </c>
      <c r="AZ396" s="1">
        <v>3037.79</v>
      </c>
      <c r="BA396" s="1">
        <v>126.8</v>
      </c>
      <c r="BB396" s="1">
        <v>129.78</v>
      </c>
      <c r="BC396" s="1">
        <v>127.64</v>
      </c>
      <c r="BD396" s="1">
        <v>128.35</v>
      </c>
      <c r="BE396" s="1">
        <v>120.17</v>
      </c>
      <c r="BF396" s="1">
        <v>122.28</v>
      </c>
      <c r="BG396" s="1">
        <v>123.78</v>
      </c>
      <c r="BH396" s="1">
        <v>114.49</v>
      </c>
      <c r="BI396" s="1">
        <v>117.45</v>
      </c>
      <c r="BJ396" s="1">
        <v>125.25</v>
      </c>
      <c r="BK396" s="1">
        <v>111.2</v>
      </c>
      <c r="BL396" s="1">
        <v>112.51</v>
      </c>
      <c r="BN396" s="1">
        <v>111.78</v>
      </c>
    </row>
    <row r="397" spans="1:66" x14ac:dyDescent="0.3">
      <c r="A397" s="2"/>
      <c r="C397" s="14" t="str">
        <f t="shared" si="7"/>
        <v>20248</v>
      </c>
      <c r="D397" s="3">
        <v>45531</v>
      </c>
      <c r="E397" s="21">
        <v>2152.79</v>
      </c>
      <c r="F397" s="21">
        <v>1948.55</v>
      </c>
      <c r="G397" s="21">
        <v>2062.11</v>
      </c>
      <c r="H397" s="21">
        <v>2241.67</v>
      </c>
      <c r="I397" s="21">
        <v>2048.23</v>
      </c>
      <c r="J397" s="21">
        <v>2096.41</v>
      </c>
      <c r="K397" s="21">
        <v>1919.23</v>
      </c>
      <c r="L397" s="21">
        <v>2013.35</v>
      </c>
      <c r="M397" s="21">
        <v>1976.39</v>
      </c>
      <c r="N397" s="21">
        <v>1967.73</v>
      </c>
      <c r="O397" s="21">
        <v>2033.13</v>
      </c>
      <c r="P397" s="21">
        <v>1936.42</v>
      </c>
      <c r="Q397" s="21">
        <v>6291.67</v>
      </c>
      <c r="R397" s="20">
        <v>114.72</v>
      </c>
      <c r="S397" s="20">
        <v>108.14</v>
      </c>
      <c r="T397" s="21">
        <v>117.65</v>
      </c>
      <c r="V397" s="1">
        <v>117.3</v>
      </c>
      <c r="W397" s="1">
        <v>117.88</v>
      </c>
      <c r="X397" s="1">
        <v>114.48</v>
      </c>
      <c r="Y397" s="1">
        <v>116.99</v>
      </c>
      <c r="Z397" s="1">
        <v>117.14</v>
      </c>
      <c r="AA397" s="1">
        <v>116.21</v>
      </c>
      <c r="AB397" s="1">
        <v>114.24</v>
      </c>
      <c r="AC397" s="1">
        <v>110.92</v>
      </c>
      <c r="AE397" s="1">
        <v>122.32</v>
      </c>
      <c r="AF397" s="1">
        <v>125.86</v>
      </c>
      <c r="AG397" s="1">
        <v>119.32</v>
      </c>
      <c r="AM397" s="1">
        <v>30</v>
      </c>
      <c r="AS397" s="1">
        <v>3042.67</v>
      </c>
      <c r="AT397" s="1">
        <v>3086.55</v>
      </c>
      <c r="AU397" s="1">
        <v>2846.14</v>
      </c>
      <c r="AW397" s="1">
        <v>2955.42</v>
      </c>
      <c r="AX397" s="1">
        <v>121.89</v>
      </c>
      <c r="AY397" s="1">
        <v>2847.15</v>
      </c>
      <c r="AZ397" s="1">
        <v>3032.33</v>
      </c>
      <c r="BA397" s="1">
        <v>126.8</v>
      </c>
      <c r="BB397" s="1">
        <v>128.80000000000001</v>
      </c>
      <c r="BC397" s="1">
        <v>126.11</v>
      </c>
      <c r="BD397" s="1">
        <v>128.61000000000001</v>
      </c>
      <c r="BE397" s="1">
        <v>119.12</v>
      </c>
      <c r="BF397" s="1">
        <v>122.28</v>
      </c>
      <c r="BG397" s="1">
        <v>122.31</v>
      </c>
      <c r="BH397" s="1">
        <v>114.31</v>
      </c>
      <c r="BI397" s="1">
        <v>117.27</v>
      </c>
      <c r="BJ397" s="1">
        <v>123.87</v>
      </c>
      <c r="BK397" s="1">
        <v>111.27</v>
      </c>
      <c r="BL397" s="1">
        <v>112.01</v>
      </c>
      <c r="BN397" s="1">
        <v>111.78</v>
      </c>
    </row>
    <row r="398" spans="1:66" x14ac:dyDescent="0.3">
      <c r="A398" s="2"/>
      <c r="C398" s="14" t="str">
        <f t="shared" si="7"/>
        <v>20248</v>
      </c>
      <c r="D398" s="3">
        <v>45530</v>
      </c>
      <c r="E398" s="21">
        <v>2117.96</v>
      </c>
      <c r="F398" s="21">
        <v>1952.15</v>
      </c>
      <c r="G398" s="21">
        <v>2055.5</v>
      </c>
      <c r="H398" s="21">
        <v>2221.62</v>
      </c>
      <c r="I398" s="21">
        <v>2048.23</v>
      </c>
      <c r="J398" s="21">
        <v>2092.5100000000002</v>
      </c>
      <c r="K398" s="21">
        <v>1919.23</v>
      </c>
      <c r="L398" s="21">
        <v>1942.22</v>
      </c>
      <c r="M398" s="21">
        <v>1927.16</v>
      </c>
      <c r="N398" s="21">
        <v>1952.61</v>
      </c>
      <c r="O398" s="21">
        <v>1979.97</v>
      </c>
      <c r="P398" s="21">
        <v>1936.42</v>
      </c>
      <c r="Q398" s="21">
        <v>6277.95</v>
      </c>
      <c r="R398" s="20">
        <v>114.22</v>
      </c>
      <c r="S398" s="20">
        <v>108.14</v>
      </c>
      <c r="T398" s="21">
        <v>117.64</v>
      </c>
      <c r="V398" s="1">
        <v>115.59</v>
      </c>
      <c r="W398" s="1">
        <v>118.78</v>
      </c>
      <c r="X398" s="1">
        <v>114.39</v>
      </c>
      <c r="Y398" s="1">
        <v>116.4</v>
      </c>
      <c r="Z398" s="1">
        <v>116.82</v>
      </c>
      <c r="AA398" s="1">
        <v>114.78</v>
      </c>
      <c r="AB398" s="1">
        <v>114.14</v>
      </c>
      <c r="AC398" s="1">
        <v>110.98</v>
      </c>
      <c r="AE398" s="1">
        <v>122.45</v>
      </c>
      <c r="AF398" s="1">
        <v>124.2</v>
      </c>
      <c r="AG398" s="1">
        <v>118.47</v>
      </c>
      <c r="AM398" s="1">
        <v>30</v>
      </c>
      <c r="AS398" s="1">
        <v>2977.61</v>
      </c>
      <c r="AU398" s="1">
        <v>2859.59</v>
      </c>
      <c r="AW398" s="1">
        <v>2955.42</v>
      </c>
      <c r="AX398" s="1">
        <v>121.88</v>
      </c>
      <c r="AY398" s="1">
        <v>2936.59</v>
      </c>
      <c r="AZ398" s="1">
        <v>3037.79</v>
      </c>
      <c r="BA398" s="1">
        <v>125.3</v>
      </c>
      <c r="BB398" s="1">
        <v>128.55000000000001</v>
      </c>
      <c r="BC398" s="1">
        <v>123.25</v>
      </c>
      <c r="BD398" s="1">
        <v>126.86</v>
      </c>
      <c r="BE398" s="1">
        <v>118.58</v>
      </c>
      <c r="BF398" s="1">
        <v>119.08</v>
      </c>
      <c r="BG398" s="1">
        <v>122.31</v>
      </c>
      <c r="BH398" s="1">
        <v>114.31</v>
      </c>
      <c r="BI398" s="1">
        <v>116.99</v>
      </c>
      <c r="BJ398" s="1">
        <v>123.85</v>
      </c>
      <c r="BK398" s="1">
        <v>111.48</v>
      </c>
      <c r="BL398" s="1">
        <v>111.39</v>
      </c>
      <c r="BN398" s="1">
        <v>111.12</v>
      </c>
    </row>
    <row r="399" spans="1:66" x14ac:dyDescent="0.3">
      <c r="A399" s="2"/>
      <c r="C399" s="14" t="str">
        <f t="shared" si="7"/>
        <v>20248</v>
      </c>
      <c r="D399" s="3">
        <v>45527</v>
      </c>
      <c r="E399" s="21">
        <v>2135.37</v>
      </c>
      <c r="F399" s="21">
        <v>1953.96</v>
      </c>
      <c r="G399" s="21">
        <v>2062.11</v>
      </c>
      <c r="H399" s="21">
        <v>2222.29</v>
      </c>
      <c r="I399" s="21">
        <v>2048.23</v>
      </c>
      <c r="J399" s="21">
        <v>2092.5100000000002</v>
      </c>
      <c r="K399" s="21">
        <v>1919.23</v>
      </c>
      <c r="L399" s="21">
        <v>1958.74</v>
      </c>
      <c r="M399" s="21">
        <v>1927.16</v>
      </c>
      <c r="N399" s="21">
        <v>1956.05</v>
      </c>
      <c r="O399" s="21">
        <v>2011.37</v>
      </c>
      <c r="P399" s="21">
        <v>1936.42</v>
      </c>
      <c r="Q399" s="21">
        <v>6291.67</v>
      </c>
      <c r="R399" s="20">
        <v>113.72</v>
      </c>
      <c r="S399" s="20">
        <v>108.53</v>
      </c>
      <c r="T399" s="21">
        <v>117.37</v>
      </c>
      <c r="V399" s="1">
        <v>115.73</v>
      </c>
      <c r="W399" s="1">
        <v>117.98</v>
      </c>
      <c r="X399" s="1">
        <v>113.85</v>
      </c>
      <c r="Y399" s="1">
        <v>116.19</v>
      </c>
      <c r="Z399" s="1">
        <v>116.43</v>
      </c>
      <c r="AA399" s="1">
        <v>114.53</v>
      </c>
      <c r="AB399" s="1">
        <v>114.46</v>
      </c>
      <c r="AC399" s="1">
        <v>111.18</v>
      </c>
      <c r="AE399" s="1">
        <v>123.44</v>
      </c>
      <c r="AF399" s="1">
        <v>124.58</v>
      </c>
      <c r="AG399" s="1">
        <v>120.54</v>
      </c>
      <c r="AI399" s="1">
        <v>7</v>
      </c>
      <c r="AM399" s="1">
        <v>30</v>
      </c>
      <c r="AN399" s="1">
        <v>2904.17</v>
      </c>
      <c r="AS399" s="1">
        <v>2977.61</v>
      </c>
      <c r="AT399" s="1">
        <v>3026.03</v>
      </c>
      <c r="AX399" s="1">
        <v>120.65</v>
      </c>
      <c r="AY399" s="1">
        <v>2936.59</v>
      </c>
      <c r="AZ399" s="1">
        <v>3015.94</v>
      </c>
      <c r="BA399" s="1">
        <v>123.8</v>
      </c>
      <c r="BB399" s="1">
        <v>127.62</v>
      </c>
      <c r="BC399" s="1">
        <v>124.38</v>
      </c>
      <c r="BD399" s="1">
        <v>128.30000000000001</v>
      </c>
      <c r="BE399" s="1">
        <v>119.16</v>
      </c>
      <c r="BF399" s="1">
        <v>119.08</v>
      </c>
      <c r="BG399" s="1">
        <v>122.65</v>
      </c>
      <c r="BH399" s="1">
        <v>113.8</v>
      </c>
      <c r="BI399" s="1">
        <v>116.99</v>
      </c>
      <c r="BJ399" s="1">
        <v>124.2</v>
      </c>
      <c r="BK399" s="1">
        <v>113.11</v>
      </c>
      <c r="BL399" s="1">
        <v>111.59</v>
      </c>
      <c r="BN399" s="1">
        <v>110.46</v>
      </c>
    </row>
    <row r="400" spans="1:66" x14ac:dyDescent="0.3">
      <c r="A400" s="2"/>
      <c r="C400" s="14" t="str">
        <f t="shared" si="7"/>
        <v>20248</v>
      </c>
      <c r="D400" s="3">
        <v>45526</v>
      </c>
      <c r="E400" s="21">
        <v>2120.4499999999998</v>
      </c>
      <c r="F400" s="21">
        <v>1954.65</v>
      </c>
      <c r="G400" s="21">
        <v>2066.3000000000002</v>
      </c>
      <c r="H400" s="21">
        <v>2123.27</v>
      </c>
      <c r="I400" s="21">
        <v>2048.23</v>
      </c>
      <c r="J400" s="21">
        <v>2076.2600000000002</v>
      </c>
      <c r="K400" s="21">
        <v>1919.23</v>
      </c>
      <c r="L400" s="21">
        <v>1961.84</v>
      </c>
      <c r="M400" s="21">
        <v>1927.16</v>
      </c>
      <c r="N400" s="21">
        <v>1969.06</v>
      </c>
      <c r="O400" s="21">
        <v>1952.37</v>
      </c>
      <c r="P400" s="21">
        <v>1936.42</v>
      </c>
      <c r="Q400" s="21">
        <v>6292.75</v>
      </c>
      <c r="R400" s="20">
        <v>113.22</v>
      </c>
      <c r="S400" s="20">
        <v>108.53</v>
      </c>
      <c r="T400" s="21">
        <v>117.15</v>
      </c>
      <c r="V400" s="1">
        <v>114.7</v>
      </c>
      <c r="W400" s="1">
        <v>118.28</v>
      </c>
      <c r="X400" s="1">
        <v>114.41</v>
      </c>
      <c r="Y400" s="1">
        <v>114.94</v>
      </c>
      <c r="Z400" s="1">
        <v>115.64</v>
      </c>
      <c r="AA400" s="1">
        <v>114.12</v>
      </c>
      <c r="AB400" s="1">
        <v>113.96</v>
      </c>
      <c r="AE400" s="1">
        <v>123.69</v>
      </c>
      <c r="AF400" s="1">
        <v>125.97</v>
      </c>
      <c r="AG400" s="1">
        <v>115.68</v>
      </c>
      <c r="AI400" s="1">
        <v>7</v>
      </c>
      <c r="AN400" s="1">
        <v>2904.17</v>
      </c>
      <c r="AS400" s="1">
        <v>2977.61</v>
      </c>
      <c r="AT400" s="1">
        <v>3026.03</v>
      </c>
      <c r="AV400" s="1">
        <v>30</v>
      </c>
      <c r="AW400" s="1">
        <v>2945</v>
      </c>
      <c r="AX400" s="1">
        <v>119.85</v>
      </c>
      <c r="AY400" s="1">
        <v>3026.03</v>
      </c>
      <c r="AZ400" s="1">
        <v>3015.94</v>
      </c>
      <c r="BA400" s="1">
        <v>123.8</v>
      </c>
      <c r="BB400" s="1">
        <v>127.67</v>
      </c>
      <c r="BC400" s="1">
        <v>123.16</v>
      </c>
      <c r="BD400" s="1">
        <v>126.55</v>
      </c>
      <c r="BE400" s="1">
        <v>119.15</v>
      </c>
      <c r="BF400" s="1">
        <v>115.03</v>
      </c>
      <c r="BG400" s="1">
        <v>121.49</v>
      </c>
      <c r="BH400" s="1">
        <v>116.14</v>
      </c>
      <c r="BI400" s="1">
        <v>117.27</v>
      </c>
      <c r="BJ400" s="1">
        <v>123.79</v>
      </c>
      <c r="BK400" s="1">
        <v>112.78</v>
      </c>
      <c r="BL400" s="1">
        <v>110.19</v>
      </c>
      <c r="BN400" s="1">
        <v>109.8</v>
      </c>
    </row>
    <row r="401" spans="1:66" x14ac:dyDescent="0.3">
      <c r="A401" s="2"/>
      <c r="C401" s="14" t="str">
        <f t="shared" si="7"/>
        <v>20248</v>
      </c>
      <c r="D401" s="3">
        <v>45525</v>
      </c>
      <c r="E401" s="21">
        <v>2135.37</v>
      </c>
      <c r="F401" s="21">
        <v>1948.55</v>
      </c>
      <c r="G401" s="21">
        <v>2069.54</v>
      </c>
      <c r="H401" s="21">
        <v>2155.25</v>
      </c>
      <c r="I401" s="21">
        <v>2024.93</v>
      </c>
      <c r="J401" s="21">
        <v>2076.2600000000002</v>
      </c>
      <c r="K401" s="21">
        <v>1919.23</v>
      </c>
      <c r="L401" s="21">
        <v>2007.17</v>
      </c>
      <c r="M401" s="21">
        <v>1930.3</v>
      </c>
      <c r="N401" s="21">
        <v>1994.99</v>
      </c>
      <c r="O401" s="21">
        <v>1984.44</v>
      </c>
      <c r="P401" s="21">
        <v>1928.1</v>
      </c>
      <c r="Q401" s="21">
        <v>6341.67</v>
      </c>
      <c r="R401" s="20">
        <v>112.23</v>
      </c>
      <c r="S401" s="20">
        <v>104.92</v>
      </c>
      <c r="T401" s="21">
        <v>116.8</v>
      </c>
      <c r="V401" s="1">
        <v>115.67</v>
      </c>
      <c r="W401" s="1">
        <v>117.38</v>
      </c>
      <c r="X401" s="1">
        <v>113.1</v>
      </c>
      <c r="Y401" s="1">
        <v>114.78</v>
      </c>
      <c r="Z401" s="1">
        <v>114.84</v>
      </c>
      <c r="AA401" s="1">
        <v>113.23</v>
      </c>
      <c r="AB401" s="1">
        <v>113.09</v>
      </c>
      <c r="AE401" s="1">
        <v>122.2</v>
      </c>
      <c r="AF401" s="1">
        <v>124.99</v>
      </c>
      <c r="AG401" s="1">
        <v>118.02</v>
      </c>
      <c r="AI401" s="1">
        <v>7</v>
      </c>
      <c r="AN401" s="1">
        <v>2904.17</v>
      </c>
      <c r="AS401" s="1">
        <v>2950.37</v>
      </c>
      <c r="AT401" s="1">
        <v>3026.03</v>
      </c>
      <c r="AV401" s="1">
        <v>30</v>
      </c>
      <c r="AW401" s="1">
        <v>2945</v>
      </c>
      <c r="AX401" s="1">
        <v>119.83</v>
      </c>
      <c r="AY401" s="1">
        <v>3026.03</v>
      </c>
      <c r="AZ401" s="1">
        <v>3015.94</v>
      </c>
      <c r="BA401" s="1">
        <v>122.3</v>
      </c>
      <c r="BB401" s="1">
        <v>125.63</v>
      </c>
      <c r="BC401" s="1">
        <v>122.5</v>
      </c>
      <c r="BD401" s="1">
        <v>125.38</v>
      </c>
      <c r="BE401" s="1">
        <v>118.01</v>
      </c>
      <c r="BF401" s="1">
        <v>117.75</v>
      </c>
      <c r="BG401" s="1">
        <v>120.98</v>
      </c>
      <c r="BH401" s="1">
        <v>113.48</v>
      </c>
      <c r="BI401" s="1">
        <v>116.77</v>
      </c>
      <c r="BJ401" s="1">
        <v>123.18</v>
      </c>
      <c r="BK401" s="1">
        <v>112.45</v>
      </c>
      <c r="BL401" s="1">
        <v>109.59</v>
      </c>
      <c r="BN401" s="1">
        <v>109.8</v>
      </c>
    </row>
    <row r="402" spans="1:66" x14ac:dyDescent="0.3">
      <c r="A402" s="2"/>
      <c r="C402" s="14" t="str">
        <f t="shared" si="7"/>
        <v>20248</v>
      </c>
      <c r="D402" s="3">
        <v>45524</v>
      </c>
      <c r="E402" s="21">
        <v>2140.35</v>
      </c>
      <c r="F402" s="21">
        <v>1943.14</v>
      </c>
      <c r="G402" s="21">
        <v>2066.3000000000002</v>
      </c>
      <c r="H402" s="21">
        <v>2251.19</v>
      </c>
      <c r="I402" s="21">
        <v>2060.13</v>
      </c>
      <c r="J402" s="21">
        <v>2061.2199999999998</v>
      </c>
      <c r="K402" s="21">
        <v>1915.65</v>
      </c>
      <c r="L402" s="21">
        <v>1948.83</v>
      </c>
      <c r="M402" s="21">
        <v>1930.46</v>
      </c>
      <c r="N402" s="21">
        <v>1957.51</v>
      </c>
      <c r="O402" s="21">
        <v>2024.04</v>
      </c>
      <c r="P402" s="21">
        <v>1928.1</v>
      </c>
      <c r="Q402" s="21">
        <v>6282.67</v>
      </c>
      <c r="R402" s="20">
        <v>111.23</v>
      </c>
      <c r="S402" s="20">
        <v>107.52</v>
      </c>
      <c r="T402" s="21">
        <v>116.18</v>
      </c>
      <c r="V402" s="1">
        <v>113.55</v>
      </c>
      <c r="W402" s="1">
        <v>116.38</v>
      </c>
      <c r="X402" s="1">
        <v>112.48</v>
      </c>
      <c r="Y402" s="1">
        <v>113.08</v>
      </c>
      <c r="Z402" s="1">
        <v>113.74</v>
      </c>
      <c r="AA402" s="1">
        <v>113.29</v>
      </c>
      <c r="AB402" s="1">
        <v>112.22</v>
      </c>
      <c r="AE402" s="1">
        <v>121.45</v>
      </c>
      <c r="AF402" s="1">
        <v>122.09</v>
      </c>
      <c r="AG402" s="1">
        <v>113.94</v>
      </c>
      <c r="AI402" s="1">
        <v>7</v>
      </c>
      <c r="AN402" s="1">
        <v>2904.17</v>
      </c>
      <c r="AQ402" s="1">
        <v>3063.85</v>
      </c>
      <c r="AS402" s="1">
        <v>2950.37</v>
      </c>
      <c r="AT402" s="1">
        <v>3026.03</v>
      </c>
      <c r="AV402" s="1">
        <v>30</v>
      </c>
      <c r="AW402" s="1">
        <v>2945</v>
      </c>
      <c r="AX402" s="1">
        <v>117.05</v>
      </c>
      <c r="AY402" s="1">
        <v>3026.03</v>
      </c>
      <c r="AZ402" s="1">
        <v>3026.03</v>
      </c>
      <c r="BA402" s="1">
        <v>119.66</v>
      </c>
      <c r="BB402" s="1">
        <v>123.8</v>
      </c>
      <c r="BC402" s="1">
        <v>120.99</v>
      </c>
      <c r="BD402" s="1">
        <v>123.75</v>
      </c>
      <c r="BE402" s="1">
        <v>115.57</v>
      </c>
      <c r="BF402" s="1">
        <v>116.79</v>
      </c>
      <c r="BG402" s="1">
        <v>120.58</v>
      </c>
      <c r="BH402" s="1">
        <v>113.48</v>
      </c>
      <c r="BI402" s="1">
        <v>116.77</v>
      </c>
      <c r="BJ402" s="1">
        <v>121.15</v>
      </c>
      <c r="BL402" s="1">
        <v>108.99</v>
      </c>
      <c r="BN402" s="1">
        <v>109.14</v>
      </c>
    </row>
    <row r="403" spans="1:66" x14ac:dyDescent="0.3">
      <c r="A403" s="2"/>
      <c r="C403" s="14" t="str">
        <f t="shared" si="7"/>
        <v>20248</v>
      </c>
      <c r="D403" s="3">
        <v>45523</v>
      </c>
      <c r="E403" s="21">
        <v>2125.42</v>
      </c>
      <c r="F403" s="21">
        <v>1943.14</v>
      </c>
      <c r="G403" s="21">
        <v>2055.5</v>
      </c>
      <c r="H403" s="21">
        <v>2251.19</v>
      </c>
      <c r="I403" s="21">
        <v>2060.13</v>
      </c>
      <c r="J403" s="21">
        <v>2051.42</v>
      </c>
      <c r="K403" s="21">
        <v>1919.23</v>
      </c>
      <c r="L403" s="21">
        <v>1938.23</v>
      </c>
      <c r="M403" s="21">
        <v>1862.52</v>
      </c>
      <c r="N403" s="21">
        <v>1988.36</v>
      </c>
      <c r="O403" s="21">
        <v>1956.23</v>
      </c>
      <c r="P403" s="21">
        <v>1928.1</v>
      </c>
      <c r="Q403" s="21">
        <v>6282.67</v>
      </c>
      <c r="R403" s="20">
        <v>110.23</v>
      </c>
      <c r="S403" s="20">
        <v>104.74</v>
      </c>
      <c r="T403" s="21">
        <v>115.53</v>
      </c>
      <c r="V403" s="1">
        <v>110.93</v>
      </c>
      <c r="W403" s="1">
        <v>115.58</v>
      </c>
      <c r="X403" s="1">
        <v>112.48</v>
      </c>
      <c r="Y403" s="1">
        <v>113.81</v>
      </c>
      <c r="Z403" s="1">
        <v>114.16</v>
      </c>
      <c r="AA403" s="1">
        <v>113.25</v>
      </c>
      <c r="AB403" s="1">
        <v>112.09</v>
      </c>
      <c r="AE403" s="1">
        <v>120.95</v>
      </c>
      <c r="AF403" s="1">
        <v>121.6</v>
      </c>
      <c r="AG403" s="1">
        <v>113.9</v>
      </c>
      <c r="AI403" s="1">
        <v>7</v>
      </c>
      <c r="AN403" s="1">
        <v>2904.17</v>
      </c>
      <c r="AP403" s="1">
        <v>2990</v>
      </c>
      <c r="AQ403" s="1">
        <v>3063.85</v>
      </c>
      <c r="AR403" s="1">
        <v>2702.41</v>
      </c>
      <c r="AS403" s="1">
        <v>2950.37</v>
      </c>
      <c r="AT403" s="1">
        <v>3026.03</v>
      </c>
      <c r="AU403" s="1">
        <v>2753.68</v>
      </c>
      <c r="AV403" s="1">
        <v>30</v>
      </c>
      <c r="AW403" s="1">
        <v>2945</v>
      </c>
      <c r="AX403" s="1">
        <v>116.3</v>
      </c>
      <c r="AZ403" s="1">
        <v>3026.03</v>
      </c>
      <c r="BA403" s="1">
        <v>119.39</v>
      </c>
      <c r="BB403" s="1">
        <v>123.65</v>
      </c>
      <c r="BC403" s="1">
        <v>120.67</v>
      </c>
      <c r="BD403" s="1">
        <v>125.74</v>
      </c>
      <c r="BE403" s="1">
        <v>115.86</v>
      </c>
      <c r="BF403" s="1">
        <v>116.29</v>
      </c>
      <c r="BG403" s="1">
        <v>120.58</v>
      </c>
      <c r="BH403" s="1">
        <v>109.69</v>
      </c>
      <c r="BI403" s="1">
        <v>115.65</v>
      </c>
      <c r="BJ403" s="1">
        <v>121.15</v>
      </c>
      <c r="BL403" s="1">
        <v>109.26</v>
      </c>
      <c r="BN403" s="1">
        <v>109.14</v>
      </c>
    </row>
    <row r="404" spans="1:66" x14ac:dyDescent="0.3">
      <c r="A404" s="2"/>
      <c r="C404" s="14" t="str">
        <f t="shared" si="7"/>
        <v>20248</v>
      </c>
      <c r="D404" s="3">
        <v>45520</v>
      </c>
      <c r="E404" s="21">
        <v>2152.79</v>
      </c>
      <c r="F404" s="21">
        <v>1943.14</v>
      </c>
      <c r="G404" s="21">
        <v>2024.93</v>
      </c>
      <c r="H404" s="21">
        <v>2308.0500000000002</v>
      </c>
      <c r="I404" s="21">
        <v>2060.13</v>
      </c>
      <c r="J404" s="21">
        <v>2051.42</v>
      </c>
      <c r="K404" s="21"/>
      <c r="L404" s="21">
        <v>1934.93</v>
      </c>
      <c r="M404" s="21">
        <v>1862.52</v>
      </c>
      <c r="N404" s="21">
        <v>1984.44</v>
      </c>
      <c r="O404" s="21">
        <v>1981.53</v>
      </c>
      <c r="P404" s="21">
        <v>1928.1</v>
      </c>
      <c r="Q404" s="21">
        <v>6282.67</v>
      </c>
      <c r="R404" s="20">
        <v>111.23</v>
      </c>
      <c r="S404" s="20">
        <v>108.76</v>
      </c>
      <c r="T404" s="21">
        <v>115.59</v>
      </c>
      <c r="V404" s="1">
        <v>110.71</v>
      </c>
      <c r="W404" s="1">
        <v>116.38</v>
      </c>
      <c r="X404" s="1">
        <v>112.6</v>
      </c>
      <c r="Y404" s="1">
        <v>113.85</v>
      </c>
      <c r="Z404" s="1">
        <v>114.23</v>
      </c>
      <c r="AA404" s="1">
        <v>113.53</v>
      </c>
      <c r="AB404" s="1">
        <v>112.82</v>
      </c>
      <c r="AE404" s="1">
        <v>124.1</v>
      </c>
      <c r="AF404" s="1">
        <v>120.61</v>
      </c>
      <c r="AG404" s="1">
        <v>114.66</v>
      </c>
      <c r="AP404" s="1">
        <v>2990</v>
      </c>
      <c r="AQ404" s="1">
        <v>3109.24</v>
      </c>
      <c r="AR404" s="1">
        <v>2702.41</v>
      </c>
      <c r="AS404" s="1">
        <v>2950.37</v>
      </c>
      <c r="AU404" s="1">
        <v>2753.68</v>
      </c>
      <c r="AV404" s="1">
        <v>30</v>
      </c>
      <c r="AW404" s="1">
        <v>2945</v>
      </c>
      <c r="AX404" s="1">
        <v>114.75</v>
      </c>
      <c r="AZ404" s="1">
        <v>3026.03</v>
      </c>
      <c r="BA404" s="1">
        <v>119.63</v>
      </c>
      <c r="BB404" s="1">
        <v>124.01</v>
      </c>
      <c r="BC404" s="1">
        <v>120.53</v>
      </c>
      <c r="BD404" s="1">
        <v>125.82</v>
      </c>
      <c r="BE404" s="1">
        <v>116.6</v>
      </c>
      <c r="BF404" s="1">
        <v>117.29</v>
      </c>
      <c r="BG404" s="1">
        <v>123.3</v>
      </c>
      <c r="BH404" s="1">
        <v>109.36</v>
      </c>
      <c r="BI404" s="1">
        <v>115.65</v>
      </c>
      <c r="BJ404" s="1">
        <v>121.15</v>
      </c>
      <c r="BL404" s="1">
        <v>109.26</v>
      </c>
      <c r="BN404" s="1">
        <v>109.14</v>
      </c>
    </row>
    <row r="405" spans="1:66" x14ac:dyDescent="0.3">
      <c r="A405" s="2"/>
      <c r="C405" s="14" t="str">
        <f t="shared" si="7"/>
        <v>20248</v>
      </c>
      <c r="D405" s="3">
        <v>45519</v>
      </c>
      <c r="E405" s="21">
        <v>2127.91</v>
      </c>
      <c r="F405" s="21">
        <v>1966.69</v>
      </c>
      <c r="G405" s="21">
        <v>2024.93</v>
      </c>
      <c r="H405" s="21">
        <v>2166.96</v>
      </c>
      <c r="I405" s="21">
        <v>2058.8000000000002</v>
      </c>
      <c r="J405" s="21">
        <v>2119.42</v>
      </c>
      <c r="K405" s="21"/>
      <c r="L405" s="21"/>
      <c r="M405" s="21">
        <v>1892.81</v>
      </c>
      <c r="N405" s="21">
        <v>1969.33</v>
      </c>
      <c r="O405" s="21">
        <v>2038.26</v>
      </c>
      <c r="P405" s="21">
        <v>2245.7199999999998</v>
      </c>
      <c r="Q405" s="21">
        <v>6341.45</v>
      </c>
      <c r="R405" s="20">
        <v>110.73</v>
      </c>
      <c r="S405" s="20">
        <v>108.76</v>
      </c>
      <c r="T405" s="21">
        <v>115.26</v>
      </c>
      <c r="V405" s="1">
        <v>111.37</v>
      </c>
      <c r="W405" s="1">
        <v>116.98</v>
      </c>
      <c r="X405" s="1">
        <v>112.98</v>
      </c>
      <c r="Y405" s="1">
        <v>113.85</v>
      </c>
      <c r="Z405" s="1">
        <v>113.54</v>
      </c>
      <c r="AA405" s="1">
        <v>114.09</v>
      </c>
      <c r="AB405" s="1">
        <v>112.39</v>
      </c>
      <c r="AE405" s="1">
        <v>124.35</v>
      </c>
      <c r="AF405" s="1">
        <v>120.61</v>
      </c>
      <c r="AG405" s="1">
        <v>116.59</v>
      </c>
      <c r="AP405" s="1">
        <v>2990</v>
      </c>
      <c r="AQ405" s="1">
        <v>3109.24</v>
      </c>
      <c r="AR405" s="1">
        <v>2702.41</v>
      </c>
      <c r="AS405" s="1">
        <v>2950.37</v>
      </c>
      <c r="AU405" s="1">
        <v>2753.68</v>
      </c>
      <c r="AX405" s="1">
        <v>116.22</v>
      </c>
      <c r="AZ405" s="1">
        <v>3026.03</v>
      </c>
      <c r="BA405" s="1">
        <v>119.44</v>
      </c>
      <c r="BB405" s="1">
        <v>124.47</v>
      </c>
      <c r="BC405" s="1">
        <v>119.85</v>
      </c>
      <c r="BD405" s="1">
        <v>124.32</v>
      </c>
      <c r="BE405" s="1">
        <v>116.88</v>
      </c>
      <c r="BF405" s="1">
        <v>120.49</v>
      </c>
      <c r="BG405" s="1">
        <v>123.89</v>
      </c>
      <c r="BH405" s="1">
        <v>115.97</v>
      </c>
      <c r="BI405" s="1">
        <v>119.63</v>
      </c>
      <c r="BJ405" s="1">
        <v>121.15</v>
      </c>
      <c r="BL405" s="1">
        <v>109.26</v>
      </c>
      <c r="BN405" s="1">
        <v>109.14</v>
      </c>
    </row>
    <row r="406" spans="1:66" x14ac:dyDescent="0.3">
      <c r="A406" s="2"/>
      <c r="C406" s="14" t="str">
        <f t="shared" si="7"/>
        <v>20248</v>
      </c>
      <c r="D406" s="3">
        <v>45518</v>
      </c>
      <c r="E406" s="21">
        <v>2125.33</v>
      </c>
      <c r="F406" s="21">
        <v>1984.45</v>
      </c>
      <c r="G406" s="21">
        <v>2049.7199999999998</v>
      </c>
      <c r="H406" s="21">
        <v>2161.3000000000002</v>
      </c>
      <c r="I406" s="21">
        <v>2068.06</v>
      </c>
      <c r="J406" s="21">
        <v>2101.19</v>
      </c>
      <c r="K406" s="21"/>
      <c r="L406" s="21"/>
      <c r="M406" s="21">
        <v>1863.11</v>
      </c>
      <c r="N406" s="21">
        <v>1989.04</v>
      </c>
      <c r="O406" s="21">
        <v>1919.35</v>
      </c>
      <c r="P406" s="21">
        <v>2169.21</v>
      </c>
      <c r="Q406" s="21">
        <v>6341.45</v>
      </c>
      <c r="R406" s="20">
        <v>110.73</v>
      </c>
      <c r="S406" s="20">
        <v>108.6</v>
      </c>
      <c r="T406" s="21">
        <v>115.46</v>
      </c>
      <c r="U406" s="1">
        <v>117.4</v>
      </c>
      <c r="V406" s="1">
        <v>112.36</v>
      </c>
      <c r="W406" s="1">
        <v>115.98</v>
      </c>
      <c r="X406" s="1">
        <v>112.85</v>
      </c>
      <c r="Y406" s="1">
        <v>113.17</v>
      </c>
      <c r="Z406" s="1">
        <v>113.74</v>
      </c>
      <c r="AA406" s="1">
        <v>114.08</v>
      </c>
      <c r="AB406" s="1">
        <v>114.09</v>
      </c>
      <c r="AC406" s="1">
        <v>115.07</v>
      </c>
      <c r="AE406" s="1">
        <v>124.59</v>
      </c>
      <c r="AF406" s="1">
        <v>121.6</v>
      </c>
      <c r="AG406" s="1">
        <v>116.57</v>
      </c>
      <c r="AK406" s="1">
        <v>15</v>
      </c>
      <c r="AP406" s="1">
        <v>2990</v>
      </c>
      <c r="AQ406" s="1">
        <v>3109.24</v>
      </c>
      <c r="AR406" s="1">
        <v>2702.41</v>
      </c>
      <c r="AS406" s="1">
        <v>2956.57</v>
      </c>
      <c r="AU406" s="1">
        <v>2753.68</v>
      </c>
      <c r="AX406" s="1">
        <v>116.22</v>
      </c>
      <c r="AZ406" s="1">
        <v>3026.03</v>
      </c>
      <c r="BA406" s="1">
        <v>119.07</v>
      </c>
      <c r="BB406" s="1">
        <v>123.22</v>
      </c>
      <c r="BC406" s="1">
        <v>121.05</v>
      </c>
      <c r="BD406" s="1">
        <v>123.23</v>
      </c>
      <c r="BE406" s="1">
        <v>116.88</v>
      </c>
      <c r="BF406" s="1">
        <v>120.49</v>
      </c>
      <c r="BG406" s="1">
        <v>127.29</v>
      </c>
      <c r="BH406" s="1">
        <v>118.63</v>
      </c>
      <c r="BI406" s="1">
        <v>118.27</v>
      </c>
      <c r="BJ406" s="1">
        <v>121.15</v>
      </c>
      <c r="BK406" s="1">
        <v>110.32</v>
      </c>
      <c r="BL406" s="1">
        <v>109.76</v>
      </c>
      <c r="BN406" s="1">
        <v>110.46</v>
      </c>
    </row>
    <row r="407" spans="1:66" x14ac:dyDescent="0.3">
      <c r="A407" s="2"/>
      <c r="C407" s="14" t="str">
        <f t="shared" si="7"/>
        <v>20248</v>
      </c>
      <c r="D407" s="3">
        <v>45517</v>
      </c>
      <c r="E407" s="21">
        <v>2112.9</v>
      </c>
      <c r="F407" s="21">
        <v>1998.12</v>
      </c>
      <c r="G407" s="21">
        <v>2111.6799999999998</v>
      </c>
      <c r="H407" s="21">
        <v>2163.7800000000002</v>
      </c>
      <c r="I407" s="21">
        <v>2074.0100000000002</v>
      </c>
      <c r="J407" s="21">
        <v>2132.39</v>
      </c>
      <c r="K407" s="21"/>
      <c r="L407" s="21"/>
      <c r="M407" s="21">
        <v>1927.72</v>
      </c>
      <c r="N407" s="21">
        <v>1992.09</v>
      </c>
      <c r="O407" s="21">
        <v>1867.16</v>
      </c>
      <c r="P407" s="21">
        <v>2169.21</v>
      </c>
      <c r="Q407" s="21">
        <v>6341.45</v>
      </c>
      <c r="R407" s="20">
        <v>110.73</v>
      </c>
      <c r="S407" s="20">
        <v>108.93</v>
      </c>
      <c r="T407" s="21">
        <v>115.72</v>
      </c>
      <c r="U407" s="1">
        <v>117.4</v>
      </c>
      <c r="V407" s="1">
        <v>111.81</v>
      </c>
      <c r="W407" s="1">
        <v>118.18</v>
      </c>
      <c r="X407" s="1">
        <v>116.52</v>
      </c>
      <c r="Y407" s="1">
        <v>114.23</v>
      </c>
      <c r="Z407" s="1">
        <v>115.14</v>
      </c>
      <c r="AA407" s="1">
        <v>115.44</v>
      </c>
      <c r="AB407" s="1">
        <v>115.09</v>
      </c>
      <c r="AC407" s="1">
        <v>115.45</v>
      </c>
      <c r="AE407" s="1">
        <v>126.34</v>
      </c>
      <c r="AF407" s="1">
        <v>122.97</v>
      </c>
      <c r="AG407" s="1">
        <v>117.31</v>
      </c>
      <c r="AK407" s="1">
        <v>15</v>
      </c>
      <c r="AN407" s="1">
        <v>2703.25</v>
      </c>
      <c r="AP407" s="1">
        <v>2985</v>
      </c>
      <c r="AQ407" s="1">
        <v>3131.94</v>
      </c>
      <c r="AR407" s="1">
        <v>2702.41</v>
      </c>
      <c r="AS407" s="1">
        <v>2962.77</v>
      </c>
      <c r="AT407" s="1">
        <v>2848.5</v>
      </c>
      <c r="AU407" s="1">
        <v>2753.68</v>
      </c>
      <c r="AX407" s="1">
        <v>116.22</v>
      </c>
      <c r="BA407" s="1">
        <v>121.94</v>
      </c>
      <c r="BB407" s="1">
        <v>126.13</v>
      </c>
      <c r="BC407" s="1">
        <v>125.6</v>
      </c>
      <c r="BD407" s="1">
        <v>124.92</v>
      </c>
      <c r="BE407" s="1">
        <v>117.16</v>
      </c>
      <c r="BF407" s="1">
        <v>120.49</v>
      </c>
      <c r="BG407" s="1">
        <v>127.49</v>
      </c>
      <c r="BH407" s="1">
        <v>118.63</v>
      </c>
      <c r="BI407" s="1">
        <v>120</v>
      </c>
      <c r="BJ407" s="1">
        <v>123.05</v>
      </c>
      <c r="BK407" s="1">
        <v>111.63</v>
      </c>
      <c r="BL407" s="1">
        <v>112.39</v>
      </c>
      <c r="BN407" s="1">
        <v>110.46</v>
      </c>
    </row>
    <row r="408" spans="1:66" x14ac:dyDescent="0.3">
      <c r="A408" s="2"/>
      <c r="C408" s="14" t="str">
        <f t="shared" si="7"/>
        <v>20248</v>
      </c>
      <c r="D408" s="3">
        <v>45516</v>
      </c>
      <c r="E408" s="21">
        <v>2102.9499999999998</v>
      </c>
      <c r="F408" s="21">
        <v>1989.11</v>
      </c>
      <c r="G408" s="21">
        <v>2074.5</v>
      </c>
      <c r="H408" s="21">
        <v>2191.0500000000002</v>
      </c>
      <c r="I408" s="21">
        <v>2091.85</v>
      </c>
      <c r="J408" s="21">
        <v>2136.69</v>
      </c>
      <c r="K408" s="21"/>
      <c r="L408" s="21"/>
      <c r="M408" s="21">
        <v>1929.11</v>
      </c>
      <c r="N408" s="21">
        <v>1994.96</v>
      </c>
      <c r="O408" s="21">
        <v>1975.11</v>
      </c>
      <c r="P408" s="21">
        <v>2177.36</v>
      </c>
      <c r="Q408" s="21">
        <v>6341.45</v>
      </c>
      <c r="R408" s="20">
        <v>111.73</v>
      </c>
      <c r="S408" s="20">
        <v>109.1</v>
      </c>
      <c r="T408" s="21">
        <v>118.79</v>
      </c>
      <c r="V408" s="1">
        <v>114.41</v>
      </c>
      <c r="W408" s="1">
        <v>120.18</v>
      </c>
      <c r="X408" s="1">
        <v>117.74</v>
      </c>
      <c r="Y408" s="1">
        <v>115.85</v>
      </c>
      <c r="Z408" s="1">
        <v>116.74</v>
      </c>
      <c r="AA408" s="1">
        <v>115.51</v>
      </c>
      <c r="AB408" s="1">
        <v>116.52</v>
      </c>
      <c r="AC408" s="1">
        <v>116.58</v>
      </c>
      <c r="AE408" s="1">
        <v>127.33</v>
      </c>
      <c r="AF408" s="1">
        <v>123.81</v>
      </c>
      <c r="AG408" s="1">
        <v>118.91</v>
      </c>
      <c r="AK408" s="1">
        <v>15</v>
      </c>
      <c r="AN408" s="1">
        <v>2703.25</v>
      </c>
      <c r="AP408" s="1">
        <v>2970</v>
      </c>
      <c r="AQ408" s="1">
        <v>3131.94</v>
      </c>
      <c r="AS408" s="1">
        <v>2962.77</v>
      </c>
      <c r="AT408" s="1">
        <v>2848.5</v>
      </c>
      <c r="AU408" s="1">
        <v>2720.9</v>
      </c>
      <c r="AX408" s="1">
        <v>120.04</v>
      </c>
      <c r="AY408" s="1">
        <v>2884.81</v>
      </c>
      <c r="BA408" s="1">
        <v>122.5</v>
      </c>
      <c r="BB408" s="1">
        <v>129.93</v>
      </c>
      <c r="BC408" s="1">
        <v>124.88</v>
      </c>
      <c r="BD408" s="1">
        <v>128.99</v>
      </c>
      <c r="BE408" s="1">
        <v>119.14</v>
      </c>
      <c r="BF408" s="1">
        <v>122.15</v>
      </c>
      <c r="BG408" s="1">
        <v>127.49</v>
      </c>
      <c r="BH408" s="1">
        <v>118.63</v>
      </c>
      <c r="BI408" s="1">
        <v>122.99</v>
      </c>
      <c r="BJ408" s="1">
        <v>129.34</v>
      </c>
      <c r="BK408" s="1">
        <v>112.71</v>
      </c>
      <c r="BL408" s="1">
        <v>114.1</v>
      </c>
      <c r="BN408" s="1">
        <v>112.39</v>
      </c>
    </row>
    <row r="409" spans="1:66" x14ac:dyDescent="0.3">
      <c r="A409" s="2"/>
      <c r="C409" s="14" t="str">
        <f t="shared" si="7"/>
        <v>20248</v>
      </c>
      <c r="D409" s="3">
        <v>45513</v>
      </c>
      <c r="E409" s="21">
        <v>2169.77</v>
      </c>
      <c r="F409" s="21">
        <v>2002.63</v>
      </c>
      <c r="G409" s="21">
        <v>2088.5500000000002</v>
      </c>
      <c r="H409" s="21">
        <v>2257.0100000000002</v>
      </c>
      <c r="I409" s="21">
        <v>2091.85</v>
      </c>
      <c r="J409" s="21">
        <v>2118.2800000000002</v>
      </c>
      <c r="K409" s="21"/>
      <c r="L409" s="21"/>
      <c r="M409" s="21">
        <v>1929.11</v>
      </c>
      <c r="N409" s="21">
        <v>2017.98</v>
      </c>
      <c r="O409" s="21">
        <v>2056.4</v>
      </c>
      <c r="P409" s="21">
        <v>2177.36</v>
      </c>
      <c r="Q409" s="21">
        <v>6341.45</v>
      </c>
      <c r="R409" s="20">
        <v>115.97</v>
      </c>
      <c r="S409" s="20">
        <v>109.93</v>
      </c>
      <c r="T409" s="21">
        <v>119.58</v>
      </c>
      <c r="V409" s="1">
        <v>116.78</v>
      </c>
      <c r="W409" s="1">
        <v>123.08</v>
      </c>
      <c r="X409" s="1">
        <v>118.97</v>
      </c>
      <c r="Y409" s="1">
        <v>119.74</v>
      </c>
      <c r="Z409" s="1">
        <v>120.13</v>
      </c>
      <c r="AA409" s="1">
        <v>120.87</v>
      </c>
      <c r="AB409" s="1">
        <v>120.21</v>
      </c>
      <c r="AC409" s="1">
        <v>117.28</v>
      </c>
      <c r="AE409" s="1">
        <v>128.83000000000001</v>
      </c>
      <c r="AF409" s="1">
        <v>125.82</v>
      </c>
      <c r="AG409" s="1">
        <v>119.47</v>
      </c>
      <c r="AK409" s="1">
        <v>15</v>
      </c>
      <c r="AN409" s="1">
        <v>2703.25</v>
      </c>
      <c r="AP409" s="1">
        <v>3030</v>
      </c>
      <c r="AR409" s="1">
        <v>2753.68</v>
      </c>
      <c r="AS409" s="1">
        <v>2962.77</v>
      </c>
      <c r="AT409" s="1">
        <v>2848.5</v>
      </c>
      <c r="AU409" s="1">
        <v>2720.9</v>
      </c>
      <c r="AW409" s="1">
        <v>3147.07</v>
      </c>
      <c r="AX409" s="1">
        <v>119.99</v>
      </c>
      <c r="AY409" s="1">
        <v>2884.81</v>
      </c>
      <c r="AZ409" s="1">
        <v>2688.12</v>
      </c>
      <c r="BA409" s="1">
        <v>124.81</v>
      </c>
      <c r="BB409" s="1">
        <v>131.88999999999999</v>
      </c>
      <c r="BC409" s="1">
        <v>129.47</v>
      </c>
      <c r="BD409" s="1">
        <v>130.49</v>
      </c>
      <c r="BE409" s="1">
        <v>121.88</v>
      </c>
      <c r="BF409" s="1">
        <v>123.48</v>
      </c>
      <c r="BG409" s="1">
        <v>129.08000000000001</v>
      </c>
      <c r="BH409" s="1">
        <v>119.97</v>
      </c>
      <c r="BI409" s="1">
        <v>124</v>
      </c>
      <c r="BJ409" s="1">
        <v>130.72</v>
      </c>
      <c r="BK409" s="1">
        <v>116.8</v>
      </c>
      <c r="BL409" s="1">
        <v>116.78</v>
      </c>
      <c r="BN409" s="1">
        <v>116.1</v>
      </c>
    </row>
    <row r="410" spans="1:66" x14ac:dyDescent="0.3">
      <c r="A410" s="2"/>
      <c r="C410" s="14" t="str">
        <f t="shared" si="7"/>
        <v>20248</v>
      </c>
      <c r="D410" s="3">
        <v>45512</v>
      </c>
      <c r="E410" s="21">
        <v>2133.29</v>
      </c>
      <c r="F410" s="21">
        <v>2017.5</v>
      </c>
      <c r="G410" s="21">
        <v>2105.0700000000002</v>
      </c>
      <c r="H410" s="21">
        <v>2252.64</v>
      </c>
      <c r="I410" s="21">
        <v>2099.7800000000002</v>
      </c>
      <c r="J410" s="21">
        <v>2118.2800000000002</v>
      </c>
      <c r="K410" s="21"/>
      <c r="L410" s="21"/>
      <c r="M410" s="21">
        <v>1929.11</v>
      </c>
      <c r="N410" s="21">
        <v>2009.84</v>
      </c>
      <c r="O410" s="21">
        <v>2106.87</v>
      </c>
      <c r="P410" s="21">
        <v>2193.9499999999998</v>
      </c>
      <c r="Q410" s="21">
        <v>6353.95</v>
      </c>
      <c r="R410" s="20">
        <v>118.21</v>
      </c>
      <c r="S410" s="20">
        <v>110.93</v>
      </c>
      <c r="T410" s="21">
        <v>120.92</v>
      </c>
      <c r="V410" s="1">
        <v>117.35</v>
      </c>
      <c r="W410" s="1">
        <v>123.58</v>
      </c>
      <c r="X410" s="1">
        <v>120.78</v>
      </c>
      <c r="Y410" s="1">
        <v>120.48</v>
      </c>
      <c r="Z410" s="1">
        <v>121.04</v>
      </c>
      <c r="AA410" s="1">
        <v>121.42</v>
      </c>
      <c r="AB410" s="1">
        <v>122.2</v>
      </c>
      <c r="AC410" s="1">
        <v>117.09</v>
      </c>
      <c r="AE410" s="1">
        <v>130.33000000000001</v>
      </c>
      <c r="AF410" s="1">
        <v>128.19</v>
      </c>
      <c r="AG410" s="1">
        <v>121.69</v>
      </c>
      <c r="AK410" s="1">
        <v>15</v>
      </c>
      <c r="AM410" s="1">
        <v>30</v>
      </c>
      <c r="AN410" s="1">
        <v>2703.25</v>
      </c>
      <c r="AP410" s="1">
        <v>3030</v>
      </c>
      <c r="AR410" s="1">
        <v>2753.68</v>
      </c>
      <c r="AS410" s="1">
        <v>2962.77</v>
      </c>
      <c r="AT410" s="1">
        <v>2848.5</v>
      </c>
      <c r="AU410" s="1">
        <v>2720.9</v>
      </c>
      <c r="AW410" s="1">
        <v>3147.07</v>
      </c>
      <c r="AX410" s="1">
        <v>119.98</v>
      </c>
      <c r="AY410" s="1">
        <v>2785.73</v>
      </c>
      <c r="AZ410" s="1">
        <v>2688.12</v>
      </c>
      <c r="BA410" s="1">
        <v>125.61</v>
      </c>
      <c r="BB410" s="1">
        <v>132.62</v>
      </c>
      <c r="BC410" s="1">
        <v>130.12</v>
      </c>
      <c r="BD410" s="1">
        <v>132.25</v>
      </c>
      <c r="BE410" s="1">
        <v>123.31</v>
      </c>
      <c r="BF410" s="1">
        <v>125.48</v>
      </c>
      <c r="BG410" s="1">
        <v>131.07</v>
      </c>
      <c r="BH410" s="1">
        <v>119.97</v>
      </c>
      <c r="BI410" s="1">
        <v>124</v>
      </c>
      <c r="BJ410" s="1">
        <v>131.88999999999999</v>
      </c>
      <c r="BK410" s="1">
        <v>118.1</v>
      </c>
      <c r="BL410" s="1">
        <v>117.38</v>
      </c>
      <c r="BN410" s="1">
        <v>116.1</v>
      </c>
    </row>
    <row r="411" spans="1:66" x14ac:dyDescent="0.3">
      <c r="A411" s="2"/>
      <c r="C411" s="14" t="str">
        <f t="shared" si="7"/>
        <v>20248</v>
      </c>
      <c r="D411" s="3">
        <v>45511</v>
      </c>
      <c r="E411" s="21">
        <v>2169.77</v>
      </c>
      <c r="F411" s="21">
        <v>2017.5</v>
      </c>
      <c r="G411" s="21">
        <v>2105.0700000000002</v>
      </c>
      <c r="H411" s="21">
        <v>2252.64</v>
      </c>
      <c r="I411" s="21">
        <v>2107.71</v>
      </c>
      <c r="J411" s="21">
        <v>2147.39</v>
      </c>
      <c r="K411" s="21"/>
      <c r="L411" s="21"/>
      <c r="M411" s="21">
        <v>1981.91</v>
      </c>
      <c r="N411" s="21">
        <v>2004.78</v>
      </c>
      <c r="O411" s="21">
        <v>2113.6999999999998</v>
      </c>
      <c r="P411" s="21">
        <v>2193.9499999999998</v>
      </c>
      <c r="Q411" s="21">
        <v>6328.95</v>
      </c>
      <c r="R411" s="20">
        <v>120.7</v>
      </c>
      <c r="S411" s="20">
        <v>111.26</v>
      </c>
      <c r="T411" s="21">
        <v>121.35</v>
      </c>
      <c r="V411" s="1">
        <v>117.35</v>
      </c>
      <c r="W411" s="1">
        <v>125.38</v>
      </c>
      <c r="X411" s="1">
        <v>121.22</v>
      </c>
      <c r="Y411" s="1">
        <v>121.79</v>
      </c>
      <c r="Z411" s="1">
        <v>121.53</v>
      </c>
      <c r="AA411" s="1">
        <v>122.39</v>
      </c>
      <c r="AB411" s="1">
        <v>122.57</v>
      </c>
      <c r="AC411" s="1">
        <v>116.51</v>
      </c>
      <c r="AE411" s="1">
        <v>130.08000000000001</v>
      </c>
      <c r="AF411" s="1">
        <v>127.12</v>
      </c>
      <c r="AG411" s="1">
        <v>121.67</v>
      </c>
      <c r="AM411" s="1">
        <v>30</v>
      </c>
      <c r="AN411" s="1">
        <v>2750.66</v>
      </c>
      <c r="AP411" s="1">
        <v>3030</v>
      </c>
      <c r="AR411" s="1">
        <v>2753.68</v>
      </c>
      <c r="AT411" s="1">
        <v>2848.5</v>
      </c>
      <c r="AU411" s="1">
        <v>2731.83</v>
      </c>
      <c r="AW411" s="1">
        <v>3147.07</v>
      </c>
      <c r="AX411" s="1">
        <v>119.76</v>
      </c>
      <c r="AY411" s="1">
        <v>2785.73</v>
      </c>
      <c r="AZ411" s="1">
        <v>2688.12</v>
      </c>
      <c r="BA411" s="1">
        <v>125.61</v>
      </c>
      <c r="BB411" s="1">
        <v>134.21</v>
      </c>
      <c r="BC411" s="1">
        <v>128.62</v>
      </c>
      <c r="BD411" s="1">
        <v>133.35</v>
      </c>
      <c r="BE411" s="1">
        <v>125.86</v>
      </c>
      <c r="BF411" s="1">
        <v>127.97</v>
      </c>
      <c r="BG411" s="1">
        <v>131.86000000000001</v>
      </c>
      <c r="BH411" s="1">
        <v>118.67</v>
      </c>
      <c r="BI411" s="1">
        <v>126.5</v>
      </c>
      <c r="BJ411" s="1">
        <v>131.87</v>
      </c>
      <c r="BK411" s="1">
        <v>118.1</v>
      </c>
      <c r="BL411" s="1">
        <v>118.18</v>
      </c>
      <c r="BN411" s="1">
        <v>116.1</v>
      </c>
    </row>
    <row r="412" spans="1:66" x14ac:dyDescent="0.3">
      <c r="A412" s="2"/>
      <c r="C412" s="14" t="str">
        <f t="shared" si="7"/>
        <v>20248</v>
      </c>
      <c r="D412" s="3">
        <v>45510</v>
      </c>
      <c r="E412" s="21">
        <v>2229.5100000000002</v>
      </c>
      <c r="F412" s="21">
        <v>2017.5</v>
      </c>
      <c r="G412" s="21">
        <v>2089.65</v>
      </c>
      <c r="H412" s="21">
        <v>2280.5100000000002</v>
      </c>
      <c r="I412" s="21">
        <v>2113.66</v>
      </c>
      <c r="J412" s="21">
        <v>2134.89</v>
      </c>
      <c r="K412" s="21">
        <v>2066.1</v>
      </c>
      <c r="L412" s="21"/>
      <c r="M412" s="21">
        <v>1968.71</v>
      </c>
      <c r="N412" s="21">
        <v>1969.14</v>
      </c>
      <c r="O412" s="21">
        <v>2063.77</v>
      </c>
      <c r="P412" s="21">
        <v>2222.7399999999998</v>
      </c>
      <c r="Q412" s="21">
        <v>6341.45</v>
      </c>
      <c r="R412" s="20">
        <v>120.7</v>
      </c>
      <c r="S412" s="20">
        <v>111.59</v>
      </c>
      <c r="T412" s="21">
        <v>123.62</v>
      </c>
      <c r="V412" s="1">
        <v>117.54</v>
      </c>
      <c r="W412" s="1">
        <v>126.72</v>
      </c>
      <c r="X412" s="1">
        <v>123.21</v>
      </c>
      <c r="Y412" s="1">
        <v>122.11</v>
      </c>
      <c r="Z412" s="1">
        <v>124.05</v>
      </c>
      <c r="AA412" s="1">
        <v>122.56</v>
      </c>
      <c r="AB412" s="1">
        <v>123.95</v>
      </c>
      <c r="AC412" s="1">
        <v>118.94</v>
      </c>
      <c r="AE412" s="1">
        <v>132.87</v>
      </c>
      <c r="AF412" s="1">
        <v>127.12</v>
      </c>
      <c r="AG412" s="1">
        <v>123.11</v>
      </c>
      <c r="AM412" s="1">
        <v>30</v>
      </c>
      <c r="AP412" s="1">
        <v>3060</v>
      </c>
      <c r="AQ412" s="1">
        <v>3139.5</v>
      </c>
      <c r="AR412" s="1">
        <v>2753.68</v>
      </c>
      <c r="AU412" s="1">
        <v>2731.83</v>
      </c>
      <c r="AW412" s="1">
        <v>3147.07</v>
      </c>
      <c r="AX412" s="1">
        <v>121.1</v>
      </c>
      <c r="AY412" s="1">
        <v>2785.73</v>
      </c>
      <c r="AZ412" s="1">
        <v>2688.12</v>
      </c>
      <c r="BA412" s="1">
        <v>128.66999999999999</v>
      </c>
      <c r="BB412" s="1">
        <v>136.18</v>
      </c>
      <c r="BC412" s="1">
        <v>129.9</v>
      </c>
      <c r="BD412" s="1">
        <v>134.9</v>
      </c>
      <c r="BE412" s="1">
        <v>126.28</v>
      </c>
      <c r="BF412" s="1">
        <v>128.47</v>
      </c>
      <c r="BG412" s="1">
        <v>133.5</v>
      </c>
      <c r="BH412" s="1">
        <v>120.63</v>
      </c>
      <c r="BI412" s="1">
        <v>127.5</v>
      </c>
      <c r="BJ412" s="1">
        <v>132.65</v>
      </c>
      <c r="BK412" s="1">
        <v>121.57</v>
      </c>
      <c r="BL412" s="1">
        <v>119.1</v>
      </c>
      <c r="BN412" s="1">
        <v>118.02</v>
      </c>
    </row>
    <row r="413" spans="1:66" x14ac:dyDescent="0.3">
      <c r="A413" s="2"/>
      <c r="C413" s="14" t="str">
        <f t="shared" si="7"/>
        <v>20248</v>
      </c>
      <c r="D413" s="3">
        <v>45509</v>
      </c>
      <c r="E413" s="21">
        <v>2222.4</v>
      </c>
      <c r="F413" s="21">
        <v>2017.5</v>
      </c>
      <c r="G413" s="21">
        <v>2105.0700000000002</v>
      </c>
      <c r="H413" s="21">
        <v>2275.5300000000002</v>
      </c>
      <c r="I413" s="21">
        <v>2123.58</v>
      </c>
      <c r="J413" s="21">
        <v>2130.12</v>
      </c>
      <c r="K413" s="21">
        <v>2066.35</v>
      </c>
      <c r="L413" s="21"/>
      <c r="M413" s="21">
        <v>1981.91</v>
      </c>
      <c r="N413" s="21">
        <v>1973.68</v>
      </c>
      <c r="O413" s="21">
        <v>2076.48</v>
      </c>
      <c r="P413" s="21">
        <v>2193.9499999999998</v>
      </c>
      <c r="Q413" s="21">
        <v>6282.67</v>
      </c>
      <c r="R413" s="20">
        <v>120.21</v>
      </c>
      <c r="S413" s="20">
        <v>110.76</v>
      </c>
      <c r="T413" s="21">
        <v>123.71</v>
      </c>
      <c r="V413" s="1">
        <v>117.06</v>
      </c>
      <c r="W413" s="1">
        <v>125.78</v>
      </c>
      <c r="X413" s="1">
        <v>124.93</v>
      </c>
      <c r="Y413" s="1">
        <v>123.64</v>
      </c>
      <c r="Z413" s="1">
        <v>124.04</v>
      </c>
      <c r="AA413" s="1">
        <v>122.35</v>
      </c>
      <c r="AB413" s="1">
        <v>124.23</v>
      </c>
      <c r="AC413" s="1">
        <v>118.33</v>
      </c>
      <c r="AE413" s="1">
        <v>133.38999999999999</v>
      </c>
      <c r="AF413" s="1">
        <v>126.59</v>
      </c>
      <c r="AG413" s="1">
        <v>118.09</v>
      </c>
      <c r="AM413" s="1">
        <v>30</v>
      </c>
      <c r="AP413" s="1">
        <v>3060</v>
      </c>
      <c r="AQ413" s="1">
        <v>3139.5</v>
      </c>
      <c r="AR413" s="1">
        <v>2753.68</v>
      </c>
      <c r="AT413" s="1">
        <v>2989.71</v>
      </c>
      <c r="AU413" s="1">
        <v>2753.68</v>
      </c>
      <c r="AW413" s="1">
        <v>3147.07</v>
      </c>
      <c r="AX413" s="1">
        <v>121.08</v>
      </c>
      <c r="AY413" s="1">
        <v>2847.15</v>
      </c>
      <c r="AZ413" s="1">
        <v>2688.12</v>
      </c>
      <c r="BA413" s="1">
        <v>128.6</v>
      </c>
      <c r="BB413" s="1">
        <v>135.54</v>
      </c>
      <c r="BC413" s="1">
        <v>131.49</v>
      </c>
      <c r="BD413" s="1">
        <v>133.52000000000001</v>
      </c>
      <c r="BE413" s="1">
        <v>125.62</v>
      </c>
      <c r="BF413" s="1">
        <v>124.14</v>
      </c>
      <c r="BG413" s="1">
        <v>133.5</v>
      </c>
      <c r="BH413" s="1">
        <v>120.27</v>
      </c>
      <c r="BI413" s="1">
        <v>128.12</v>
      </c>
      <c r="BJ413" s="1">
        <v>133.22999999999999</v>
      </c>
      <c r="BK413" s="1">
        <v>119.42</v>
      </c>
      <c r="BL413" s="1">
        <v>119.34</v>
      </c>
      <c r="BN413" s="1">
        <v>118.74</v>
      </c>
    </row>
    <row r="414" spans="1:66" x14ac:dyDescent="0.3">
      <c r="A414" s="2"/>
      <c r="C414" s="14" t="str">
        <f t="shared" si="7"/>
        <v>20248</v>
      </c>
      <c r="D414" s="3">
        <v>45506</v>
      </c>
      <c r="E414" s="21">
        <v>2172.67</v>
      </c>
      <c r="F414" s="21">
        <v>2017.5</v>
      </c>
      <c r="G414" s="21">
        <v>2105.0700000000002</v>
      </c>
      <c r="H414" s="21">
        <v>2325.1</v>
      </c>
      <c r="I414" s="21">
        <v>2111.6799999999998</v>
      </c>
      <c r="J414" s="21">
        <v>2121.4</v>
      </c>
      <c r="K414" s="21">
        <v>2067.12</v>
      </c>
      <c r="L414" s="21"/>
      <c r="M414" s="21">
        <v>1981.91</v>
      </c>
      <c r="N414" s="21">
        <v>1983.49</v>
      </c>
      <c r="O414" s="21">
        <v>2101.8200000000002</v>
      </c>
      <c r="P414" s="21">
        <v>2149.09</v>
      </c>
      <c r="Q414" s="21">
        <v>6281.48</v>
      </c>
      <c r="R414" s="20">
        <v>120.21</v>
      </c>
      <c r="S414" s="20">
        <v>110.1</v>
      </c>
      <c r="T414" s="21">
        <v>122.9</v>
      </c>
      <c r="V414" s="1">
        <v>116.91</v>
      </c>
      <c r="W414" s="1">
        <v>123.98</v>
      </c>
      <c r="X414" s="1">
        <v>123.59</v>
      </c>
      <c r="Y414" s="1">
        <v>122.42</v>
      </c>
      <c r="Z414" s="1">
        <v>122.74</v>
      </c>
      <c r="AA414" s="1">
        <v>121.9</v>
      </c>
      <c r="AB414" s="1">
        <v>122.65</v>
      </c>
      <c r="AC414" s="1">
        <v>118.44</v>
      </c>
      <c r="AE414" s="1">
        <v>132.62</v>
      </c>
      <c r="AF414" s="1">
        <v>126.62</v>
      </c>
      <c r="AG414" s="1">
        <v>118.5</v>
      </c>
      <c r="AM414" s="1">
        <v>30</v>
      </c>
      <c r="AQ414" s="1">
        <v>3139.5</v>
      </c>
      <c r="AT414" s="1">
        <v>2989.71</v>
      </c>
      <c r="AU414" s="1">
        <v>2859.59</v>
      </c>
      <c r="AX414" s="1">
        <v>121.03</v>
      </c>
      <c r="AY414" s="1">
        <v>2847.15</v>
      </c>
      <c r="BA414" s="1">
        <v>128.6</v>
      </c>
      <c r="BB414" s="1">
        <v>134.75</v>
      </c>
      <c r="BC414" s="1">
        <v>130.80000000000001</v>
      </c>
      <c r="BD414" s="1">
        <v>133.13999999999999</v>
      </c>
      <c r="BE414" s="1">
        <v>125.05</v>
      </c>
      <c r="BF414" s="1">
        <v>124.14</v>
      </c>
      <c r="BG414" s="1">
        <v>132.4</v>
      </c>
      <c r="BH414" s="1">
        <v>119.96</v>
      </c>
      <c r="BI414" s="1">
        <v>126.37</v>
      </c>
      <c r="BJ414" s="1">
        <v>129.36000000000001</v>
      </c>
      <c r="BK414" s="1">
        <v>117.59</v>
      </c>
      <c r="BL414" s="1">
        <v>118.37</v>
      </c>
      <c r="BN414" s="1">
        <v>118.41</v>
      </c>
    </row>
    <row r="415" spans="1:66" x14ac:dyDescent="0.3">
      <c r="A415" s="2"/>
      <c r="C415" s="14" t="str">
        <f t="shared" si="7"/>
        <v>20248</v>
      </c>
      <c r="D415" s="3">
        <v>45505</v>
      </c>
      <c r="E415" s="21">
        <v>2172.67</v>
      </c>
      <c r="F415" s="21">
        <v>1987.75</v>
      </c>
      <c r="G415" s="21">
        <v>2088.5500000000002</v>
      </c>
      <c r="H415" s="21">
        <v>2304.25</v>
      </c>
      <c r="I415" s="21">
        <v>2111.6799999999998</v>
      </c>
      <c r="J415" s="21">
        <v>2142.62</v>
      </c>
      <c r="K415" s="21">
        <v>2069.4299999999998</v>
      </c>
      <c r="L415" s="21"/>
      <c r="M415" s="21">
        <v>1962.11</v>
      </c>
      <c r="N415" s="21">
        <v>2005.78</v>
      </c>
      <c r="O415" s="21">
        <v>2109.9</v>
      </c>
      <c r="P415" s="21">
        <v>2093.56</v>
      </c>
      <c r="Q415" s="21">
        <v>6260.7</v>
      </c>
      <c r="R415" s="20">
        <v>117.81</v>
      </c>
      <c r="S415" s="20">
        <v>108.54</v>
      </c>
      <c r="T415" s="21">
        <v>121.57</v>
      </c>
      <c r="V415" s="1">
        <v>113.76</v>
      </c>
      <c r="W415" s="1">
        <v>123.98</v>
      </c>
      <c r="X415" s="1">
        <v>122.29</v>
      </c>
      <c r="Y415" s="1">
        <v>121.05</v>
      </c>
      <c r="Z415" s="1">
        <v>121.04</v>
      </c>
      <c r="AA415" s="1">
        <v>119.15</v>
      </c>
      <c r="AB415" s="1">
        <v>120.95</v>
      </c>
      <c r="AC415" s="1">
        <v>118.44</v>
      </c>
      <c r="AE415" s="1">
        <v>131.62</v>
      </c>
      <c r="AF415" s="1">
        <v>126.62</v>
      </c>
      <c r="AG415" s="1">
        <v>118.26</v>
      </c>
      <c r="AM415" s="1">
        <v>30</v>
      </c>
      <c r="AQ415" s="1">
        <v>3139.5</v>
      </c>
      <c r="AT415" s="1">
        <v>2989.71</v>
      </c>
      <c r="AU415" s="1">
        <v>2859.59</v>
      </c>
      <c r="AX415" s="1">
        <v>119.02</v>
      </c>
      <c r="AY415" s="1">
        <v>2847.15</v>
      </c>
      <c r="BA415" s="1">
        <v>128.6</v>
      </c>
      <c r="BB415" s="1">
        <v>134.34</v>
      </c>
      <c r="BC415" s="1">
        <v>129.54</v>
      </c>
      <c r="BD415" s="1">
        <v>131.43</v>
      </c>
      <c r="BE415" s="1">
        <v>123.48</v>
      </c>
      <c r="BF415" s="1">
        <v>123.15</v>
      </c>
      <c r="BG415" s="1">
        <v>131.52000000000001</v>
      </c>
      <c r="BH415" s="1">
        <v>119.96</v>
      </c>
      <c r="BI415" s="1">
        <v>125.88</v>
      </c>
      <c r="BJ415" s="1">
        <v>130.80000000000001</v>
      </c>
      <c r="BK415" s="1">
        <v>117.58</v>
      </c>
      <c r="BL415" s="1">
        <v>117</v>
      </c>
      <c r="BN415" s="1">
        <v>116.1</v>
      </c>
    </row>
    <row r="416" spans="1:66" x14ac:dyDescent="0.3">
      <c r="A416" s="2"/>
      <c r="C416" s="14" t="str">
        <f t="shared" si="7"/>
        <v>20247</v>
      </c>
      <c r="D416" s="3">
        <v>45504</v>
      </c>
      <c r="E416" s="21">
        <v>2198.56</v>
      </c>
      <c r="F416" s="21">
        <v>2016.71</v>
      </c>
      <c r="G416" s="21">
        <v>2087.73</v>
      </c>
      <c r="H416" s="21">
        <v>2317.54</v>
      </c>
      <c r="I416" s="21">
        <v>2114.8200000000002</v>
      </c>
      <c r="J416" s="21">
        <v>2142.11</v>
      </c>
      <c r="K416" s="21">
        <v>2076.36</v>
      </c>
      <c r="L416" s="21"/>
      <c r="M416" s="21">
        <v>1961.88</v>
      </c>
      <c r="N416" s="21">
        <v>2015.67</v>
      </c>
      <c r="O416" s="21">
        <v>2155.85</v>
      </c>
      <c r="P416" s="21">
        <v>2148.75</v>
      </c>
      <c r="Q416" s="21">
        <v>6231.89</v>
      </c>
      <c r="R416" s="20">
        <v>117.8</v>
      </c>
      <c r="S416" s="20">
        <v>106.54</v>
      </c>
      <c r="T416" s="21">
        <v>121.74</v>
      </c>
      <c r="V416" s="1">
        <v>113.93</v>
      </c>
      <c r="W416" s="1">
        <v>123.38</v>
      </c>
      <c r="X416" s="1">
        <v>120.62</v>
      </c>
      <c r="Y416" s="1">
        <v>120.77</v>
      </c>
      <c r="Z416" s="1">
        <v>120.74</v>
      </c>
      <c r="AA416" s="1">
        <v>118.94</v>
      </c>
      <c r="AB416" s="1">
        <v>120.29</v>
      </c>
      <c r="AC416" s="1">
        <v>118.44</v>
      </c>
      <c r="AE416" s="1">
        <v>130.11000000000001</v>
      </c>
      <c r="AF416" s="1">
        <v>126.58</v>
      </c>
      <c r="AG416" s="1">
        <v>117.56</v>
      </c>
      <c r="AM416" s="1">
        <v>30</v>
      </c>
      <c r="AP416" s="1">
        <v>3049.2</v>
      </c>
      <c r="AQ416" s="1">
        <v>3140.73</v>
      </c>
      <c r="AR416" s="1">
        <v>2860.72</v>
      </c>
      <c r="AS416" s="1">
        <v>2985.17</v>
      </c>
      <c r="AT416" s="1">
        <v>2990.89</v>
      </c>
      <c r="AU416" s="1">
        <v>2966.67</v>
      </c>
      <c r="AX416" s="1">
        <v>120.09</v>
      </c>
      <c r="AY416" s="1">
        <v>2847.7</v>
      </c>
      <c r="BA416" s="1">
        <v>128.19</v>
      </c>
      <c r="BB416" s="1">
        <v>133.01</v>
      </c>
      <c r="BC416" s="1">
        <v>129.19999999999999</v>
      </c>
      <c r="BD416" s="1">
        <v>133.43</v>
      </c>
      <c r="BE416" s="1">
        <v>123.31</v>
      </c>
      <c r="BF416" s="1">
        <v>123.14</v>
      </c>
      <c r="BG416" s="1">
        <v>129.69</v>
      </c>
      <c r="BH416" s="1">
        <v>119.95</v>
      </c>
      <c r="BI416" s="1">
        <v>125.61</v>
      </c>
      <c r="BJ416" s="1">
        <v>130.71</v>
      </c>
      <c r="BK416" s="1">
        <v>118.23</v>
      </c>
      <c r="BL416" s="1">
        <v>117.49</v>
      </c>
      <c r="BN416" s="1">
        <v>116.74</v>
      </c>
    </row>
    <row r="417" spans="1:66" x14ac:dyDescent="0.3">
      <c r="A417" s="2"/>
      <c r="C417" s="14" t="str">
        <f t="shared" si="7"/>
        <v>20247</v>
      </c>
      <c r="D417" s="3">
        <v>45503</v>
      </c>
      <c r="E417" s="21">
        <v>2198.56</v>
      </c>
      <c r="F417" s="21">
        <v>2016.71</v>
      </c>
      <c r="G417" s="21">
        <v>2087.73</v>
      </c>
      <c r="H417" s="21">
        <v>2273.77</v>
      </c>
      <c r="I417" s="21">
        <v>2114.8200000000002</v>
      </c>
      <c r="J417" s="21">
        <v>2118.0500000000002</v>
      </c>
      <c r="K417" s="21">
        <v>2097.9699999999998</v>
      </c>
      <c r="L417" s="21"/>
      <c r="M417" s="21">
        <v>2093.88</v>
      </c>
      <c r="N417" s="21">
        <v>1991.66</v>
      </c>
      <c r="O417" s="21">
        <v>2092.9299999999998</v>
      </c>
      <c r="P417" s="21">
        <v>2065.56</v>
      </c>
      <c r="Q417" s="21">
        <v>6191.07</v>
      </c>
      <c r="R417" s="20">
        <v>116.7</v>
      </c>
      <c r="S417" s="20">
        <v>106.54</v>
      </c>
      <c r="T417" s="21">
        <v>123.89</v>
      </c>
      <c r="V417" s="1">
        <v>114.91</v>
      </c>
      <c r="W417" s="1">
        <v>123.78</v>
      </c>
      <c r="X417" s="1">
        <v>119.28</v>
      </c>
      <c r="Y417" s="1">
        <v>120.91</v>
      </c>
      <c r="Z417" s="1">
        <v>121.54</v>
      </c>
      <c r="AA417" s="1">
        <v>118.4</v>
      </c>
      <c r="AB417" s="1">
        <v>120.73</v>
      </c>
      <c r="AC417" s="1">
        <v>118.44</v>
      </c>
      <c r="AE417" s="1">
        <v>130.11000000000001</v>
      </c>
      <c r="AF417" s="1">
        <v>126.58</v>
      </c>
      <c r="AG417" s="1">
        <v>117.35</v>
      </c>
      <c r="AM417" s="1">
        <v>30</v>
      </c>
      <c r="AN417" s="1">
        <v>2946.49</v>
      </c>
      <c r="AP417" s="1">
        <v>3049.2</v>
      </c>
      <c r="AR417" s="1">
        <v>2860.72</v>
      </c>
      <c r="AS417" s="1">
        <v>2985.17</v>
      </c>
      <c r="AT417" s="1">
        <v>2990.89</v>
      </c>
      <c r="AU417" s="1">
        <v>2860.72</v>
      </c>
      <c r="AW417" s="1">
        <v>3184.71</v>
      </c>
      <c r="AX417" s="1">
        <v>120.07</v>
      </c>
      <c r="AY417" s="1">
        <v>2847.7</v>
      </c>
      <c r="BA417" s="1">
        <v>128.19</v>
      </c>
      <c r="BB417" s="1">
        <v>132.04</v>
      </c>
      <c r="BC417" s="1">
        <v>130.88</v>
      </c>
      <c r="BD417" s="1">
        <v>131.08000000000001</v>
      </c>
      <c r="BE417" s="1">
        <v>122.79</v>
      </c>
      <c r="BF417" s="1">
        <v>122.81</v>
      </c>
      <c r="BG417" s="1">
        <v>129.69</v>
      </c>
      <c r="BH417" s="1">
        <v>119.88</v>
      </c>
      <c r="BI417" s="1">
        <v>124.89</v>
      </c>
      <c r="BJ417" s="1">
        <v>130.69</v>
      </c>
      <c r="BK417" s="1">
        <v>118.89</v>
      </c>
      <c r="BL417" s="1">
        <v>117.77</v>
      </c>
      <c r="BN417" s="1">
        <v>118.06</v>
      </c>
    </row>
    <row r="418" spans="1:66" x14ac:dyDescent="0.3">
      <c r="A418" s="2"/>
      <c r="C418" s="14" t="str">
        <f t="shared" si="7"/>
        <v>20247</v>
      </c>
      <c r="D418" s="3">
        <v>45502</v>
      </c>
      <c r="E418" s="21">
        <v>2198.56</v>
      </c>
      <c r="F418" s="21">
        <v>2056.35</v>
      </c>
      <c r="G418" s="21">
        <v>2104.25</v>
      </c>
      <c r="H418" s="21">
        <v>2242.06</v>
      </c>
      <c r="I418" s="21">
        <v>2114.8200000000002</v>
      </c>
      <c r="J418" s="21">
        <v>2110.13</v>
      </c>
      <c r="K418" s="21">
        <v>2097.9699999999998</v>
      </c>
      <c r="L418" s="21"/>
      <c r="M418" s="21">
        <v>2124.39</v>
      </c>
      <c r="N418" s="21">
        <v>2032.7</v>
      </c>
      <c r="O418" s="21">
        <v>2009.94</v>
      </c>
      <c r="P418" s="21">
        <v>2072.5700000000002</v>
      </c>
      <c r="Q418" s="21">
        <v>6191.07</v>
      </c>
      <c r="R418" s="20">
        <v>118.7</v>
      </c>
      <c r="S418" s="20">
        <v>106.34</v>
      </c>
      <c r="T418" s="21">
        <v>123.21</v>
      </c>
      <c r="V418" s="1">
        <v>115.9</v>
      </c>
      <c r="W418" s="1">
        <v>121.78</v>
      </c>
      <c r="X418" s="1">
        <v>123.39</v>
      </c>
      <c r="Y418" s="1">
        <v>122.38</v>
      </c>
      <c r="Z418" s="1">
        <v>120.44</v>
      </c>
      <c r="AA418" s="1">
        <v>120.04</v>
      </c>
      <c r="AB418" s="1">
        <v>121.62</v>
      </c>
      <c r="AC418" s="1">
        <v>118.44</v>
      </c>
      <c r="AE418" s="1">
        <v>132.35</v>
      </c>
      <c r="AF418" s="1">
        <v>128.46</v>
      </c>
      <c r="AG418" s="1">
        <v>119.49</v>
      </c>
      <c r="AJ418" s="1">
        <v>30</v>
      </c>
      <c r="AM418" s="1">
        <v>30</v>
      </c>
      <c r="AN418" s="1">
        <v>2946.49</v>
      </c>
      <c r="AP418" s="1">
        <v>3016</v>
      </c>
      <c r="AR418" s="1">
        <v>2865.48</v>
      </c>
      <c r="AS418" s="1">
        <v>2985.17</v>
      </c>
      <c r="AU418" s="1">
        <v>2826.41</v>
      </c>
      <c r="AW418" s="1">
        <v>3184.71</v>
      </c>
      <c r="AX418" s="1">
        <v>119.58</v>
      </c>
      <c r="AY418" s="1">
        <v>2847.7</v>
      </c>
      <c r="AZ418" s="1">
        <v>3008.29</v>
      </c>
      <c r="BA418" s="1">
        <v>128.81</v>
      </c>
      <c r="BB418" s="1">
        <v>133.57</v>
      </c>
      <c r="BC418" s="1">
        <v>131.81</v>
      </c>
      <c r="BD418" s="1">
        <v>133.38999999999999</v>
      </c>
      <c r="BE418" s="1">
        <v>124.06</v>
      </c>
      <c r="BF418" s="1">
        <v>127.8</v>
      </c>
      <c r="BG418" s="1">
        <v>129.49</v>
      </c>
      <c r="BH418" s="1">
        <v>117.84</v>
      </c>
      <c r="BI418" s="1">
        <v>125.37</v>
      </c>
      <c r="BJ418" s="1">
        <v>132.46</v>
      </c>
      <c r="BK418" s="1">
        <v>118.74</v>
      </c>
      <c r="BL418" s="1">
        <v>118.57</v>
      </c>
      <c r="BN418" s="1">
        <v>118.06</v>
      </c>
    </row>
    <row r="419" spans="1:66" x14ac:dyDescent="0.3">
      <c r="A419" s="2"/>
      <c r="C419" s="14" t="str">
        <f t="shared" si="7"/>
        <v>20247</v>
      </c>
      <c r="D419" s="3">
        <v>45499</v>
      </c>
      <c r="E419" s="21">
        <v>2243.52</v>
      </c>
      <c r="F419" s="21">
        <v>2091.94</v>
      </c>
      <c r="G419" s="21">
        <v>2185.1799999999998</v>
      </c>
      <c r="H419" s="21">
        <v>2284.7800000000002</v>
      </c>
      <c r="I419" s="21">
        <v>2114.8200000000002</v>
      </c>
      <c r="J419" s="21">
        <v>2111.6</v>
      </c>
      <c r="K419" s="21">
        <v>2097.9699999999998</v>
      </c>
      <c r="L419" s="21"/>
      <c r="M419" s="21">
        <v>1982.49</v>
      </c>
      <c r="N419" s="21">
        <v>2028.42</v>
      </c>
      <c r="O419" s="21">
        <v>2049.9499999999998</v>
      </c>
      <c r="P419" s="21">
        <v>2072.5700000000002</v>
      </c>
      <c r="Q419" s="21">
        <v>6228.57</v>
      </c>
      <c r="R419" s="20">
        <v>120.19</v>
      </c>
      <c r="S419" s="20">
        <v>112.26</v>
      </c>
      <c r="T419" s="21">
        <v>123.4</v>
      </c>
      <c r="V419" s="1">
        <v>117.22</v>
      </c>
      <c r="W419" s="1">
        <v>122.58</v>
      </c>
      <c r="X419" s="1">
        <v>125.2</v>
      </c>
      <c r="Y419" s="1">
        <v>122.54</v>
      </c>
      <c r="Z419" s="1">
        <v>120.34</v>
      </c>
      <c r="AA419" s="1">
        <v>122.84</v>
      </c>
      <c r="AB419" s="1">
        <v>122.4</v>
      </c>
      <c r="AC419" s="1">
        <v>120.68</v>
      </c>
      <c r="AE419" s="1">
        <v>133.85</v>
      </c>
      <c r="AF419" s="1">
        <v>129.72999999999999</v>
      </c>
      <c r="AG419" s="1">
        <v>120.11</v>
      </c>
      <c r="AJ419" s="1">
        <v>30</v>
      </c>
      <c r="AM419" s="1">
        <v>30</v>
      </c>
      <c r="AN419" s="1">
        <v>2946.49</v>
      </c>
      <c r="AP419" s="1">
        <v>3016</v>
      </c>
      <c r="AR419" s="1">
        <v>2865.48</v>
      </c>
      <c r="AS419" s="1">
        <v>2985.17</v>
      </c>
      <c r="AU419" s="1">
        <v>2791.34</v>
      </c>
      <c r="AW419" s="1">
        <v>3216.41</v>
      </c>
      <c r="AX419" s="1">
        <v>121.08</v>
      </c>
      <c r="AY419" s="1">
        <v>2766.27</v>
      </c>
      <c r="AZ419" s="1">
        <v>3008.29</v>
      </c>
      <c r="BA419" s="1">
        <v>128.81</v>
      </c>
      <c r="BB419" s="1">
        <v>137.36000000000001</v>
      </c>
      <c r="BC419" s="1">
        <v>132.93</v>
      </c>
      <c r="BD419" s="1">
        <v>136</v>
      </c>
      <c r="BE419" s="1">
        <v>127.39</v>
      </c>
      <c r="BF419" s="1">
        <v>129.13</v>
      </c>
      <c r="BG419" s="1">
        <v>129.87</v>
      </c>
      <c r="BH419" s="1">
        <v>120.74</v>
      </c>
      <c r="BI419" s="1">
        <v>127.49</v>
      </c>
      <c r="BJ419" s="1">
        <v>134.58000000000001</v>
      </c>
      <c r="BK419" s="1">
        <v>118.43</v>
      </c>
      <c r="BL419" s="1">
        <v>118.17</v>
      </c>
      <c r="BN419" s="1">
        <v>114.75</v>
      </c>
    </row>
    <row r="420" spans="1:66" x14ac:dyDescent="0.3">
      <c r="A420" s="2"/>
      <c r="C420" s="14" t="str">
        <f t="shared" si="7"/>
        <v>20247</v>
      </c>
      <c r="D420" s="3">
        <v>45498</v>
      </c>
      <c r="E420" s="21">
        <v>2208.7199999999998</v>
      </c>
      <c r="F420" s="21">
        <v>2091.94</v>
      </c>
      <c r="G420" s="21">
        <v>2172.79</v>
      </c>
      <c r="H420" s="21">
        <v>2254.9899999999998</v>
      </c>
      <c r="I420" s="21">
        <v>2104.91</v>
      </c>
      <c r="J420" s="21">
        <v>2100.17</v>
      </c>
      <c r="K420" s="21"/>
      <c r="L420" s="21">
        <v>2037.19</v>
      </c>
      <c r="M420" s="21">
        <v>1982.49</v>
      </c>
      <c r="N420" s="21">
        <v>2024.32</v>
      </c>
      <c r="O420" s="21">
        <v>2060.83</v>
      </c>
      <c r="P420" s="21">
        <v>2087.86</v>
      </c>
      <c r="Q420" s="21">
        <v>6278.57</v>
      </c>
      <c r="R420" s="20">
        <v>120.19</v>
      </c>
      <c r="S420" s="20">
        <v>112.09</v>
      </c>
      <c r="T420" s="21">
        <v>123.93</v>
      </c>
      <c r="V420" s="1">
        <v>117.66</v>
      </c>
      <c r="W420" s="1">
        <v>122.78</v>
      </c>
      <c r="X420" s="1">
        <v>124.21</v>
      </c>
      <c r="Y420" s="1">
        <v>121.97</v>
      </c>
      <c r="Z420" s="1">
        <v>120.53</v>
      </c>
      <c r="AA420" s="1">
        <v>123.34</v>
      </c>
      <c r="AB420" s="1">
        <v>122.19</v>
      </c>
      <c r="AC420" s="1">
        <v>119.69</v>
      </c>
      <c r="AE420" s="1">
        <v>132.85</v>
      </c>
      <c r="AF420" s="1">
        <v>129.72999999999999</v>
      </c>
      <c r="AG420" s="1">
        <v>120.32</v>
      </c>
      <c r="AJ420" s="1">
        <v>30</v>
      </c>
      <c r="AM420" s="1">
        <v>30</v>
      </c>
      <c r="AN420" s="1">
        <v>2946.49</v>
      </c>
      <c r="AO420" s="1">
        <v>30</v>
      </c>
      <c r="AP420" s="1">
        <v>3016</v>
      </c>
      <c r="AQ420" s="1">
        <v>2951.53</v>
      </c>
      <c r="AR420" s="1">
        <v>2865.48</v>
      </c>
      <c r="AS420" s="1">
        <v>2985.17</v>
      </c>
      <c r="AT420" s="1">
        <v>2825</v>
      </c>
      <c r="AU420" s="1">
        <v>2791.34</v>
      </c>
      <c r="AW420" s="1">
        <v>3216.41</v>
      </c>
      <c r="AX420" s="1">
        <v>121.79</v>
      </c>
      <c r="AY420" s="1">
        <v>2766.27</v>
      </c>
      <c r="AZ420" s="1">
        <v>3008.29</v>
      </c>
      <c r="BA420" s="1">
        <v>127.31</v>
      </c>
      <c r="BB420" s="1">
        <v>137.59</v>
      </c>
      <c r="BC420" s="1">
        <v>133.58000000000001</v>
      </c>
      <c r="BD420" s="1">
        <v>136.97999999999999</v>
      </c>
      <c r="BE420" s="1">
        <v>127.53</v>
      </c>
      <c r="BF420" s="1">
        <v>129.13</v>
      </c>
      <c r="BG420" s="1">
        <v>128.65</v>
      </c>
      <c r="BH420" s="1">
        <v>119.74</v>
      </c>
      <c r="BI420" s="1">
        <v>127.49</v>
      </c>
      <c r="BJ420" s="1">
        <v>134.26</v>
      </c>
      <c r="BK420" s="1">
        <v>118.43</v>
      </c>
      <c r="BL420" s="1">
        <v>115.98</v>
      </c>
      <c r="BN420" s="1">
        <v>114.75</v>
      </c>
    </row>
    <row r="421" spans="1:66" x14ac:dyDescent="0.3">
      <c r="A421" s="2"/>
      <c r="C421" s="14" t="str">
        <f t="shared" si="7"/>
        <v>20247</v>
      </c>
      <c r="D421" s="3">
        <v>45497</v>
      </c>
      <c r="E421" s="21">
        <v>2208.7199999999998</v>
      </c>
      <c r="F421" s="21">
        <v>2082.9299999999998</v>
      </c>
      <c r="G421" s="21">
        <v>2160.41</v>
      </c>
      <c r="H421" s="21">
        <v>2233.87</v>
      </c>
      <c r="I421" s="21">
        <v>2104.91</v>
      </c>
      <c r="J421" s="21">
        <v>2093.38</v>
      </c>
      <c r="K421" s="21"/>
      <c r="L421" s="21">
        <v>2013.08</v>
      </c>
      <c r="M421" s="21">
        <v>1932.99</v>
      </c>
      <c r="N421" s="21">
        <v>1982.46</v>
      </c>
      <c r="O421" s="21">
        <v>2045.62</v>
      </c>
      <c r="P421" s="21">
        <v>2089.13</v>
      </c>
      <c r="Q421" s="21">
        <v>6323.33</v>
      </c>
      <c r="R421" s="20">
        <v>120.44</v>
      </c>
      <c r="S421" s="20">
        <v>111.76</v>
      </c>
      <c r="T421" s="21">
        <v>122.67</v>
      </c>
      <c r="V421" s="1">
        <v>117.19</v>
      </c>
      <c r="W421" s="1">
        <v>122.38</v>
      </c>
      <c r="X421" s="1">
        <v>124.33</v>
      </c>
      <c r="Y421" s="1">
        <v>121.73</v>
      </c>
      <c r="Z421" s="1">
        <v>120.34</v>
      </c>
      <c r="AA421" s="1">
        <v>123.67</v>
      </c>
      <c r="AB421" s="1">
        <v>121.17</v>
      </c>
      <c r="AC421" s="1">
        <v>117.91</v>
      </c>
      <c r="AE421" s="1">
        <v>132.35</v>
      </c>
      <c r="AF421" s="1">
        <v>129.72999999999999</v>
      </c>
      <c r="AG421" s="1">
        <v>120.04</v>
      </c>
      <c r="AJ421" s="1">
        <v>30</v>
      </c>
      <c r="AL421" s="1">
        <v>30</v>
      </c>
      <c r="AM421" s="1">
        <v>30</v>
      </c>
      <c r="AN421" s="1">
        <v>2946.49</v>
      </c>
      <c r="AO421" s="1">
        <v>30</v>
      </c>
      <c r="AP421" s="1">
        <v>3040</v>
      </c>
      <c r="AQ421" s="1">
        <v>2906.12</v>
      </c>
      <c r="AR421" s="1">
        <v>2875</v>
      </c>
      <c r="AT421" s="1">
        <v>2825</v>
      </c>
      <c r="AU421" s="1">
        <v>2791.34</v>
      </c>
      <c r="AW421" s="1">
        <v>3216.41</v>
      </c>
      <c r="AX421" s="1">
        <v>121.62</v>
      </c>
      <c r="AY421" s="1">
        <v>2699.48</v>
      </c>
      <c r="AZ421" s="1">
        <v>3025.15</v>
      </c>
      <c r="BA421" s="1">
        <v>127.75</v>
      </c>
      <c r="BB421" s="1">
        <v>136.63999999999999</v>
      </c>
      <c r="BC421" s="1">
        <v>132.68</v>
      </c>
      <c r="BD421" s="1">
        <v>136.35</v>
      </c>
      <c r="BE421" s="1">
        <v>127.74</v>
      </c>
      <c r="BF421" s="1">
        <v>128.96</v>
      </c>
      <c r="BG421" s="1">
        <v>128.69</v>
      </c>
      <c r="BH421" s="1">
        <v>119.74</v>
      </c>
      <c r="BI421" s="1">
        <v>126.36</v>
      </c>
      <c r="BJ421" s="1">
        <v>135.21</v>
      </c>
      <c r="BL421" s="1">
        <v>117.24</v>
      </c>
      <c r="BN421" s="1">
        <v>114.75</v>
      </c>
    </row>
    <row r="422" spans="1:66" x14ac:dyDescent="0.3">
      <c r="A422" s="2"/>
      <c r="C422" s="14" t="str">
        <f t="shared" si="7"/>
        <v>20247</v>
      </c>
      <c r="D422" s="3">
        <v>45496</v>
      </c>
      <c r="E422" s="21">
        <v>2228.61</v>
      </c>
      <c r="F422" s="21">
        <v>2064.91</v>
      </c>
      <c r="G422" s="21">
        <v>2148.02</v>
      </c>
      <c r="H422" s="21">
        <v>2214.9899999999998</v>
      </c>
      <c r="I422" s="21">
        <v>2104.91</v>
      </c>
      <c r="J422" s="21">
        <v>2082.98</v>
      </c>
      <c r="K422" s="21"/>
      <c r="L422" s="21">
        <v>1964.86</v>
      </c>
      <c r="M422" s="21">
        <v>1932.99</v>
      </c>
      <c r="N422" s="21">
        <v>1986.74</v>
      </c>
      <c r="O422" s="21">
        <v>2080.77</v>
      </c>
      <c r="P422" s="21">
        <v>2089.13</v>
      </c>
      <c r="Q422" s="21">
        <v>6290</v>
      </c>
      <c r="R422" s="20">
        <v>120.44</v>
      </c>
      <c r="S422" s="20">
        <v>110.33</v>
      </c>
      <c r="T422" s="21">
        <v>124.76</v>
      </c>
      <c r="V422" s="1">
        <v>116.66</v>
      </c>
      <c r="W422" s="1">
        <v>122.98</v>
      </c>
      <c r="X422" s="1">
        <v>124.06</v>
      </c>
      <c r="Y422" s="1">
        <v>120.74</v>
      </c>
      <c r="Z422" s="1">
        <v>121.04</v>
      </c>
      <c r="AA422" s="1">
        <v>123.26</v>
      </c>
      <c r="AB422" s="1">
        <v>120.29</v>
      </c>
      <c r="AC422" s="1">
        <v>116.25</v>
      </c>
      <c r="AE422" s="1">
        <v>131.65</v>
      </c>
      <c r="AF422" s="1">
        <v>132.71</v>
      </c>
      <c r="AG422" s="1">
        <v>119.89</v>
      </c>
      <c r="AJ422" s="1">
        <v>30</v>
      </c>
      <c r="AL422" s="1">
        <v>30</v>
      </c>
      <c r="AM422" s="1">
        <v>30</v>
      </c>
      <c r="AO422" s="1">
        <v>30</v>
      </c>
      <c r="AP422" s="1">
        <v>3040</v>
      </c>
      <c r="AQ422" s="1">
        <v>2906.12</v>
      </c>
      <c r="AR422" s="1">
        <v>2875</v>
      </c>
      <c r="AS422" s="1">
        <v>3053.07</v>
      </c>
      <c r="AT422" s="1">
        <v>2825</v>
      </c>
      <c r="AU422" s="1">
        <v>2847.74</v>
      </c>
      <c r="AX422" s="1">
        <v>120.91</v>
      </c>
      <c r="AY422" s="1">
        <v>2717.67</v>
      </c>
      <c r="AZ422" s="1">
        <v>3025.15</v>
      </c>
      <c r="BA422" s="1">
        <v>125.81</v>
      </c>
      <c r="BB422" s="1">
        <v>135.13999999999999</v>
      </c>
      <c r="BC422" s="1">
        <v>132.25</v>
      </c>
      <c r="BD422" s="1">
        <v>133.4</v>
      </c>
      <c r="BE422" s="1">
        <v>129.01</v>
      </c>
      <c r="BF422" s="1">
        <v>128.96</v>
      </c>
      <c r="BG422" s="1">
        <v>127.53</v>
      </c>
      <c r="BH422" s="1">
        <v>117.51</v>
      </c>
      <c r="BI422" s="1">
        <v>125.76</v>
      </c>
      <c r="BJ422" s="1">
        <v>133.38999999999999</v>
      </c>
      <c r="BL422" s="1">
        <v>116.29</v>
      </c>
      <c r="BN422" s="1">
        <v>114.42</v>
      </c>
    </row>
    <row r="423" spans="1:66" x14ac:dyDescent="0.3">
      <c r="A423" s="2"/>
      <c r="C423" s="14" t="str">
        <f t="shared" si="7"/>
        <v>20247</v>
      </c>
      <c r="D423" s="3">
        <v>45495</v>
      </c>
      <c r="E423" s="21">
        <v>2193.8000000000002</v>
      </c>
      <c r="F423" s="21">
        <v>2064.91</v>
      </c>
      <c r="G423" s="21">
        <v>2148.02</v>
      </c>
      <c r="H423" s="21">
        <v>2231.9</v>
      </c>
      <c r="I423" s="21">
        <v>2093.02</v>
      </c>
      <c r="J423" s="21">
        <v>2080.48</v>
      </c>
      <c r="K423" s="21"/>
      <c r="L423" s="21">
        <v>1898.14</v>
      </c>
      <c r="M423" s="21">
        <v>1919.79</v>
      </c>
      <c r="N423" s="21">
        <v>1955.47</v>
      </c>
      <c r="O423" s="21">
        <v>2116.66</v>
      </c>
      <c r="P423" s="21">
        <v>2100.67</v>
      </c>
      <c r="Q423" s="21">
        <v>6253.57</v>
      </c>
      <c r="R423" s="20">
        <v>118.7</v>
      </c>
      <c r="S423" s="20">
        <v>108.93</v>
      </c>
      <c r="T423" s="21">
        <v>121.87</v>
      </c>
      <c r="V423" s="1">
        <v>113.85</v>
      </c>
      <c r="W423" s="1">
        <v>122.18</v>
      </c>
      <c r="X423" s="1">
        <v>120.15</v>
      </c>
      <c r="Y423" s="1">
        <v>119.78</v>
      </c>
      <c r="Z423" s="1">
        <v>119.73</v>
      </c>
      <c r="AA423" s="1">
        <v>121.67</v>
      </c>
      <c r="AB423" s="1">
        <v>118.78</v>
      </c>
      <c r="AC423" s="1">
        <v>116.25</v>
      </c>
      <c r="AE423" s="1">
        <v>130.86000000000001</v>
      </c>
      <c r="AF423" s="1">
        <v>128.24</v>
      </c>
      <c r="AG423" s="1">
        <v>117.41</v>
      </c>
      <c r="AL423" s="1">
        <v>30</v>
      </c>
      <c r="AM423" s="1">
        <v>30</v>
      </c>
      <c r="AN423" s="1">
        <v>2918.74</v>
      </c>
      <c r="AO423" s="1">
        <v>30</v>
      </c>
      <c r="AQ423" s="1">
        <v>2906.12</v>
      </c>
      <c r="AS423" s="1">
        <v>3053.07</v>
      </c>
      <c r="AT423" s="1">
        <v>2825</v>
      </c>
      <c r="AU423" s="1">
        <v>2847.74</v>
      </c>
      <c r="AV423" s="1">
        <v>30</v>
      </c>
      <c r="AW423" s="1">
        <v>2449.0700000000002</v>
      </c>
      <c r="AX423" s="1">
        <v>116.6</v>
      </c>
      <c r="AY423" s="1">
        <v>2717.67</v>
      </c>
      <c r="AZ423" s="1">
        <v>3042</v>
      </c>
      <c r="BA423" s="1">
        <v>125.81</v>
      </c>
      <c r="BB423" s="1">
        <v>133.41</v>
      </c>
      <c r="BC423" s="1">
        <v>130.94999999999999</v>
      </c>
      <c r="BD423" s="1">
        <v>131.82</v>
      </c>
      <c r="BE423" s="1">
        <v>124.91</v>
      </c>
      <c r="BF423" s="1">
        <v>127.13</v>
      </c>
      <c r="BG423" s="1">
        <v>126.63</v>
      </c>
      <c r="BH423" s="1">
        <v>117.51</v>
      </c>
      <c r="BI423" s="1">
        <v>124.4</v>
      </c>
      <c r="BJ423" s="1">
        <v>129.36000000000001</v>
      </c>
      <c r="BL423" s="1">
        <v>115.49</v>
      </c>
      <c r="BN423" s="1">
        <v>113.75</v>
      </c>
    </row>
    <row r="424" spans="1:66" x14ac:dyDescent="0.3">
      <c r="A424" s="2"/>
      <c r="C424" s="14" t="str">
        <f t="shared" si="7"/>
        <v>20247</v>
      </c>
      <c r="D424" s="3">
        <v>45492</v>
      </c>
      <c r="E424" s="21">
        <v>2193.8000000000002</v>
      </c>
      <c r="F424" s="21">
        <v>2096.44</v>
      </c>
      <c r="G424" s="21">
        <v>2160.41</v>
      </c>
      <c r="H424" s="21">
        <v>2138.8000000000002</v>
      </c>
      <c r="I424" s="21">
        <v>2128.69</v>
      </c>
      <c r="J424" s="21">
        <v>2053.0100000000002</v>
      </c>
      <c r="K424" s="21"/>
      <c r="L424" s="21">
        <v>1898.14</v>
      </c>
      <c r="M424" s="21">
        <v>1901.63</v>
      </c>
      <c r="N424" s="21">
        <v>1985.12</v>
      </c>
      <c r="O424" s="21">
        <v>2159.2800000000002</v>
      </c>
      <c r="P424" s="21">
        <v>2093.34</v>
      </c>
      <c r="Q424" s="21">
        <v>6253.57</v>
      </c>
      <c r="R424" s="20">
        <v>117.2</v>
      </c>
      <c r="S424" s="20">
        <v>108.73</v>
      </c>
      <c r="T424" s="21">
        <v>120.69</v>
      </c>
      <c r="V424" s="1">
        <v>113.06</v>
      </c>
      <c r="W424" s="1">
        <v>119.98</v>
      </c>
      <c r="X424" s="1">
        <v>119.65</v>
      </c>
      <c r="Y424" s="1">
        <v>118.84</v>
      </c>
      <c r="Z424" s="1">
        <v>117.96</v>
      </c>
      <c r="AA424" s="1">
        <v>119.79</v>
      </c>
      <c r="AB424" s="1">
        <v>117.95</v>
      </c>
      <c r="AC424" s="1">
        <v>115.25</v>
      </c>
      <c r="AE424" s="1">
        <v>130.86000000000001</v>
      </c>
      <c r="AF424" s="1">
        <v>128.07</v>
      </c>
      <c r="AG424" s="1">
        <v>117.3</v>
      </c>
      <c r="AL424" s="1">
        <v>30</v>
      </c>
      <c r="AN424" s="1">
        <v>2918.74</v>
      </c>
      <c r="AO424" s="1">
        <v>30</v>
      </c>
      <c r="AQ424" s="1">
        <v>2906.12</v>
      </c>
      <c r="AS424" s="1">
        <v>3065.05</v>
      </c>
      <c r="AT424" s="1">
        <v>2825</v>
      </c>
      <c r="AU424" s="1">
        <v>2847.74</v>
      </c>
      <c r="AV424" s="1">
        <v>30</v>
      </c>
      <c r="AW424" s="1">
        <v>2449.0700000000002</v>
      </c>
      <c r="AX424" s="1">
        <v>116.73</v>
      </c>
      <c r="AY424" s="1">
        <v>2768.64</v>
      </c>
      <c r="AZ424" s="1">
        <v>3042</v>
      </c>
      <c r="BA424" s="1">
        <v>125.81</v>
      </c>
      <c r="BB424" s="1">
        <v>132.97</v>
      </c>
      <c r="BC424" s="1">
        <v>128.66</v>
      </c>
      <c r="BD424" s="1">
        <v>129.58000000000001</v>
      </c>
      <c r="BE424" s="1">
        <v>124.7</v>
      </c>
      <c r="BF424" s="1">
        <v>124.26</v>
      </c>
      <c r="BG424" s="1">
        <v>128.15</v>
      </c>
      <c r="BH424" s="1">
        <v>116.03</v>
      </c>
      <c r="BI424" s="1">
        <v>123.66</v>
      </c>
      <c r="BJ424" s="1">
        <v>130.94999999999999</v>
      </c>
      <c r="BK424" s="1">
        <v>114.46</v>
      </c>
      <c r="BL424" s="1">
        <v>114.74</v>
      </c>
      <c r="BN424" s="1">
        <v>113.42</v>
      </c>
    </row>
    <row r="425" spans="1:66" x14ac:dyDescent="0.3">
      <c r="A425" s="2"/>
      <c r="C425" s="14" t="str">
        <f t="shared" si="7"/>
        <v>20247</v>
      </c>
      <c r="D425" s="3">
        <v>45491</v>
      </c>
      <c r="E425" s="21">
        <v>2193.8000000000002</v>
      </c>
      <c r="F425" s="21">
        <v>2096.44</v>
      </c>
      <c r="G425" s="21">
        <v>2152.9699999999998</v>
      </c>
      <c r="H425" s="21">
        <v>2148.17</v>
      </c>
      <c r="I425" s="21">
        <v>2128.69</v>
      </c>
      <c r="J425" s="21">
        <v>2039.26</v>
      </c>
      <c r="K425" s="21"/>
      <c r="L425" s="21">
        <v>1898.14</v>
      </c>
      <c r="M425" s="21">
        <v>1901.63</v>
      </c>
      <c r="N425" s="21">
        <v>1982.5</v>
      </c>
      <c r="O425" s="21">
        <v>2160.2800000000002</v>
      </c>
      <c r="P425" s="21">
        <v>2039.39</v>
      </c>
      <c r="Q425" s="21">
        <v>6063.57</v>
      </c>
      <c r="R425" s="20">
        <v>116.2</v>
      </c>
      <c r="S425" s="20">
        <v>108.13</v>
      </c>
      <c r="T425" s="21">
        <v>120.08</v>
      </c>
      <c r="V425" s="1">
        <v>112.5</v>
      </c>
      <c r="W425" s="1">
        <v>119.18</v>
      </c>
      <c r="X425" s="1">
        <v>118.9</v>
      </c>
      <c r="Y425" s="1">
        <v>116.66</v>
      </c>
      <c r="Z425" s="1">
        <v>117.46</v>
      </c>
      <c r="AA425" s="1">
        <v>119.25</v>
      </c>
      <c r="AB425" s="1">
        <v>116.07</v>
      </c>
      <c r="AC425" s="1">
        <v>114.58</v>
      </c>
      <c r="AE425" s="1">
        <v>128.12</v>
      </c>
      <c r="AF425" s="1">
        <v>125.75</v>
      </c>
      <c r="AG425" s="1">
        <v>117.27</v>
      </c>
      <c r="AL425" s="1">
        <v>30</v>
      </c>
      <c r="AN425" s="1">
        <v>2918.74</v>
      </c>
      <c r="AQ425" s="1">
        <v>2899.64</v>
      </c>
      <c r="AS425" s="1">
        <v>3065.05</v>
      </c>
      <c r="AU425" s="1">
        <v>2883.42</v>
      </c>
      <c r="AV425" s="1">
        <v>30</v>
      </c>
      <c r="AW425" s="1">
        <v>2406.09</v>
      </c>
      <c r="AX425" s="1">
        <v>116.62</v>
      </c>
      <c r="AY425" s="1">
        <v>2768.64</v>
      </c>
      <c r="AZ425" s="1">
        <v>3042</v>
      </c>
      <c r="BA425" s="1">
        <v>122.03</v>
      </c>
      <c r="BB425" s="1">
        <v>130.08000000000001</v>
      </c>
      <c r="BC425" s="1">
        <v>128.47999999999999</v>
      </c>
      <c r="BD425" s="1">
        <v>128.6</v>
      </c>
      <c r="BE425" s="1">
        <v>124.27</v>
      </c>
      <c r="BF425" s="1">
        <v>123.76</v>
      </c>
      <c r="BG425" s="1">
        <v>126.7</v>
      </c>
      <c r="BH425" s="1">
        <v>115.66</v>
      </c>
      <c r="BI425" s="1">
        <v>123.57</v>
      </c>
      <c r="BJ425" s="1">
        <v>128.35</v>
      </c>
      <c r="BK425" s="1">
        <v>116.1</v>
      </c>
      <c r="BL425" s="1">
        <v>113.97</v>
      </c>
      <c r="BN425" s="1">
        <v>115.09</v>
      </c>
    </row>
    <row r="426" spans="1:66" x14ac:dyDescent="0.3">
      <c r="A426" s="2"/>
      <c r="C426" s="14" t="str">
        <f t="shared" si="7"/>
        <v>20247</v>
      </c>
      <c r="D426" s="3">
        <v>45490</v>
      </c>
      <c r="E426" s="21">
        <v>2178.88</v>
      </c>
      <c r="F426" s="21">
        <v>2096.44</v>
      </c>
      <c r="G426" s="21">
        <v>2160.41</v>
      </c>
      <c r="H426" s="21">
        <v>2163.96</v>
      </c>
      <c r="I426" s="21">
        <v>2128.69</v>
      </c>
      <c r="J426" s="21">
        <v>2052.35</v>
      </c>
      <c r="K426" s="21"/>
      <c r="L426" s="21">
        <v>1888.23</v>
      </c>
      <c r="M426" s="21">
        <v>1875.23</v>
      </c>
      <c r="N426" s="21">
        <v>2004.68</v>
      </c>
      <c r="O426" s="21">
        <v>2134.2800000000002</v>
      </c>
      <c r="P426" s="21">
        <v>2039.39</v>
      </c>
      <c r="Q426" s="21">
        <v>6063.57</v>
      </c>
      <c r="R426" s="20">
        <v>115.2</v>
      </c>
      <c r="S426" s="20">
        <v>106.54</v>
      </c>
      <c r="T426" s="21">
        <v>118.57</v>
      </c>
      <c r="V426" s="1">
        <v>111.62</v>
      </c>
      <c r="W426" s="1">
        <v>117.98</v>
      </c>
      <c r="X426" s="1">
        <v>116.84</v>
      </c>
      <c r="Y426" s="1">
        <v>116.47</v>
      </c>
      <c r="Z426" s="1">
        <v>116.36</v>
      </c>
      <c r="AA426" s="1">
        <v>118.14</v>
      </c>
      <c r="AB426" s="1">
        <v>116.07</v>
      </c>
      <c r="AC426" s="1">
        <v>114.58</v>
      </c>
      <c r="AE426" s="1">
        <v>128.97</v>
      </c>
      <c r="AF426" s="1">
        <v>122.77</v>
      </c>
      <c r="AG426" s="1">
        <v>114.47</v>
      </c>
      <c r="AN426" s="1">
        <v>2918.74</v>
      </c>
      <c r="AS426" s="1">
        <v>3065.05</v>
      </c>
      <c r="AU426" s="1">
        <v>2883.42</v>
      </c>
      <c r="AV426" s="1">
        <v>30</v>
      </c>
      <c r="AW426" s="1">
        <v>2406.09</v>
      </c>
      <c r="AX426" s="1">
        <v>116.05</v>
      </c>
      <c r="AY426" s="1">
        <v>2778.31</v>
      </c>
      <c r="BA426" s="1">
        <v>122.03</v>
      </c>
      <c r="BB426" s="1">
        <v>130.07</v>
      </c>
      <c r="BC426" s="1">
        <v>126.69</v>
      </c>
      <c r="BD426" s="1">
        <v>128</v>
      </c>
      <c r="BE426" s="1">
        <v>121.39</v>
      </c>
      <c r="BF426" s="1">
        <v>122.26</v>
      </c>
      <c r="BG426" s="1">
        <v>127.98</v>
      </c>
      <c r="BH426" s="1">
        <v>115.66</v>
      </c>
      <c r="BI426" s="1">
        <v>124.65</v>
      </c>
      <c r="BJ426" s="1">
        <v>127.74</v>
      </c>
      <c r="BK426" s="1">
        <v>116.03</v>
      </c>
      <c r="BL426" s="1">
        <v>113.78</v>
      </c>
      <c r="BN426" s="1">
        <v>115.09</v>
      </c>
    </row>
    <row r="427" spans="1:66" x14ac:dyDescent="0.3">
      <c r="A427" s="2"/>
      <c r="C427" s="14" t="str">
        <f t="shared" si="7"/>
        <v>20247</v>
      </c>
      <c r="D427" s="3">
        <v>45489</v>
      </c>
      <c r="E427" s="21">
        <v>2203.75</v>
      </c>
      <c r="F427" s="21">
        <v>2121.87</v>
      </c>
      <c r="G427" s="21">
        <v>2172.79</v>
      </c>
      <c r="H427" s="21">
        <v>2139.14</v>
      </c>
      <c r="I427" s="21">
        <v>2122.75</v>
      </c>
      <c r="J427" s="21">
        <v>2085.7800000000002</v>
      </c>
      <c r="K427" s="21">
        <v>2034.54</v>
      </c>
      <c r="L427" s="21">
        <v>1926.1</v>
      </c>
      <c r="M427" s="21">
        <v>1855.7</v>
      </c>
      <c r="N427" s="21">
        <v>2008.71</v>
      </c>
      <c r="O427" s="21">
        <v>2024.26</v>
      </c>
      <c r="P427" s="21">
        <v>2062.6799999999998</v>
      </c>
      <c r="Q427" s="21">
        <v>5939.02</v>
      </c>
      <c r="R427" s="20">
        <v>113.71</v>
      </c>
      <c r="S427" s="20">
        <v>108.26</v>
      </c>
      <c r="T427" s="21">
        <v>117.74</v>
      </c>
      <c r="V427" s="1">
        <v>111.5</v>
      </c>
      <c r="W427" s="1">
        <v>117.78</v>
      </c>
      <c r="X427" s="1">
        <v>116.84</v>
      </c>
      <c r="Y427" s="1">
        <v>115.16</v>
      </c>
      <c r="Z427" s="1">
        <v>116.24</v>
      </c>
      <c r="AA427" s="1">
        <v>116.96</v>
      </c>
      <c r="AB427" s="1">
        <v>115.66</v>
      </c>
      <c r="AC427" s="1">
        <v>115.58</v>
      </c>
      <c r="AE427" s="1">
        <v>128.47</v>
      </c>
      <c r="AF427" s="1">
        <v>123.43</v>
      </c>
      <c r="AG427" s="1">
        <v>113.88</v>
      </c>
      <c r="AN427" s="1">
        <v>2881.91</v>
      </c>
      <c r="AR427" s="1">
        <v>3003.67</v>
      </c>
      <c r="AU427" s="1">
        <v>2850.63</v>
      </c>
      <c r="AW427" s="1">
        <v>2348.61</v>
      </c>
      <c r="AX427" s="1">
        <v>116.16</v>
      </c>
      <c r="AY427" s="1">
        <v>2623.58</v>
      </c>
      <c r="BA427" s="1">
        <v>121.34</v>
      </c>
      <c r="BB427" s="1">
        <v>128.15</v>
      </c>
      <c r="BC427" s="1">
        <v>124.56</v>
      </c>
      <c r="BD427" s="1">
        <v>126.86</v>
      </c>
      <c r="BE427" s="1">
        <v>121.39</v>
      </c>
      <c r="BF427" s="1">
        <v>122.26</v>
      </c>
      <c r="BG427" s="1">
        <v>129.97</v>
      </c>
      <c r="BH427" s="1">
        <v>117.59</v>
      </c>
      <c r="BI427" s="1">
        <v>125.49</v>
      </c>
      <c r="BJ427" s="1">
        <v>126.9</v>
      </c>
      <c r="BK427" s="1">
        <v>115.8</v>
      </c>
      <c r="BL427" s="1">
        <v>113.18</v>
      </c>
      <c r="BN427" s="1">
        <v>114.43</v>
      </c>
    </row>
    <row r="428" spans="1:66" x14ac:dyDescent="0.3">
      <c r="A428" s="2"/>
      <c r="C428" s="14" t="str">
        <f t="shared" si="7"/>
        <v>20247</v>
      </c>
      <c r="D428" s="3">
        <v>45488</v>
      </c>
      <c r="E428" s="21">
        <v>2203.75</v>
      </c>
      <c r="F428" s="21">
        <v>2143.89</v>
      </c>
      <c r="G428" s="21">
        <v>2172.79</v>
      </c>
      <c r="H428" s="21">
        <v>2198.6</v>
      </c>
      <c r="I428" s="21">
        <v>2122.75</v>
      </c>
      <c r="J428" s="21">
        <v>2105.7800000000002</v>
      </c>
      <c r="K428" s="21">
        <v>2072.04</v>
      </c>
      <c r="L428" s="21">
        <v>1926.1</v>
      </c>
      <c r="M428" s="21">
        <v>1888.7</v>
      </c>
      <c r="N428" s="21">
        <v>1994.74</v>
      </c>
      <c r="O428" s="21">
        <v>1991.84</v>
      </c>
      <c r="P428" s="21">
        <v>2083.7399999999998</v>
      </c>
      <c r="Q428" s="21">
        <v>5939.02</v>
      </c>
      <c r="R428" s="20">
        <v>113.71</v>
      </c>
      <c r="S428" s="20">
        <v>108.26</v>
      </c>
      <c r="T428" s="21">
        <v>117.93</v>
      </c>
      <c r="V428" s="1">
        <v>111.5</v>
      </c>
      <c r="W428" s="1">
        <v>119.38</v>
      </c>
      <c r="X428" s="1">
        <v>116.96</v>
      </c>
      <c r="Y428" s="1">
        <v>115.91</v>
      </c>
      <c r="Z428" s="1">
        <v>117.07</v>
      </c>
      <c r="AA428" s="1">
        <v>117.43</v>
      </c>
      <c r="AB428" s="1">
        <v>116.46</v>
      </c>
      <c r="AC428" s="1">
        <v>116.25</v>
      </c>
      <c r="AE428" s="1">
        <v>129.96</v>
      </c>
      <c r="AF428" s="1">
        <v>123.43</v>
      </c>
      <c r="AG428" s="1">
        <v>113.65</v>
      </c>
      <c r="AN428" s="1">
        <v>2909.49</v>
      </c>
      <c r="AQ428" s="1">
        <v>2694.22</v>
      </c>
      <c r="AR428" s="1">
        <v>3003.67</v>
      </c>
      <c r="AU428" s="1">
        <v>2924.29</v>
      </c>
      <c r="AX428" s="1">
        <v>116.15</v>
      </c>
      <c r="AY428" s="1">
        <v>2623.58</v>
      </c>
      <c r="BA428" s="1">
        <v>121.72</v>
      </c>
      <c r="BB428" s="1">
        <v>129.19</v>
      </c>
      <c r="BC428" s="1">
        <v>125.5</v>
      </c>
      <c r="BD428" s="1">
        <v>129.6</v>
      </c>
      <c r="BE428" s="1">
        <v>124.72</v>
      </c>
      <c r="BF428" s="1">
        <v>123.76</v>
      </c>
      <c r="BG428" s="1">
        <v>127.79</v>
      </c>
      <c r="BH428" s="1">
        <v>118.09</v>
      </c>
      <c r="BI428" s="1">
        <v>124.4</v>
      </c>
      <c r="BJ428" s="1">
        <v>126.89</v>
      </c>
      <c r="BK428" s="1">
        <v>116.1</v>
      </c>
      <c r="BL428" s="1">
        <v>113.38</v>
      </c>
      <c r="BN428" s="1">
        <v>114.43</v>
      </c>
    </row>
    <row r="429" spans="1:66" x14ac:dyDescent="0.3">
      <c r="A429" s="2"/>
      <c r="C429" s="14" t="str">
        <f t="shared" si="7"/>
        <v>20247</v>
      </c>
      <c r="D429" s="3">
        <v>45485</v>
      </c>
      <c r="E429" s="21">
        <v>2229.85</v>
      </c>
      <c r="F429" s="21">
        <v>2188.9</v>
      </c>
      <c r="G429" s="21">
        <v>2209.96</v>
      </c>
      <c r="H429" s="21">
        <v>2205.8000000000002</v>
      </c>
      <c r="I429" s="21">
        <v>2166.35</v>
      </c>
      <c r="J429" s="21">
        <v>2112.86</v>
      </c>
      <c r="K429" s="21">
        <v>2097.9699999999998</v>
      </c>
      <c r="L429" s="21">
        <v>1986.36</v>
      </c>
      <c r="M429" s="21">
        <v>1865.6</v>
      </c>
      <c r="N429" s="21">
        <v>2014.91</v>
      </c>
      <c r="O429" s="21">
        <v>2095.2399999999998</v>
      </c>
      <c r="P429" s="21">
        <v>2112.14</v>
      </c>
      <c r="Q429" s="21">
        <v>5939.02</v>
      </c>
      <c r="R429" s="20">
        <v>115.7</v>
      </c>
      <c r="S429" s="20">
        <v>108.76</v>
      </c>
      <c r="T429" s="21">
        <v>120.13</v>
      </c>
      <c r="V429" s="1">
        <v>112.95</v>
      </c>
      <c r="W429" s="1">
        <v>119.68</v>
      </c>
      <c r="X429" s="1">
        <v>118.14</v>
      </c>
      <c r="Y429" s="1">
        <v>116.85</v>
      </c>
      <c r="Z429" s="1">
        <v>117.33</v>
      </c>
      <c r="AA429" s="1">
        <v>119.4</v>
      </c>
      <c r="AB429" s="1">
        <v>117.23</v>
      </c>
      <c r="AC429" s="1">
        <v>116.92</v>
      </c>
      <c r="AE429" s="1">
        <v>131.46</v>
      </c>
      <c r="AF429" s="1">
        <v>127.08</v>
      </c>
      <c r="AG429" s="1">
        <v>114.6</v>
      </c>
      <c r="AN429" s="1">
        <v>2909.49</v>
      </c>
      <c r="AQ429" s="1">
        <v>2694.22</v>
      </c>
      <c r="AR429" s="1">
        <v>3003.67</v>
      </c>
      <c r="AU429" s="1">
        <v>2940.18</v>
      </c>
      <c r="AW429" s="1">
        <v>2699.7</v>
      </c>
      <c r="AX429" s="1">
        <v>116.73</v>
      </c>
      <c r="AY429" s="1">
        <v>2623.58</v>
      </c>
      <c r="AZ429" s="1">
        <v>2916.22</v>
      </c>
      <c r="BA429" s="1">
        <v>121.42</v>
      </c>
      <c r="BB429" s="1">
        <v>129.30000000000001</v>
      </c>
      <c r="BC429" s="1">
        <v>126.64</v>
      </c>
      <c r="BD429" s="1">
        <v>129.59</v>
      </c>
      <c r="BE429" s="1">
        <v>127.18</v>
      </c>
      <c r="BF429" s="1">
        <v>125.26</v>
      </c>
      <c r="BG429" s="1">
        <v>130.63</v>
      </c>
      <c r="BH429" s="1">
        <v>118.59</v>
      </c>
      <c r="BI429" s="1">
        <v>124.94</v>
      </c>
      <c r="BJ429" s="1">
        <v>127.6</v>
      </c>
      <c r="BK429" s="1">
        <v>116.43</v>
      </c>
      <c r="BL429" s="1">
        <v>114.99</v>
      </c>
      <c r="BN429" s="1">
        <v>115.09</v>
      </c>
    </row>
    <row r="430" spans="1:66" x14ac:dyDescent="0.3">
      <c r="A430" s="2"/>
      <c r="C430" s="14" t="str">
        <f t="shared" si="7"/>
        <v>20247</v>
      </c>
      <c r="D430" s="3">
        <v>45484</v>
      </c>
      <c r="E430" s="21">
        <v>2229.85</v>
      </c>
      <c r="F430" s="21">
        <v>2188.9</v>
      </c>
      <c r="G430" s="21">
        <v>2227.3000000000002</v>
      </c>
      <c r="H430" s="21">
        <v>2113.77</v>
      </c>
      <c r="I430" s="21">
        <v>2166.35</v>
      </c>
      <c r="J430" s="21">
        <v>2111.09</v>
      </c>
      <c r="K430" s="21">
        <v>2097.9699999999998</v>
      </c>
      <c r="L430" s="21">
        <v>2057.83</v>
      </c>
      <c r="M430" s="21">
        <v>1884.85</v>
      </c>
      <c r="N430" s="21">
        <v>2042.38</v>
      </c>
      <c r="O430" s="21">
        <v>2087.3000000000002</v>
      </c>
      <c r="P430" s="21">
        <v>2160.98</v>
      </c>
      <c r="Q430" s="21">
        <v>5933.11</v>
      </c>
      <c r="R430" s="20">
        <v>117.2</v>
      </c>
      <c r="S430" s="20">
        <v>108.76</v>
      </c>
      <c r="T430" s="21">
        <v>120.22</v>
      </c>
      <c r="V430" s="1">
        <v>113.09</v>
      </c>
      <c r="W430" s="1">
        <v>119.58</v>
      </c>
      <c r="X430" s="1">
        <v>119.84</v>
      </c>
      <c r="Y430" s="1">
        <v>116.73</v>
      </c>
      <c r="Z430" s="1">
        <v>117.33</v>
      </c>
      <c r="AA430" s="1">
        <v>120.43</v>
      </c>
      <c r="AB430" s="1">
        <v>117.44</v>
      </c>
      <c r="AC430" s="1">
        <v>118.25</v>
      </c>
      <c r="AE430" s="1">
        <v>131.21</v>
      </c>
      <c r="AF430" s="1">
        <v>127.08</v>
      </c>
      <c r="AG430" s="1">
        <v>113.8</v>
      </c>
      <c r="AN430" s="1">
        <v>2909.49</v>
      </c>
      <c r="AP430" s="1">
        <v>3015</v>
      </c>
      <c r="AQ430" s="1">
        <v>2694.22</v>
      </c>
      <c r="AR430" s="1">
        <v>3003.67</v>
      </c>
      <c r="AU430" s="1">
        <v>2924.29</v>
      </c>
      <c r="AW430" s="1">
        <v>2699.7</v>
      </c>
      <c r="AX430" s="1">
        <v>117.16</v>
      </c>
      <c r="AY430" s="1">
        <v>2623.58</v>
      </c>
      <c r="AZ430" s="1">
        <v>2855.67</v>
      </c>
      <c r="BA430" s="1">
        <v>125.66</v>
      </c>
      <c r="BB430" s="1">
        <v>129.38</v>
      </c>
      <c r="BC430" s="1">
        <v>126.51</v>
      </c>
      <c r="BD430" s="1">
        <v>128.88999999999999</v>
      </c>
      <c r="BE430" s="1">
        <v>127.18</v>
      </c>
      <c r="BF430" s="1">
        <v>125.02</v>
      </c>
      <c r="BG430" s="1">
        <v>132.54</v>
      </c>
      <c r="BH430" s="1">
        <v>119.56</v>
      </c>
      <c r="BI430" s="1">
        <v>125.49</v>
      </c>
      <c r="BJ430" s="1">
        <v>126.21</v>
      </c>
      <c r="BK430" s="1">
        <v>116.43</v>
      </c>
      <c r="BL430" s="1">
        <v>114.99</v>
      </c>
      <c r="BN430" s="1">
        <v>115.09</v>
      </c>
    </row>
    <row r="431" spans="1:66" x14ac:dyDescent="0.3">
      <c r="A431" s="2"/>
      <c r="C431" s="14" t="str">
        <f t="shared" si="7"/>
        <v>20247</v>
      </c>
      <c r="D431" s="3">
        <v>45483</v>
      </c>
      <c r="E431" s="21">
        <v>2193.8000000000002</v>
      </c>
      <c r="F431" s="21">
        <v>2188.9</v>
      </c>
      <c r="G431" s="21">
        <v>2227.3000000000002</v>
      </c>
      <c r="H431" s="21">
        <v>2127.6999999999998</v>
      </c>
      <c r="I431" s="21">
        <v>2209.96</v>
      </c>
      <c r="J431" s="21">
        <v>2094.79</v>
      </c>
      <c r="K431" s="21">
        <v>2078.1</v>
      </c>
      <c r="L431" s="21">
        <v>2102.54</v>
      </c>
      <c r="M431" s="21">
        <v>1884.85</v>
      </c>
      <c r="N431" s="21">
        <v>2053.41</v>
      </c>
      <c r="O431" s="21">
        <v>2044.05</v>
      </c>
      <c r="P431" s="21">
        <v>2356.33</v>
      </c>
      <c r="Q431" s="21">
        <v>5933.11</v>
      </c>
      <c r="R431" s="20">
        <v>116.2</v>
      </c>
      <c r="S431" s="20">
        <v>109.93</v>
      </c>
      <c r="T431" s="21">
        <v>120.04</v>
      </c>
      <c r="V431" s="1">
        <v>113.93</v>
      </c>
      <c r="W431" s="1">
        <v>120.58</v>
      </c>
      <c r="X431" s="1">
        <v>119.95</v>
      </c>
      <c r="Y431" s="1">
        <v>116.73</v>
      </c>
      <c r="Z431" s="1">
        <v>117.33</v>
      </c>
      <c r="AA431" s="1">
        <v>120.11</v>
      </c>
      <c r="AB431" s="1">
        <v>119.73</v>
      </c>
      <c r="AC431" s="1">
        <v>118.58</v>
      </c>
      <c r="AE431" s="1">
        <v>130.71</v>
      </c>
      <c r="AF431" s="1">
        <v>127.09</v>
      </c>
      <c r="AG431" s="1">
        <v>118.78</v>
      </c>
      <c r="AN431" s="1">
        <v>2909.49</v>
      </c>
      <c r="AP431" s="1">
        <v>3015</v>
      </c>
      <c r="AQ431" s="1">
        <v>2694.22</v>
      </c>
      <c r="AR431" s="1">
        <v>3003.67</v>
      </c>
      <c r="AU431" s="1">
        <v>2924.29</v>
      </c>
      <c r="AW431" s="1">
        <v>2699.7</v>
      </c>
      <c r="AX431" s="1">
        <v>117.27</v>
      </c>
      <c r="AY431" s="1">
        <v>2623.58</v>
      </c>
      <c r="AZ431" s="1">
        <v>2855.67</v>
      </c>
      <c r="BA431" s="1">
        <v>122.51</v>
      </c>
      <c r="BB431" s="1">
        <v>131.37</v>
      </c>
      <c r="BC431" s="1">
        <v>128.01</v>
      </c>
      <c r="BD431" s="1">
        <v>130.25</v>
      </c>
      <c r="BE431" s="1">
        <v>125.31</v>
      </c>
      <c r="BF431" s="1">
        <v>125.8</v>
      </c>
      <c r="BG431" s="1">
        <v>132.57</v>
      </c>
      <c r="BH431" s="1">
        <v>119.81</v>
      </c>
      <c r="BI431" s="1">
        <v>125.24</v>
      </c>
      <c r="BJ431" s="1">
        <v>127.26</v>
      </c>
      <c r="BK431" s="1">
        <v>117.56</v>
      </c>
      <c r="BL431" s="1">
        <v>114.99</v>
      </c>
      <c r="BN431" s="1">
        <v>115.09</v>
      </c>
    </row>
    <row r="432" spans="1:66" x14ac:dyDescent="0.3">
      <c r="A432" s="2"/>
      <c r="C432" s="14" t="str">
        <f t="shared" si="7"/>
        <v>20247</v>
      </c>
      <c r="D432" s="3">
        <v>45482</v>
      </c>
      <c r="E432" s="21">
        <v>2243.52</v>
      </c>
      <c r="F432" s="21">
        <v>2259.5100000000002</v>
      </c>
      <c r="G432" s="21">
        <v>2259.5100000000002</v>
      </c>
      <c r="H432" s="21">
        <v>2239.61</v>
      </c>
      <c r="I432" s="21">
        <v>2221.85</v>
      </c>
      <c r="J432" s="21">
        <v>2201.8000000000002</v>
      </c>
      <c r="K432" s="21">
        <v>2103.17</v>
      </c>
      <c r="L432" s="21">
        <v>2236.67</v>
      </c>
      <c r="M432" s="21">
        <v>1951.46</v>
      </c>
      <c r="N432" s="21">
        <v>2082.06</v>
      </c>
      <c r="O432" s="21">
        <v>2097.6</v>
      </c>
      <c r="P432" s="21">
        <v>2425.14</v>
      </c>
      <c r="Q432" s="21">
        <v>5854.02</v>
      </c>
      <c r="R432" s="20">
        <v>117.7</v>
      </c>
      <c r="S432" s="20">
        <v>112.03</v>
      </c>
      <c r="T432" s="21">
        <v>124.05</v>
      </c>
      <c r="V432" s="1">
        <v>115.15</v>
      </c>
      <c r="W432" s="1">
        <v>123.38</v>
      </c>
      <c r="X432" s="1">
        <v>122.51</v>
      </c>
      <c r="Y432" s="1">
        <v>119.11</v>
      </c>
      <c r="Z432" s="1">
        <v>119.73</v>
      </c>
      <c r="AA432" s="1">
        <v>121.47</v>
      </c>
      <c r="AB432" s="1">
        <v>121.82</v>
      </c>
      <c r="AC432" s="1">
        <v>119.91</v>
      </c>
      <c r="AE432" s="1">
        <v>132.44999999999999</v>
      </c>
      <c r="AF432" s="1">
        <v>130.22</v>
      </c>
      <c r="AG432" s="1">
        <v>119.15</v>
      </c>
      <c r="AM432" s="1">
        <v>30</v>
      </c>
      <c r="AN432" s="1">
        <v>2885.94</v>
      </c>
      <c r="AP432" s="1">
        <v>3015</v>
      </c>
      <c r="AQ432" s="1">
        <v>2694.22</v>
      </c>
      <c r="AT432" s="1">
        <v>3136.87</v>
      </c>
      <c r="AU432" s="1">
        <v>2966.67</v>
      </c>
      <c r="AW432" s="1">
        <v>2699.7</v>
      </c>
      <c r="AX432" s="1">
        <v>120.89</v>
      </c>
      <c r="AY432" s="1">
        <v>2652.66</v>
      </c>
      <c r="AZ432" s="1">
        <v>2855.67</v>
      </c>
      <c r="BA432" s="1">
        <v>126.75</v>
      </c>
      <c r="BB432" s="1">
        <v>134.24</v>
      </c>
      <c r="BC432" s="1">
        <v>129.83000000000001</v>
      </c>
      <c r="BD432" s="1">
        <v>133.15</v>
      </c>
      <c r="BE432" s="1">
        <v>124.83</v>
      </c>
      <c r="BF432" s="1">
        <v>125.8</v>
      </c>
      <c r="BG432" s="1">
        <v>134</v>
      </c>
      <c r="BH432" s="1">
        <v>122.11</v>
      </c>
      <c r="BI432" s="1">
        <v>127.73</v>
      </c>
      <c r="BJ432" s="1">
        <v>132.21</v>
      </c>
      <c r="BK432" s="1">
        <v>120.41</v>
      </c>
      <c r="BL432" s="1">
        <v>117.56</v>
      </c>
      <c r="BN432" s="1">
        <v>119.05</v>
      </c>
    </row>
    <row r="433" spans="1:66" x14ac:dyDescent="0.3">
      <c r="A433" s="2"/>
      <c r="C433" s="14" t="str">
        <f t="shared" si="7"/>
        <v>20247</v>
      </c>
      <c r="D433" s="3">
        <v>45481</v>
      </c>
      <c r="E433" s="21">
        <v>2243.52</v>
      </c>
      <c r="F433" s="21">
        <v>2279.33</v>
      </c>
      <c r="G433" s="21">
        <v>2271.89</v>
      </c>
      <c r="H433" s="21">
        <v>2254.9</v>
      </c>
      <c r="I433" s="21">
        <v>2221.85</v>
      </c>
      <c r="J433" s="21">
        <v>2201.8000000000002</v>
      </c>
      <c r="K433" s="21">
        <v>2103.17</v>
      </c>
      <c r="L433" s="21">
        <v>2236.67</v>
      </c>
      <c r="M433" s="21">
        <v>1974.56</v>
      </c>
      <c r="N433" s="21">
        <v>2083.3000000000002</v>
      </c>
      <c r="O433" s="21">
        <v>2102.39</v>
      </c>
      <c r="P433" s="21">
        <v>2330.19</v>
      </c>
      <c r="Q433" s="21">
        <v>5854.02</v>
      </c>
      <c r="R433" s="20">
        <v>117.7</v>
      </c>
      <c r="S433" s="20">
        <v>113.23</v>
      </c>
      <c r="T433" s="21">
        <v>124.92</v>
      </c>
      <c r="V433" s="1">
        <v>115.59</v>
      </c>
      <c r="W433" s="1">
        <v>125.38</v>
      </c>
      <c r="X433" s="1">
        <v>123.39</v>
      </c>
      <c r="Y433" s="1">
        <v>120.7</v>
      </c>
      <c r="Z433" s="1">
        <v>122.73</v>
      </c>
      <c r="AA433" s="1">
        <v>121.31</v>
      </c>
      <c r="AB433" s="1">
        <v>122.62</v>
      </c>
      <c r="AC433" s="1">
        <v>119.91</v>
      </c>
      <c r="AE433" s="1">
        <v>133.94999999999999</v>
      </c>
      <c r="AF433" s="1">
        <v>131.66999999999999</v>
      </c>
      <c r="AG433" s="1">
        <v>119.67</v>
      </c>
      <c r="AM433" s="1">
        <v>30</v>
      </c>
      <c r="AP433" s="1">
        <v>3015</v>
      </c>
      <c r="AQ433" s="1">
        <v>2819.09</v>
      </c>
      <c r="AT433" s="1">
        <v>3136.87</v>
      </c>
      <c r="AU433" s="1">
        <v>2966.67</v>
      </c>
      <c r="AW433" s="1">
        <v>2699.7</v>
      </c>
      <c r="AX433" s="1">
        <v>121.38</v>
      </c>
      <c r="AY433" s="1">
        <v>2652.66</v>
      </c>
      <c r="AZ433" s="1">
        <v>2855.67</v>
      </c>
      <c r="BA433" s="1">
        <v>128.62</v>
      </c>
      <c r="BB433" s="1">
        <v>135.22999999999999</v>
      </c>
      <c r="BC433" s="1">
        <v>131.37</v>
      </c>
      <c r="BD433" s="1">
        <v>135.12</v>
      </c>
      <c r="BE433" s="1">
        <v>126.48</v>
      </c>
      <c r="BF433" s="1">
        <v>125.8</v>
      </c>
      <c r="BG433" s="1">
        <v>133.36000000000001</v>
      </c>
      <c r="BH433" s="1">
        <v>122.11</v>
      </c>
      <c r="BI433" s="1">
        <v>127.73</v>
      </c>
      <c r="BJ433" s="1">
        <v>132.19999999999999</v>
      </c>
      <c r="BK433" s="1">
        <v>120.41</v>
      </c>
      <c r="BL433" s="1">
        <v>118.36</v>
      </c>
      <c r="BN433" s="1">
        <v>119.05</v>
      </c>
    </row>
    <row r="434" spans="1:66" x14ac:dyDescent="0.3">
      <c r="A434" s="2"/>
      <c r="C434" s="14" t="str">
        <f t="shared" si="7"/>
        <v>20247</v>
      </c>
      <c r="D434" s="3">
        <v>45478</v>
      </c>
      <c r="E434" s="21">
        <v>2255.9499999999998</v>
      </c>
      <c r="F434" s="21">
        <v>2279.33</v>
      </c>
      <c r="G434" s="21">
        <v>2284.2800000000002</v>
      </c>
      <c r="H434" s="21">
        <v>2205.77</v>
      </c>
      <c r="I434" s="21">
        <v>2221.85</v>
      </c>
      <c r="J434" s="21">
        <v>2201.8000000000002</v>
      </c>
      <c r="K434" s="21">
        <v>2078.83</v>
      </c>
      <c r="L434" s="21">
        <v>2226.7600000000002</v>
      </c>
      <c r="M434" s="21">
        <v>1991.06</v>
      </c>
      <c r="N434" s="21">
        <v>2112.09</v>
      </c>
      <c r="O434" s="21">
        <v>2145</v>
      </c>
      <c r="P434" s="21">
        <v>2330.19</v>
      </c>
      <c r="Q434" s="21">
        <v>5934.85</v>
      </c>
      <c r="R434" s="20">
        <v>119.69</v>
      </c>
      <c r="S434" s="20">
        <v>113.76</v>
      </c>
      <c r="T434" s="21">
        <v>124.77</v>
      </c>
      <c r="V434" s="1">
        <v>117.16</v>
      </c>
      <c r="W434" s="1">
        <v>126.18</v>
      </c>
      <c r="X434" s="1">
        <v>123.58</v>
      </c>
      <c r="Y434" s="1">
        <v>122.3</v>
      </c>
      <c r="Z434" s="1">
        <v>123.72</v>
      </c>
      <c r="AA434" s="1">
        <v>122.85</v>
      </c>
      <c r="AB434" s="1">
        <v>124.06</v>
      </c>
      <c r="AC434" s="1">
        <v>120.58</v>
      </c>
      <c r="AE434" s="1">
        <v>132.85</v>
      </c>
      <c r="AF434" s="1">
        <v>132.04</v>
      </c>
      <c r="AG434" s="1">
        <v>120.76</v>
      </c>
      <c r="AM434" s="1">
        <v>30</v>
      </c>
      <c r="AP434" s="1">
        <v>3042.5</v>
      </c>
      <c r="AQ434" s="1">
        <v>2819.09</v>
      </c>
      <c r="AT434" s="1">
        <v>3136.87</v>
      </c>
      <c r="AX434" s="1">
        <v>125.36</v>
      </c>
      <c r="AY434" s="1">
        <v>2652.66</v>
      </c>
      <c r="BA434" s="1">
        <v>131.65</v>
      </c>
      <c r="BB434" s="1">
        <v>137.49</v>
      </c>
      <c r="BC434" s="1">
        <v>133.55000000000001</v>
      </c>
      <c r="BD434" s="1">
        <v>138.30000000000001</v>
      </c>
      <c r="BE434" s="1">
        <v>128.29</v>
      </c>
      <c r="BF434" s="1">
        <v>127.25</v>
      </c>
      <c r="BG434" s="1">
        <v>133.68</v>
      </c>
      <c r="BH434" s="1">
        <v>122.61</v>
      </c>
      <c r="BI434" s="1">
        <v>128.22999999999999</v>
      </c>
      <c r="BJ434" s="1">
        <v>134.76</v>
      </c>
      <c r="BK434" s="1">
        <v>120.41</v>
      </c>
      <c r="BL434" s="1">
        <v>118.98</v>
      </c>
      <c r="BN434" s="1">
        <v>119.05</v>
      </c>
    </row>
    <row r="435" spans="1:66" x14ac:dyDescent="0.3">
      <c r="A435" s="2"/>
      <c r="C435" s="14" t="str">
        <f t="shared" si="7"/>
        <v>20247</v>
      </c>
      <c r="D435" s="3">
        <v>45477</v>
      </c>
      <c r="E435" s="21">
        <v>2236.0700000000002</v>
      </c>
      <c r="F435" s="21">
        <v>2287.0300000000002</v>
      </c>
      <c r="G435" s="21">
        <v>2284.2800000000002</v>
      </c>
      <c r="H435" s="21">
        <v>2250.91</v>
      </c>
      <c r="I435" s="21">
        <v>2221.85</v>
      </c>
      <c r="J435" s="21">
        <v>2194.3000000000002</v>
      </c>
      <c r="K435" s="21">
        <v>2078.83</v>
      </c>
      <c r="L435" s="21">
        <v>2243.27</v>
      </c>
      <c r="M435" s="21">
        <v>2059.87</v>
      </c>
      <c r="N435" s="21">
        <v>2133.81</v>
      </c>
      <c r="O435" s="21">
        <v>2090.4</v>
      </c>
      <c r="P435" s="21">
        <v>2330.19</v>
      </c>
      <c r="Q435" s="21">
        <v>5918.03</v>
      </c>
      <c r="R435" s="20">
        <v>120.94</v>
      </c>
      <c r="S435" s="20">
        <v>113.92</v>
      </c>
      <c r="T435" s="21">
        <v>124.82</v>
      </c>
      <c r="V435" s="1">
        <v>117.33</v>
      </c>
      <c r="W435" s="1">
        <v>126.38</v>
      </c>
      <c r="X435" s="1">
        <v>124.73</v>
      </c>
      <c r="Y435" s="1">
        <v>122.7</v>
      </c>
      <c r="Z435" s="1">
        <v>123.82</v>
      </c>
      <c r="AA435" s="1">
        <v>122.6</v>
      </c>
      <c r="AB435" s="1">
        <v>124.28</v>
      </c>
      <c r="AC435" s="1">
        <v>120.58</v>
      </c>
      <c r="AE435" s="1">
        <v>133.85</v>
      </c>
      <c r="AF435" s="1">
        <v>134.83000000000001</v>
      </c>
      <c r="AG435" s="1">
        <v>121.37</v>
      </c>
      <c r="AM435" s="1">
        <v>30</v>
      </c>
      <c r="AP435" s="1">
        <v>3006.67</v>
      </c>
      <c r="AQ435" s="1">
        <v>2819.09</v>
      </c>
      <c r="AT435" s="1">
        <v>3104.2</v>
      </c>
      <c r="AX435" s="1">
        <v>125.35</v>
      </c>
      <c r="AY435" s="1">
        <v>2652.66</v>
      </c>
      <c r="BA435" s="1">
        <v>131.65</v>
      </c>
      <c r="BB435" s="1">
        <v>138.28</v>
      </c>
      <c r="BC435" s="1">
        <v>133.96</v>
      </c>
      <c r="BD435" s="1">
        <v>137.12</v>
      </c>
      <c r="BE435" s="1">
        <v>128.29</v>
      </c>
      <c r="BF435" s="1">
        <v>127.8</v>
      </c>
      <c r="BG435" s="1">
        <v>133.68</v>
      </c>
      <c r="BH435" s="1">
        <v>122.61</v>
      </c>
      <c r="BI435" s="1">
        <v>128.4</v>
      </c>
      <c r="BJ435" s="1">
        <v>133.94999999999999</v>
      </c>
      <c r="BK435" s="1">
        <v>120.74</v>
      </c>
      <c r="BL435" s="1">
        <v>119.76</v>
      </c>
      <c r="BN435" s="1">
        <v>119.71</v>
      </c>
    </row>
    <row r="436" spans="1:66" x14ac:dyDescent="0.3">
      <c r="A436" s="2"/>
      <c r="C436" s="14" t="str">
        <f t="shared" si="7"/>
        <v>20247</v>
      </c>
      <c r="D436" s="3">
        <v>45476</v>
      </c>
      <c r="E436" s="21">
        <v>2258.44</v>
      </c>
      <c r="F436" s="21">
        <v>2287.0300000000002</v>
      </c>
      <c r="G436" s="21">
        <v>2284.2800000000002</v>
      </c>
      <c r="H436" s="21">
        <v>2315.6999999999998</v>
      </c>
      <c r="I436" s="21">
        <v>2225.81</v>
      </c>
      <c r="J436" s="21">
        <v>2194.3000000000002</v>
      </c>
      <c r="K436" s="21">
        <v>2115.71</v>
      </c>
      <c r="L436" s="21">
        <v>2243.27</v>
      </c>
      <c r="M436" s="21">
        <v>2066.96</v>
      </c>
      <c r="N436" s="21">
        <v>2133.81</v>
      </c>
      <c r="O436" s="21">
        <v>2090.4</v>
      </c>
      <c r="P436" s="21">
        <v>2346.7800000000002</v>
      </c>
      <c r="Q436" s="21">
        <v>5918.03</v>
      </c>
      <c r="R436" s="20">
        <v>120.94</v>
      </c>
      <c r="S436" s="20">
        <v>113.92</v>
      </c>
      <c r="T436" s="21">
        <v>125.85</v>
      </c>
      <c r="V436" s="1">
        <v>117.34</v>
      </c>
      <c r="W436" s="1">
        <v>126.78</v>
      </c>
      <c r="X436" s="1">
        <v>126.33</v>
      </c>
      <c r="Y436" s="1">
        <v>123.22</v>
      </c>
      <c r="Z436" s="1">
        <v>124.13</v>
      </c>
      <c r="AA436" s="1">
        <v>123.12</v>
      </c>
      <c r="AB436" s="1">
        <v>125.81</v>
      </c>
      <c r="AC436" s="1">
        <v>120.58</v>
      </c>
      <c r="AE436" s="1">
        <v>135.09</v>
      </c>
      <c r="AF436" s="1">
        <v>134.82</v>
      </c>
      <c r="AG436" s="1">
        <v>121.34</v>
      </c>
      <c r="AM436" s="1">
        <v>30</v>
      </c>
      <c r="AP436" s="1">
        <v>3006.67</v>
      </c>
      <c r="AQ436" s="1">
        <v>2819.09</v>
      </c>
      <c r="AT436" s="1">
        <v>3104.2</v>
      </c>
      <c r="AX436" s="1">
        <v>125.34</v>
      </c>
      <c r="AY436" s="1">
        <v>2652.66</v>
      </c>
      <c r="BA436" s="1">
        <v>131.65</v>
      </c>
      <c r="BB436" s="1">
        <v>138.49</v>
      </c>
      <c r="BC436" s="1">
        <v>133.93</v>
      </c>
      <c r="BD436" s="1">
        <v>136.79</v>
      </c>
      <c r="BE436" s="1">
        <v>128.29</v>
      </c>
      <c r="BF436" s="1">
        <v>127.8</v>
      </c>
      <c r="BG436" s="1">
        <v>133.68</v>
      </c>
      <c r="BH436" s="1">
        <v>122.61</v>
      </c>
      <c r="BI436" s="1">
        <v>128.97999999999999</v>
      </c>
      <c r="BJ436" s="1">
        <v>133.94</v>
      </c>
      <c r="BK436" s="1">
        <v>120.74</v>
      </c>
      <c r="BL436" s="1">
        <v>119.96</v>
      </c>
      <c r="BN436" s="1">
        <v>119.71</v>
      </c>
    </row>
    <row r="437" spans="1:66" x14ac:dyDescent="0.3">
      <c r="A437" s="2"/>
      <c r="C437" s="14" t="str">
        <f t="shared" si="7"/>
        <v>20247</v>
      </c>
      <c r="D437" s="3">
        <v>45475</v>
      </c>
      <c r="E437" s="21">
        <v>2285.79</v>
      </c>
      <c r="F437" s="21">
        <v>2287.0300000000002</v>
      </c>
      <c r="G437" s="21">
        <v>2269.42</v>
      </c>
      <c r="H437" s="21">
        <v>2332.9499999999998</v>
      </c>
      <c r="I437" s="21">
        <v>2225.81</v>
      </c>
      <c r="J437" s="21">
        <v>2195.5500000000002</v>
      </c>
      <c r="K437" s="21">
        <v>2115.71</v>
      </c>
      <c r="L437" s="21">
        <v>2233.36</v>
      </c>
      <c r="M437" s="21">
        <v>2066.96</v>
      </c>
      <c r="N437" s="21">
        <v>2134.4699999999998</v>
      </c>
      <c r="O437" s="21">
        <v>2057.62</v>
      </c>
      <c r="P437" s="21">
        <v>2346.7800000000002</v>
      </c>
      <c r="Q437" s="21">
        <v>5881.1</v>
      </c>
      <c r="R437" s="20">
        <v>120.94</v>
      </c>
      <c r="S437" s="20">
        <v>113.26</v>
      </c>
      <c r="T437" s="21">
        <v>124.8</v>
      </c>
      <c r="V437" s="1">
        <v>116.67</v>
      </c>
      <c r="W437" s="1">
        <v>126.48</v>
      </c>
      <c r="X437" s="1">
        <v>124.95</v>
      </c>
      <c r="Y437" s="1">
        <v>123.59</v>
      </c>
      <c r="Z437" s="1">
        <v>123.93</v>
      </c>
      <c r="AA437" s="1">
        <v>123.79</v>
      </c>
      <c r="AB437" s="1">
        <v>122.69</v>
      </c>
      <c r="AC437" s="1">
        <v>117.56</v>
      </c>
      <c r="AE437" s="1">
        <v>133.6</v>
      </c>
      <c r="AF437" s="1">
        <v>132.69999999999999</v>
      </c>
      <c r="AG437" s="1">
        <v>120.32</v>
      </c>
      <c r="AP437" s="1">
        <v>3006.67</v>
      </c>
      <c r="AQ437" s="1">
        <v>2819.09</v>
      </c>
      <c r="AT437" s="1">
        <v>3134.85</v>
      </c>
      <c r="AX437" s="1">
        <v>124.68</v>
      </c>
      <c r="AZ437" s="1">
        <v>2885.94</v>
      </c>
      <c r="BA437" s="1">
        <v>128.80000000000001</v>
      </c>
      <c r="BB437" s="1">
        <v>136.44</v>
      </c>
      <c r="BC437" s="1">
        <v>132.08000000000001</v>
      </c>
      <c r="BD437" s="1">
        <v>135.59</v>
      </c>
      <c r="BE437" s="1">
        <v>128.13999999999999</v>
      </c>
      <c r="BF437" s="1">
        <v>127.13</v>
      </c>
      <c r="BG437" s="1">
        <v>132.47999999999999</v>
      </c>
      <c r="BH437" s="1">
        <v>121.57</v>
      </c>
      <c r="BI437" s="1">
        <v>128.4</v>
      </c>
      <c r="BJ437" s="1">
        <v>133.91999999999999</v>
      </c>
      <c r="BK437" s="1">
        <v>119.41</v>
      </c>
      <c r="BL437" s="1">
        <v>119.46</v>
      </c>
      <c r="BN437" s="1">
        <v>119.71</v>
      </c>
    </row>
    <row r="438" spans="1:66" x14ac:dyDescent="0.3">
      <c r="A438" s="2"/>
      <c r="C438" s="14" t="str">
        <f t="shared" si="7"/>
        <v>20247</v>
      </c>
      <c r="D438" s="3">
        <v>45474</v>
      </c>
      <c r="E438" s="21">
        <v>2285.79</v>
      </c>
      <c r="F438" s="21">
        <v>2309.06</v>
      </c>
      <c r="G438" s="21">
        <v>2285.9299999999998</v>
      </c>
      <c r="H438" s="21">
        <v>2332.4899999999998</v>
      </c>
      <c r="I438" s="21">
        <v>2225.81</v>
      </c>
      <c r="J438" s="21">
        <v>2192.83</v>
      </c>
      <c r="K438" s="21">
        <v>2152.34</v>
      </c>
      <c r="L438" s="21">
        <v>2233.36</v>
      </c>
      <c r="M438" s="21">
        <v>2048.8000000000002</v>
      </c>
      <c r="N438" s="21">
        <v>2118.4299999999998</v>
      </c>
      <c r="O438" s="21">
        <v>2022.59</v>
      </c>
      <c r="P438" s="21">
        <v>2351.6</v>
      </c>
      <c r="Q438" s="21">
        <v>5884.4</v>
      </c>
      <c r="R438" s="20">
        <v>119.19</v>
      </c>
      <c r="S438" s="20">
        <v>113.59</v>
      </c>
      <c r="T438" s="21">
        <v>125.04</v>
      </c>
      <c r="V438" s="1">
        <v>115.87</v>
      </c>
      <c r="W438" s="1">
        <v>124.58</v>
      </c>
      <c r="X438" s="1">
        <v>123.06</v>
      </c>
      <c r="Y438" s="1">
        <v>123.37</v>
      </c>
      <c r="Z438" s="1">
        <v>123.53</v>
      </c>
      <c r="AA438" s="1">
        <v>121.66</v>
      </c>
      <c r="AB438" s="1">
        <v>121.82</v>
      </c>
      <c r="AC438" s="1">
        <v>117.67</v>
      </c>
      <c r="AE438" s="1">
        <v>132.35</v>
      </c>
      <c r="AF438" s="1">
        <v>130.78</v>
      </c>
      <c r="AG438" s="1">
        <v>120.45</v>
      </c>
      <c r="AP438" s="1">
        <v>3046.34</v>
      </c>
      <c r="AS438" s="1">
        <v>2951.53</v>
      </c>
      <c r="AT438" s="1">
        <v>3134.85</v>
      </c>
      <c r="AX438" s="1">
        <v>124.38</v>
      </c>
      <c r="AZ438" s="1">
        <v>2885.94</v>
      </c>
      <c r="BA438" s="1">
        <v>128.80000000000001</v>
      </c>
      <c r="BB438" s="1">
        <v>135.72</v>
      </c>
      <c r="BC438" s="1">
        <v>130.94</v>
      </c>
      <c r="BD438" s="1">
        <v>133.72999999999999</v>
      </c>
      <c r="BE438" s="1">
        <v>127.51</v>
      </c>
      <c r="BF438" s="1">
        <v>127.13</v>
      </c>
      <c r="BG438" s="1">
        <v>132.47999999999999</v>
      </c>
      <c r="BH438" s="1">
        <v>120.24</v>
      </c>
      <c r="BI438" s="1">
        <v>127.9</v>
      </c>
      <c r="BJ438" s="1">
        <v>133.41999999999999</v>
      </c>
      <c r="BK438" s="1">
        <v>118.41</v>
      </c>
      <c r="BL438" s="1">
        <v>118.67</v>
      </c>
      <c r="BN438" s="1">
        <v>118.06</v>
      </c>
    </row>
    <row r="439" spans="1:66" x14ac:dyDescent="0.3">
      <c r="A439" s="2"/>
      <c r="C439" s="14" t="str">
        <f t="shared" si="7"/>
        <v>20246</v>
      </c>
      <c r="D439" s="3">
        <v>45471</v>
      </c>
      <c r="E439" s="21">
        <v>2296.6799999999998</v>
      </c>
      <c r="F439" s="21">
        <v>2311.7600000000002</v>
      </c>
      <c r="G439" s="21">
        <v>2288.61</v>
      </c>
      <c r="H439" s="21">
        <v>2314.7199999999998</v>
      </c>
      <c r="I439" s="21">
        <v>2234.37</v>
      </c>
      <c r="J439" s="21">
        <v>2192.27</v>
      </c>
      <c r="K439" s="21">
        <v>2234.25</v>
      </c>
      <c r="L439" s="21">
        <v>2238.39</v>
      </c>
      <c r="M439" s="21">
        <v>2036.32</v>
      </c>
      <c r="N439" s="21">
        <v>2092.83</v>
      </c>
      <c r="O439" s="21">
        <v>2036.05</v>
      </c>
      <c r="P439" s="21">
        <v>2372.41</v>
      </c>
      <c r="Q439" s="21">
        <v>5647.49</v>
      </c>
      <c r="R439" s="20">
        <v>118.98</v>
      </c>
      <c r="S439" s="20">
        <v>113.6</v>
      </c>
      <c r="T439" s="21">
        <v>123.62</v>
      </c>
      <c r="V439" s="1">
        <v>115.8</v>
      </c>
      <c r="W439" s="1">
        <v>124.78</v>
      </c>
      <c r="X439" s="1">
        <v>122.86</v>
      </c>
      <c r="Y439" s="1">
        <v>122.25</v>
      </c>
      <c r="Z439" s="1">
        <v>122.73</v>
      </c>
      <c r="AA439" s="1">
        <v>121.54</v>
      </c>
      <c r="AB439" s="1">
        <v>121.34</v>
      </c>
      <c r="AC439" s="1">
        <v>118.26</v>
      </c>
      <c r="AE439" s="1">
        <v>131.65</v>
      </c>
      <c r="AF439" s="1">
        <v>130.84</v>
      </c>
      <c r="AG439" s="1">
        <v>120.94</v>
      </c>
      <c r="AP439" s="1">
        <v>3016.22</v>
      </c>
      <c r="AS439" s="1">
        <v>2948.06</v>
      </c>
      <c r="AT439" s="1">
        <v>3131.16</v>
      </c>
      <c r="AW439" s="1">
        <v>3119.4</v>
      </c>
      <c r="AX439" s="1">
        <v>124.51</v>
      </c>
      <c r="AZ439" s="1">
        <v>2882.55</v>
      </c>
      <c r="BA439" s="1">
        <v>130.16</v>
      </c>
      <c r="BB439" s="1">
        <v>135.27000000000001</v>
      </c>
      <c r="BC439" s="1">
        <v>130.97</v>
      </c>
      <c r="BD439" s="1">
        <v>132.86000000000001</v>
      </c>
      <c r="BE439" s="1">
        <v>127.57</v>
      </c>
      <c r="BF439" s="1">
        <v>127.29</v>
      </c>
      <c r="BG439" s="1">
        <v>132.15</v>
      </c>
      <c r="BH439" s="1">
        <v>120.72</v>
      </c>
      <c r="BI439" s="1">
        <v>127.35</v>
      </c>
      <c r="BJ439" s="1">
        <v>133.63</v>
      </c>
      <c r="BK439" s="1">
        <v>118.46</v>
      </c>
      <c r="BL439" s="1">
        <v>119</v>
      </c>
      <c r="BN439" s="1">
        <v>118.15</v>
      </c>
    </row>
    <row r="440" spans="1:66" x14ac:dyDescent="0.3">
      <c r="A440" s="2"/>
      <c r="C440" s="14" t="str">
        <f t="shared" si="7"/>
        <v>20246</v>
      </c>
      <c r="D440" s="3">
        <v>45470</v>
      </c>
      <c r="E440" s="21">
        <v>2302.65</v>
      </c>
      <c r="F440" s="21">
        <v>2311.7600000000002</v>
      </c>
      <c r="G440" s="21">
        <v>2288.61</v>
      </c>
      <c r="H440" s="21">
        <v>2382.4899999999998</v>
      </c>
      <c r="I440" s="21">
        <v>2234.37</v>
      </c>
      <c r="J440" s="21">
        <v>2192.27</v>
      </c>
      <c r="K440" s="21">
        <v>2234.25</v>
      </c>
      <c r="L440" s="21">
        <v>2238.39</v>
      </c>
      <c r="M440" s="21">
        <v>2036.32</v>
      </c>
      <c r="N440" s="21">
        <v>2076.37</v>
      </c>
      <c r="O440" s="21">
        <v>2083.75</v>
      </c>
      <c r="P440" s="21">
        <v>2372.41</v>
      </c>
      <c r="Q440" s="21">
        <v>5630.96</v>
      </c>
      <c r="R440" s="20">
        <v>118.49</v>
      </c>
      <c r="S440" s="20">
        <v>113.1</v>
      </c>
      <c r="T440" s="21">
        <v>123.4</v>
      </c>
      <c r="V440" s="1">
        <v>115.54</v>
      </c>
      <c r="W440" s="1">
        <v>123.98</v>
      </c>
      <c r="X440" s="1">
        <v>123.19</v>
      </c>
      <c r="Y440" s="1">
        <v>122.6</v>
      </c>
      <c r="Z440" s="1">
        <v>122.33</v>
      </c>
      <c r="AA440" s="1">
        <v>120.93</v>
      </c>
      <c r="AB440" s="1">
        <v>120.97</v>
      </c>
      <c r="AC440" s="1">
        <v>118.26</v>
      </c>
      <c r="AE440" s="1">
        <v>131.9</v>
      </c>
      <c r="AF440" s="1">
        <v>128.85</v>
      </c>
      <c r="AG440" s="1">
        <v>120.44</v>
      </c>
      <c r="AP440" s="1">
        <v>3016.22</v>
      </c>
      <c r="AS440" s="1">
        <v>2948.06</v>
      </c>
      <c r="AT440" s="1">
        <v>2922.86</v>
      </c>
      <c r="AW440" s="1">
        <v>3119.4</v>
      </c>
      <c r="AX440" s="1">
        <v>121.2</v>
      </c>
      <c r="AZ440" s="1">
        <v>2882.55</v>
      </c>
      <c r="BA440" s="1">
        <v>129.96</v>
      </c>
      <c r="BB440" s="1">
        <v>134.41999999999999</v>
      </c>
      <c r="BC440" s="1">
        <v>130.51</v>
      </c>
      <c r="BD440" s="1">
        <v>132.68</v>
      </c>
      <c r="BE440" s="1">
        <v>127.57</v>
      </c>
      <c r="BF440" s="1">
        <v>127.29</v>
      </c>
      <c r="BG440" s="1">
        <v>131.55000000000001</v>
      </c>
      <c r="BH440" s="1">
        <v>120.47</v>
      </c>
      <c r="BI440" s="1">
        <v>126.52</v>
      </c>
      <c r="BJ440" s="1">
        <v>133.41999999999999</v>
      </c>
      <c r="BL440" s="1">
        <v>118.52</v>
      </c>
      <c r="BN440" s="1">
        <v>118.15</v>
      </c>
    </row>
    <row r="441" spans="1:66" x14ac:dyDescent="0.3">
      <c r="A441" s="2"/>
      <c r="C441" s="14" t="str">
        <f t="shared" si="7"/>
        <v>20246</v>
      </c>
      <c r="D441" s="3">
        <v>45469</v>
      </c>
      <c r="E441" s="21">
        <v>2314.59</v>
      </c>
      <c r="F441" s="21">
        <v>2311.7600000000002</v>
      </c>
      <c r="G441" s="21">
        <v>2288.61</v>
      </c>
      <c r="H441" s="21">
        <v>2381.8000000000002</v>
      </c>
      <c r="I441" s="21">
        <v>2234.37</v>
      </c>
      <c r="J441" s="21">
        <v>2192.27</v>
      </c>
      <c r="K441" s="21">
        <v>2264.21</v>
      </c>
      <c r="L441" s="21">
        <v>2235.08</v>
      </c>
      <c r="M441" s="21">
        <v>2013.22</v>
      </c>
      <c r="N441" s="21">
        <v>2083.73</v>
      </c>
      <c r="O441" s="21">
        <v>2047.36</v>
      </c>
      <c r="P441" s="21">
        <v>2375.9</v>
      </c>
      <c r="Q441" s="21">
        <v>5630.96</v>
      </c>
      <c r="R441" s="20">
        <v>119.23</v>
      </c>
      <c r="S441" s="20">
        <v>112.23</v>
      </c>
      <c r="T441" s="21">
        <v>123.61</v>
      </c>
      <c r="V441" s="1">
        <v>115.43</v>
      </c>
      <c r="W441" s="1">
        <v>123.78</v>
      </c>
      <c r="X441" s="1">
        <v>122.19</v>
      </c>
      <c r="Y441" s="1">
        <v>121.88</v>
      </c>
      <c r="Z441" s="1">
        <v>122.24</v>
      </c>
      <c r="AA441" s="1">
        <v>122.21</v>
      </c>
      <c r="AB441" s="1">
        <v>121.34</v>
      </c>
      <c r="AC441" s="1">
        <v>118.59</v>
      </c>
      <c r="AE441" s="1">
        <v>131.66</v>
      </c>
      <c r="AF441" s="1">
        <v>128.58000000000001</v>
      </c>
      <c r="AG441" s="1">
        <v>119.87</v>
      </c>
      <c r="AP441" s="1">
        <v>2994.91</v>
      </c>
      <c r="AS441" s="1">
        <v>2948.06</v>
      </c>
      <c r="AT441" s="1">
        <v>2922.86</v>
      </c>
      <c r="AW441" s="1">
        <v>3119.4</v>
      </c>
      <c r="AX441" s="1">
        <v>121.19</v>
      </c>
      <c r="AZ441" s="1">
        <v>2882.55</v>
      </c>
      <c r="BA441" s="1">
        <v>130.31</v>
      </c>
      <c r="BB441" s="1">
        <v>134.19999999999999</v>
      </c>
      <c r="BC441" s="1">
        <v>131</v>
      </c>
      <c r="BD441" s="1">
        <v>132.78</v>
      </c>
      <c r="BE441" s="1">
        <v>125.85</v>
      </c>
      <c r="BF441" s="1">
        <v>126.29</v>
      </c>
      <c r="BG441" s="1">
        <v>131.94999999999999</v>
      </c>
      <c r="BH441" s="1">
        <v>120.72</v>
      </c>
      <c r="BI441" s="1">
        <v>126.68</v>
      </c>
      <c r="BJ441" s="1">
        <v>133.4</v>
      </c>
      <c r="BL441" s="1">
        <v>118.1</v>
      </c>
      <c r="BN441" s="1">
        <v>117.49</v>
      </c>
    </row>
    <row r="442" spans="1:66" x14ac:dyDescent="0.3">
      <c r="A442" s="2"/>
      <c r="C442" s="14" t="str">
        <f t="shared" si="7"/>
        <v>20246</v>
      </c>
      <c r="D442" s="3">
        <v>45468</v>
      </c>
      <c r="E442" s="21">
        <v>2308.62</v>
      </c>
      <c r="F442" s="21">
        <v>2311.7600000000002</v>
      </c>
      <c r="G442" s="21">
        <v>2286.96</v>
      </c>
      <c r="H442" s="21">
        <v>2293.5700000000002</v>
      </c>
      <c r="I442" s="21">
        <v>2252.23</v>
      </c>
      <c r="J442" s="21">
        <v>2196.87</v>
      </c>
      <c r="K442" s="21">
        <v>2264.21</v>
      </c>
      <c r="L442" s="21">
        <v>2235.08</v>
      </c>
      <c r="M442" s="21">
        <v>2079.2199999999998</v>
      </c>
      <c r="N442" s="21">
        <v>2108.8000000000002</v>
      </c>
      <c r="O442" s="21">
        <v>2141.3000000000002</v>
      </c>
      <c r="P442" s="21">
        <v>2375.9</v>
      </c>
      <c r="Q442" s="21">
        <v>5700.17</v>
      </c>
      <c r="R442" s="20">
        <v>118.24</v>
      </c>
      <c r="S442" s="20">
        <v>112.1</v>
      </c>
      <c r="T442" s="21">
        <v>122.11</v>
      </c>
      <c r="V442" s="1">
        <v>114.83</v>
      </c>
      <c r="W442" s="1">
        <v>123.58</v>
      </c>
      <c r="X442" s="1">
        <v>121.64</v>
      </c>
      <c r="Y442" s="1">
        <v>120.83</v>
      </c>
      <c r="Z442" s="1">
        <v>121.24</v>
      </c>
      <c r="AA442" s="1">
        <v>120.89</v>
      </c>
      <c r="AB442" s="1">
        <v>120.19</v>
      </c>
      <c r="AC442" s="1">
        <v>116.39</v>
      </c>
      <c r="AE442" s="1">
        <v>131.41</v>
      </c>
      <c r="AF442" s="1">
        <v>127.36</v>
      </c>
      <c r="AG442" s="1">
        <v>118.69</v>
      </c>
      <c r="AP442" s="1">
        <v>2994.91</v>
      </c>
      <c r="AR442" s="1">
        <v>2902.7</v>
      </c>
      <c r="AS442" s="1">
        <v>2970.74</v>
      </c>
      <c r="AU442" s="1">
        <v>2657.03</v>
      </c>
      <c r="AW442" s="1">
        <v>3119.4</v>
      </c>
      <c r="AX442" s="1">
        <v>121.5</v>
      </c>
      <c r="BA442" s="1">
        <v>128.94999999999999</v>
      </c>
      <c r="BB442" s="1">
        <v>134.6</v>
      </c>
      <c r="BC442" s="1">
        <v>129.21</v>
      </c>
      <c r="BD442" s="1">
        <v>131.80000000000001</v>
      </c>
      <c r="BE442" s="1">
        <v>124.99</v>
      </c>
      <c r="BF442" s="1">
        <v>125.29</v>
      </c>
      <c r="BG442" s="1">
        <v>131.35</v>
      </c>
      <c r="BH442" s="1">
        <v>119.96</v>
      </c>
      <c r="BI442" s="1">
        <v>126.68</v>
      </c>
      <c r="BJ442" s="1">
        <v>133.1</v>
      </c>
      <c r="BL442" s="1">
        <v>117.1</v>
      </c>
      <c r="BN442" s="1">
        <v>116.49</v>
      </c>
    </row>
    <row r="443" spans="1:66" x14ac:dyDescent="0.3">
      <c r="A443" s="2"/>
      <c r="C443" s="14" t="str">
        <f t="shared" si="7"/>
        <v>20246</v>
      </c>
      <c r="D443" s="3">
        <v>45467</v>
      </c>
      <c r="E443" s="21">
        <v>2294.69</v>
      </c>
      <c r="F443" s="21">
        <v>2311.7600000000002</v>
      </c>
      <c r="G443" s="21">
        <v>2286.96</v>
      </c>
      <c r="H443" s="21">
        <v>2294.4699999999998</v>
      </c>
      <c r="I443" s="21">
        <v>2252.23</v>
      </c>
      <c r="J443" s="21">
        <v>2222.17</v>
      </c>
      <c r="K443" s="21">
        <v>2264.21</v>
      </c>
      <c r="L443" s="21"/>
      <c r="M443" s="21">
        <v>2079.2199999999998</v>
      </c>
      <c r="N443" s="21">
        <v>2142.16</v>
      </c>
      <c r="O443" s="21">
        <v>2108.91</v>
      </c>
      <c r="P443" s="21">
        <v>2380.89</v>
      </c>
      <c r="Q443" s="21">
        <v>5593.24</v>
      </c>
      <c r="R443" s="20">
        <v>119.23</v>
      </c>
      <c r="S443" s="20">
        <v>110.94</v>
      </c>
      <c r="T443" s="21">
        <v>122.95</v>
      </c>
      <c r="V443" s="1">
        <v>115.2</v>
      </c>
      <c r="W443" s="1">
        <v>123.38</v>
      </c>
      <c r="X443" s="1">
        <v>121.58</v>
      </c>
      <c r="Y443" s="1">
        <v>120.76</v>
      </c>
      <c r="Z443" s="1">
        <v>121.24</v>
      </c>
      <c r="AA443" s="1">
        <v>121.85</v>
      </c>
      <c r="AB443" s="1">
        <v>120.46</v>
      </c>
      <c r="AC443" s="1">
        <v>115.38</v>
      </c>
      <c r="AE443" s="1">
        <v>131.19999999999999</v>
      </c>
      <c r="AF443" s="1">
        <v>129.21</v>
      </c>
      <c r="AG443" s="1">
        <v>119</v>
      </c>
      <c r="AL443" s="1">
        <v>30</v>
      </c>
      <c r="AP443" s="1">
        <v>2907.41</v>
      </c>
      <c r="AQ443" s="1">
        <v>2857.35</v>
      </c>
      <c r="AR443" s="1">
        <v>2902.7</v>
      </c>
      <c r="AS443" s="1">
        <v>2978.3</v>
      </c>
      <c r="AU443" s="1">
        <v>2615.46</v>
      </c>
      <c r="AW443" s="1">
        <v>3119.4</v>
      </c>
      <c r="AX443" s="1">
        <v>121.5</v>
      </c>
      <c r="AZ443" s="1">
        <v>2965.69</v>
      </c>
      <c r="BA443" s="1">
        <v>126.58</v>
      </c>
      <c r="BB443" s="1">
        <v>133.93</v>
      </c>
      <c r="BC443" s="1">
        <v>129.35</v>
      </c>
      <c r="BD443" s="1">
        <v>132.72</v>
      </c>
      <c r="BE443" s="1">
        <v>127.74</v>
      </c>
      <c r="BF443" s="1">
        <v>127.49</v>
      </c>
      <c r="BG443" s="1">
        <v>131.44999999999999</v>
      </c>
      <c r="BH443" s="1">
        <v>120.36</v>
      </c>
      <c r="BI443" s="1">
        <v>126.35</v>
      </c>
      <c r="BJ443" s="1">
        <v>133.09</v>
      </c>
      <c r="BL443" s="1">
        <v>117.1</v>
      </c>
      <c r="BN443" s="1">
        <v>116.49</v>
      </c>
    </row>
    <row r="444" spans="1:66" x14ac:dyDescent="0.3">
      <c r="A444" s="2"/>
      <c r="C444" s="14" t="str">
        <f t="shared" si="7"/>
        <v>20246</v>
      </c>
      <c r="D444" s="3">
        <v>45464</v>
      </c>
      <c r="E444" s="21">
        <v>2298.67</v>
      </c>
      <c r="F444" s="21">
        <v>2311.7600000000002</v>
      </c>
      <c r="G444" s="21">
        <v>2286.96</v>
      </c>
      <c r="H444" s="21">
        <v>2374.9</v>
      </c>
      <c r="I444" s="21">
        <v>2252.23</v>
      </c>
      <c r="J444" s="21">
        <v>2231.27</v>
      </c>
      <c r="K444" s="21">
        <v>2264.21</v>
      </c>
      <c r="L444" s="21"/>
      <c r="M444" s="21">
        <v>2079.2199999999998</v>
      </c>
      <c r="N444" s="21">
        <v>2135.06</v>
      </c>
      <c r="O444" s="21">
        <v>2172.84</v>
      </c>
      <c r="P444" s="21">
        <v>2380.89</v>
      </c>
      <c r="Q444" s="21">
        <v>5718.95</v>
      </c>
      <c r="R444" s="20">
        <v>119.23</v>
      </c>
      <c r="S444" s="20">
        <v>111.34</v>
      </c>
      <c r="T444" s="21">
        <v>123.71</v>
      </c>
      <c r="V444" s="1">
        <v>115.61</v>
      </c>
      <c r="W444" s="1">
        <v>123.98</v>
      </c>
      <c r="X444" s="1">
        <v>121.69</v>
      </c>
      <c r="Y444" s="1">
        <v>121.01</v>
      </c>
      <c r="Z444" s="1">
        <v>121.23</v>
      </c>
      <c r="AA444" s="1">
        <v>121.68</v>
      </c>
      <c r="AB444" s="1">
        <v>122.21</v>
      </c>
      <c r="AC444" s="1">
        <v>115.76</v>
      </c>
      <c r="AE444" s="1">
        <v>131.41</v>
      </c>
      <c r="AF444" s="1">
        <v>129.94999999999999</v>
      </c>
      <c r="AG444" s="1">
        <v>119.17</v>
      </c>
      <c r="AL444" s="1">
        <v>30</v>
      </c>
      <c r="AP444" s="1">
        <v>2907.41</v>
      </c>
      <c r="AQ444" s="1">
        <v>2857.35</v>
      </c>
      <c r="AR444" s="1">
        <v>2902.7</v>
      </c>
      <c r="AS444" s="1">
        <v>2978.3</v>
      </c>
      <c r="AU444" s="1">
        <v>2615.46</v>
      </c>
      <c r="AX444" s="1">
        <v>120.82</v>
      </c>
      <c r="AZ444" s="1">
        <v>2965.69</v>
      </c>
      <c r="BA444" s="1">
        <v>126.21</v>
      </c>
      <c r="BB444" s="1">
        <v>134.54</v>
      </c>
      <c r="BC444" s="1">
        <v>130.38</v>
      </c>
      <c r="BD444" s="1">
        <v>132.1</v>
      </c>
      <c r="BE444" s="1">
        <v>128.22999999999999</v>
      </c>
      <c r="BF444" s="1">
        <v>127.49</v>
      </c>
      <c r="BG444" s="1">
        <v>130.94999999999999</v>
      </c>
      <c r="BH444" s="1">
        <v>119.97</v>
      </c>
      <c r="BI444" s="1">
        <v>125.85</v>
      </c>
      <c r="BJ444" s="1">
        <v>132.35</v>
      </c>
      <c r="BK444" s="1">
        <v>116.19</v>
      </c>
      <c r="BL444" s="1">
        <v>116.8</v>
      </c>
      <c r="BN444" s="1">
        <v>116.49</v>
      </c>
    </row>
    <row r="445" spans="1:66" x14ac:dyDescent="0.3">
      <c r="A445" s="2"/>
      <c r="C445" s="14" t="str">
        <f t="shared" si="7"/>
        <v>20246</v>
      </c>
      <c r="D445" s="3">
        <v>45463</v>
      </c>
      <c r="E445" s="21">
        <v>2292.6999999999998</v>
      </c>
      <c r="F445" s="21">
        <v>2311.7600000000002</v>
      </c>
      <c r="G445" s="21">
        <v>2286.96</v>
      </c>
      <c r="H445" s="21">
        <v>2381.23</v>
      </c>
      <c r="I445" s="21">
        <v>2248.92</v>
      </c>
      <c r="J445" s="21">
        <v>2231.27</v>
      </c>
      <c r="K445" s="21">
        <v>2284.11</v>
      </c>
      <c r="L445" s="21"/>
      <c r="M445" s="21"/>
      <c r="N445" s="21">
        <v>2150.09</v>
      </c>
      <c r="O445" s="21">
        <v>2164.5100000000002</v>
      </c>
      <c r="P445" s="21">
        <v>2394.16</v>
      </c>
      <c r="Q445" s="21">
        <v>5575.55</v>
      </c>
      <c r="R445" s="20">
        <v>119.23</v>
      </c>
      <c r="S445" s="20">
        <v>110</v>
      </c>
      <c r="T445" s="21">
        <v>123.7</v>
      </c>
      <c r="V445" s="1">
        <v>115.61</v>
      </c>
      <c r="W445" s="1">
        <v>124.38</v>
      </c>
      <c r="X445" s="1">
        <v>121.69</v>
      </c>
      <c r="Y445" s="1">
        <v>121.36</v>
      </c>
      <c r="Z445" s="1">
        <v>122.23</v>
      </c>
      <c r="AA445" s="1">
        <v>121.67</v>
      </c>
      <c r="AB445" s="1">
        <v>122.46</v>
      </c>
      <c r="AC445" s="1">
        <v>116.52</v>
      </c>
      <c r="AE445" s="1">
        <v>131.41</v>
      </c>
      <c r="AF445" s="1">
        <v>129.18</v>
      </c>
      <c r="AG445" s="1">
        <v>120.54</v>
      </c>
      <c r="AL445" s="1">
        <v>30</v>
      </c>
      <c r="AP445" s="1">
        <v>2907.41</v>
      </c>
      <c r="AQ445" s="1">
        <v>2857.35</v>
      </c>
      <c r="AR445" s="1">
        <v>2902.7</v>
      </c>
      <c r="AS445" s="1">
        <v>2978.3</v>
      </c>
      <c r="AU445" s="1">
        <v>2615.46</v>
      </c>
      <c r="AX445" s="1">
        <v>120.81</v>
      </c>
      <c r="AZ445" s="1">
        <v>2965.69</v>
      </c>
      <c r="BA445" s="1">
        <v>127.58</v>
      </c>
      <c r="BB445" s="1">
        <v>134.66</v>
      </c>
      <c r="BC445" s="1">
        <v>130.31</v>
      </c>
      <c r="BD445" s="1">
        <v>132.74</v>
      </c>
      <c r="BE445" s="1">
        <v>128.22999999999999</v>
      </c>
      <c r="BF445" s="1">
        <v>127.49</v>
      </c>
      <c r="BG445" s="1">
        <v>131.44999999999999</v>
      </c>
      <c r="BH445" s="1">
        <v>118.79</v>
      </c>
      <c r="BI445" s="1">
        <v>125.85</v>
      </c>
      <c r="BJ445" s="1">
        <v>133.77000000000001</v>
      </c>
      <c r="BL445" s="1">
        <v>117</v>
      </c>
      <c r="BN445" s="1">
        <v>116.49</v>
      </c>
    </row>
    <row r="446" spans="1:66" x14ac:dyDescent="0.3">
      <c r="A446" s="2"/>
      <c r="C446" s="14" t="str">
        <f t="shared" si="7"/>
        <v>20246</v>
      </c>
      <c r="D446" s="3">
        <v>45462</v>
      </c>
      <c r="E446" s="21">
        <v>2296.6799999999998</v>
      </c>
      <c r="F446" s="21">
        <v>2325.4</v>
      </c>
      <c r="G446" s="21">
        <v>2274.5500000000002</v>
      </c>
      <c r="H446" s="21">
        <v>2383.94</v>
      </c>
      <c r="I446" s="21">
        <v>2278.0300000000002</v>
      </c>
      <c r="J446" s="21">
        <v>2222.17</v>
      </c>
      <c r="K446" s="21">
        <v>2284.11</v>
      </c>
      <c r="L446" s="21"/>
      <c r="M446" s="21"/>
      <c r="N446" s="21">
        <v>2147.35</v>
      </c>
      <c r="O446" s="21">
        <v>2193.38</v>
      </c>
      <c r="P446" s="21">
        <v>2394.16</v>
      </c>
      <c r="Q446" s="21">
        <v>5643.65</v>
      </c>
      <c r="R446" s="20">
        <v>119.73</v>
      </c>
      <c r="S446" s="20">
        <v>112.54</v>
      </c>
      <c r="T446" s="21">
        <v>124.37</v>
      </c>
      <c r="V446" s="1">
        <v>115.81</v>
      </c>
      <c r="W446" s="1">
        <v>122.98</v>
      </c>
      <c r="X446" s="1">
        <v>122.58</v>
      </c>
      <c r="Y446" s="1">
        <v>121.69</v>
      </c>
      <c r="Z446" s="1">
        <v>123.54</v>
      </c>
      <c r="AA446" s="1">
        <v>121.91</v>
      </c>
      <c r="AB446" s="1">
        <v>122.84</v>
      </c>
      <c r="AC446" s="1">
        <v>116.52</v>
      </c>
      <c r="AE446" s="1">
        <v>132.15</v>
      </c>
      <c r="AF446" s="1">
        <v>129.83000000000001</v>
      </c>
      <c r="AG446" s="1">
        <v>120.04</v>
      </c>
      <c r="AL446" s="1">
        <v>30</v>
      </c>
      <c r="AP446" s="1">
        <v>2896.19</v>
      </c>
      <c r="AQ446" s="1">
        <v>2857.35</v>
      </c>
      <c r="AR446" s="1">
        <v>2902.7</v>
      </c>
      <c r="AS446" s="1">
        <v>2978.3</v>
      </c>
      <c r="AU446" s="1">
        <v>2615.46</v>
      </c>
      <c r="AX446" s="1">
        <v>122.46</v>
      </c>
      <c r="AZ446" s="1">
        <v>2965.69</v>
      </c>
      <c r="BA446" s="1">
        <v>127.58</v>
      </c>
      <c r="BB446" s="1">
        <v>134.74</v>
      </c>
      <c r="BC446" s="1">
        <v>130.71</v>
      </c>
      <c r="BD446" s="1">
        <v>133.13999999999999</v>
      </c>
      <c r="BE446" s="1">
        <v>128.22999999999999</v>
      </c>
      <c r="BF446" s="1">
        <v>127.28</v>
      </c>
      <c r="BG446" s="1">
        <v>131.44999999999999</v>
      </c>
      <c r="BH446" s="1">
        <v>118.79</v>
      </c>
      <c r="BI446" s="1">
        <v>126.1</v>
      </c>
      <c r="BJ446" s="1">
        <v>133.26</v>
      </c>
      <c r="BL446" s="1">
        <v>117.4</v>
      </c>
      <c r="BN446" s="1">
        <v>116.16</v>
      </c>
    </row>
    <row r="447" spans="1:66" x14ac:dyDescent="0.3">
      <c r="A447" s="2"/>
      <c r="C447" s="14" t="str">
        <f t="shared" si="7"/>
        <v>20246</v>
      </c>
      <c r="D447" s="3">
        <v>45461</v>
      </c>
      <c r="E447" s="21">
        <v>2302.65</v>
      </c>
      <c r="F447" s="21">
        <v>2325.4</v>
      </c>
      <c r="G447" s="21">
        <v>2274.5500000000002</v>
      </c>
      <c r="H447" s="21">
        <v>2380.3200000000002</v>
      </c>
      <c r="I447" s="21">
        <v>2268.1</v>
      </c>
      <c r="J447" s="21">
        <v>2224.67</v>
      </c>
      <c r="K447" s="21">
        <v>2284.11</v>
      </c>
      <c r="L447" s="21"/>
      <c r="M447" s="21"/>
      <c r="N447" s="21">
        <v>2130.0300000000002</v>
      </c>
      <c r="O447" s="21">
        <v>2136.62</v>
      </c>
      <c r="P447" s="21">
        <v>2394.16</v>
      </c>
      <c r="Q447" s="21">
        <v>5606.67</v>
      </c>
      <c r="R447" s="20">
        <v>119.73</v>
      </c>
      <c r="S447" s="20">
        <v>110.94</v>
      </c>
      <c r="T447" s="21">
        <v>123.04</v>
      </c>
      <c r="V447" s="1">
        <v>115.32</v>
      </c>
      <c r="W447" s="1">
        <v>122.98</v>
      </c>
      <c r="X447" s="1">
        <v>122.36</v>
      </c>
      <c r="Y447" s="1">
        <v>120.82</v>
      </c>
      <c r="Z447" s="1">
        <v>120.62</v>
      </c>
      <c r="AA447" s="1">
        <v>122.06</v>
      </c>
      <c r="AB447" s="1">
        <v>122.75</v>
      </c>
      <c r="AC447" s="1">
        <v>117.14</v>
      </c>
      <c r="AE447" s="1">
        <v>131.66</v>
      </c>
      <c r="AF447" s="1">
        <v>129.69999999999999</v>
      </c>
      <c r="AG447" s="1">
        <v>118.84</v>
      </c>
      <c r="AL447" s="1">
        <v>30</v>
      </c>
      <c r="AP447" s="1">
        <v>2896.19</v>
      </c>
      <c r="AQ447" s="1">
        <v>2857.35</v>
      </c>
      <c r="AU447" s="1">
        <v>2610.42</v>
      </c>
      <c r="AW447" s="1">
        <v>2969.9</v>
      </c>
      <c r="AX447" s="1">
        <v>120.67</v>
      </c>
      <c r="AZ447" s="1">
        <v>2936.09</v>
      </c>
      <c r="BA447" s="1">
        <v>127.51</v>
      </c>
      <c r="BB447" s="1">
        <v>134.76</v>
      </c>
      <c r="BC447" s="1">
        <v>130.53</v>
      </c>
      <c r="BD447" s="1">
        <v>132.63</v>
      </c>
      <c r="BE447" s="1">
        <v>128.22999999999999</v>
      </c>
      <c r="BF447" s="1">
        <v>126.78</v>
      </c>
      <c r="BG447" s="1">
        <v>132.15</v>
      </c>
      <c r="BH447" s="1">
        <v>119.04</v>
      </c>
      <c r="BI447" s="1">
        <v>126.1</v>
      </c>
      <c r="BJ447" s="1">
        <v>133.25</v>
      </c>
      <c r="BL447" s="1">
        <v>117.6</v>
      </c>
      <c r="BN447" s="1">
        <v>116.16</v>
      </c>
    </row>
    <row r="448" spans="1:66" x14ac:dyDescent="0.3">
      <c r="A448" s="2"/>
      <c r="C448" s="14" t="str">
        <f t="shared" si="7"/>
        <v>20246</v>
      </c>
      <c r="D448" s="3">
        <v>45460</v>
      </c>
      <c r="E448" s="21">
        <v>2298.67</v>
      </c>
      <c r="F448" s="21">
        <v>2325.4</v>
      </c>
      <c r="G448" s="21">
        <v>2274.5500000000002</v>
      </c>
      <c r="H448" s="21">
        <v>2380.3200000000002</v>
      </c>
      <c r="I448" s="21">
        <v>2268.1</v>
      </c>
      <c r="J448" s="21">
        <v>2239.08</v>
      </c>
      <c r="K448" s="21">
        <v>2284.11</v>
      </c>
      <c r="L448" s="21"/>
      <c r="M448" s="21"/>
      <c r="N448" s="21">
        <v>2186.1</v>
      </c>
      <c r="O448" s="21">
        <v>2147.5700000000002</v>
      </c>
      <c r="P448" s="21">
        <v>2397.4899999999998</v>
      </c>
      <c r="Q448" s="21">
        <v>5725.39</v>
      </c>
      <c r="R448" s="20">
        <v>118.74</v>
      </c>
      <c r="S448" s="20">
        <v>110.74</v>
      </c>
      <c r="T448" s="21">
        <v>123.4</v>
      </c>
      <c r="V448" s="1">
        <v>114.95</v>
      </c>
      <c r="W448" s="1">
        <v>124.18</v>
      </c>
      <c r="X448" s="1">
        <v>123.08</v>
      </c>
      <c r="Y448" s="1">
        <v>119.9</v>
      </c>
      <c r="Z448" s="1">
        <v>121.44</v>
      </c>
      <c r="AA448" s="1">
        <v>121.19</v>
      </c>
      <c r="AB448" s="1">
        <v>122.64</v>
      </c>
      <c r="AC448" s="1">
        <v>117.14</v>
      </c>
      <c r="AE448" s="1">
        <v>131.78</v>
      </c>
      <c r="AF448" s="1">
        <v>129.51</v>
      </c>
      <c r="AG448" s="1">
        <v>118.83</v>
      </c>
      <c r="AN448" s="1">
        <v>3037.09</v>
      </c>
      <c r="AS448" s="1">
        <v>2801.92</v>
      </c>
      <c r="AU448" s="1">
        <v>2539.87</v>
      </c>
      <c r="AW448" s="1">
        <v>2969.9</v>
      </c>
      <c r="AX448" s="1">
        <v>120.01</v>
      </c>
      <c r="AZ448" s="1">
        <v>2766.64</v>
      </c>
      <c r="BA448" s="1">
        <v>126.27</v>
      </c>
      <c r="BB448" s="1">
        <v>134.52000000000001</v>
      </c>
      <c r="BC448" s="1">
        <v>130.88999999999999</v>
      </c>
      <c r="BD448" s="1">
        <v>133.71</v>
      </c>
      <c r="BE448" s="1">
        <v>126.78</v>
      </c>
      <c r="BF448" s="1">
        <v>126.29</v>
      </c>
      <c r="BG448" s="1">
        <v>130.94999999999999</v>
      </c>
      <c r="BH448" s="1">
        <v>118.51</v>
      </c>
      <c r="BI448" s="1">
        <v>126.68</v>
      </c>
      <c r="BJ448" s="1">
        <v>133.24</v>
      </c>
      <c r="BL448" s="1">
        <v>117.2</v>
      </c>
      <c r="BN448" s="1">
        <v>116.16</v>
      </c>
    </row>
    <row r="449" spans="1:66" x14ac:dyDescent="0.3">
      <c r="A449" s="2"/>
      <c r="C449" s="14" t="str">
        <f t="shared" si="7"/>
        <v>20246</v>
      </c>
      <c r="D449" s="3">
        <v>45457</v>
      </c>
      <c r="E449" s="21">
        <v>2298.67</v>
      </c>
      <c r="F449" s="21">
        <v>2325.4</v>
      </c>
      <c r="G449" s="21">
        <v>2274.5500000000002</v>
      </c>
      <c r="H449" s="21">
        <v>2373.1</v>
      </c>
      <c r="I449" s="21">
        <v>2252.23</v>
      </c>
      <c r="J449" s="21">
        <v>2204.38</v>
      </c>
      <c r="K449" s="21">
        <v>2264.6999999999998</v>
      </c>
      <c r="L449" s="21">
        <v>2218.2399999999998</v>
      </c>
      <c r="M449" s="21"/>
      <c r="N449" s="21">
        <v>2171.25</v>
      </c>
      <c r="O449" s="21">
        <v>2166.39</v>
      </c>
      <c r="P449" s="21">
        <v>2445.85</v>
      </c>
      <c r="Q449" s="21">
        <v>5725.39</v>
      </c>
      <c r="R449" s="20">
        <v>121.23</v>
      </c>
      <c r="S449" s="20">
        <v>111.14</v>
      </c>
      <c r="T449" s="21">
        <v>124.48</v>
      </c>
      <c r="V449" s="1">
        <v>116.16</v>
      </c>
      <c r="W449" s="1">
        <v>125.38</v>
      </c>
      <c r="X449" s="1">
        <v>123.48</v>
      </c>
      <c r="Y449" s="1">
        <v>121.72</v>
      </c>
      <c r="Z449" s="1">
        <v>122.63</v>
      </c>
      <c r="AA449" s="1">
        <v>123.12</v>
      </c>
      <c r="AB449" s="1">
        <v>124.22</v>
      </c>
      <c r="AC449" s="1">
        <v>117.39</v>
      </c>
      <c r="AE449" s="1">
        <v>132.78</v>
      </c>
      <c r="AF449" s="1">
        <v>130.18</v>
      </c>
      <c r="AG449" s="1">
        <v>119.33</v>
      </c>
      <c r="AM449" s="1">
        <v>30</v>
      </c>
      <c r="AN449" s="1">
        <v>3037.09</v>
      </c>
      <c r="AP449" s="1">
        <v>3000</v>
      </c>
      <c r="AQ449" s="1">
        <v>2881.03</v>
      </c>
      <c r="AS449" s="1">
        <v>2891.04</v>
      </c>
      <c r="AU449" s="1">
        <v>2539.87</v>
      </c>
      <c r="AW449" s="1">
        <v>2969.9</v>
      </c>
      <c r="AX449" s="1">
        <v>121.38</v>
      </c>
      <c r="AY449" s="1">
        <v>2785.69</v>
      </c>
      <c r="AZ449" s="1">
        <v>2766.64</v>
      </c>
      <c r="BA449" s="1">
        <v>125.82</v>
      </c>
      <c r="BB449" s="1">
        <v>136.61000000000001</v>
      </c>
      <c r="BC449" s="1">
        <v>131.63999999999999</v>
      </c>
      <c r="BD449" s="1">
        <v>134.69999999999999</v>
      </c>
      <c r="BE449" s="1">
        <v>129.07</v>
      </c>
      <c r="BF449" s="1">
        <v>128.78</v>
      </c>
      <c r="BG449" s="1">
        <v>133.19</v>
      </c>
      <c r="BH449" s="1">
        <v>118.81</v>
      </c>
      <c r="BI449" s="1">
        <v>127.35</v>
      </c>
      <c r="BJ449" s="1">
        <v>133.34</v>
      </c>
      <c r="BL449" s="1">
        <v>118.02</v>
      </c>
      <c r="BN449" s="1">
        <v>117.48</v>
      </c>
    </row>
    <row r="450" spans="1:66" x14ac:dyDescent="0.3">
      <c r="A450" s="2"/>
      <c r="C450" s="14" t="str">
        <f t="shared" si="7"/>
        <v>20246</v>
      </c>
      <c r="D450" s="3">
        <v>45456</v>
      </c>
      <c r="E450" s="21">
        <v>2308.62</v>
      </c>
      <c r="F450" s="21">
        <v>2325.4</v>
      </c>
      <c r="G450" s="21">
        <v>2286.96</v>
      </c>
      <c r="H450" s="21">
        <v>2375.61</v>
      </c>
      <c r="I450" s="21">
        <v>2252.23</v>
      </c>
      <c r="J450" s="21">
        <v>2204.38</v>
      </c>
      <c r="K450" s="21">
        <v>2300.21</v>
      </c>
      <c r="L450" s="21">
        <v>2233.85</v>
      </c>
      <c r="M450" s="21"/>
      <c r="N450" s="21">
        <v>2171.25</v>
      </c>
      <c r="O450" s="21">
        <v>2222.85</v>
      </c>
      <c r="P450" s="21">
        <v>2036.51</v>
      </c>
      <c r="Q450" s="21">
        <v>5644.04</v>
      </c>
      <c r="R450" s="20">
        <v>121.23</v>
      </c>
      <c r="S450" s="20">
        <v>111.34</v>
      </c>
      <c r="T450" s="21">
        <v>123.85</v>
      </c>
      <c r="V450" s="1">
        <v>115.83</v>
      </c>
      <c r="W450" s="1">
        <v>125.29</v>
      </c>
      <c r="X450" s="1">
        <v>124.08</v>
      </c>
      <c r="Y450" s="1">
        <v>122.54</v>
      </c>
      <c r="Z450" s="1">
        <v>123.06</v>
      </c>
      <c r="AA450" s="1">
        <v>123.8</v>
      </c>
      <c r="AB450" s="1">
        <v>123.97</v>
      </c>
      <c r="AC450" s="1">
        <v>117.64</v>
      </c>
      <c r="AE450" s="1">
        <v>132.4</v>
      </c>
      <c r="AF450" s="1">
        <v>130.18</v>
      </c>
      <c r="AG450" s="1">
        <v>119.3</v>
      </c>
      <c r="AM450" s="1">
        <v>30</v>
      </c>
      <c r="AN450" s="1">
        <v>3037.09</v>
      </c>
      <c r="AP450" s="1">
        <v>3000</v>
      </c>
      <c r="AQ450" s="1">
        <v>2881.03</v>
      </c>
      <c r="AS450" s="1">
        <v>2891.04</v>
      </c>
      <c r="AU450" s="1">
        <v>2539.87</v>
      </c>
      <c r="AW450" s="1">
        <v>2969.9</v>
      </c>
      <c r="AX450" s="1">
        <v>120.46</v>
      </c>
      <c r="AY450" s="1">
        <v>2785.69</v>
      </c>
      <c r="AZ450" s="1">
        <v>2766.64</v>
      </c>
      <c r="BA450" s="1">
        <v>125.82</v>
      </c>
      <c r="BB450" s="1">
        <v>136.96</v>
      </c>
      <c r="BC450" s="1">
        <v>133.22999999999999</v>
      </c>
      <c r="BD450" s="1">
        <v>134.9</v>
      </c>
      <c r="BE450" s="1">
        <v>129.07</v>
      </c>
      <c r="BF450" s="1">
        <v>128.78</v>
      </c>
      <c r="BG450" s="1">
        <v>132.44999999999999</v>
      </c>
      <c r="BH450" s="1">
        <v>119.01</v>
      </c>
      <c r="BI450" s="1">
        <v>127.02</v>
      </c>
      <c r="BJ450" s="1">
        <v>132.81</v>
      </c>
      <c r="BL450" s="1">
        <v>118.27</v>
      </c>
      <c r="BN450" s="1">
        <v>118.14</v>
      </c>
    </row>
    <row r="451" spans="1:66" x14ac:dyDescent="0.3">
      <c r="A451" s="2"/>
      <c r="C451" s="14" t="str">
        <f t="shared" si="7"/>
        <v>20246</v>
      </c>
      <c r="D451" s="3">
        <v>45455</v>
      </c>
      <c r="E451" s="21">
        <v>2308.62</v>
      </c>
      <c r="F451" s="21">
        <v>2306.25</v>
      </c>
      <c r="G451" s="21">
        <v>2286.96</v>
      </c>
      <c r="H451" s="21">
        <v>2375.61</v>
      </c>
      <c r="I451" s="21">
        <v>2244.79</v>
      </c>
      <c r="J451" s="21">
        <v>2230.38</v>
      </c>
      <c r="K451" s="21">
        <v>2296.19</v>
      </c>
      <c r="L451" s="21">
        <v>2235.3200000000002</v>
      </c>
      <c r="M451" s="21"/>
      <c r="N451" s="21">
        <v>2184.64</v>
      </c>
      <c r="O451" s="21">
        <v>2225.29</v>
      </c>
      <c r="P451" s="21">
        <v>2048.9899999999998</v>
      </c>
      <c r="Q451" s="21">
        <v>5644.04</v>
      </c>
      <c r="R451" s="20">
        <v>120.73</v>
      </c>
      <c r="S451" s="20">
        <v>111.34</v>
      </c>
      <c r="T451" s="21">
        <v>123.34</v>
      </c>
      <c r="V451" s="1">
        <v>114.94</v>
      </c>
      <c r="W451" s="1">
        <v>122.78</v>
      </c>
      <c r="X451" s="1">
        <v>123.3</v>
      </c>
      <c r="Y451" s="1">
        <v>121.69</v>
      </c>
      <c r="Z451" s="1">
        <v>121.29</v>
      </c>
      <c r="AA451" s="1">
        <v>122.95</v>
      </c>
      <c r="AB451" s="1">
        <v>123.34</v>
      </c>
      <c r="AC451" s="1">
        <v>118.19</v>
      </c>
      <c r="AE451" s="1">
        <v>132.21</v>
      </c>
      <c r="AF451" s="1">
        <v>130.18</v>
      </c>
      <c r="AG451" s="1">
        <v>118.6</v>
      </c>
      <c r="AM451" s="1">
        <v>30</v>
      </c>
      <c r="AN451" s="1">
        <v>3037.09</v>
      </c>
      <c r="AP451" s="1">
        <v>3000</v>
      </c>
      <c r="AQ451" s="1">
        <v>2881.03</v>
      </c>
      <c r="AS451" s="1">
        <v>2896.87</v>
      </c>
      <c r="AU451" s="1">
        <v>2539.87</v>
      </c>
      <c r="AW451" s="1">
        <v>2969.9</v>
      </c>
      <c r="AX451" s="1">
        <v>120.45</v>
      </c>
      <c r="AY451" s="1">
        <v>2785.69</v>
      </c>
      <c r="AZ451" s="1">
        <v>2766.64</v>
      </c>
      <c r="BA451" s="1">
        <v>124.47</v>
      </c>
      <c r="BB451" s="1">
        <v>136.19</v>
      </c>
      <c r="BC451" s="1">
        <v>133.28</v>
      </c>
      <c r="BD451" s="1">
        <v>135.75</v>
      </c>
      <c r="BE451" s="1">
        <v>129.07</v>
      </c>
      <c r="BF451" s="1">
        <v>127.78</v>
      </c>
      <c r="BG451" s="1">
        <v>132.44999999999999</v>
      </c>
      <c r="BH451" s="1">
        <v>119.01</v>
      </c>
      <c r="BI451" s="1">
        <v>125.69</v>
      </c>
      <c r="BJ451" s="1">
        <v>130.57</v>
      </c>
      <c r="BL451" s="1">
        <v>118.02</v>
      </c>
      <c r="BN451" s="1">
        <v>118.14</v>
      </c>
    </row>
    <row r="452" spans="1:66" x14ac:dyDescent="0.3">
      <c r="A452" s="2"/>
      <c r="C452" s="14" t="str">
        <f t="shared" si="7"/>
        <v>20246</v>
      </c>
      <c r="D452" s="3">
        <v>45454</v>
      </c>
      <c r="E452" s="21">
        <v>2308.62</v>
      </c>
      <c r="F452" s="21">
        <v>2306.25</v>
      </c>
      <c r="G452" s="21">
        <v>2274.5500000000002</v>
      </c>
      <c r="H452" s="21">
        <v>2367.38</v>
      </c>
      <c r="I452" s="21">
        <v>2236.36</v>
      </c>
      <c r="J452" s="21">
        <v>2210.38</v>
      </c>
      <c r="K452" s="21">
        <v>2284.11</v>
      </c>
      <c r="L452" s="21">
        <v>2238.2600000000002</v>
      </c>
      <c r="M452" s="21"/>
      <c r="N452" s="21">
        <v>2171.39</v>
      </c>
      <c r="O452" s="21">
        <v>2239.6</v>
      </c>
      <c r="P452" s="21">
        <v>2074.2600000000002</v>
      </c>
      <c r="Q452" s="21">
        <v>5544.04</v>
      </c>
      <c r="R452" s="20">
        <v>119.73</v>
      </c>
      <c r="S452" s="20">
        <v>111.74</v>
      </c>
      <c r="T452" s="21">
        <v>122.95</v>
      </c>
      <c r="V452" s="1">
        <v>114.17</v>
      </c>
      <c r="W452" s="1">
        <v>122.38</v>
      </c>
      <c r="X452" s="1">
        <v>122.53</v>
      </c>
      <c r="Y452" s="1">
        <v>120.29</v>
      </c>
      <c r="Z452" s="1">
        <v>120.04</v>
      </c>
      <c r="AA452" s="1">
        <v>122.14</v>
      </c>
      <c r="AB452" s="1">
        <v>122.86</v>
      </c>
      <c r="AC452" s="1">
        <v>116.35</v>
      </c>
      <c r="AE452" s="1">
        <v>131.66</v>
      </c>
      <c r="AF452" s="1">
        <v>129.18</v>
      </c>
      <c r="AG452" s="1">
        <v>118.86</v>
      </c>
      <c r="AM452" s="1">
        <v>30</v>
      </c>
      <c r="AN452" s="1">
        <v>3037.09</v>
      </c>
      <c r="AP452" s="1">
        <v>3000</v>
      </c>
      <c r="AQ452" s="1">
        <v>2881.03</v>
      </c>
      <c r="AS452" s="1">
        <v>2928.53</v>
      </c>
      <c r="AX452" s="1">
        <v>120.68</v>
      </c>
      <c r="AY452" s="1">
        <v>2785.69</v>
      </c>
      <c r="AZ452" s="1">
        <v>2739.43</v>
      </c>
      <c r="BA452" s="1">
        <v>123.49</v>
      </c>
      <c r="BB452" s="1">
        <v>134.61000000000001</v>
      </c>
      <c r="BC452" s="1">
        <v>131.28</v>
      </c>
      <c r="BD452" s="1">
        <v>134.34</v>
      </c>
      <c r="BE452" s="1">
        <v>128.07</v>
      </c>
      <c r="BF452" s="1">
        <v>126.78</v>
      </c>
      <c r="BG452" s="1">
        <v>131.75</v>
      </c>
      <c r="BH452" s="1">
        <v>119.53</v>
      </c>
      <c r="BI452" s="1">
        <v>125.69</v>
      </c>
      <c r="BJ452" s="1">
        <v>130.56</v>
      </c>
      <c r="BL452" s="1">
        <v>117.02</v>
      </c>
      <c r="BN452" s="1">
        <v>116.82</v>
      </c>
    </row>
    <row r="453" spans="1:66" x14ac:dyDescent="0.3">
      <c r="A453" s="2"/>
      <c r="C453" s="14" t="str">
        <f t="shared" si="7"/>
        <v>20246</v>
      </c>
      <c r="D453" s="3">
        <v>45453</v>
      </c>
      <c r="E453" s="21">
        <v>2312.6</v>
      </c>
      <c r="F453" s="21">
        <v>2300.1799999999998</v>
      </c>
      <c r="G453" s="21">
        <v>2274.5500000000002</v>
      </c>
      <c r="H453" s="21">
        <v>2355.9299999999998</v>
      </c>
      <c r="I453" s="21">
        <v>2234.37</v>
      </c>
      <c r="J453" s="21">
        <v>2158.29</v>
      </c>
      <c r="K453" s="21">
        <v>2271.63</v>
      </c>
      <c r="L453" s="21">
        <v>2236.6</v>
      </c>
      <c r="M453" s="21"/>
      <c r="N453" s="21">
        <v>2192.12</v>
      </c>
      <c r="O453" s="21">
        <v>2206.0700000000002</v>
      </c>
      <c r="P453" s="21">
        <v>2069.23</v>
      </c>
      <c r="Q453" s="21">
        <v>5399.69</v>
      </c>
      <c r="R453" s="20">
        <v>119.25</v>
      </c>
      <c r="S453" s="20">
        <v>111.54</v>
      </c>
      <c r="T453" s="21">
        <v>123.32</v>
      </c>
      <c r="V453" s="1">
        <v>115.03</v>
      </c>
      <c r="W453" s="1">
        <v>121.78</v>
      </c>
      <c r="X453" s="1">
        <v>121.19</v>
      </c>
      <c r="Y453" s="1">
        <v>118.48</v>
      </c>
      <c r="Z453" s="1">
        <v>119.04</v>
      </c>
      <c r="AA453" s="1">
        <v>120.96</v>
      </c>
      <c r="AB453" s="1">
        <v>121.76</v>
      </c>
      <c r="AC453" s="1">
        <v>116.05</v>
      </c>
      <c r="AE453" s="1">
        <v>130.91</v>
      </c>
      <c r="AF453" s="1">
        <v>127.86</v>
      </c>
      <c r="AG453" s="1">
        <v>118.81</v>
      </c>
      <c r="AM453" s="1">
        <v>30</v>
      </c>
      <c r="AP453" s="1">
        <v>3000</v>
      </c>
      <c r="AQ453" s="1">
        <v>2822.07</v>
      </c>
      <c r="AS453" s="1">
        <v>2928.53</v>
      </c>
      <c r="AT453" s="1">
        <v>3002.5</v>
      </c>
      <c r="AW453" s="1">
        <v>2834.67</v>
      </c>
      <c r="AX453" s="1">
        <v>121.89</v>
      </c>
      <c r="AY453" s="1">
        <v>2803.6</v>
      </c>
      <c r="BA453" s="1">
        <v>122.52</v>
      </c>
      <c r="BB453" s="1">
        <v>134.47999999999999</v>
      </c>
      <c r="BC453" s="1">
        <v>130.32</v>
      </c>
      <c r="BD453" s="1">
        <v>133.80000000000001</v>
      </c>
      <c r="BE453" s="1">
        <v>127.06</v>
      </c>
      <c r="BF453" s="1">
        <v>126.78</v>
      </c>
      <c r="BG453" s="1">
        <v>131.75</v>
      </c>
      <c r="BH453" s="1">
        <v>119.53</v>
      </c>
      <c r="BI453" s="1">
        <v>125.27</v>
      </c>
      <c r="BJ453" s="1">
        <v>129.80000000000001</v>
      </c>
      <c r="BL453" s="1">
        <v>114.03</v>
      </c>
      <c r="BN453" s="1">
        <v>112.84</v>
      </c>
    </row>
    <row r="454" spans="1:66" x14ac:dyDescent="0.3">
      <c r="A454" s="2"/>
      <c r="C454" s="14" t="str">
        <f t="shared" ref="C454:C517" si="8">YEAR(D454)&amp;MONTH(D454)</f>
        <v>20246</v>
      </c>
      <c r="D454" s="3">
        <v>45450</v>
      </c>
      <c r="E454" s="21">
        <v>2296.65</v>
      </c>
      <c r="F454" s="21">
        <v>2320.86</v>
      </c>
      <c r="G454" s="21">
        <v>2305.15</v>
      </c>
      <c r="H454" s="21">
        <v>2374.3000000000002</v>
      </c>
      <c r="I454" s="21">
        <v>2234.37</v>
      </c>
      <c r="J454" s="21">
        <v>2146.9</v>
      </c>
      <c r="K454" s="21">
        <v>2271.63</v>
      </c>
      <c r="L454" s="21">
        <v>2236.6</v>
      </c>
      <c r="M454" s="21"/>
      <c r="N454" s="21">
        <v>2125.02</v>
      </c>
      <c r="O454" s="21">
        <v>2181.9699999999998</v>
      </c>
      <c r="P454" s="21">
        <v>2069.23</v>
      </c>
      <c r="Q454" s="21">
        <v>5416.85</v>
      </c>
      <c r="R454" s="20">
        <v>119.53</v>
      </c>
      <c r="S454" s="20">
        <v>111.54</v>
      </c>
      <c r="T454" s="21">
        <v>121.7</v>
      </c>
      <c r="V454" s="1">
        <v>115.98</v>
      </c>
      <c r="W454" s="1">
        <v>121.98</v>
      </c>
      <c r="X454" s="1">
        <v>121.19</v>
      </c>
      <c r="Y454" s="1">
        <v>118.25</v>
      </c>
      <c r="Z454" s="1">
        <v>119.33</v>
      </c>
      <c r="AA454" s="1">
        <v>121.55</v>
      </c>
      <c r="AB454" s="1">
        <v>121.58</v>
      </c>
      <c r="AC454" s="1">
        <v>115.15</v>
      </c>
      <c r="AE454" s="1">
        <v>130.16</v>
      </c>
      <c r="AF454" s="1">
        <v>127.86</v>
      </c>
      <c r="AG454" s="1">
        <v>118.25</v>
      </c>
      <c r="AS454" s="1">
        <v>2902.7</v>
      </c>
      <c r="AT454" s="1">
        <v>3002.5</v>
      </c>
      <c r="AW454" s="1">
        <v>2834.67</v>
      </c>
      <c r="AX454" s="1">
        <v>122.09</v>
      </c>
      <c r="AY454" s="1">
        <v>2813</v>
      </c>
      <c r="BA454" s="1">
        <v>122.52</v>
      </c>
      <c r="BB454" s="1">
        <v>134.22</v>
      </c>
      <c r="BC454" s="1">
        <v>128.52000000000001</v>
      </c>
      <c r="BD454" s="1">
        <v>133.21</v>
      </c>
      <c r="BE454" s="1">
        <v>126.64</v>
      </c>
      <c r="BF454" s="1">
        <v>124.85</v>
      </c>
      <c r="BG454" s="1">
        <v>130.36000000000001</v>
      </c>
      <c r="BH454" s="1">
        <v>117.23</v>
      </c>
      <c r="BI454" s="1">
        <v>125.27</v>
      </c>
      <c r="BJ454" s="1">
        <v>129.78</v>
      </c>
      <c r="BL454" s="1">
        <v>114.03</v>
      </c>
      <c r="BN454" s="1">
        <v>112.84</v>
      </c>
    </row>
    <row r="455" spans="1:66" x14ac:dyDescent="0.3">
      <c r="A455" s="2"/>
      <c r="C455" s="14" t="str">
        <f t="shared" si="8"/>
        <v>20246</v>
      </c>
      <c r="D455" s="3">
        <v>45449</v>
      </c>
      <c r="E455" s="21">
        <v>2304.61</v>
      </c>
      <c r="F455" s="21">
        <v>2320.86</v>
      </c>
      <c r="G455" s="21">
        <v>2305.15</v>
      </c>
      <c r="H455" s="21">
        <v>2377.37</v>
      </c>
      <c r="I455" s="21">
        <v>2234.37</v>
      </c>
      <c r="J455" s="21">
        <v>2146.9</v>
      </c>
      <c r="K455" s="21">
        <v>2276.63</v>
      </c>
      <c r="L455" s="21">
        <v>2265.09</v>
      </c>
      <c r="M455" s="21">
        <v>1906.86</v>
      </c>
      <c r="N455" s="21">
        <v>2110.4</v>
      </c>
      <c r="O455" s="21">
        <v>2099.6</v>
      </c>
      <c r="P455" s="21">
        <v>2024.04</v>
      </c>
      <c r="Q455" s="21">
        <v>5332.13</v>
      </c>
      <c r="R455" s="20">
        <v>119.23</v>
      </c>
      <c r="S455" s="20">
        <v>111.27</v>
      </c>
      <c r="T455" s="21">
        <v>121.22</v>
      </c>
      <c r="V455" s="1">
        <v>115.96</v>
      </c>
      <c r="W455" s="1">
        <v>120.98</v>
      </c>
      <c r="X455" s="1">
        <v>119.53</v>
      </c>
      <c r="Y455" s="1">
        <v>118.25</v>
      </c>
      <c r="Z455" s="1">
        <v>118.93</v>
      </c>
      <c r="AA455" s="1">
        <v>120.95</v>
      </c>
      <c r="AB455" s="1">
        <v>120.91</v>
      </c>
      <c r="AC455" s="1">
        <v>115.26</v>
      </c>
      <c r="AE455" s="1">
        <v>129.16</v>
      </c>
      <c r="AF455" s="1">
        <v>126.53</v>
      </c>
      <c r="AG455" s="1">
        <v>116.33</v>
      </c>
      <c r="AS455" s="1">
        <v>2902.7</v>
      </c>
      <c r="AT455" s="1">
        <v>3035.51</v>
      </c>
      <c r="AW455" s="1">
        <v>2834.67</v>
      </c>
      <c r="AX455" s="1">
        <v>121.44</v>
      </c>
      <c r="AY455" s="1">
        <v>2813</v>
      </c>
      <c r="BA455" s="1">
        <v>123.77</v>
      </c>
      <c r="BB455" s="1">
        <v>133.53</v>
      </c>
      <c r="BC455" s="1">
        <v>129.57</v>
      </c>
      <c r="BD455" s="1">
        <v>132.88</v>
      </c>
      <c r="BE455" s="1">
        <v>126.24</v>
      </c>
      <c r="BF455" s="1">
        <v>125.21</v>
      </c>
      <c r="BG455" s="1">
        <v>130.19999999999999</v>
      </c>
      <c r="BH455" s="1">
        <v>117.7</v>
      </c>
      <c r="BI455" s="1">
        <v>125.27</v>
      </c>
      <c r="BJ455" s="1">
        <v>130.02000000000001</v>
      </c>
      <c r="BL455" s="1">
        <v>115</v>
      </c>
      <c r="BN455" s="1">
        <v>112.84</v>
      </c>
    </row>
    <row r="456" spans="1:66" x14ac:dyDescent="0.3">
      <c r="A456" s="2"/>
      <c r="C456" s="14" t="str">
        <f t="shared" si="8"/>
        <v>20246</v>
      </c>
      <c r="D456" s="3">
        <v>45448</v>
      </c>
      <c r="E456" s="21">
        <v>2324.4499999999998</v>
      </c>
      <c r="F456" s="21">
        <v>2362.1999999999998</v>
      </c>
      <c r="G456" s="21">
        <v>2338.2199999999998</v>
      </c>
      <c r="H456" s="21">
        <v>2329.7800000000002</v>
      </c>
      <c r="I456" s="21">
        <v>2218.5</v>
      </c>
      <c r="J456" s="21">
        <v>2116.27</v>
      </c>
      <c r="K456" s="21">
        <v>2275.38</v>
      </c>
      <c r="L456" s="21">
        <v>2253.14</v>
      </c>
      <c r="M456" s="21">
        <v>1922.36</v>
      </c>
      <c r="N456" s="21">
        <v>2110.4</v>
      </c>
      <c r="O456" s="21">
        <v>2099.6</v>
      </c>
      <c r="P456" s="21">
        <v>2029.03</v>
      </c>
      <c r="Q456" s="21">
        <v>5332.13</v>
      </c>
      <c r="R456" s="20">
        <v>118.74</v>
      </c>
      <c r="S456" s="20">
        <v>109.74</v>
      </c>
      <c r="T456" s="21">
        <v>121.2</v>
      </c>
      <c r="V456" s="1">
        <v>115.7</v>
      </c>
      <c r="W456" s="1">
        <v>120.58</v>
      </c>
      <c r="X456" s="1">
        <v>118.75</v>
      </c>
      <c r="Y456" s="1">
        <v>117.89</v>
      </c>
      <c r="Z456" s="1">
        <v>118.94</v>
      </c>
      <c r="AA456" s="1">
        <v>120.82</v>
      </c>
      <c r="AB456" s="1">
        <v>120.22</v>
      </c>
      <c r="AC456" s="1">
        <v>114.93</v>
      </c>
      <c r="AE456" s="1">
        <v>129.16</v>
      </c>
      <c r="AF456" s="1">
        <v>126.53</v>
      </c>
      <c r="AG456" s="1">
        <v>117.91</v>
      </c>
      <c r="AT456" s="1">
        <v>3087.39</v>
      </c>
      <c r="AW456" s="1">
        <v>2834.67</v>
      </c>
      <c r="AX456" s="1">
        <v>119.83</v>
      </c>
      <c r="AY456" s="1">
        <v>2813</v>
      </c>
      <c r="BA456" s="1">
        <v>123.76</v>
      </c>
      <c r="BB456" s="1">
        <v>132.74</v>
      </c>
      <c r="BC456" s="1">
        <v>128.19</v>
      </c>
      <c r="BD456" s="1">
        <v>130.35</v>
      </c>
      <c r="BE456" s="1">
        <v>125.64</v>
      </c>
      <c r="BF456" s="1">
        <v>126.29</v>
      </c>
      <c r="BG456" s="1">
        <v>130.19999999999999</v>
      </c>
      <c r="BH456" s="1">
        <v>117.7</v>
      </c>
      <c r="BI456" s="1">
        <v>125.02</v>
      </c>
      <c r="BJ456" s="1">
        <v>130.01</v>
      </c>
      <c r="BL456" s="1">
        <v>113.53</v>
      </c>
      <c r="BN456" s="1">
        <v>112.84</v>
      </c>
    </row>
    <row r="457" spans="1:66" x14ac:dyDescent="0.3">
      <c r="A457" s="2"/>
      <c r="C457" s="14" t="str">
        <f t="shared" si="8"/>
        <v>20246</v>
      </c>
      <c r="D457" s="3">
        <v>45447</v>
      </c>
      <c r="E457" s="21">
        <v>2296.67</v>
      </c>
      <c r="F457" s="21">
        <v>2350.62</v>
      </c>
      <c r="G457" s="21">
        <v>2291.92</v>
      </c>
      <c r="H457" s="21">
        <v>2321.06</v>
      </c>
      <c r="I457" s="21">
        <v>2218.5</v>
      </c>
      <c r="J457" s="21">
        <v>2135.88</v>
      </c>
      <c r="K457" s="21">
        <v>2271.63</v>
      </c>
      <c r="L457" s="21">
        <v>2248.1799999999998</v>
      </c>
      <c r="M457" s="21">
        <v>1953.37</v>
      </c>
      <c r="N457" s="21">
        <v>2122.66</v>
      </c>
      <c r="O457" s="21">
        <v>2162.9899999999998</v>
      </c>
      <c r="P457" s="21">
        <v>2022.32</v>
      </c>
      <c r="Q457" s="21">
        <v>5332.13</v>
      </c>
      <c r="R457" s="20">
        <v>118.74</v>
      </c>
      <c r="S457" s="20">
        <v>111.27</v>
      </c>
      <c r="T457" s="21">
        <v>121.44</v>
      </c>
      <c r="V457" s="1">
        <v>114.85</v>
      </c>
      <c r="W457" s="1">
        <v>121.78</v>
      </c>
      <c r="X457" s="1">
        <v>118.97</v>
      </c>
      <c r="Y457" s="1">
        <v>118.26</v>
      </c>
      <c r="Z457" s="1">
        <v>119.54</v>
      </c>
      <c r="AA457" s="1">
        <v>120.66</v>
      </c>
      <c r="AB457" s="1">
        <v>119.97</v>
      </c>
      <c r="AC457" s="1">
        <v>114.93</v>
      </c>
      <c r="AE457" s="1">
        <v>128.41</v>
      </c>
      <c r="AF457" s="1">
        <v>128.85</v>
      </c>
      <c r="AG457" s="1">
        <v>118.05</v>
      </c>
      <c r="AN457" s="1">
        <v>2358.4499999999998</v>
      </c>
      <c r="AR457" s="1">
        <v>2991.4</v>
      </c>
      <c r="AS457" s="1">
        <v>2929.16</v>
      </c>
      <c r="AT457" s="1">
        <v>3002.28</v>
      </c>
      <c r="AW457" s="1">
        <v>2834.67</v>
      </c>
      <c r="AX457" s="1">
        <v>119.8</v>
      </c>
      <c r="AY457" s="1">
        <v>2813</v>
      </c>
      <c r="BA457" s="1">
        <v>123.75</v>
      </c>
      <c r="BB457" s="1">
        <v>132.54</v>
      </c>
      <c r="BC457" s="1">
        <v>127.17</v>
      </c>
      <c r="BD457" s="1">
        <v>130.63999999999999</v>
      </c>
      <c r="BE457" s="1">
        <v>126.63</v>
      </c>
      <c r="BF457" s="1">
        <v>126.29</v>
      </c>
      <c r="BG457" s="1">
        <v>129.56</v>
      </c>
      <c r="BH457" s="1">
        <v>117.7</v>
      </c>
      <c r="BI457" s="1">
        <v>125.02</v>
      </c>
      <c r="BJ457" s="1">
        <v>129.5</v>
      </c>
      <c r="BL457" s="1">
        <v>114.5</v>
      </c>
      <c r="BN457" s="1">
        <v>114.16</v>
      </c>
    </row>
    <row r="458" spans="1:66" x14ac:dyDescent="0.3">
      <c r="A458" s="2"/>
      <c r="C458" s="14" t="str">
        <f t="shared" si="8"/>
        <v>20246</v>
      </c>
      <c r="D458" s="3">
        <v>45446</v>
      </c>
      <c r="E458" s="21">
        <v>2250.73</v>
      </c>
      <c r="F458" s="21">
        <v>2257.9</v>
      </c>
      <c r="G458" s="21">
        <v>2228.19</v>
      </c>
      <c r="H458" s="21">
        <v>2340.96</v>
      </c>
      <c r="I458" s="21">
        <v>2226.4299999999998</v>
      </c>
      <c r="J458" s="21">
        <v>2157.2600000000002</v>
      </c>
      <c r="K458" s="21">
        <v>2271.63</v>
      </c>
      <c r="L458" s="21">
        <v>2248.1799999999998</v>
      </c>
      <c r="M458" s="21">
        <v>2015.38</v>
      </c>
      <c r="N458" s="21">
        <v>2117.3200000000002</v>
      </c>
      <c r="O458" s="21">
        <v>2196.65</v>
      </c>
      <c r="P458" s="21">
        <v>2196.3000000000002</v>
      </c>
      <c r="Q458" s="21">
        <v>5332.13</v>
      </c>
      <c r="R458" s="20">
        <v>118.74</v>
      </c>
      <c r="S458" s="20">
        <v>110.14</v>
      </c>
      <c r="T458" s="21">
        <v>121.18</v>
      </c>
      <c r="V458" s="1">
        <v>116.05</v>
      </c>
      <c r="W458" s="1">
        <v>121.98</v>
      </c>
      <c r="X458" s="1">
        <v>119.81</v>
      </c>
      <c r="Y458" s="1">
        <v>118.34</v>
      </c>
      <c r="Z458" s="1">
        <v>119.54</v>
      </c>
      <c r="AA458" s="1">
        <v>120.87</v>
      </c>
      <c r="AB458" s="1">
        <v>120.76</v>
      </c>
      <c r="AC458" s="1">
        <v>114.93</v>
      </c>
      <c r="AE458" s="1">
        <v>129.29</v>
      </c>
      <c r="AF458" s="1">
        <v>129.18</v>
      </c>
      <c r="AG458" s="1">
        <v>118.15</v>
      </c>
      <c r="AN458" s="1">
        <v>2358.4499999999998</v>
      </c>
      <c r="AR458" s="1">
        <v>2991.4</v>
      </c>
      <c r="AS458" s="1">
        <v>2929.16</v>
      </c>
      <c r="AT458" s="1">
        <v>3002.28</v>
      </c>
      <c r="AX458" s="1">
        <v>120.45</v>
      </c>
      <c r="AY458" s="1">
        <v>2708.69</v>
      </c>
      <c r="BA458" s="1">
        <v>126.31</v>
      </c>
      <c r="BB458" s="1">
        <v>132.84</v>
      </c>
      <c r="BC458" s="1">
        <v>128.80000000000001</v>
      </c>
      <c r="BD458" s="1">
        <v>132.13</v>
      </c>
      <c r="BE458" s="1">
        <v>125.53</v>
      </c>
      <c r="BF458" s="1">
        <v>126.29</v>
      </c>
      <c r="BG458" s="1">
        <v>129.66</v>
      </c>
      <c r="BH458" s="1">
        <v>118.57</v>
      </c>
      <c r="BI458" s="1">
        <v>125.02</v>
      </c>
      <c r="BJ458" s="1">
        <v>129.5</v>
      </c>
      <c r="BK458" s="1">
        <v>113.22</v>
      </c>
      <c r="BL458" s="1">
        <v>115.1</v>
      </c>
      <c r="BN458" s="1">
        <v>114.16</v>
      </c>
    </row>
    <row r="459" spans="1:66" x14ac:dyDescent="0.3">
      <c r="A459" s="2"/>
      <c r="C459" s="14" t="str">
        <f t="shared" si="8"/>
        <v>20245</v>
      </c>
      <c r="D459" s="3">
        <v>45443</v>
      </c>
      <c r="E459" s="21">
        <v>2314.29</v>
      </c>
      <c r="F459" s="21">
        <v>2361.58</v>
      </c>
      <c r="G459" s="21">
        <v>2289.2399999999998</v>
      </c>
      <c r="H459" s="21">
        <v>2407.4499999999998</v>
      </c>
      <c r="I459" s="21">
        <v>2192.12</v>
      </c>
      <c r="J459" s="21">
        <v>2156.94</v>
      </c>
      <c r="K459" s="21">
        <v>2270.17</v>
      </c>
      <c r="L459" s="21">
        <v>2236.81</v>
      </c>
      <c r="M459" s="21">
        <v>2014.68</v>
      </c>
      <c r="N459" s="21">
        <v>2120.8000000000002</v>
      </c>
      <c r="O459" s="21">
        <v>2146.0500000000002</v>
      </c>
      <c r="P459" s="21">
        <v>2195.34</v>
      </c>
      <c r="Q459" s="21">
        <v>5330.59</v>
      </c>
      <c r="R459" s="20">
        <v>118.7</v>
      </c>
      <c r="S459" s="20">
        <v>110.93</v>
      </c>
      <c r="T459" s="21">
        <v>122.56</v>
      </c>
      <c r="V459" s="1">
        <v>116.69</v>
      </c>
      <c r="W459" s="1">
        <v>122.18</v>
      </c>
      <c r="X459" s="1">
        <v>119.67</v>
      </c>
      <c r="Y459" s="1">
        <v>119.61</v>
      </c>
      <c r="Z459" s="1">
        <v>120.52</v>
      </c>
      <c r="AA459" s="1">
        <v>121.9</v>
      </c>
      <c r="AB459" s="1">
        <v>120.96</v>
      </c>
      <c r="AC459" s="1">
        <v>115.92</v>
      </c>
      <c r="AE459" s="1">
        <v>129.97999999999999</v>
      </c>
      <c r="AF459" s="1">
        <v>128.72999999999999</v>
      </c>
      <c r="AG459" s="1">
        <v>118.57</v>
      </c>
      <c r="AP459" s="1">
        <v>3018.75</v>
      </c>
      <c r="AR459" s="1">
        <v>2994.92</v>
      </c>
      <c r="AS459" s="1">
        <v>2932.61</v>
      </c>
      <c r="AT459" s="1">
        <v>2971.59</v>
      </c>
      <c r="AW459" s="1">
        <v>2979.91</v>
      </c>
      <c r="AX459" s="1">
        <v>124.51</v>
      </c>
      <c r="AY459" s="1">
        <v>2747.2</v>
      </c>
      <c r="BA459" s="1">
        <v>126.28</v>
      </c>
      <c r="BB459" s="1">
        <v>134.27000000000001</v>
      </c>
      <c r="BC459" s="1">
        <v>129.56</v>
      </c>
      <c r="BD459" s="1">
        <v>132.04</v>
      </c>
      <c r="BE459" s="1">
        <v>126.29</v>
      </c>
      <c r="BF459" s="1">
        <v>126.75</v>
      </c>
      <c r="BG459" s="1">
        <v>129.99</v>
      </c>
      <c r="BH459" s="1">
        <v>119.4</v>
      </c>
      <c r="BI459" s="1">
        <v>126.08</v>
      </c>
      <c r="BJ459" s="1">
        <v>131</v>
      </c>
      <c r="BK459" s="1">
        <v>113.27</v>
      </c>
      <c r="BL459" s="1">
        <v>115.27</v>
      </c>
      <c r="BN459" s="1">
        <v>114.07</v>
      </c>
    </row>
    <row r="460" spans="1:66" x14ac:dyDescent="0.3">
      <c r="A460" s="2"/>
      <c r="C460" s="14" t="str">
        <f t="shared" si="8"/>
        <v>20245</v>
      </c>
      <c r="D460" s="3">
        <v>45441</v>
      </c>
      <c r="E460" s="21">
        <v>2314.29</v>
      </c>
      <c r="F460" s="21">
        <v>2347.87</v>
      </c>
      <c r="G460" s="21">
        <v>2289.2399999999998</v>
      </c>
      <c r="H460" s="21">
        <v>2396.2199999999998</v>
      </c>
      <c r="I460" s="21">
        <v>2192.12</v>
      </c>
      <c r="J460" s="21">
        <v>2156.94</v>
      </c>
      <c r="K460" s="21">
        <v>2215.66</v>
      </c>
      <c r="L460" s="21">
        <v>2224.0300000000002</v>
      </c>
      <c r="M460" s="21">
        <v>2014.68</v>
      </c>
      <c r="N460" s="21">
        <v>2047.34</v>
      </c>
      <c r="O460" s="21">
        <v>2160.38</v>
      </c>
      <c r="P460" s="21">
        <v>2278.4899999999998</v>
      </c>
      <c r="Q460" s="21">
        <v>5330.59</v>
      </c>
      <c r="R460" s="20">
        <v>118.7</v>
      </c>
      <c r="S460" s="20">
        <v>111.76</v>
      </c>
      <c r="T460" s="21">
        <v>122.04</v>
      </c>
      <c r="V460" s="1">
        <v>116.58</v>
      </c>
      <c r="W460" s="1">
        <v>122.38</v>
      </c>
      <c r="X460" s="1">
        <v>119.36</v>
      </c>
      <c r="Y460" s="1">
        <v>119.86</v>
      </c>
      <c r="Z460" s="1">
        <v>120.52</v>
      </c>
      <c r="AA460" s="1">
        <v>121.38</v>
      </c>
      <c r="AB460" s="1">
        <v>118.69</v>
      </c>
      <c r="AC460" s="1">
        <v>115.92</v>
      </c>
      <c r="AE460" s="1">
        <v>129.61000000000001</v>
      </c>
      <c r="AF460" s="1">
        <v>129</v>
      </c>
      <c r="AG460" s="1">
        <v>117.06</v>
      </c>
      <c r="AP460" s="1">
        <v>3018.75</v>
      </c>
      <c r="AR460" s="1">
        <v>2990.21</v>
      </c>
      <c r="AS460" s="1">
        <v>2932.61</v>
      </c>
      <c r="AT460" s="1">
        <v>2916.05</v>
      </c>
      <c r="AW460" s="1">
        <v>2979.91</v>
      </c>
      <c r="AX460" s="1">
        <v>124.51</v>
      </c>
      <c r="AY460" s="1">
        <v>2747.2</v>
      </c>
      <c r="AZ460" s="1">
        <v>2838.01</v>
      </c>
      <c r="BA460" s="1">
        <v>126.17</v>
      </c>
      <c r="BB460" s="1">
        <v>134.16</v>
      </c>
      <c r="BC460" s="1">
        <v>129.35</v>
      </c>
      <c r="BD460" s="1">
        <v>132.38</v>
      </c>
      <c r="BE460" s="1">
        <v>126.15</v>
      </c>
      <c r="BF460" s="1">
        <v>126.25</v>
      </c>
      <c r="BG460" s="1">
        <v>130.76</v>
      </c>
      <c r="BH460" s="1">
        <v>119.4</v>
      </c>
      <c r="BI460" s="1">
        <v>125.75</v>
      </c>
      <c r="BJ460" s="1">
        <v>130.96</v>
      </c>
      <c r="BK460" s="1">
        <v>113.56</v>
      </c>
      <c r="BL460" s="1">
        <v>115.27</v>
      </c>
      <c r="BN460" s="1">
        <v>114.07</v>
      </c>
    </row>
    <row r="461" spans="1:66" x14ac:dyDescent="0.3">
      <c r="A461" s="2"/>
      <c r="C461" s="14" t="str">
        <f t="shared" si="8"/>
        <v>20245</v>
      </c>
      <c r="D461" s="3">
        <v>45440</v>
      </c>
      <c r="E461" s="21">
        <v>2314.29</v>
      </c>
      <c r="F461" s="21">
        <v>2347.87</v>
      </c>
      <c r="G461" s="21">
        <v>2289.2399999999998</v>
      </c>
      <c r="H461" s="21">
        <v>2411.9699999999998</v>
      </c>
      <c r="I461" s="21">
        <v>2172.3000000000002</v>
      </c>
      <c r="J461" s="21">
        <v>2171.23</v>
      </c>
      <c r="K461" s="21">
        <v>2215.66</v>
      </c>
      <c r="L461" s="21">
        <v>2218.29</v>
      </c>
      <c r="M461" s="21">
        <v>2014.68</v>
      </c>
      <c r="N461" s="21">
        <v>2132.2600000000002</v>
      </c>
      <c r="O461" s="21">
        <v>2146.56</v>
      </c>
      <c r="P461" s="21">
        <v>2112.19</v>
      </c>
      <c r="Q461" s="21">
        <v>5290.59</v>
      </c>
      <c r="R461" s="20">
        <v>118.7</v>
      </c>
      <c r="S461" s="20">
        <v>112.09</v>
      </c>
      <c r="T461" s="21">
        <v>122.31</v>
      </c>
      <c r="V461" s="1">
        <v>116.58</v>
      </c>
      <c r="W461" s="1">
        <v>123.38</v>
      </c>
      <c r="X461" s="1">
        <v>121.51</v>
      </c>
      <c r="Y461" s="1">
        <v>120.51</v>
      </c>
      <c r="Z461" s="1">
        <v>121.13</v>
      </c>
      <c r="AA461" s="1">
        <v>121.71</v>
      </c>
      <c r="AB461" s="1">
        <v>119.93</v>
      </c>
      <c r="AC461" s="1">
        <v>116.25</v>
      </c>
      <c r="AE461" s="1">
        <v>130.72999999999999</v>
      </c>
      <c r="AF461" s="1">
        <v>129.75</v>
      </c>
      <c r="AG461" s="1">
        <v>116.98</v>
      </c>
      <c r="AP461" s="1">
        <v>3018.75</v>
      </c>
      <c r="AT461" s="1">
        <v>2937.36</v>
      </c>
      <c r="AU461" s="1">
        <v>2684.13</v>
      </c>
      <c r="AW461" s="1">
        <v>2978.37</v>
      </c>
      <c r="AX461" s="1">
        <v>124.65</v>
      </c>
      <c r="AY461" s="1">
        <v>2747.2</v>
      </c>
      <c r="AZ461" s="1">
        <v>2838.01</v>
      </c>
      <c r="BA461" s="1">
        <v>126.16</v>
      </c>
      <c r="BB461" s="1">
        <v>134.47999999999999</v>
      </c>
      <c r="BC461" s="1">
        <v>130.06</v>
      </c>
      <c r="BD461" s="1">
        <v>132.94999999999999</v>
      </c>
      <c r="BE461" s="1">
        <v>124.76</v>
      </c>
      <c r="BF461" s="1">
        <v>126.25</v>
      </c>
      <c r="BG461" s="1">
        <v>131.15</v>
      </c>
      <c r="BH461" s="1">
        <v>119.65</v>
      </c>
      <c r="BI461" s="1">
        <v>125.65</v>
      </c>
      <c r="BJ461" s="1">
        <v>128.37</v>
      </c>
      <c r="BK461" s="1">
        <v>114.42</v>
      </c>
      <c r="BL461" s="1">
        <v>115.47</v>
      </c>
      <c r="BN461" s="1">
        <v>114.07</v>
      </c>
    </row>
    <row r="462" spans="1:66" x14ac:dyDescent="0.3">
      <c r="A462" s="2"/>
      <c r="C462" s="14" t="str">
        <f t="shared" si="8"/>
        <v>20245</v>
      </c>
      <c r="D462" s="3">
        <v>45439</v>
      </c>
      <c r="E462" s="21">
        <v>2314.29</v>
      </c>
      <c r="F462" s="21">
        <v>2347.87</v>
      </c>
      <c r="G462" s="21">
        <v>2289.2399999999998</v>
      </c>
      <c r="H462" s="21">
        <v>2384.7199999999998</v>
      </c>
      <c r="I462" s="21">
        <v>2211.94</v>
      </c>
      <c r="J462" s="21">
        <v>2143.85</v>
      </c>
      <c r="K462" s="21">
        <v>2215.66</v>
      </c>
      <c r="L462" s="21">
        <v>2218.29</v>
      </c>
      <c r="M462" s="21">
        <v>2047.68</v>
      </c>
      <c r="N462" s="21">
        <v>2181.27</v>
      </c>
      <c r="O462" s="21">
        <v>2125.5300000000002</v>
      </c>
      <c r="P462" s="21">
        <v>2068.79</v>
      </c>
      <c r="Q462" s="21">
        <v>5253.87</v>
      </c>
      <c r="R462" s="20">
        <v>119.69</v>
      </c>
      <c r="S462" s="20">
        <v>111.65</v>
      </c>
      <c r="T462" s="21">
        <v>122.46</v>
      </c>
      <c r="V462" s="1">
        <v>116.58</v>
      </c>
      <c r="W462" s="1">
        <v>123.58</v>
      </c>
      <c r="X462" s="1">
        <v>121.62</v>
      </c>
      <c r="Y462" s="1">
        <v>120.72</v>
      </c>
      <c r="Z462" s="1">
        <v>121.24</v>
      </c>
      <c r="AA462" s="1">
        <v>121.78</v>
      </c>
      <c r="AB462" s="1">
        <v>121.82</v>
      </c>
      <c r="AC462" s="1">
        <v>118.17</v>
      </c>
      <c r="AE462" s="1">
        <v>130.47999999999999</v>
      </c>
      <c r="AF462" s="1">
        <v>128.51</v>
      </c>
      <c r="AG462" s="1">
        <v>117.73</v>
      </c>
      <c r="AI462" s="1">
        <v>7</v>
      </c>
      <c r="AN462" s="1">
        <v>3008.76</v>
      </c>
      <c r="AP462" s="1">
        <v>3012.5</v>
      </c>
      <c r="AQ462" s="1">
        <v>2951.53</v>
      </c>
      <c r="AR462" s="1">
        <v>2837.84</v>
      </c>
      <c r="AS462" s="1">
        <v>3017.12</v>
      </c>
      <c r="AT462" s="1">
        <v>2984</v>
      </c>
      <c r="AU462" s="1">
        <v>2670.25</v>
      </c>
      <c r="AW462" s="1">
        <v>2978.37</v>
      </c>
      <c r="AX462" s="1">
        <v>124.23</v>
      </c>
      <c r="AY462" s="1">
        <v>2747.2</v>
      </c>
      <c r="AZ462" s="1">
        <v>2838.01</v>
      </c>
      <c r="BA462" s="1">
        <v>124.83</v>
      </c>
      <c r="BB462" s="1">
        <v>135.07</v>
      </c>
      <c r="BC462" s="1">
        <v>130.38</v>
      </c>
      <c r="BD462" s="1">
        <v>132.66</v>
      </c>
      <c r="BE462" s="1">
        <v>125.12</v>
      </c>
      <c r="BF462" s="1">
        <v>127.75</v>
      </c>
      <c r="BG462" s="1">
        <v>130.69</v>
      </c>
      <c r="BH462" s="1">
        <v>117.12</v>
      </c>
      <c r="BI462" s="1">
        <v>125.98</v>
      </c>
      <c r="BJ462" s="1">
        <v>127.96</v>
      </c>
      <c r="BK462" s="1">
        <v>114.75</v>
      </c>
      <c r="BL462" s="1">
        <v>116.09</v>
      </c>
      <c r="BN462" s="1">
        <v>114.73</v>
      </c>
    </row>
    <row r="463" spans="1:66" x14ac:dyDescent="0.3">
      <c r="A463" s="2"/>
      <c r="C463" s="14" t="str">
        <f t="shared" si="8"/>
        <v>20245</v>
      </c>
      <c r="D463" s="3">
        <v>45436</v>
      </c>
      <c r="E463" s="21">
        <v>2314.29</v>
      </c>
      <c r="F463" s="21">
        <v>2347.87</v>
      </c>
      <c r="G463" s="21">
        <v>2289.2399999999998</v>
      </c>
      <c r="H463" s="21">
        <v>2380.92</v>
      </c>
      <c r="I463" s="21">
        <v>2202.0300000000002</v>
      </c>
      <c r="J463" s="21">
        <v>2148.37</v>
      </c>
      <c r="K463" s="21">
        <v>2269.34</v>
      </c>
      <c r="L463" s="21">
        <v>2218.29</v>
      </c>
      <c r="M463" s="21">
        <v>2047.68</v>
      </c>
      <c r="N463" s="21">
        <v>2159.21</v>
      </c>
      <c r="O463" s="21">
        <v>2115.59</v>
      </c>
      <c r="P463" s="21">
        <v>2068.79</v>
      </c>
      <c r="Q463" s="21">
        <v>5354.12</v>
      </c>
      <c r="R463" s="20">
        <v>119.69</v>
      </c>
      <c r="S463" s="20">
        <v>111.76</v>
      </c>
      <c r="T463" s="21">
        <v>122.29</v>
      </c>
      <c r="V463" s="1">
        <v>116.58</v>
      </c>
      <c r="W463" s="1">
        <v>123.58</v>
      </c>
      <c r="X463" s="1">
        <v>121.62</v>
      </c>
      <c r="Y463" s="1">
        <v>120.91</v>
      </c>
      <c r="Z463" s="1">
        <v>121.32</v>
      </c>
      <c r="AA463" s="1">
        <v>122.49</v>
      </c>
      <c r="AB463" s="1">
        <v>122.2</v>
      </c>
      <c r="AC463" s="1">
        <v>117.77</v>
      </c>
      <c r="AE463" s="1">
        <v>130.72999999999999</v>
      </c>
      <c r="AF463" s="1">
        <v>128.51</v>
      </c>
      <c r="AG463" s="1">
        <v>117.63</v>
      </c>
      <c r="AI463" s="1">
        <v>7</v>
      </c>
      <c r="AN463" s="1">
        <v>3008.76</v>
      </c>
      <c r="AP463" s="1">
        <v>3000</v>
      </c>
      <c r="AQ463" s="1">
        <v>2929.83</v>
      </c>
      <c r="AR463" s="1">
        <v>2837.84</v>
      </c>
      <c r="AS463" s="1">
        <v>3017.12</v>
      </c>
      <c r="AT463" s="1">
        <v>3015.1</v>
      </c>
      <c r="AU463" s="1">
        <v>2687.16</v>
      </c>
      <c r="AW463" s="1">
        <v>2976.07</v>
      </c>
      <c r="AX463" s="1">
        <v>124.23</v>
      </c>
      <c r="AY463" s="1">
        <v>2814.05</v>
      </c>
      <c r="AZ463" s="1">
        <v>2838.01</v>
      </c>
      <c r="BA463" s="1">
        <v>122.8</v>
      </c>
      <c r="BB463" s="1">
        <v>135.65</v>
      </c>
      <c r="BC463" s="1">
        <v>130.51</v>
      </c>
      <c r="BD463" s="1">
        <v>132.36000000000001</v>
      </c>
      <c r="BE463" s="1">
        <v>125.13</v>
      </c>
      <c r="BF463" s="1">
        <v>127.75</v>
      </c>
      <c r="BG463" s="1">
        <v>130.69</v>
      </c>
      <c r="BH463" s="1">
        <v>117.12</v>
      </c>
      <c r="BI463" s="1">
        <v>125.65</v>
      </c>
      <c r="BJ463" s="1">
        <v>127.92</v>
      </c>
      <c r="BK463" s="1">
        <v>114.75</v>
      </c>
      <c r="BL463" s="1">
        <v>115.74</v>
      </c>
      <c r="BN463" s="1">
        <v>114.73</v>
      </c>
    </row>
    <row r="464" spans="1:66" x14ac:dyDescent="0.3">
      <c r="A464" s="2"/>
      <c r="C464" s="14" t="str">
        <f t="shared" si="8"/>
        <v>20245</v>
      </c>
      <c r="D464" s="3">
        <v>45435</v>
      </c>
      <c r="E464" s="21">
        <v>2268.7199999999998</v>
      </c>
      <c r="F464" s="21">
        <v>2235.1799999999998</v>
      </c>
      <c r="G464" s="21">
        <v>2206.65</v>
      </c>
      <c r="H464" s="21">
        <v>2331.9899999999998</v>
      </c>
      <c r="I464" s="21">
        <v>2186.17</v>
      </c>
      <c r="J464" s="21">
        <v>2148.35</v>
      </c>
      <c r="K464" s="21">
        <v>2194.64</v>
      </c>
      <c r="L464" s="21">
        <v>2205.08</v>
      </c>
      <c r="M464" s="21">
        <v>1981.68</v>
      </c>
      <c r="N464" s="21">
        <v>2144.7199999999998</v>
      </c>
      <c r="O464" s="21">
        <v>2119.42</v>
      </c>
      <c r="P464" s="21">
        <v>2033.58</v>
      </c>
      <c r="Q464" s="21">
        <v>5320.79</v>
      </c>
      <c r="R464" s="20">
        <v>119.19</v>
      </c>
      <c r="S464" s="20">
        <v>111.76</v>
      </c>
      <c r="T464" s="21">
        <v>122.14</v>
      </c>
      <c r="V464" s="1">
        <v>116.78</v>
      </c>
      <c r="W464" s="1">
        <v>122.98</v>
      </c>
      <c r="X464" s="1">
        <v>122.28</v>
      </c>
      <c r="Y464" s="1">
        <v>121.35</v>
      </c>
      <c r="Z464" s="1">
        <v>121.42</v>
      </c>
      <c r="AA464" s="1">
        <v>121.38</v>
      </c>
      <c r="AB464" s="1">
        <v>122.46</v>
      </c>
      <c r="AC464" s="1">
        <v>116.58</v>
      </c>
      <c r="AE464" s="1">
        <v>130.22999999999999</v>
      </c>
      <c r="AF464" s="1">
        <v>128.76</v>
      </c>
      <c r="AG464" s="1">
        <v>117.15</v>
      </c>
      <c r="AI464" s="1">
        <v>7</v>
      </c>
      <c r="AN464" s="1">
        <v>3008.76</v>
      </c>
      <c r="AP464" s="1">
        <v>3000</v>
      </c>
      <c r="AQ464" s="1">
        <v>2929.83</v>
      </c>
      <c r="AR464" s="1">
        <v>2837.84</v>
      </c>
      <c r="AS464" s="1">
        <v>3017.12</v>
      </c>
      <c r="AT464" s="1">
        <v>3046.18</v>
      </c>
      <c r="AU464" s="1">
        <v>2687.16</v>
      </c>
      <c r="AV464" s="1">
        <v>30</v>
      </c>
      <c r="AW464" s="1">
        <v>2998.43</v>
      </c>
      <c r="AX464" s="1">
        <v>121.17</v>
      </c>
      <c r="AY464" s="1">
        <v>2814.05</v>
      </c>
      <c r="BA464" s="1">
        <v>122.79</v>
      </c>
      <c r="BB464" s="1">
        <v>135.30000000000001</v>
      </c>
      <c r="BC464" s="1">
        <v>131.03</v>
      </c>
      <c r="BD464" s="1">
        <v>133.66999999999999</v>
      </c>
      <c r="BE464" s="1">
        <v>124.75</v>
      </c>
      <c r="BF464" s="1">
        <v>127.25</v>
      </c>
      <c r="BG464" s="1">
        <v>128.66</v>
      </c>
      <c r="BH464" s="1">
        <v>116.84</v>
      </c>
      <c r="BI464" s="1">
        <v>125.64</v>
      </c>
      <c r="BJ464" s="1">
        <v>127.5</v>
      </c>
      <c r="BK464" s="1">
        <v>113.92</v>
      </c>
      <c r="BL464" s="1">
        <v>115.62</v>
      </c>
      <c r="BN464" s="1">
        <v>113.08</v>
      </c>
    </row>
    <row r="465" spans="1:66" x14ac:dyDescent="0.3">
      <c r="A465" s="2"/>
      <c r="C465" s="14" t="str">
        <f t="shared" si="8"/>
        <v>20245</v>
      </c>
      <c r="D465" s="3">
        <v>45434</v>
      </c>
      <c r="E465" s="21">
        <v>2246.84</v>
      </c>
      <c r="F465" s="21">
        <v>2217.16</v>
      </c>
      <c r="G465" s="21">
        <v>2206.65</v>
      </c>
      <c r="H465" s="21">
        <v>2331.9899999999998</v>
      </c>
      <c r="I465" s="21">
        <v>2186.17</v>
      </c>
      <c r="J465" s="21">
        <v>2148.35</v>
      </c>
      <c r="K465" s="21">
        <v>2141.3000000000002</v>
      </c>
      <c r="L465" s="21">
        <v>2178.41</v>
      </c>
      <c r="M465" s="21">
        <v>1981.68</v>
      </c>
      <c r="N465" s="21">
        <v>2104.17</v>
      </c>
      <c r="O465" s="21">
        <v>2097.4299999999998</v>
      </c>
      <c r="P465" s="21">
        <v>2033.58</v>
      </c>
      <c r="Q465" s="21">
        <v>5320.79</v>
      </c>
      <c r="R465" s="20">
        <v>118.7</v>
      </c>
      <c r="S465" s="20">
        <v>110.59</v>
      </c>
      <c r="T465" s="21">
        <v>121.23</v>
      </c>
      <c r="V465" s="1">
        <v>116.58</v>
      </c>
      <c r="W465" s="1">
        <v>122.58</v>
      </c>
      <c r="X465" s="1">
        <v>121.17</v>
      </c>
      <c r="Y465" s="1">
        <v>119.84</v>
      </c>
      <c r="Z465" s="1">
        <v>120.03</v>
      </c>
      <c r="AA465" s="1">
        <v>121.41</v>
      </c>
      <c r="AB465" s="1">
        <v>121.29</v>
      </c>
      <c r="AC465" s="1">
        <v>116.58</v>
      </c>
      <c r="AE465" s="1">
        <v>128.49</v>
      </c>
      <c r="AF465" s="1">
        <v>127.62</v>
      </c>
      <c r="AG465" s="1">
        <v>116.24</v>
      </c>
      <c r="AI465" s="1">
        <v>7</v>
      </c>
      <c r="AN465" s="1">
        <v>3020.67</v>
      </c>
      <c r="AP465" s="1">
        <v>2929.17</v>
      </c>
      <c r="AQ465" s="1">
        <v>2878.5</v>
      </c>
      <c r="AR465" s="1">
        <v>2812.08</v>
      </c>
      <c r="AS465" s="1">
        <v>3017.12</v>
      </c>
      <c r="AT465" s="1">
        <v>3046.18</v>
      </c>
      <c r="AU465" s="1">
        <v>2687.16</v>
      </c>
      <c r="AV465" s="1">
        <v>30</v>
      </c>
      <c r="AW465" s="1">
        <v>2998.43</v>
      </c>
      <c r="AX465" s="1">
        <v>120.58</v>
      </c>
      <c r="AY465" s="1">
        <v>2814.05</v>
      </c>
      <c r="BA465" s="1">
        <v>121.32</v>
      </c>
      <c r="BB465" s="1">
        <v>134.94</v>
      </c>
      <c r="BC465" s="1">
        <v>130.28</v>
      </c>
      <c r="BD465" s="1">
        <v>132.47</v>
      </c>
      <c r="BE465" s="1">
        <v>123.68</v>
      </c>
      <c r="BF465" s="1">
        <v>125.47</v>
      </c>
      <c r="BG465" s="1">
        <v>128.30000000000001</v>
      </c>
      <c r="BH465" s="1">
        <v>116.84</v>
      </c>
      <c r="BI465" s="1">
        <v>123.66</v>
      </c>
      <c r="BJ465" s="1">
        <v>127.49</v>
      </c>
      <c r="BK465" s="1">
        <v>113.92</v>
      </c>
      <c r="BL465" s="1">
        <v>115.27</v>
      </c>
      <c r="BN465" s="1">
        <v>113.08</v>
      </c>
    </row>
    <row r="466" spans="1:66" x14ac:dyDescent="0.3">
      <c r="A466" s="2"/>
      <c r="C466" s="14" t="str">
        <f t="shared" si="8"/>
        <v>20245</v>
      </c>
      <c r="D466" s="3">
        <v>45433</v>
      </c>
      <c r="E466" s="21">
        <v>2236.89</v>
      </c>
      <c r="F466" s="21">
        <v>2217.16</v>
      </c>
      <c r="G466" s="21">
        <v>2206.65</v>
      </c>
      <c r="H466" s="21">
        <v>2312.1999999999998</v>
      </c>
      <c r="I466" s="21">
        <v>2186.17</v>
      </c>
      <c r="J466" s="21">
        <v>2165.88</v>
      </c>
      <c r="K466" s="21">
        <v>2039.99</v>
      </c>
      <c r="L466" s="21">
        <v>2176.7600000000002</v>
      </c>
      <c r="M466" s="21">
        <v>2046.59</v>
      </c>
      <c r="N466" s="21">
        <v>2070.7399999999998</v>
      </c>
      <c r="O466" s="21">
        <v>2087.91</v>
      </c>
      <c r="P466" s="21">
        <v>1954.68</v>
      </c>
      <c r="Q466" s="21">
        <v>5091.04</v>
      </c>
      <c r="R466" s="20">
        <v>118.7</v>
      </c>
      <c r="S466" s="20">
        <v>106.73</v>
      </c>
      <c r="T466" s="21">
        <v>120.95</v>
      </c>
      <c r="V466" s="1">
        <v>115.92</v>
      </c>
      <c r="W466" s="1">
        <v>122.78</v>
      </c>
      <c r="X466" s="1">
        <v>121.29</v>
      </c>
      <c r="Y466" s="1">
        <v>118.66</v>
      </c>
      <c r="Z466" s="1">
        <v>118.93</v>
      </c>
      <c r="AA466" s="1">
        <v>121.59</v>
      </c>
      <c r="AB466" s="1">
        <v>121.57</v>
      </c>
      <c r="AC466" s="1">
        <v>115.92</v>
      </c>
      <c r="AE466" s="1">
        <v>128.07</v>
      </c>
      <c r="AF466" s="1">
        <v>126.96</v>
      </c>
      <c r="AG466" s="1">
        <v>113.96</v>
      </c>
      <c r="AI466" s="1">
        <v>7</v>
      </c>
      <c r="AN466" s="1">
        <v>3020.67</v>
      </c>
      <c r="AP466" s="1">
        <v>2929.17</v>
      </c>
      <c r="AQ466" s="1">
        <v>2878.5</v>
      </c>
      <c r="AR466" s="1">
        <v>2830.24</v>
      </c>
      <c r="AS466" s="1">
        <v>3017.12</v>
      </c>
      <c r="AT466" s="1">
        <v>3046.18</v>
      </c>
      <c r="AU466" s="1">
        <v>2689.17</v>
      </c>
      <c r="AV466" s="1">
        <v>30</v>
      </c>
      <c r="AW466" s="1">
        <v>3013.33</v>
      </c>
      <c r="AX466" s="1">
        <v>117.55</v>
      </c>
      <c r="AY466" s="1">
        <v>2810.26</v>
      </c>
      <c r="BA466" s="1">
        <v>120.01</v>
      </c>
      <c r="BB466" s="1">
        <v>133.82</v>
      </c>
      <c r="BC466" s="1">
        <v>129.36000000000001</v>
      </c>
      <c r="BD466" s="1">
        <v>132.54</v>
      </c>
      <c r="BE466" s="1">
        <v>123.67</v>
      </c>
      <c r="BF466" s="1">
        <v>125.47</v>
      </c>
      <c r="BG466" s="1">
        <v>129.16</v>
      </c>
      <c r="BH466" s="1">
        <v>116.34</v>
      </c>
      <c r="BI466" s="1">
        <v>123.16</v>
      </c>
      <c r="BJ466" s="1">
        <v>126.88</v>
      </c>
      <c r="BK466" s="1">
        <v>113.82</v>
      </c>
      <c r="BL466" s="1">
        <v>114.87</v>
      </c>
      <c r="BN466" s="1">
        <v>112.64</v>
      </c>
    </row>
    <row r="467" spans="1:66" x14ac:dyDescent="0.3">
      <c r="A467" s="2"/>
      <c r="C467" s="14" t="str">
        <f t="shared" si="8"/>
        <v>20245</v>
      </c>
      <c r="D467" s="3">
        <v>45432</v>
      </c>
      <c r="E467" s="21">
        <v>2238.67</v>
      </c>
      <c r="F467" s="21">
        <v>2209.96</v>
      </c>
      <c r="G467" s="21">
        <v>2198.94</v>
      </c>
      <c r="H467" s="21">
        <v>2323.23</v>
      </c>
      <c r="I467" s="21">
        <v>2164.37</v>
      </c>
      <c r="J467" s="21">
        <v>2149.58</v>
      </c>
      <c r="K467" s="21">
        <v>2037.9</v>
      </c>
      <c r="L467" s="21">
        <v>2176.7600000000002</v>
      </c>
      <c r="M467" s="21">
        <v>2043.29</v>
      </c>
      <c r="N467" s="21">
        <v>2088.6</v>
      </c>
      <c r="O467" s="21">
        <v>2125.61</v>
      </c>
      <c r="P467" s="21">
        <v>1981.07</v>
      </c>
      <c r="Q467" s="21">
        <v>5091.04</v>
      </c>
      <c r="R467" s="20">
        <v>118.7</v>
      </c>
      <c r="S467" s="20">
        <v>105.94</v>
      </c>
      <c r="T467" s="21">
        <v>120.69</v>
      </c>
      <c r="V467" s="1">
        <v>115.36</v>
      </c>
      <c r="W467" s="1">
        <v>121.58</v>
      </c>
      <c r="X467" s="1">
        <v>120.51</v>
      </c>
      <c r="Y467" s="1">
        <v>117.73</v>
      </c>
      <c r="Z467" s="1">
        <v>118.53</v>
      </c>
      <c r="AA467" s="1">
        <v>120.74</v>
      </c>
      <c r="AB467" s="1">
        <v>121.2</v>
      </c>
      <c r="AC467" s="1">
        <v>116.23</v>
      </c>
      <c r="AE467" s="1">
        <v>127.62</v>
      </c>
      <c r="AF467" s="1">
        <v>126.47</v>
      </c>
      <c r="AG467" s="1">
        <v>113.38</v>
      </c>
      <c r="AN467" s="1">
        <v>2985.17</v>
      </c>
      <c r="AP467" s="1">
        <v>2893.75</v>
      </c>
      <c r="AQ467" s="1">
        <v>2847.7</v>
      </c>
      <c r="AS467" s="1">
        <v>3027.21</v>
      </c>
      <c r="AT467" s="1">
        <v>3092.8</v>
      </c>
      <c r="AU467" s="1">
        <v>2732.9</v>
      </c>
      <c r="AV467" s="1">
        <v>30</v>
      </c>
      <c r="AW467" s="1">
        <v>3031.94</v>
      </c>
      <c r="AX467" s="1">
        <v>117.66</v>
      </c>
      <c r="AY467" s="1">
        <v>2810.26</v>
      </c>
      <c r="BA467" s="1">
        <v>118.96</v>
      </c>
      <c r="BB467" s="1">
        <v>134.1</v>
      </c>
      <c r="BC467" s="1">
        <v>128.81</v>
      </c>
      <c r="BD467" s="1">
        <v>130.72999999999999</v>
      </c>
      <c r="BE467" s="1">
        <v>123.94</v>
      </c>
      <c r="BF467" s="1">
        <v>125.47</v>
      </c>
      <c r="BG467" s="1">
        <v>129.16</v>
      </c>
      <c r="BH467" s="1">
        <v>115.79</v>
      </c>
      <c r="BI467" s="1">
        <v>123.66</v>
      </c>
      <c r="BJ467" s="1">
        <v>126.86</v>
      </c>
      <c r="BK467" s="1">
        <v>113.33</v>
      </c>
      <c r="BL467" s="1">
        <v>114.37</v>
      </c>
      <c r="BN467" s="1">
        <v>111.65</v>
      </c>
    </row>
    <row r="468" spans="1:66" x14ac:dyDescent="0.3">
      <c r="A468" s="2"/>
      <c r="C468" s="14" t="str">
        <f t="shared" si="8"/>
        <v>20245</v>
      </c>
      <c r="D468" s="3">
        <v>45429</v>
      </c>
      <c r="E468" s="21">
        <v>2224.96</v>
      </c>
      <c r="F468" s="21">
        <v>2208.7199999999998</v>
      </c>
      <c r="G468" s="21">
        <v>2206.65</v>
      </c>
      <c r="H468" s="21">
        <v>2415.56</v>
      </c>
      <c r="I468" s="21">
        <v>2209.96</v>
      </c>
      <c r="J468" s="21">
        <v>2147.16</v>
      </c>
      <c r="K468" s="21">
        <v>2032.64</v>
      </c>
      <c r="L468" s="21">
        <v>2170.15</v>
      </c>
      <c r="M468" s="21">
        <v>2043.29</v>
      </c>
      <c r="N468" s="21">
        <v>2068.4699999999998</v>
      </c>
      <c r="O468" s="21">
        <v>2096.12</v>
      </c>
      <c r="P468" s="21">
        <v>1981.07</v>
      </c>
      <c r="Q468" s="21">
        <v>5197.0200000000004</v>
      </c>
      <c r="R468" s="20">
        <v>117.7</v>
      </c>
      <c r="S468" s="20">
        <v>105.94</v>
      </c>
      <c r="T468" s="21">
        <v>119.37</v>
      </c>
      <c r="V468" s="1">
        <v>115.36</v>
      </c>
      <c r="W468" s="1">
        <v>121.28</v>
      </c>
      <c r="X468" s="1">
        <v>119.62</v>
      </c>
      <c r="Y468" s="1">
        <v>117.73</v>
      </c>
      <c r="Z468" s="1">
        <v>117.6</v>
      </c>
      <c r="AA468" s="1">
        <v>119.77</v>
      </c>
      <c r="AB468" s="1">
        <v>120.95</v>
      </c>
      <c r="AC468" s="1">
        <v>115.94</v>
      </c>
      <c r="AE468" s="1">
        <v>125.62</v>
      </c>
      <c r="AF468" s="1">
        <v>126.47</v>
      </c>
      <c r="AG468" s="1">
        <v>113.33</v>
      </c>
      <c r="AN468" s="1">
        <v>2985.17</v>
      </c>
      <c r="AP468" s="1">
        <v>2893.75</v>
      </c>
      <c r="AQ468" s="1">
        <v>2894.77</v>
      </c>
      <c r="AS468" s="1">
        <v>3027.21</v>
      </c>
      <c r="AT468" s="1">
        <v>3092.8</v>
      </c>
      <c r="AU468" s="1">
        <v>2721.97</v>
      </c>
      <c r="AV468" s="1">
        <v>30</v>
      </c>
      <c r="AW468" s="1">
        <v>3031.94</v>
      </c>
      <c r="AX468" s="1">
        <v>117.22</v>
      </c>
      <c r="AY468" s="1">
        <v>2745.39</v>
      </c>
      <c r="BA468" s="1">
        <v>118.96</v>
      </c>
      <c r="BB468" s="1">
        <v>130.28</v>
      </c>
      <c r="BC468" s="1">
        <v>127.93</v>
      </c>
      <c r="BD468" s="1">
        <v>128.88</v>
      </c>
      <c r="BE468" s="1">
        <v>122.63</v>
      </c>
      <c r="BF468" s="1">
        <v>124.47</v>
      </c>
      <c r="BG468" s="1">
        <v>128.44</v>
      </c>
      <c r="BH468" s="1">
        <v>115.63</v>
      </c>
      <c r="BI468" s="1">
        <v>123.16</v>
      </c>
      <c r="BJ468" s="1">
        <v>126.22</v>
      </c>
      <c r="BK468" s="1">
        <v>113.33</v>
      </c>
      <c r="BL468" s="1">
        <v>114.13</v>
      </c>
      <c r="BN468" s="1">
        <v>111.65</v>
      </c>
    </row>
    <row r="469" spans="1:66" x14ac:dyDescent="0.3">
      <c r="A469" s="2"/>
      <c r="C469" s="14" t="str">
        <f t="shared" si="8"/>
        <v>20245</v>
      </c>
      <c r="D469" s="3">
        <v>45428</v>
      </c>
      <c r="E469" s="21">
        <v>2224.96</v>
      </c>
      <c r="F469" s="21">
        <v>2208.7199999999998</v>
      </c>
      <c r="G469" s="21">
        <v>2206.65</v>
      </c>
      <c r="H469" s="21">
        <v>2460.5300000000002</v>
      </c>
      <c r="I469" s="21">
        <v>2209.96</v>
      </c>
      <c r="J469" s="21">
        <v>2110.98</v>
      </c>
      <c r="K469" s="21">
        <v>2065.7199999999998</v>
      </c>
      <c r="L469" s="21">
        <v>2166.85</v>
      </c>
      <c r="M469" s="21">
        <v>2025.12</v>
      </c>
      <c r="N469" s="21">
        <v>2071.27</v>
      </c>
      <c r="O469" s="21">
        <v>2128.11</v>
      </c>
      <c r="P469" s="21">
        <v>2025.83</v>
      </c>
      <c r="Q469" s="21">
        <v>5140.3500000000004</v>
      </c>
      <c r="R469" s="20">
        <v>116.7</v>
      </c>
      <c r="S469" s="20">
        <v>105.54</v>
      </c>
      <c r="T469" s="21">
        <v>119.19</v>
      </c>
      <c r="V469" s="1">
        <v>115.14</v>
      </c>
      <c r="W469" s="1">
        <v>120.78</v>
      </c>
      <c r="X469" s="1">
        <v>119.51</v>
      </c>
      <c r="Y469" s="1">
        <v>116.73</v>
      </c>
      <c r="Z469" s="1">
        <v>117.34</v>
      </c>
      <c r="AA469" s="1">
        <v>118.66</v>
      </c>
      <c r="AB469" s="1">
        <v>120.46</v>
      </c>
      <c r="AC469" s="1">
        <v>114.58</v>
      </c>
      <c r="AE469" s="1">
        <v>125.25</v>
      </c>
      <c r="AF469" s="1">
        <v>126.47</v>
      </c>
      <c r="AG469" s="1">
        <v>110.78</v>
      </c>
      <c r="AN469" s="1">
        <v>2985.17</v>
      </c>
      <c r="AP469" s="1">
        <v>2893.75</v>
      </c>
      <c r="AQ469" s="1">
        <v>2858.55</v>
      </c>
      <c r="AS469" s="1">
        <v>3027.21</v>
      </c>
      <c r="AU469" s="1">
        <v>2721.97</v>
      </c>
      <c r="AW469" s="1">
        <v>3087.76</v>
      </c>
      <c r="AX469" s="1">
        <v>117.94</v>
      </c>
      <c r="AY469" s="1">
        <v>2735.84</v>
      </c>
      <c r="AZ469" s="1">
        <v>2320.86</v>
      </c>
      <c r="BA469" s="1">
        <v>119.74</v>
      </c>
      <c r="BB469" s="1">
        <v>130.57</v>
      </c>
      <c r="BC469" s="1">
        <v>127.48</v>
      </c>
      <c r="BD469" s="1">
        <v>128.46</v>
      </c>
      <c r="BE469" s="1">
        <v>122.64</v>
      </c>
      <c r="BF469" s="1">
        <v>121.47</v>
      </c>
      <c r="BG469" s="1">
        <v>126.8</v>
      </c>
      <c r="BH469" s="1">
        <v>116.84</v>
      </c>
      <c r="BI469" s="1">
        <v>122.66</v>
      </c>
      <c r="BJ469" s="1">
        <v>126.21</v>
      </c>
      <c r="BK469" s="1">
        <v>112.99</v>
      </c>
      <c r="BL469" s="1">
        <v>113.63</v>
      </c>
      <c r="BN469" s="1">
        <v>111.32</v>
      </c>
    </row>
    <row r="470" spans="1:66" x14ac:dyDescent="0.3">
      <c r="A470" s="2"/>
      <c r="C470" s="14" t="str">
        <f t="shared" si="8"/>
        <v>20245</v>
      </c>
      <c r="D470" s="3">
        <v>45427</v>
      </c>
      <c r="E470" s="21">
        <v>2224.96</v>
      </c>
      <c r="F470" s="21">
        <v>2208.7199999999998</v>
      </c>
      <c r="G470" s="21">
        <v>2206.65</v>
      </c>
      <c r="H470" s="21">
        <v>2444.13</v>
      </c>
      <c r="I470" s="21">
        <v>2130.67</v>
      </c>
      <c r="J470" s="21">
        <v>2132.1999999999998</v>
      </c>
      <c r="K470" s="21">
        <v>2065.7199999999998</v>
      </c>
      <c r="L470" s="21">
        <v>2153.63</v>
      </c>
      <c r="M470" s="21">
        <v>2068.02</v>
      </c>
      <c r="N470" s="21">
        <v>2062.96</v>
      </c>
      <c r="O470" s="21">
        <v>2138.41</v>
      </c>
      <c r="P470" s="21">
        <v>2025.83</v>
      </c>
      <c r="Q470" s="21">
        <v>5228.04</v>
      </c>
      <c r="R470" s="20">
        <v>117.2</v>
      </c>
      <c r="S470" s="20">
        <v>105.14</v>
      </c>
      <c r="T470" s="21">
        <v>119.01</v>
      </c>
      <c r="V470" s="1">
        <v>115.03</v>
      </c>
      <c r="W470" s="1">
        <v>120.18</v>
      </c>
      <c r="X470" s="1">
        <v>119.37</v>
      </c>
      <c r="Y470" s="1">
        <v>116.73</v>
      </c>
      <c r="Z470" s="1">
        <v>117.33</v>
      </c>
      <c r="AA470" s="1">
        <v>119.1</v>
      </c>
      <c r="AB470" s="1">
        <v>119.96</v>
      </c>
      <c r="AC470" s="1">
        <v>114.58</v>
      </c>
      <c r="AE470" s="1">
        <v>127.25</v>
      </c>
      <c r="AF470" s="1">
        <v>127.22</v>
      </c>
      <c r="AG470" s="1">
        <v>109.74</v>
      </c>
      <c r="AQ470" s="1">
        <v>2880.9</v>
      </c>
      <c r="AS470" s="1">
        <v>3027.21</v>
      </c>
      <c r="AT470" s="1">
        <v>2894.58</v>
      </c>
      <c r="AU470" s="1">
        <v>2732.9</v>
      </c>
      <c r="AW470" s="1">
        <v>3087.76</v>
      </c>
      <c r="AX470" s="1">
        <v>117.44</v>
      </c>
      <c r="AY470" s="1">
        <v>2715.32</v>
      </c>
      <c r="AZ470" s="1">
        <v>2320.86</v>
      </c>
      <c r="BA470" s="1">
        <v>120.07</v>
      </c>
      <c r="BB470" s="1">
        <v>130.77000000000001</v>
      </c>
      <c r="BC470" s="1">
        <v>126.82</v>
      </c>
      <c r="BD470" s="1">
        <v>128.61000000000001</v>
      </c>
      <c r="BE470" s="1">
        <v>122.63</v>
      </c>
      <c r="BF470" s="1">
        <v>121.47</v>
      </c>
      <c r="BG470" s="1">
        <v>128.11000000000001</v>
      </c>
      <c r="BH470" s="1">
        <v>116.84</v>
      </c>
      <c r="BI470" s="1">
        <v>122.66</v>
      </c>
      <c r="BJ470" s="1">
        <v>125.6</v>
      </c>
      <c r="BK470" s="1">
        <v>112.99</v>
      </c>
      <c r="BL470" s="1">
        <v>112.24</v>
      </c>
      <c r="BN470" s="1">
        <v>111.32</v>
      </c>
    </row>
    <row r="471" spans="1:66" x14ac:dyDescent="0.3">
      <c r="A471" s="2"/>
      <c r="C471" s="14" t="str">
        <f t="shared" si="8"/>
        <v>20245</v>
      </c>
      <c r="D471" s="3">
        <v>45426</v>
      </c>
      <c r="E471" s="21">
        <v>2213.0700000000002</v>
      </c>
      <c r="F471" s="21">
        <v>2222.6999999999998</v>
      </c>
      <c r="G471" s="21">
        <v>2186.83</v>
      </c>
      <c r="H471" s="21">
        <v>2360.39</v>
      </c>
      <c r="I471" s="21">
        <v>1972.11</v>
      </c>
      <c r="J471" s="21">
        <v>2117.96</v>
      </c>
      <c r="K471" s="21">
        <v>2058.27</v>
      </c>
      <c r="L471" s="21">
        <v>2153.63</v>
      </c>
      <c r="M471" s="21">
        <v>1992.12</v>
      </c>
      <c r="N471" s="21">
        <v>2031.86</v>
      </c>
      <c r="O471" s="21">
        <v>2078.88</v>
      </c>
      <c r="P471" s="21">
        <v>2025.83</v>
      </c>
      <c r="Q471" s="21">
        <v>5091.3</v>
      </c>
      <c r="R471" s="20">
        <v>117.2</v>
      </c>
      <c r="S471" s="20">
        <v>105.14</v>
      </c>
      <c r="T471" s="21">
        <v>119.16</v>
      </c>
      <c r="V471" s="1">
        <v>115.03</v>
      </c>
      <c r="W471" s="1">
        <v>121.19</v>
      </c>
      <c r="X471" s="1">
        <v>118.84</v>
      </c>
      <c r="Y471" s="1">
        <v>116.73</v>
      </c>
      <c r="Z471" s="1">
        <v>117.73</v>
      </c>
      <c r="AA471" s="1">
        <v>118.13</v>
      </c>
      <c r="AB471" s="1">
        <v>119.84</v>
      </c>
      <c r="AC471" s="1">
        <v>115.58</v>
      </c>
      <c r="AE471" s="1">
        <v>126.07</v>
      </c>
      <c r="AF471" s="1">
        <v>126.47</v>
      </c>
      <c r="AG471" s="1">
        <v>111.04</v>
      </c>
      <c r="AQ471" s="1">
        <v>2880.9</v>
      </c>
      <c r="AR471" s="1">
        <v>2869.8</v>
      </c>
      <c r="AS471" s="1">
        <v>3022.17</v>
      </c>
      <c r="AT471" s="1">
        <v>2911.17</v>
      </c>
      <c r="AU471" s="1">
        <v>2784.03</v>
      </c>
      <c r="AW471" s="1">
        <v>3087.76</v>
      </c>
      <c r="AX471" s="1">
        <v>116.33</v>
      </c>
      <c r="AY471" s="1">
        <v>2716.61</v>
      </c>
      <c r="BA471" s="1">
        <v>120.07</v>
      </c>
      <c r="BB471" s="1">
        <v>129.62</v>
      </c>
      <c r="BC471" s="1">
        <v>126.4</v>
      </c>
      <c r="BD471" s="1">
        <v>127.62</v>
      </c>
      <c r="BE471" s="1">
        <v>122.1</v>
      </c>
      <c r="BF471" s="1">
        <v>122.47</v>
      </c>
      <c r="BG471" s="1">
        <v>127.31</v>
      </c>
      <c r="BH471" s="1">
        <v>117.34</v>
      </c>
      <c r="BI471" s="1">
        <v>121.99</v>
      </c>
      <c r="BJ471" s="1">
        <v>127.36</v>
      </c>
      <c r="BK471" s="1">
        <v>112.33</v>
      </c>
      <c r="BL471" s="1">
        <v>113.17</v>
      </c>
      <c r="BN471" s="1">
        <v>111.32</v>
      </c>
    </row>
    <row r="472" spans="1:66" x14ac:dyDescent="0.3">
      <c r="A472" s="2"/>
      <c r="C472" s="14" t="str">
        <f t="shared" si="8"/>
        <v>20245</v>
      </c>
      <c r="D472" s="3">
        <v>45425</v>
      </c>
      <c r="E472" s="21">
        <v>2203.12</v>
      </c>
      <c r="F472" s="21">
        <v>2213.67</v>
      </c>
      <c r="G472" s="21">
        <v>2186.83</v>
      </c>
      <c r="H472" s="21">
        <v>2363.44</v>
      </c>
      <c r="I472" s="21">
        <v>2056.35</v>
      </c>
      <c r="J472" s="21">
        <v>2134.11</v>
      </c>
      <c r="K472" s="21">
        <v>2040.8</v>
      </c>
      <c r="L472" s="21">
        <v>2153.63</v>
      </c>
      <c r="M472" s="21">
        <v>1978.92</v>
      </c>
      <c r="N472" s="21">
        <v>2008.02</v>
      </c>
      <c r="O472" s="21">
        <v>2052.8200000000002</v>
      </c>
      <c r="P472" s="21">
        <v>2025.83</v>
      </c>
      <c r="Q472" s="21">
        <v>5046.71</v>
      </c>
      <c r="R472" s="20">
        <v>117.2</v>
      </c>
      <c r="S472" s="20">
        <v>106.01</v>
      </c>
      <c r="T472" s="21">
        <v>119.15</v>
      </c>
      <c r="V472" s="1">
        <v>115.03</v>
      </c>
      <c r="W472" s="1">
        <v>120.9</v>
      </c>
      <c r="X472" s="1">
        <v>119.51</v>
      </c>
      <c r="Y472" s="1">
        <v>117.17</v>
      </c>
      <c r="Z472" s="1">
        <v>117.63</v>
      </c>
      <c r="AA472" s="1">
        <v>118.62</v>
      </c>
      <c r="AB472" s="1">
        <v>120.4</v>
      </c>
      <c r="AC472" s="1">
        <v>114.12</v>
      </c>
      <c r="AE472" s="1">
        <v>126.62</v>
      </c>
      <c r="AF472" s="1">
        <v>126.47</v>
      </c>
      <c r="AG472" s="1">
        <v>111.96</v>
      </c>
      <c r="AQ472" s="1">
        <v>2866.77</v>
      </c>
      <c r="AR472" s="1">
        <v>2869.8</v>
      </c>
      <c r="AS472" s="1">
        <v>3000.01</v>
      </c>
      <c r="AT472" s="1">
        <v>2911.17</v>
      </c>
      <c r="AU472" s="1">
        <v>2825.4</v>
      </c>
      <c r="AX472" s="1">
        <v>116.73</v>
      </c>
      <c r="AY472" s="1">
        <v>2716.61</v>
      </c>
      <c r="AZ472" s="1">
        <v>2956.58</v>
      </c>
      <c r="BA472" s="1">
        <v>120.2</v>
      </c>
      <c r="BB472" s="1">
        <v>130.16</v>
      </c>
      <c r="BC472" s="1">
        <v>126.83</v>
      </c>
      <c r="BD472" s="1">
        <v>128.53</v>
      </c>
      <c r="BE472" s="1">
        <v>122.37</v>
      </c>
      <c r="BF472" s="1">
        <v>122.47</v>
      </c>
      <c r="BG472" s="1">
        <v>127.51</v>
      </c>
      <c r="BH472" s="1">
        <v>116.45</v>
      </c>
      <c r="BI472" s="1">
        <v>121.99</v>
      </c>
      <c r="BJ472" s="1">
        <v>127.94</v>
      </c>
      <c r="BK472" s="1">
        <v>112.66</v>
      </c>
      <c r="BL472" s="1">
        <v>113.37</v>
      </c>
      <c r="BN472" s="1">
        <v>111.98</v>
      </c>
    </row>
    <row r="473" spans="1:66" x14ac:dyDescent="0.3">
      <c r="A473" s="2"/>
      <c r="C473" s="14" t="str">
        <f t="shared" si="8"/>
        <v>20245</v>
      </c>
      <c r="D473" s="3">
        <v>45422</v>
      </c>
      <c r="E473" s="21">
        <v>2219.0300000000002</v>
      </c>
      <c r="F473" s="21">
        <v>2220.9699999999998</v>
      </c>
      <c r="G473" s="21">
        <v>2186.83</v>
      </c>
      <c r="H473" s="21">
        <v>2442.21</v>
      </c>
      <c r="I473" s="21">
        <v>2135.63</v>
      </c>
      <c r="J473" s="21">
        <v>2122.69</v>
      </c>
      <c r="K473" s="21">
        <v>2015.91</v>
      </c>
      <c r="L473" s="21">
        <v>2097.33</v>
      </c>
      <c r="M473" s="21">
        <v>1978.92</v>
      </c>
      <c r="N473" s="21">
        <v>2029.89</v>
      </c>
      <c r="O473" s="21">
        <v>2051.23</v>
      </c>
      <c r="P473" s="21">
        <v>2009.24</v>
      </c>
      <c r="Q473" s="21">
        <v>5011.0600000000004</v>
      </c>
      <c r="R473" s="20">
        <v>117.2</v>
      </c>
      <c r="S473" s="20">
        <v>106.01</v>
      </c>
      <c r="T473" s="21">
        <v>118.79</v>
      </c>
      <c r="V473" s="1">
        <v>114.7</v>
      </c>
      <c r="W473" s="1">
        <v>120.75</v>
      </c>
      <c r="X473" s="1">
        <v>119.34</v>
      </c>
      <c r="Y473" s="1">
        <v>116.85</v>
      </c>
      <c r="Z473" s="1">
        <v>117.53</v>
      </c>
      <c r="AA473" s="1">
        <v>118.39</v>
      </c>
      <c r="AB473" s="1">
        <v>120.9</v>
      </c>
      <c r="AC473" s="1">
        <v>113.59</v>
      </c>
      <c r="AE473" s="1">
        <v>126.87</v>
      </c>
      <c r="AF473" s="1">
        <v>126.47</v>
      </c>
      <c r="AG473" s="1">
        <v>113.31</v>
      </c>
      <c r="AQ473" s="1">
        <v>2889.1</v>
      </c>
      <c r="AR473" s="1">
        <v>2869.8</v>
      </c>
      <c r="AS473" s="1">
        <v>3000.01</v>
      </c>
      <c r="AT473" s="1">
        <v>2931.35</v>
      </c>
      <c r="AU473" s="1">
        <v>2825.4</v>
      </c>
      <c r="AX473" s="1">
        <v>116.62</v>
      </c>
      <c r="AY473" s="1">
        <v>2732.38</v>
      </c>
      <c r="BA473" s="1">
        <v>119.66</v>
      </c>
      <c r="BB473" s="1">
        <v>131.07</v>
      </c>
      <c r="BC473" s="1">
        <v>126.59</v>
      </c>
      <c r="BD473" s="1">
        <v>128.09</v>
      </c>
      <c r="BE473" s="1">
        <v>121.99</v>
      </c>
      <c r="BF473" s="1">
        <v>122.51</v>
      </c>
      <c r="BG473" s="1">
        <v>128.41999999999999</v>
      </c>
      <c r="BH473" s="1">
        <v>116.09</v>
      </c>
      <c r="BI473" s="1">
        <v>121.99</v>
      </c>
      <c r="BJ473" s="1">
        <v>127.54</v>
      </c>
      <c r="BK473" s="1">
        <v>112.33</v>
      </c>
      <c r="BL473" s="1">
        <v>113.17</v>
      </c>
      <c r="BN473" s="1">
        <v>111.32</v>
      </c>
    </row>
    <row r="474" spans="1:66" x14ac:dyDescent="0.3">
      <c r="A474" s="2"/>
      <c r="C474" s="14" t="str">
        <f t="shared" si="8"/>
        <v>20245</v>
      </c>
      <c r="D474" s="3">
        <v>45421</v>
      </c>
      <c r="E474" s="21">
        <v>2220.63</v>
      </c>
      <c r="F474" s="21">
        <v>2220.5</v>
      </c>
      <c r="G474" s="21">
        <v>2186.37</v>
      </c>
      <c r="H474" s="21">
        <v>2459.83</v>
      </c>
      <c r="I474" s="21">
        <v>1971.7</v>
      </c>
      <c r="J474" s="21">
        <v>2122.44</v>
      </c>
      <c r="K474" s="21">
        <v>2015.66</v>
      </c>
      <c r="L474" s="21">
        <v>2097.0300000000002</v>
      </c>
      <c r="M474" s="21">
        <v>1998.59</v>
      </c>
      <c r="N474" s="21">
        <v>1995.78</v>
      </c>
      <c r="O474" s="21">
        <v>2079.21</v>
      </c>
      <c r="P474" s="21">
        <v>2009.1</v>
      </c>
      <c r="Q474" s="21">
        <v>4928.13</v>
      </c>
      <c r="R474" s="20">
        <v>117.19</v>
      </c>
      <c r="S474" s="20">
        <v>106.01</v>
      </c>
      <c r="T474" s="21">
        <v>119.1</v>
      </c>
      <c r="V474" s="1">
        <v>114.69</v>
      </c>
      <c r="W474" s="1">
        <v>121.08</v>
      </c>
      <c r="X474" s="1">
        <v>120.39</v>
      </c>
      <c r="Y474" s="1">
        <v>116.85</v>
      </c>
      <c r="Z474" s="1">
        <v>117.52</v>
      </c>
      <c r="AA474" s="1">
        <v>118.7</v>
      </c>
      <c r="AB474" s="1">
        <v>121.08</v>
      </c>
      <c r="AC474" s="1">
        <v>112.59</v>
      </c>
      <c r="AE474" s="1">
        <v>126.86</v>
      </c>
      <c r="AF474" s="1">
        <v>126.44</v>
      </c>
      <c r="AG474" s="1">
        <v>113.13</v>
      </c>
      <c r="AI474" s="1">
        <v>7</v>
      </c>
      <c r="AL474" s="1">
        <v>30</v>
      </c>
      <c r="AN474" s="1">
        <v>2961.62</v>
      </c>
      <c r="AQ474" s="1">
        <v>2937</v>
      </c>
      <c r="AR474" s="1">
        <v>2870.39</v>
      </c>
      <c r="AS474" s="1">
        <v>3058.12</v>
      </c>
      <c r="AT474" s="1">
        <v>2903.82</v>
      </c>
      <c r="AU474" s="1">
        <v>2825.98</v>
      </c>
      <c r="AX474" s="1">
        <v>116.61</v>
      </c>
      <c r="AY474" s="1">
        <v>2752.18</v>
      </c>
      <c r="AZ474" s="1">
        <v>2998.54</v>
      </c>
      <c r="BA474" s="1">
        <v>119.44</v>
      </c>
      <c r="BB474" s="1">
        <v>129.79</v>
      </c>
      <c r="BC474" s="1">
        <v>126.79</v>
      </c>
      <c r="BD474" s="1">
        <v>128.16999999999999</v>
      </c>
      <c r="BE474" s="1">
        <v>122.41</v>
      </c>
      <c r="BF474" s="1">
        <v>122.51</v>
      </c>
      <c r="BG474" s="1">
        <v>128.41</v>
      </c>
      <c r="BH474" s="1">
        <v>115.34</v>
      </c>
      <c r="BI474" s="1">
        <v>121.99</v>
      </c>
      <c r="BJ474" s="1">
        <v>126.9</v>
      </c>
      <c r="BK474" s="1">
        <v>112.32</v>
      </c>
      <c r="BL474" s="1">
        <v>112.24</v>
      </c>
      <c r="BN474" s="1">
        <v>111.3</v>
      </c>
    </row>
    <row r="475" spans="1:66" x14ac:dyDescent="0.3">
      <c r="A475" s="2"/>
      <c r="C475" s="14" t="str">
        <f t="shared" si="8"/>
        <v>20245</v>
      </c>
      <c r="D475" s="3">
        <v>45420</v>
      </c>
      <c r="E475" s="21">
        <v>2238.5300000000002</v>
      </c>
      <c r="F475" s="21">
        <v>2220.5</v>
      </c>
      <c r="G475" s="21">
        <v>2186.37</v>
      </c>
      <c r="H475" s="21">
        <v>2475.77</v>
      </c>
      <c r="I475" s="21">
        <v>1981.61</v>
      </c>
      <c r="J475" s="21">
        <v>2105.3000000000002</v>
      </c>
      <c r="K475" s="21">
        <v>1991.87</v>
      </c>
      <c r="L475" s="21">
        <v>2097.0300000000002</v>
      </c>
      <c r="M475" s="21">
        <v>2008.49</v>
      </c>
      <c r="N475" s="21">
        <v>2029.33</v>
      </c>
      <c r="O475" s="21">
        <v>2068.3200000000002</v>
      </c>
      <c r="P475" s="21">
        <v>1975.95</v>
      </c>
      <c r="Q475" s="21">
        <v>4889.5200000000004</v>
      </c>
      <c r="R475" s="20">
        <v>117.19</v>
      </c>
      <c r="S475" s="20">
        <v>104.67</v>
      </c>
      <c r="T475" s="21">
        <v>118.64</v>
      </c>
      <c r="V475" s="1">
        <v>114.36</v>
      </c>
      <c r="W475" s="1">
        <v>120.74</v>
      </c>
      <c r="X475" s="1">
        <v>120.5</v>
      </c>
      <c r="Y475" s="1">
        <v>116.85</v>
      </c>
      <c r="Z475" s="1">
        <v>116.93</v>
      </c>
      <c r="AA475" s="1">
        <v>118.7</v>
      </c>
      <c r="AB475" s="1">
        <v>120.96</v>
      </c>
      <c r="AC475" s="1">
        <v>110.92</v>
      </c>
      <c r="AE475" s="1">
        <v>126.86</v>
      </c>
      <c r="AF475" s="1">
        <v>126.44</v>
      </c>
      <c r="AG475" s="1">
        <v>113.19</v>
      </c>
      <c r="AI475" s="1">
        <v>7</v>
      </c>
      <c r="AL475" s="1">
        <v>30</v>
      </c>
      <c r="AN475" s="1">
        <v>2961.62</v>
      </c>
      <c r="AQ475" s="1">
        <v>2937</v>
      </c>
      <c r="AR475" s="1">
        <v>2870.39</v>
      </c>
      <c r="AS475" s="1">
        <v>3058.12</v>
      </c>
      <c r="AT475" s="1">
        <v>2899.05</v>
      </c>
      <c r="AU475" s="1">
        <v>2861.31</v>
      </c>
      <c r="AX475" s="1">
        <v>116.89</v>
      </c>
      <c r="AY475" s="1">
        <v>2782.53</v>
      </c>
      <c r="AZ475" s="1">
        <v>2998.54</v>
      </c>
      <c r="BA475" s="1">
        <v>119.16</v>
      </c>
      <c r="BB475" s="1">
        <v>130.25</v>
      </c>
      <c r="BC475" s="1">
        <v>126.58</v>
      </c>
      <c r="BD475" s="1">
        <v>128.35</v>
      </c>
      <c r="BE475" s="1">
        <v>122.41</v>
      </c>
      <c r="BF475" s="1">
        <v>122.51</v>
      </c>
      <c r="BG475" s="1">
        <v>127.42</v>
      </c>
      <c r="BH475" s="1">
        <v>114.09</v>
      </c>
      <c r="BI475" s="1">
        <v>121.99</v>
      </c>
      <c r="BJ475" s="1">
        <v>126.89</v>
      </c>
      <c r="BK475" s="1">
        <v>112.32</v>
      </c>
      <c r="BL475" s="1">
        <v>112.24</v>
      </c>
      <c r="BN475" s="1">
        <v>111.3</v>
      </c>
    </row>
    <row r="476" spans="1:66" x14ac:dyDescent="0.3">
      <c r="A476" s="2"/>
      <c r="C476" s="14" t="str">
        <f t="shared" si="8"/>
        <v>20245</v>
      </c>
      <c r="D476" s="3">
        <v>45419</v>
      </c>
      <c r="E476" s="21">
        <v>2224.61</v>
      </c>
      <c r="F476" s="21">
        <v>2220.5</v>
      </c>
      <c r="G476" s="21">
        <v>2186.37</v>
      </c>
      <c r="H476" s="21">
        <v>2425.89</v>
      </c>
      <c r="I476" s="21">
        <v>1957.83</v>
      </c>
      <c r="J476" s="21">
        <v>2125.91</v>
      </c>
      <c r="K476" s="21">
        <v>1925.2</v>
      </c>
      <c r="L476" s="21">
        <v>2060.4</v>
      </c>
      <c r="M476" s="21">
        <v>1988.69</v>
      </c>
      <c r="N476" s="21">
        <v>2015.06</v>
      </c>
      <c r="O476" s="21">
        <v>2065.81</v>
      </c>
      <c r="P476" s="21">
        <v>1942.62</v>
      </c>
      <c r="Q476" s="21">
        <v>4876.78</v>
      </c>
      <c r="R476" s="20">
        <v>117.19</v>
      </c>
      <c r="S476" s="20">
        <v>104.93</v>
      </c>
      <c r="T476" s="21">
        <v>118.06</v>
      </c>
      <c r="V476" s="1">
        <v>112.14</v>
      </c>
      <c r="W476" s="1">
        <v>119.91</v>
      </c>
      <c r="X476" s="1">
        <v>119.46</v>
      </c>
      <c r="Y476" s="1">
        <v>115.49</v>
      </c>
      <c r="Z476" s="1">
        <v>115.94</v>
      </c>
      <c r="AA476" s="1">
        <v>118.44</v>
      </c>
      <c r="AB476" s="1">
        <v>119.21</v>
      </c>
      <c r="AC476" s="1">
        <v>109.59</v>
      </c>
      <c r="AE476" s="1">
        <v>125.74</v>
      </c>
      <c r="AF476" s="1">
        <v>126.44</v>
      </c>
      <c r="AG476" s="1">
        <v>112.44</v>
      </c>
      <c r="AI476" s="1">
        <v>7</v>
      </c>
      <c r="AL476" s="1">
        <v>30</v>
      </c>
      <c r="AN476" s="1">
        <v>2961.62</v>
      </c>
      <c r="AQ476" s="1">
        <v>2937</v>
      </c>
      <c r="AT476" s="1">
        <v>2899.05</v>
      </c>
      <c r="AU476" s="1">
        <v>2861.31</v>
      </c>
      <c r="AX476" s="1">
        <v>114.96</v>
      </c>
      <c r="AY476" s="1">
        <v>2817.57</v>
      </c>
      <c r="AZ476" s="1">
        <v>2998.54</v>
      </c>
      <c r="BA476" s="1">
        <v>119.16</v>
      </c>
      <c r="BB476" s="1">
        <v>129.66999999999999</v>
      </c>
      <c r="BC476" s="1">
        <v>126.8</v>
      </c>
      <c r="BD476" s="1">
        <v>127.61</v>
      </c>
      <c r="BE476" s="1">
        <v>122.38</v>
      </c>
      <c r="BF476" s="1">
        <v>122.26</v>
      </c>
      <c r="BG476" s="1">
        <v>124.92</v>
      </c>
      <c r="BH476" s="1">
        <v>113.09</v>
      </c>
      <c r="BI476" s="1">
        <v>121.49</v>
      </c>
      <c r="BJ476" s="1">
        <v>125.88</v>
      </c>
      <c r="BK476" s="1">
        <v>110.32</v>
      </c>
      <c r="BL476" s="1">
        <v>111.24</v>
      </c>
      <c r="BN476" s="1">
        <v>110.31</v>
      </c>
    </row>
    <row r="477" spans="1:66" x14ac:dyDescent="0.3">
      <c r="A477" s="2"/>
      <c r="C477" s="14" t="str">
        <f t="shared" si="8"/>
        <v>20245</v>
      </c>
      <c r="D477" s="3">
        <v>45418</v>
      </c>
      <c r="E477" s="21">
        <v>2204.7199999999998</v>
      </c>
      <c r="F477" s="21">
        <v>2225.59</v>
      </c>
      <c r="G477" s="21">
        <v>2178.12</v>
      </c>
      <c r="H477" s="21">
        <v>2426.65</v>
      </c>
      <c r="I477" s="21">
        <v>1957.83</v>
      </c>
      <c r="J477" s="21">
        <v>1986.4</v>
      </c>
      <c r="K477" s="21">
        <v>1908.59</v>
      </c>
      <c r="L477" s="21">
        <v>2043.88</v>
      </c>
      <c r="M477" s="21">
        <v>1904.63</v>
      </c>
      <c r="N477" s="21">
        <v>1975.67</v>
      </c>
      <c r="O477" s="21">
        <v>2009.39</v>
      </c>
      <c r="P477" s="21">
        <v>1929.32</v>
      </c>
      <c r="Q477" s="21">
        <v>4843.72</v>
      </c>
      <c r="R477" s="20">
        <v>116.2</v>
      </c>
      <c r="S477" s="20">
        <v>104.93</v>
      </c>
      <c r="T477" s="21">
        <v>115.97</v>
      </c>
      <c r="V477" s="1">
        <v>111.92</v>
      </c>
      <c r="W477" s="1">
        <v>117.18</v>
      </c>
      <c r="X477" s="1">
        <v>117.96</v>
      </c>
      <c r="Y477" s="1">
        <v>113.92</v>
      </c>
      <c r="Z477" s="1">
        <v>114.28</v>
      </c>
      <c r="AA477" s="1">
        <v>117.38</v>
      </c>
      <c r="AB477" s="1">
        <v>118.58</v>
      </c>
      <c r="AC477" s="1">
        <v>109.59</v>
      </c>
      <c r="AE477" s="1">
        <v>124.12</v>
      </c>
      <c r="AF477" s="1">
        <v>120.82</v>
      </c>
      <c r="AG477" s="1">
        <v>110.01</v>
      </c>
      <c r="AI477" s="1">
        <v>7</v>
      </c>
      <c r="AN477" s="1">
        <v>2961.62</v>
      </c>
      <c r="AQ477" s="1">
        <v>2997.56</v>
      </c>
      <c r="AR477" s="1">
        <v>3017.75</v>
      </c>
      <c r="AS477" s="1">
        <v>2748.6</v>
      </c>
      <c r="AT477" s="1">
        <v>2899.05</v>
      </c>
      <c r="AU477" s="1">
        <v>2861.31</v>
      </c>
      <c r="AX477" s="1">
        <v>111.79</v>
      </c>
      <c r="AY477" s="1">
        <v>2817.57</v>
      </c>
      <c r="BA477" s="1">
        <v>116.29</v>
      </c>
      <c r="BB477" s="1">
        <v>127.39</v>
      </c>
      <c r="BC477" s="1">
        <v>125.84</v>
      </c>
      <c r="BD477" s="1">
        <v>125.85</v>
      </c>
      <c r="BE477" s="1">
        <v>120.78</v>
      </c>
      <c r="BF477" s="1">
        <v>120.8</v>
      </c>
      <c r="BG477" s="1">
        <v>123.68</v>
      </c>
      <c r="BH477" s="1">
        <v>111.34</v>
      </c>
      <c r="BI477" s="1">
        <v>121.49</v>
      </c>
      <c r="BJ477" s="1">
        <v>125.86</v>
      </c>
      <c r="BK477" s="1">
        <v>109.66</v>
      </c>
      <c r="BL477" s="1">
        <v>110.37</v>
      </c>
      <c r="BN477" s="1">
        <v>109.32</v>
      </c>
    </row>
    <row r="478" spans="1:66" x14ac:dyDescent="0.3">
      <c r="A478" s="2"/>
      <c r="C478" s="14" t="str">
        <f t="shared" si="8"/>
        <v>20245</v>
      </c>
      <c r="D478" s="3">
        <v>45415</v>
      </c>
      <c r="E478" s="21">
        <v>2184.91</v>
      </c>
      <c r="F478" s="21">
        <v>2213.21</v>
      </c>
      <c r="G478" s="21">
        <v>2153.35</v>
      </c>
      <c r="H478" s="21">
        <v>2291.33</v>
      </c>
      <c r="I478" s="21">
        <v>1908.29</v>
      </c>
      <c r="J478" s="21">
        <v>1957.17</v>
      </c>
      <c r="K478" s="21">
        <v>1892.23</v>
      </c>
      <c r="L478" s="21">
        <v>1918.17</v>
      </c>
      <c r="M478" s="21">
        <v>1815.89</v>
      </c>
      <c r="N478" s="21">
        <v>1955.09</v>
      </c>
      <c r="O478" s="21">
        <v>1928.81</v>
      </c>
      <c r="P478" s="21">
        <v>1921.14</v>
      </c>
      <c r="Q478" s="21">
        <v>4889.4799999999996</v>
      </c>
      <c r="R478" s="20">
        <v>114.7</v>
      </c>
      <c r="S478" s="20">
        <v>104.53</v>
      </c>
      <c r="T478" s="21">
        <v>115.37</v>
      </c>
      <c r="V478" s="1">
        <v>110.7</v>
      </c>
      <c r="W478" s="1">
        <v>117.69</v>
      </c>
      <c r="X478" s="1">
        <v>117.84</v>
      </c>
      <c r="Y478" s="1">
        <v>113.73</v>
      </c>
      <c r="Z478" s="1">
        <v>113.93</v>
      </c>
      <c r="AA478" s="1">
        <v>114.97</v>
      </c>
      <c r="AB478" s="1">
        <v>118.38</v>
      </c>
      <c r="AC478" s="1">
        <v>108.25</v>
      </c>
      <c r="AE478" s="1">
        <v>123.56</v>
      </c>
      <c r="AF478" s="1">
        <v>120.33</v>
      </c>
      <c r="AG478" s="1">
        <v>108.09</v>
      </c>
      <c r="AI478" s="1">
        <v>7</v>
      </c>
      <c r="AL478" s="1">
        <v>30</v>
      </c>
      <c r="AN478" s="1">
        <v>2961.62</v>
      </c>
      <c r="AP478" s="1">
        <v>2964.16</v>
      </c>
      <c r="AQ478" s="1">
        <v>2967.28</v>
      </c>
      <c r="AR478" s="1">
        <v>3017.75</v>
      </c>
      <c r="AS478" s="1">
        <v>2748.6</v>
      </c>
      <c r="AU478" s="1">
        <v>2861.31</v>
      </c>
      <c r="AW478" s="1">
        <v>3023.3</v>
      </c>
      <c r="AX478" s="1">
        <v>111.78</v>
      </c>
      <c r="AY478" s="1">
        <v>2758.7</v>
      </c>
      <c r="AZ478" s="1">
        <v>2912</v>
      </c>
      <c r="BA478" s="1">
        <v>115.69</v>
      </c>
      <c r="BB478" s="1">
        <v>126.03</v>
      </c>
      <c r="BC478" s="1">
        <v>123.35</v>
      </c>
      <c r="BD478" s="1">
        <v>124.98</v>
      </c>
      <c r="BE478" s="1">
        <v>120.19</v>
      </c>
      <c r="BF478" s="1">
        <v>118.26</v>
      </c>
      <c r="BG478" s="1">
        <v>123.68</v>
      </c>
      <c r="BH478" s="1">
        <v>110.84</v>
      </c>
      <c r="BI478" s="1">
        <v>120.49</v>
      </c>
      <c r="BJ478" s="1">
        <v>124.03</v>
      </c>
      <c r="BK478" s="1">
        <v>107.2</v>
      </c>
      <c r="BL478" s="1">
        <v>109.58</v>
      </c>
      <c r="BN478" s="1">
        <v>107.66</v>
      </c>
    </row>
    <row r="479" spans="1:66" x14ac:dyDescent="0.3">
      <c r="A479" s="2"/>
      <c r="C479" s="14" t="str">
        <f t="shared" si="8"/>
        <v>20245</v>
      </c>
      <c r="D479" s="3">
        <v>45414</v>
      </c>
      <c r="E479" s="21">
        <v>2153.12</v>
      </c>
      <c r="F479" s="21">
        <v>2176.4699999999998</v>
      </c>
      <c r="G479" s="21">
        <v>2110.41</v>
      </c>
      <c r="H479" s="21">
        <v>2253.85</v>
      </c>
      <c r="I479" s="21">
        <v>1894.42</v>
      </c>
      <c r="J479" s="21">
        <v>1957.17</v>
      </c>
      <c r="K479" s="21">
        <v>1875.61</v>
      </c>
      <c r="L479" s="21">
        <v>1918.17</v>
      </c>
      <c r="M479" s="21">
        <v>1691.18</v>
      </c>
      <c r="N479" s="21">
        <v>1924.09</v>
      </c>
      <c r="O479" s="21">
        <v>1931.84</v>
      </c>
      <c r="P479" s="21">
        <v>1921.14</v>
      </c>
      <c r="Q479" s="21">
        <v>4929.4799999999996</v>
      </c>
      <c r="R479" s="20">
        <v>113.7</v>
      </c>
      <c r="S479" s="20">
        <v>105.01</v>
      </c>
      <c r="T479" s="21">
        <v>114.42</v>
      </c>
      <c r="V479" s="1">
        <v>110.92</v>
      </c>
      <c r="W479" s="1">
        <v>117.03</v>
      </c>
      <c r="X479" s="1">
        <v>117.34</v>
      </c>
      <c r="Y479" s="1">
        <v>112.81</v>
      </c>
      <c r="Z479" s="1">
        <v>112.83</v>
      </c>
      <c r="AA479" s="1">
        <v>113.91</v>
      </c>
      <c r="AB479" s="1">
        <v>117.24</v>
      </c>
      <c r="AC479" s="1">
        <v>108.59</v>
      </c>
      <c r="AE479" s="1">
        <v>122.3</v>
      </c>
      <c r="AF479" s="1">
        <v>120.33</v>
      </c>
      <c r="AG479" s="1">
        <v>108.42</v>
      </c>
      <c r="AL479" s="1">
        <v>30</v>
      </c>
      <c r="AP479" s="1">
        <v>2964.16</v>
      </c>
      <c r="AQ479" s="1">
        <v>2967.28</v>
      </c>
      <c r="AR479" s="1">
        <v>3017.75</v>
      </c>
      <c r="AS479" s="1">
        <v>2748.6</v>
      </c>
      <c r="AT479" s="1">
        <v>3083.35</v>
      </c>
      <c r="AU479" s="1">
        <v>2861.31</v>
      </c>
      <c r="AW479" s="1">
        <v>3023.3</v>
      </c>
      <c r="AX479" s="1">
        <v>112.53</v>
      </c>
      <c r="AY479" s="1">
        <v>2730.1</v>
      </c>
      <c r="AZ479" s="1">
        <v>2892.5</v>
      </c>
      <c r="BA479" s="1">
        <v>115.24</v>
      </c>
      <c r="BB479" s="1">
        <v>125.22</v>
      </c>
      <c r="BC479" s="1">
        <v>122.43</v>
      </c>
      <c r="BD479" s="1">
        <v>124.08</v>
      </c>
      <c r="BE479" s="1">
        <v>117.39</v>
      </c>
      <c r="BF479" s="1">
        <v>117.27</v>
      </c>
      <c r="BG479" s="1">
        <v>121.43</v>
      </c>
      <c r="BH479" s="1">
        <v>111.09</v>
      </c>
      <c r="BI479" s="1">
        <v>119.99</v>
      </c>
      <c r="BJ479" s="1">
        <v>124.02</v>
      </c>
      <c r="BK479" s="1">
        <v>107.2</v>
      </c>
      <c r="BL479" s="1">
        <v>109.18</v>
      </c>
      <c r="BN479" s="1">
        <v>107.66</v>
      </c>
    </row>
    <row r="480" spans="1:66" x14ac:dyDescent="0.3">
      <c r="A480" s="2"/>
      <c r="C480" s="14" t="str">
        <f t="shared" si="8"/>
        <v>20244</v>
      </c>
      <c r="D480" s="3">
        <v>45412</v>
      </c>
      <c r="E480" s="21">
        <v>2120.0500000000002</v>
      </c>
      <c r="F480" s="21">
        <v>2195.94</v>
      </c>
      <c r="G480" s="21">
        <v>2098.85</v>
      </c>
      <c r="H480" s="21">
        <v>2239.5700000000002</v>
      </c>
      <c r="I480" s="21">
        <v>1895.16</v>
      </c>
      <c r="J480" s="21">
        <v>1954.75</v>
      </c>
      <c r="K480" s="21">
        <v>1875.94</v>
      </c>
      <c r="L480" s="21">
        <v>1918.66</v>
      </c>
      <c r="M480" s="21">
        <v>1720.48</v>
      </c>
      <c r="N480" s="21">
        <v>1873.1</v>
      </c>
      <c r="O480" s="21">
        <v>1930.67</v>
      </c>
      <c r="P480" s="21">
        <v>1921.38</v>
      </c>
      <c r="Q480" s="21">
        <v>4970.08</v>
      </c>
      <c r="R480" s="20">
        <v>113.71</v>
      </c>
      <c r="S480" s="20">
        <v>104.16</v>
      </c>
      <c r="T480" s="21">
        <v>112.99</v>
      </c>
      <c r="V480" s="1">
        <v>110.43</v>
      </c>
      <c r="W480" s="1">
        <v>116.86</v>
      </c>
      <c r="X480" s="1">
        <v>117.72</v>
      </c>
      <c r="Y480" s="1">
        <v>111.86</v>
      </c>
      <c r="Z480" s="1">
        <v>112.14</v>
      </c>
      <c r="AA480" s="1">
        <v>113.92</v>
      </c>
      <c r="AB480" s="1">
        <v>117.96</v>
      </c>
      <c r="AC480" s="1">
        <v>107.46</v>
      </c>
      <c r="AE480" s="1">
        <v>122.69</v>
      </c>
      <c r="AF480" s="1">
        <v>120.2</v>
      </c>
      <c r="AG480" s="1">
        <v>108.08</v>
      </c>
      <c r="AL480" s="1">
        <v>30</v>
      </c>
      <c r="AP480" s="1">
        <v>2927.44</v>
      </c>
      <c r="AQ480" s="1">
        <v>2966.09</v>
      </c>
      <c r="AR480" s="1">
        <v>3016.53</v>
      </c>
      <c r="AS480" s="1">
        <v>2747.5</v>
      </c>
      <c r="AT480" s="1">
        <v>3082.11</v>
      </c>
      <c r="AU480" s="1">
        <v>2860.16</v>
      </c>
      <c r="AW480" s="1">
        <v>3022.08</v>
      </c>
      <c r="AX480" s="1">
        <v>110.6</v>
      </c>
      <c r="AY480" s="1">
        <v>2783.05</v>
      </c>
      <c r="AZ480" s="1">
        <v>2892.5</v>
      </c>
      <c r="BA480" s="1">
        <v>114.73</v>
      </c>
      <c r="BB480" s="1">
        <v>125.26</v>
      </c>
      <c r="BC480" s="1">
        <v>122.44</v>
      </c>
      <c r="BD480" s="1">
        <v>122.97</v>
      </c>
      <c r="BE480" s="1">
        <v>117.41</v>
      </c>
      <c r="BF480" s="1">
        <v>117.28</v>
      </c>
      <c r="BG480" s="1">
        <v>121.94</v>
      </c>
      <c r="BH480" s="1">
        <v>109.81</v>
      </c>
      <c r="BI480" s="1">
        <v>120</v>
      </c>
      <c r="BJ480" s="1">
        <v>121.99</v>
      </c>
      <c r="BK480" s="1">
        <v>106.88</v>
      </c>
      <c r="BL480" s="1">
        <v>107.76</v>
      </c>
      <c r="BN480" s="1">
        <v>107.03</v>
      </c>
    </row>
    <row r="481" spans="1:66" x14ac:dyDescent="0.3">
      <c r="A481" s="2"/>
      <c r="C481" s="14" t="str">
        <f t="shared" si="8"/>
        <v>20244</v>
      </c>
      <c r="D481" s="3">
        <v>45411</v>
      </c>
      <c r="E481" s="21">
        <v>2100.16</v>
      </c>
      <c r="F481" s="21">
        <v>2155.29</v>
      </c>
      <c r="G481" s="21">
        <v>2091.41</v>
      </c>
      <c r="H481" s="21">
        <v>2239.5700000000002</v>
      </c>
      <c r="I481" s="21">
        <v>1837.01</v>
      </c>
      <c r="J481" s="21">
        <v>1950.5</v>
      </c>
      <c r="K481" s="21">
        <v>1859.27</v>
      </c>
      <c r="L481" s="21">
        <v>1902.06</v>
      </c>
      <c r="M481" s="21">
        <v>1778.46</v>
      </c>
      <c r="N481" s="21">
        <v>1831.02</v>
      </c>
      <c r="O481" s="21">
        <v>1926.18</v>
      </c>
      <c r="P481" s="21">
        <v>1909.72</v>
      </c>
      <c r="Q481" s="21">
        <v>4970.08</v>
      </c>
      <c r="R481" s="20">
        <v>111.37</v>
      </c>
      <c r="S481" s="20">
        <v>104.44</v>
      </c>
      <c r="T481" s="21">
        <v>113.54</v>
      </c>
      <c r="V481" s="1">
        <v>110.43</v>
      </c>
      <c r="W481" s="1">
        <v>116.7</v>
      </c>
      <c r="X481" s="1">
        <v>118.4</v>
      </c>
      <c r="Y481" s="1">
        <v>111.86</v>
      </c>
      <c r="Z481" s="1">
        <v>112.14</v>
      </c>
      <c r="AA481" s="1">
        <v>113.33</v>
      </c>
      <c r="AB481" s="1">
        <v>118.33</v>
      </c>
      <c r="AC481" s="1">
        <v>107.62</v>
      </c>
      <c r="AE481" s="1">
        <v>122.31</v>
      </c>
      <c r="AF481" s="1">
        <v>120.54</v>
      </c>
      <c r="AG481" s="1">
        <v>108.48</v>
      </c>
      <c r="AL481" s="1">
        <v>30</v>
      </c>
      <c r="AP481" s="1">
        <v>2927.44</v>
      </c>
      <c r="AT481" s="1">
        <v>3082.11</v>
      </c>
      <c r="AU481" s="1">
        <v>2783.48</v>
      </c>
      <c r="AW481" s="1">
        <v>3022.08</v>
      </c>
      <c r="AX481" s="1">
        <v>110.21</v>
      </c>
      <c r="AY481" s="1">
        <v>2795.84</v>
      </c>
      <c r="AZ481" s="1">
        <v>2848.12</v>
      </c>
      <c r="BA481" s="1">
        <v>115.32</v>
      </c>
      <c r="BB481" s="1">
        <v>124.37</v>
      </c>
      <c r="BC481" s="1">
        <v>122.16</v>
      </c>
      <c r="BD481" s="1">
        <v>123.76</v>
      </c>
      <c r="BE481" s="1">
        <v>116.81</v>
      </c>
      <c r="BF481" s="1">
        <v>116.82</v>
      </c>
      <c r="BG481" s="1">
        <v>121.94</v>
      </c>
      <c r="BH481" s="1">
        <v>109.81</v>
      </c>
      <c r="BI481" s="1">
        <v>120</v>
      </c>
      <c r="BJ481" s="1">
        <v>122.23</v>
      </c>
      <c r="BK481" s="1">
        <v>108.11</v>
      </c>
      <c r="BL481" s="1">
        <v>107.76</v>
      </c>
      <c r="BN481" s="1">
        <v>107.03</v>
      </c>
    </row>
    <row r="482" spans="1:66" x14ac:dyDescent="0.3">
      <c r="A482" s="2"/>
      <c r="C482" s="14" t="str">
        <f t="shared" si="8"/>
        <v>20244</v>
      </c>
      <c r="D482" s="3">
        <v>45408</v>
      </c>
      <c r="E482" s="21">
        <v>2096.21</v>
      </c>
      <c r="F482" s="21">
        <v>2133.2600000000002</v>
      </c>
      <c r="G482" s="21">
        <v>2079.02</v>
      </c>
      <c r="H482" s="21">
        <v>2027.86</v>
      </c>
      <c r="I482" s="21">
        <v>1837.01</v>
      </c>
      <c r="J482" s="21">
        <v>1950.5</v>
      </c>
      <c r="K482" s="21">
        <v>1928.99</v>
      </c>
      <c r="L482" s="21">
        <v>1902.06</v>
      </c>
      <c r="M482" s="21">
        <v>1778.46</v>
      </c>
      <c r="N482" s="21">
        <v>1814.04</v>
      </c>
      <c r="O482" s="21">
        <v>1902.18</v>
      </c>
      <c r="P482" s="21">
        <v>1926.31</v>
      </c>
      <c r="Q482" s="21">
        <v>5017.83</v>
      </c>
      <c r="R482" s="20">
        <v>111.37</v>
      </c>
      <c r="S482" s="20">
        <v>104.53</v>
      </c>
      <c r="T482" s="21">
        <v>113.74</v>
      </c>
      <c r="V482" s="1">
        <v>110.16</v>
      </c>
      <c r="W482" s="1">
        <v>117.03</v>
      </c>
      <c r="X482" s="1">
        <v>118.84</v>
      </c>
      <c r="Y482" s="1">
        <v>112.29</v>
      </c>
      <c r="Z482" s="1">
        <v>112.93</v>
      </c>
      <c r="AA482" s="1">
        <v>113.24</v>
      </c>
      <c r="AB482" s="1">
        <v>118.96</v>
      </c>
      <c r="AC482" s="1">
        <v>108.09</v>
      </c>
      <c r="AE482" s="1">
        <v>122.26</v>
      </c>
      <c r="AF482" s="1">
        <v>120.54</v>
      </c>
      <c r="AG482" s="1">
        <v>108.46</v>
      </c>
      <c r="AI482" s="1">
        <v>7</v>
      </c>
      <c r="AK482" s="1">
        <v>30</v>
      </c>
      <c r="AN482" s="1">
        <v>2889.73</v>
      </c>
      <c r="AP482" s="1">
        <v>2899.01</v>
      </c>
      <c r="AS482" s="1">
        <v>2937.5</v>
      </c>
      <c r="AT482" s="1">
        <v>3082.11</v>
      </c>
      <c r="AU482" s="1">
        <v>2783.48</v>
      </c>
      <c r="AW482" s="1">
        <v>3026.62</v>
      </c>
      <c r="AX482" s="1">
        <v>110.71</v>
      </c>
      <c r="AY482" s="1">
        <v>2752.39</v>
      </c>
      <c r="AZ482" s="1">
        <v>2840.99</v>
      </c>
      <c r="BA482" s="1">
        <v>115.3</v>
      </c>
      <c r="BB482" s="1">
        <v>124.65</v>
      </c>
      <c r="BC482" s="1">
        <v>122.82</v>
      </c>
      <c r="BD482" s="1">
        <v>123.88</v>
      </c>
      <c r="BE482" s="1">
        <v>115.94</v>
      </c>
      <c r="BF482" s="1">
        <v>116.82</v>
      </c>
      <c r="BG482" s="1">
        <v>122.56</v>
      </c>
      <c r="BH482" s="1">
        <v>110.23</v>
      </c>
      <c r="BI482" s="1">
        <v>120.33</v>
      </c>
      <c r="BJ482" s="1">
        <v>123.19</v>
      </c>
      <c r="BK482" s="1">
        <v>108.45</v>
      </c>
      <c r="BL482" s="1">
        <v>108.51</v>
      </c>
      <c r="BN482" s="1">
        <v>107.69</v>
      </c>
    </row>
    <row r="483" spans="1:66" x14ac:dyDescent="0.3">
      <c r="A483" s="2"/>
      <c r="C483" s="14" t="str">
        <f t="shared" si="8"/>
        <v>20244</v>
      </c>
      <c r="D483" s="3">
        <v>45407</v>
      </c>
      <c r="E483" s="21">
        <v>2096.21</v>
      </c>
      <c r="F483" s="21">
        <v>2078.1999999999998</v>
      </c>
      <c r="G483" s="21">
        <v>2079.02</v>
      </c>
      <c r="H483" s="21">
        <v>2078.4299999999998</v>
      </c>
      <c r="I483" s="21">
        <v>1887.23</v>
      </c>
      <c r="J483" s="21">
        <v>1939.07</v>
      </c>
      <c r="K483" s="21">
        <v>1879.17</v>
      </c>
      <c r="L483" s="21">
        <v>1921.88</v>
      </c>
      <c r="M483" s="21">
        <v>1778.46</v>
      </c>
      <c r="N483" s="21">
        <v>1814.04</v>
      </c>
      <c r="O483" s="21">
        <v>1898.18</v>
      </c>
      <c r="P483" s="21">
        <v>1899.74</v>
      </c>
      <c r="Q483" s="21">
        <v>5107.83</v>
      </c>
      <c r="R483" s="20">
        <v>112.04</v>
      </c>
      <c r="S483" s="20">
        <v>104.74</v>
      </c>
      <c r="T483" s="21">
        <v>113.91</v>
      </c>
      <c r="V483" s="1">
        <v>111.31</v>
      </c>
      <c r="W483" s="1">
        <v>117.53</v>
      </c>
      <c r="X483" s="1">
        <v>119.47</v>
      </c>
      <c r="Y483" s="1">
        <v>112.85</v>
      </c>
      <c r="Z483" s="1">
        <v>112.93</v>
      </c>
      <c r="AA483" s="1">
        <v>113.37</v>
      </c>
      <c r="AB483" s="1">
        <v>119.67</v>
      </c>
      <c r="AC483" s="1">
        <v>109.42</v>
      </c>
      <c r="AE483" s="1">
        <v>123.51</v>
      </c>
      <c r="AF483" s="1">
        <v>120.54</v>
      </c>
      <c r="AG483" s="1">
        <v>108.45</v>
      </c>
      <c r="AI483" s="1">
        <v>7</v>
      </c>
      <c r="AK483" s="1">
        <v>30</v>
      </c>
      <c r="AN483" s="1">
        <v>2889.73</v>
      </c>
      <c r="AP483" s="1">
        <v>2910.15</v>
      </c>
      <c r="AR483" s="1">
        <v>2740.77</v>
      </c>
      <c r="AS483" s="1">
        <v>2937.5</v>
      </c>
      <c r="AU483" s="1">
        <v>2783.48</v>
      </c>
      <c r="AW483" s="1">
        <v>3026.62</v>
      </c>
      <c r="AX483" s="1">
        <v>110.71</v>
      </c>
      <c r="AY483" s="1">
        <v>2780.46</v>
      </c>
      <c r="AZ483" s="1">
        <v>2848.39</v>
      </c>
      <c r="BA483" s="1">
        <v>114.45</v>
      </c>
      <c r="BB483" s="1">
        <v>125.4</v>
      </c>
      <c r="BC483" s="1">
        <v>123.11</v>
      </c>
      <c r="BD483" s="1">
        <v>124.4</v>
      </c>
      <c r="BE483" s="1">
        <v>116.44</v>
      </c>
      <c r="BF483" s="1">
        <v>117.15</v>
      </c>
      <c r="BG483" s="1">
        <v>123.19</v>
      </c>
      <c r="BH483" s="1">
        <v>111.23</v>
      </c>
      <c r="BI483" s="1">
        <v>121.33</v>
      </c>
      <c r="BJ483" s="1">
        <v>123.17</v>
      </c>
      <c r="BK483" s="1">
        <v>108.45</v>
      </c>
      <c r="BL483" s="1">
        <v>108.18</v>
      </c>
      <c r="BN483" s="1">
        <v>107.69</v>
      </c>
    </row>
    <row r="484" spans="1:66" x14ac:dyDescent="0.3">
      <c r="A484" s="2"/>
      <c r="C484" s="14" t="str">
        <f t="shared" si="8"/>
        <v>20244</v>
      </c>
      <c r="D484" s="3">
        <v>45406</v>
      </c>
      <c r="E484" s="21">
        <v>2096.21</v>
      </c>
      <c r="F484" s="21">
        <v>2133.2600000000002</v>
      </c>
      <c r="G484" s="21">
        <v>2079.02</v>
      </c>
      <c r="H484" s="21">
        <v>2035.82</v>
      </c>
      <c r="I484" s="21">
        <v>1863.44</v>
      </c>
      <c r="J484" s="21">
        <v>1870.97</v>
      </c>
      <c r="K484" s="21">
        <v>1879.17</v>
      </c>
      <c r="L484" s="21">
        <v>1921.88</v>
      </c>
      <c r="M484" s="21">
        <v>1753.73</v>
      </c>
      <c r="N484" s="21">
        <v>1820.6</v>
      </c>
      <c r="O484" s="21">
        <v>1902.94</v>
      </c>
      <c r="P484" s="21">
        <v>1886.43</v>
      </c>
      <c r="Q484" s="21">
        <v>5151.45</v>
      </c>
      <c r="R484" s="20">
        <v>112.04</v>
      </c>
      <c r="S484" s="20">
        <v>104.53</v>
      </c>
      <c r="T484" s="21">
        <v>113.9</v>
      </c>
      <c r="V484" s="1">
        <v>110.72</v>
      </c>
      <c r="W484" s="1">
        <v>116.86</v>
      </c>
      <c r="X484" s="1">
        <v>119.41</v>
      </c>
      <c r="Y484" s="1">
        <v>112.86</v>
      </c>
      <c r="Z484" s="1">
        <v>112.94</v>
      </c>
      <c r="AA484" s="1">
        <v>114.2</v>
      </c>
      <c r="AB484" s="1">
        <v>119.76</v>
      </c>
      <c r="AC484" s="1">
        <v>108.92</v>
      </c>
      <c r="AE484" s="1">
        <v>123.31</v>
      </c>
      <c r="AF484" s="1">
        <v>121.38</v>
      </c>
      <c r="AG484" s="1">
        <v>108.45</v>
      </c>
      <c r="AI484" s="1">
        <v>7</v>
      </c>
      <c r="AK484" s="1">
        <v>30</v>
      </c>
      <c r="AN484" s="1">
        <v>2889.73</v>
      </c>
      <c r="AP484" s="1">
        <v>2916.88</v>
      </c>
      <c r="AR484" s="1">
        <v>2740.77</v>
      </c>
      <c r="AS484" s="1">
        <v>2937.5</v>
      </c>
      <c r="AU484" s="1">
        <v>2860.16</v>
      </c>
      <c r="AW484" s="1">
        <v>3026.62</v>
      </c>
      <c r="AX484" s="1">
        <v>111.27</v>
      </c>
      <c r="AY484" s="1">
        <v>2698.74</v>
      </c>
      <c r="AZ484" s="1">
        <v>2848.39</v>
      </c>
      <c r="BA484" s="1">
        <v>114.6</v>
      </c>
      <c r="BB484" s="1">
        <v>125.14</v>
      </c>
      <c r="BC484" s="1">
        <v>122.95</v>
      </c>
      <c r="BD484" s="1">
        <v>123.58</v>
      </c>
      <c r="BE484" s="1">
        <v>116.43</v>
      </c>
      <c r="BF484" s="1">
        <v>118.48</v>
      </c>
      <c r="BG484" s="1">
        <v>123.69</v>
      </c>
      <c r="BH484" s="1">
        <v>110.59</v>
      </c>
      <c r="BI484" s="1">
        <v>121.66</v>
      </c>
      <c r="BJ484" s="1">
        <v>123.16</v>
      </c>
      <c r="BK484" s="1">
        <v>108.45</v>
      </c>
      <c r="BL484" s="1">
        <v>108.51</v>
      </c>
      <c r="BN484" s="1">
        <v>107.69</v>
      </c>
    </row>
    <row r="485" spans="1:66" x14ac:dyDescent="0.3">
      <c r="A485" s="2"/>
      <c r="C485" s="14" t="str">
        <f t="shared" si="8"/>
        <v>20244</v>
      </c>
      <c r="D485" s="3">
        <v>45405</v>
      </c>
      <c r="E485" s="21">
        <v>2100.19</v>
      </c>
      <c r="F485" s="21">
        <v>2078.1999999999998</v>
      </c>
      <c r="G485" s="21">
        <v>2079.02</v>
      </c>
      <c r="H485" s="21">
        <v>2011.02</v>
      </c>
      <c r="I485" s="21">
        <v>1891.19</v>
      </c>
      <c r="J485" s="21">
        <v>1921.83</v>
      </c>
      <c r="K485" s="21">
        <v>1879.17</v>
      </c>
      <c r="L485" s="21">
        <v>1921.88</v>
      </c>
      <c r="M485" s="21">
        <v>1753.73</v>
      </c>
      <c r="N485" s="21">
        <v>1815.33</v>
      </c>
      <c r="O485" s="21">
        <v>1902.95</v>
      </c>
      <c r="P485" s="21">
        <v>1886.43</v>
      </c>
      <c r="Q485" s="21">
        <v>5151.45</v>
      </c>
      <c r="R485" s="20">
        <v>111.37</v>
      </c>
      <c r="S485" s="20">
        <v>104.53</v>
      </c>
      <c r="T485" s="21">
        <v>113.63</v>
      </c>
      <c r="V485" s="1">
        <v>110.38</v>
      </c>
      <c r="W485" s="1">
        <v>116.78</v>
      </c>
      <c r="X485" s="1">
        <v>120.22</v>
      </c>
      <c r="Y485" s="1">
        <v>112.86</v>
      </c>
      <c r="Z485" s="1">
        <v>112.94</v>
      </c>
      <c r="AA485" s="1">
        <v>113.71</v>
      </c>
      <c r="AB485" s="1">
        <v>120.83</v>
      </c>
      <c r="AC485" s="1">
        <v>108.76</v>
      </c>
      <c r="AE485" s="1">
        <v>123.51</v>
      </c>
      <c r="AF485" s="1">
        <v>120.86</v>
      </c>
      <c r="AG485" s="1">
        <v>108.44</v>
      </c>
      <c r="AI485" s="1">
        <v>7</v>
      </c>
      <c r="AK485" s="1">
        <v>30</v>
      </c>
      <c r="AN485" s="1">
        <v>2889.73</v>
      </c>
      <c r="AP485" s="1">
        <v>2912</v>
      </c>
      <c r="AR485" s="1">
        <v>2740.77</v>
      </c>
      <c r="AS485" s="1">
        <v>2937.5</v>
      </c>
      <c r="AU485" s="1">
        <v>2860.16</v>
      </c>
      <c r="AW485" s="1">
        <v>3058.91</v>
      </c>
      <c r="AX485" s="1">
        <v>110.86</v>
      </c>
      <c r="AY485" s="1">
        <v>2707.15</v>
      </c>
      <c r="AZ485" s="1">
        <v>2848.39</v>
      </c>
      <c r="BA485" s="1">
        <v>113.51</v>
      </c>
      <c r="BB485" s="1">
        <v>124.87</v>
      </c>
      <c r="BC485" s="1">
        <v>121.94</v>
      </c>
      <c r="BD485" s="1">
        <v>122.79</v>
      </c>
      <c r="BE485" s="1">
        <v>116.52</v>
      </c>
      <c r="BF485" s="1">
        <v>118.15</v>
      </c>
      <c r="BG485" s="1">
        <v>123.93</v>
      </c>
      <c r="BH485" s="1">
        <v>111.38</v>
      </c>
      <c r="BI485" s="1">
        <v>120.87</v>
      </c>
      <c r="BJ485" s="1">
        <v>122.5</v>
      </c>
      <c r="BK485" s="1">
        <v>108.78</v>
      </c>
      <c r="BL485" s="1">
        <v>108.51</v>
      </c>
      <c r="BN485" s="1">
        <v>107.69</v>
      </c>
    </row>
    <row r="486" spans="1:66" x14ac:dyDescent="0.3">
      <c r="A486" s="2"/>
      <c r="C486" s="14" t="str">
        <f t="shared" si="8"/>
        <v>20244</v>
      </c>
      <c r="D486" s="3">
        <v>45404</v>
      </c>
      <c r="E486" s="21">
        <v>2086.27</v>
      </c>
      <c r="F486" s="21">
        <v>2133.2600000000002</v>
      </c>
      <c r="G486" s="21">
        <v>2074.0700000000002</v>
      </c>
      <c r="H486" s="21">
        <v>2011.02</v>
      </c>
      <c r="I486" s="21">
        <v>1863.44</v>
      </c>
      <c r="J486" s="21">
        <v>1921.83</v>
      </c>
      <c r="K486" s="21">
        <v>1879.17</v>
      </c>
      <c r="L486" s="21">
        <v>1928.91</v>
      </c>
      <c r="M486" s="21">
        <v>1753.73</v>
      </c>
      <c r="N486" s="21">
        <v>1809.74</v>
      </c>
      <c r="O486" s="21">
        <v>1909.57</v>
      </c>
      <c r="P486" s="21">
        <v>1886.43</v>
      </c>
      <c r="Q486" s="21">
        <v>5125.68</v>
      </c>
      <c r="R486" s="20">
        <v>111.37</v>
      </c>
      <c r="S486" s="20">
        <v>104.53</v>
      </c>
      <c r="T486" s="21">
        <v>113.59</v>
      </c>
      <c r="V486" s="1">
        <v>109.72</v>
      </c>
      <c r="W486" s="1">
        <v>117.2</v>
      </c>
      <c r="X486" s="1">
        <v>120.22</v>
      </c>
      <c r="Y486" s="1">
        <v>112.82</v>
      </c>
      <c r="Z486" s="1">
        <v>112.94</v>
      </c>
      <c r="AA486" s="1">
        <v>113.83</v>
      </c>
      <c r="AB486" s="1">
        <v>121.08</v>
      </c>
      <c r="AC486" s="1">
        <v>108.51</v>
      </c>
      <c r="AE486" s="1">
        <v>123.31</v>
      </c>
      <c r="AF486" s="1">
        <v>121.2</v>
      </c>
      <c r="AG486" s="1">
        <v>108.43</v>
      </c>
      <c r="AI486" s="1">
        <v>7</v>
      </c>
      <c r="AK486" s="1">
        <v>30</v>
      </c>
      <c r="AN486" s="1">
        <v>2889.73</v>
      </c>
      <c r="AP486" s="1">
        <v>2912</v>
      </c>
      <c r="AQ486" s="1">
        <v>2953.82</v>
      </c>
      <c r="AR486" s="1">
        <v>2740.77</v>
      </c>
      <c r="AS486" s="1">
        <v>2937.5</v>
      </c>
      <c r="AU486" s="1">
        <v>2966.09</v>
      </c>
      <c r="AW486" s="1">
        <v>3058.91</v>
      </c>
      <c r="AX486" s="1">
        <v>110.86</v>
      </c>
      <c r="AY486" s="1">
        <v>2671.5</v>
      </c>
      <c r="BA486" s="1">
        <v>114.26</v>
      </c>
      <c r="BB486" s="1">
        <v>124.9</v>
      </c>
      <c r="BC486" s="1">
        <v>121.57</v>
      </c>
      <c r="BD486" s="1">
        <v>122</v>
      </c>
      <c r="BE486" s="1">
        <v>116.12</v>
      </c>
      <c r="BF486" s="1">
        <v>118.15</v>
      </c>
      <c r="BG486" s="1">
        <v>123.93</v>
      </c>
      <c r="BH486" s="1">
        <v>111.18</v>
      </c>
      <c r="BI486" s="1">
        <v>119.67</v>
      </c>
      <c r="BJ486" s="1">
        <v>122.49</v>
      </c>
      <c r="BK486" s="1">
        <v>108.78</v>
      </c>
      <c r="BL486" s="1">
        <v>108.51</v>
      </c>
      <c r="BN486" s="1">
        <v>107.69</v>
      </c>
    </row>
    <row r="487" spans="1:66" x14ac:dyDescent="0.3">
      <c r="A487" s="2"/>
      <c r="C487" s="14" t="str">
        <f t="shared" si="8"/>
        <v>20244</v>
      </c>
      <c r="D487" s="3">
        <v>45401</v>
      </c>
      <c r="E487" s="21">
        <v>2088.2600000000002</v>
      </c>
      <c r="F487" s="21">
        <v>2122.25</v>
      </c>
      <c r="G487" s="21">
        <v>2074.0700000000002</v>
      </c>
      <c r="H487" s="21">
        <v>2050.2399999999998</v>
      </c>
      <c r="I487" s="21">
        <v>1871.37</v>
      </c>
      <c r="J487" s="21">
        <v>1923.48</v>
      </c>
      <c r="K487" s="21">
        <v>1879.17</v>
      </c>
      <c r="L487" s="21">
        <v>1931.79</v>
      </c>
      <c r="M487" s="21">
        <v>1753.73</v>
      </c>
      <c r="N487" s="21">
        <v>1795.22</v>
      </c>
      <c r="O487" s="21">
        <v>1902.95</v>
      </c>
      <c r="P487" s="21">
        <v>1886.43</v>
      </c>
      <c r="Q487" s="21">
        <v>5185.59</v>
      </c>
      <c r="R487" s="20">
        <v>111.37</v>
      </c>
      <c r="S487" s="20">
        <v>104.03</v>
      </c>
      <c r="T487" s="21">
        <v>112.93</v>
      </c>
      <c r="V487" s="1">
        <v>110.05</v>
      </c>
      <c r="W487" s="1">
        <v>117.2</v>
      </c>
      <c r="X487" s="1">
        <v>120.22</v>
      </c>
      <c r="Y487" s="1">
        <v>112.75</v>
      </c>
      <c r="Z487" s="1">
        <v>112.93</v>
      </c>
      <c r="AA487" s="1">
        <v>112.5</v>
      </c>
      <c r="AB487" s="1">
        <v>121.08</v>
      </c>
      <c r="AC487" s="1">
        <v>109.26</v>
      </c>
      <c r="AE487" s="1">
        <v>123.11</v>
      </c>
      <c r="AF487" s="1">
        <v>119.21</v>
      </c>
      <c r="AG487" s="1">
        <v>107.64</v>
      </c>
      <c r="AP487" s="1">
        <v>2883.57</v>
      </c>
      <c r="AQ487" s="1">
        <v>2953.82</v>
      </c>
      <c r="AR487" s="1">
        <v>2740.77</v>
      </c>
      <c r="AU487" s="1">
        <v>2966.09</v>
      </c>
      <c r="AW487" s="1">
        <v>3070.68</v>
      </c>
      <c r="AX487" s="1">
        <v>111.36</v>
      </c>
      <c r="AY487" s="1">
        <v>2723.96</v>
      </c>
      <c r="AZ487" s="1">
        <v>2840.99</v>
      </c>
      <c r="BA487" s="1">
        <v>115.38</v>
      </c>
      <c r="BB487" s="1">
        <v>124.75</v>
      </c>
      <c r="BC487" s="1">
        <v>120.95</v>
      </c>
      <c r="BD487" s="1">
        <v>121.75</v>
      </c>
      <c r="BE487" s="1">
        <v>115.24</v>
      </c>
      <c r="BF487" s="1">
        <v>117.48</v>
      </c>
      <c r="BG487" s="1">
        <v>122.73</v>
      </c>
      <c r="BH487" s="1">
        <v>111.76</v>
      </c>
      <c r="BI487" s="1">
        <v>119.34</v>
      </c>
      <c r="BJ487" s="1">
        <v>122.59</v>
      </c>
      <c r="BK487" s="1">
        <v>108.11</v>
      </c>
      <c r="BL487" s="1">
        <v>108.51</v>
      </c>
      <c r="BN487" s="1">
        <v>107.69</v>
      </c>
    </row>
    <row r="488" spans="1:66" x14ac:dyDescent="0.3">
      <c r="A488" s="2"/>
      <c r="C488" s="14" t="str">
        <f t="shared" si="8"/>
        <v>20244</v>
      </c>
      <c r="D488" s="3">
        <v>45400</v>
      </c>
      <c r="E488" s="21">
        <v>2088.2600000000002</v>
      </c>
      <c r="F488" s="21">
        <v>2122.25</v>
      </c>
      <c r="G488" s="21">
        <v>2074.0700000000002</v>
      </c>
      <c r="H488" s="21">
        <v>2073</v>
      </c>
      <c r="I488" s="21">
        <v>1863.44</v>
      </c>
      <c r="J488" s="21">
        <v>2006.21</v>
      </c>
      <c r="K488" s="21">
        <v>1842.65</v>
      </c>
      <c r="L488" s="21">
        <v>1915.79</v>
      </c>
      <c r="M488" s="21">
        <v>1757.03</v>
      </c>
      <c r="N488" s="21">
        <v>1820.81</v>
      </c>
      <c r="O488" s="21">
        <v>1873.15</v>
      </c>
      <c r="P488" s="21">
        <v>1894.75</v>
      </c>
      <c r="Q488" s="21">
        <v>5135.59</v>
      </c>
      <c r="R488" s="20">
        <v>111.37</v>
      </c>
      <c r="S488" s="20">
        <v>104.24</v>
      </c>
      <c r="T488" s="21">
        <v>112.92</v>
      </c>
      <c r="V488" s="1">
        <v>110.16</v>
      </c>
      <c r="W488" s="1">
        <v>116.78</v>
      </c>
      <c r="X488" s="1">
        <v>119.96</v>
      </c>
      <c r="Y488" s="1">
        <v>112.74</v>
      </c>
      <c r="Z488" s="1">
        <v>112.54</v>
      </c>
      <c r="AA488" s="1">
        <v>112.31</v>
      </c>
      <c r="AB488" s="1">
        <v>120.33</v>
      </c>
      <c r="AC488" s="1">
        <v>109.59</v>
      </c>
      <c r="AE488" s="1">
        <v>123.71</v>
      </c>
      <c r="AF488" s="1">
        <v>119.87</v>
      </c>
      <c r="AG488" s="1">
        <v>107.86</v>
      </c>
      <c r="AP488" s="1">
        <v>2852.5</v>
      </c>
      <c r="AQ488" s="1">
        <v>2953.82</v>
      </c>
      <c r="AR488" s="1">
        <v>2740.77</v>
      </c>
      <c r="AS488" s="1">
        <v>3117.42</v>
      </c>
      <c r="AU488" s="1">
        <v>2966.09</v>
      </c>
      <c r="AW488" s="1">
        <v>3070.68</v>
      </c>
      <c r="AX488" s="1">
        <v>110.86</v>
      </c>
      <c r="AY488" s="1">
        <v>2719.76</v>
      </c>
      <c r="AZ488" s="1">
        <v>2885.38</v>
      </c>
      <c r="BA488" s="1">
        <v>115.23</v>
      </c>
      <c r="BB488" s="1">
        <v>124.69</v>
      </c>
      <c r="BC488" s="1">
        <v>120.95</v>
      </c>
      <c r="BD488" s="1">
        <v>121.9</v>
      </c>
      <c r="BE488" s="1">
        <v>115.37</v>
      </c>
      <c r="BF488" s="1">
        <v>117.48</v>
      </c>
      <c r="BG488" s="1">
        <v>122.33</v>
      </c>
      <c r="BH488" s="1">
        <v>112.01</v>
      </c>
      <c r="BI488" s="1">
        <v>119.34</v>
      </c>
      <c r="BJ488" s="1">
        <v>122.58</v>
      </c>
      <c r="BK488" s="1">
        <v>107.26</v>
      </c>
      <c r="BL488" s="1">
        <v>108.51</v>
      </c>
      <c r="BN488" s="1">
        <v>107.69</v>
      </c>
    </row>
    <row r="489" spans="1:66" x14ac:dyDescent="0.3">
      <c r="A489" s="2"/>
      <c r="C489" s="14" t="str">
        <f t="shared" si="8"/>
        <v>20244</v>
      </c>
      <c r="D489" s="3">
        <v>45399</v>
      </c>
      <c r="E489" s="21">
        <v>2084.2800000000002</v>
      </c>
      <c r="F489" s="21">
        <v>2122.25</v>
      </c>
      <c r="G489" s="21">
        <v>2074.0700000000002</v>
      </c>
      <c r="H489" s="21">
        <v>2060.61</v>
      </c>
      <c r="I489" s="21">
        <v>1863.44</v>
      </c>
      <c r="J489" s="21">
        <v>1915.22</v>
      </c>
      <c r="K489" s="21">
        <v>1907.33</v>
      </c>
      <c r="L489" s="21">
        <v>1898.75</v>
      </c>
      <c r="M489" s="21">
        <v>1757.03</v>
      </c>
      <c r="N489" s="21">
        <v>1820.81</v>
      </c>
      <c r="O489" s="21">
        <v>1878.63</v>
      </c>
      <c r="P489" s="21">
        <v>1886.43</v>
      </c>
      <c r="Q489" s="21">
        <v>5151.45</v>
      </c>
      <c r="R489" s="20">
        <v>111.37</v>
      </c>
      <c r="S489" s="20">
        <v>103.43</v>
      </c>
      <c r="T489" s="21">
        <v>112.48</v>
      </c>
      <c r="V489" s="1">
        <v>110.61</v>
      </c>
      <c r="W489" s="1">
        <v>117.2</v>
      </c>
      <c r="X489" s="1">
        <v>119.22</v>
      </c>
      <c r="Y489" s="1">
        <v>112.31</v>
      </c>
      <c r="Z489" s="1">
        <v>112.54</v>
      </c>
      <c r="AA489" s="1">
        <v>112.87</v>
      </c>
      <c r="AB489" s="1">
        <v>120.21</v>
      </c>
      <c r="AC489" s="1">
        <v>109.59</v>
      </c>
      <c r="AE489" s="1">
        <v>122.71</v>
      </c>
      <c r="AF489" s="1">
        <v>120.2</v>
      </c>
      <c r="AG489" s="1">
        <v>107.5</v>
      </c>
      <c r="AJ489" s="1">
        <v>30</v>
      </c>
      <c r="AP489" s="1">
        <v>2812.5</v>
      </c>
      <c r="AQ489" s="1">
        <v>2981.48</v>
      </c>
      <c r="AR489" s="1">
        <v>2741.12</v>
      </c>
      <c r="AS489" s="1">
        <v>3117.42</v>
      </c>
      <c r="AW489" s="1">
        <v>3070.68</v>
      </c>
      <c r="AX489" s="1">
        <v>111.36</v>
      </c>
      <c r="AY489" s="1">
        <v>2719.76</v>
      </c>
      <c r="AZ489" s="1">
        <v>2885.38</v>
      </c>
      <c r="BA489" s="1">
        <v>117.25</v>
      </c>
      <c r="BB489" s="1">
        <v>125.52</v>
      </c>
      <c r="BC489" s="1">
        <v>121.02</v>
      </c>
      <c r="BD489" s="1">
        <v>122.86</v>
      </c>
      <c r="BE489" s="1">
        <v>115.51</v>
      </c>
      <c r="BF489" s="1">
        <v>116.15</v>
      </c>
      <c r="BG489" s="1">
        <v>122.13</v>
      </c>
      <c r="BH489" s="1">
        <v>112.01</v>
      </c>
      <c r="BI489" s="1">
        <v>118.84</v>
      </c>
      <c r="BJ489" s="1">
        <v>122.56</v>
      </c>
      <c r="BK489" s="1">
        <v>107.45</v>
      </c>
      <c r="BL489" s="1">
        <v>107.76</v>
      </c>
      <c r="BN489" s="1">
        <v>107.03</v>
      </c>
    </row>
    <row r="490" spans="1:66" x14ac:dyDescent="0.3">
      <c r="A490" s="2"/>
      <c r="C490" s="14" t="str">
        <f t="shared" si="8"/>
        <v>20244</v>
      </c>
      <c r="D490" s="3">
        <v>45398</v>
      </c>
      <c r="E490" s="21">
        <v>2054.5100000000002</v>
      </c>
      <c r="F490" s="21">
        <v>2053</v>
      </c>
      <c r="G490" s="21">
        <v>2036.9</v>
      </c>
      <c r="H490" s="21">
        <v>1956.46</v>
      </c>
      <c r="I490" s="21">
        <v>1863.44</v>
      </c>
      <c r="J490" s="21">
        <v>1852.3</v>
      </c>
      <c r="K490" s="21">
        <v>1789.51</v>
      </c>
      <c r="L490" s="21">
        <v>1898.75</v>
      </c>
      <c r="M490" s="21">
        <v>1690.41</v>
      </c>
      <c r="N490" s="21">
        <v>1805.18</v>
      </c>
      <c r="O490" s="21">
        <v>1855.75</v>
      </c>
      <c r="P490" s="21">
        <v>1876.47</v>
      </c>
      <c r="Q490" s="21">
        <v>5173.3599999999997</v>
      </c>
      <c r="R490" s="20">
        <v>111.37</v>
      </c>
      <c r="S490" s="20">
        <v>103.58</v>
      </c>
      <c r="T490" s="21">
        <v>112.22</v>
      </c>
      <c r="V490" s="1">
        <v>110.27</v>
      </c>
      <c r="W490" s="1">
        <v>116.03</v>
      </c>
      <c r="X490" s="1">
        <v>118.59</v>
      </c>
      <c r="Y490" s="1">
        <v>111.08</v>
      </c>
      <c r="Z490" s="1">
        <v>111.14</v>
      </c>
      <c r="AA490" s="1">
        <v>113.83</v>
      </c>
      <c r="AB490" s="1">
        <v>118.85</v>
      </c>
      <c r="AC490" s="1">
        <v>106.95</v>
      </c>
      <c r="AE490" s="1">
        <v>122.51</v>
      </c>
      <c r="AF490" s="1">
        <v>117.89</v>
      </c>
      <c r="AG490" s="1">
        <v>107.59</v>
      </c>
      <c r="AJ490" s="1">
        <v>30</v>
      </c>
      <c r="AN490" s="1">
        <v>3110.7</v>
      </c>
      <c r="AP490" s="1">
        <v>2751.75</v>
      </c>
      <c r="AQ490" s="1">
        <v>2943.98</v>
      </c>
      <c r="AR490" s="1">
        <v>2741.12</v>
      </c>
      <c r="AS490" s="1">
        <v>3117.42</v>
      </c>
      <c r="AT490" s="1">
        <v>3278.34</v>
      </c>
      <c r="AU490" s="1">
        <v>2645.79</v>
      </c>
      <c r="AW490" s="1">
        <v>3044.28</v>
      </c>
      <c r="AX490" s="1">
        <v>108.03</v>
      </c>
      <c r="AY490" s="1">
        <v>2731.25</v>
      </c>
      <c r="AZ490" s="1">
        <v>2885.38</v>
      </c>
      <c r="BA490" s="1">
        <v>113.07</v>
      </c>
      <c r="BB490" s="1">
        <v>125.26</v>
      </c>
      <c r="BC490" s="1">
        <v>121.16</v>
      </c>
      <c r="BD490" s="1">
        <v>122.17</v>
      </c>
      <c r="BE490" s="1">
        <v>114.93</v>
      </c>
      <c r="BF490" s="1">
        <v>116.15</v>
      </c>
      <c r="BG490" s="1">
        <v>122.73</v>
      </c>
      <c r="BH490" s="1">
        <v>107.15</v>
      </c>
      <c r="BI490" s="1">
        <v>118.84</v>
      </c>
      <c r="BJ490" s="1">
        <v>122.55</v>
      </c>
      <c r="BK490" s="1">
        <v>107.45</v>
      </c>
      <c r="BL490" s="1">
        <v>107.26</v>
      </c>
      <c r="BN490" s="1">
        <v>107.03</v>
      </c>
    </row>
    <row r="491" spans="1:66" x14ac:dyDescent="0.3">
      <c r="A491" s="2"/>
      <c r="C491" s="14" t="str">
        <f t="shared" si="8"/>
        <v>20244</v>
      </c>
      <c r="D491" s="3">
        <v>45397</v>
      </c>
      <c r="E491" s="21">
        <v>2054.5100000000002</v>
      </c>
      <c r="F491" s="21">
        <v>2053</v>
      </c>
      <c r="G491" s="21">
        <v>2036.9</v>
      </c>
      <c r="H491" s="21">
        <v>1936.56</v>
      </c>
      <c r="I491" s="21">
        <v>1863.44</v>
      </c>
      <c r="J491" s="21">
        <v>1852.3</v>
      </c>
      <c r="K491" s="21">
        <v>1752.25</v>
      </c>
      <c r="L491" s="21">
        <v>1898.75</v>
      </c>
      <c r="M491" s="21">
        <v>1619.44</v>
      </c>
      <c r="N491" s="21">
        <v>1793.4</v>
      </c>
      <c r="O491" s="21">
        <v>1830.24</v>
      </c>
      <c r="P491" s="21">
        <v>1896.33</v>
      </c>
      <c r="Q491" s="21">
        <v>5170.71</v>
      </c>
      <c r="R491" s="20">
        <v>111.37</v>
      </c>
      <c r="S491" s="20">
        <v>103.29</v>
      </c>
      <c r="T491" s="21">
        <v>111.71</v>
      </c>
      <c r="V491" s="1">
        <v>109.17</v>
      </c>
      <c r="W491" s="1">
        <v>114.37</v>
      </c>
      <c r="X491" s="1">
        <v>118.09</v>
      </c>
      <c r="Y491" s="1">
        <v>110.12</v>
      </c>
      <c r="Z491" s="1">
        <v>110.14</v>
      </c>
      <c r="AA491" s="1">
        <v>112.67</v>
      </c>
      <c r="AB491" s="1">
        <v>118.85</v>
      </c>
      <c r="AC491" s="1">
        <v>107.07</v>
      </c>
      <c r="AE491" s="1">
        <v>121.39</v>
      </c>
      <c r="AF491" s="1">
        <v>118.55</v>
      </c>
      <c r="AG491" s="1">
        <v>107.33</v>
      </c>
      <c r="AI491" s="1">
        <v>45</v>
      </c>
      <c r="AJ491" s="1">
        <v>30</v>
      </c>
      <c r="AN491" s="1">
        <v>3084.4</v>
      </c>
      <c r="AP491" s="1">
        <v>2751.75</v>
      </c>
      <c r="AQ491" s="1">
        <v>2917.89</v>
      </c>
      <c r="AR491" s="1">
        <v>2729.07</v>
      </c>
      <c r="AS491" s="1">
        <v>3117.42</v>
      </c>
      <c r="AT491" s="1">
        <v>3278.34</v>
      </c>
      <c r="AU491" s="1">
        <v>2643.26</v>
      </c>
      <c r="AW491" s="1">
        <v>3044.28</v>
      </c>
      <c r="AX491" s="1">
        <v>108.03</v>
      </c>
      <c r="AY491" s="1">
        <v>2779.45</v>
      </c>
      <c r="AZ491" s="1">
        <v>2885.38</v>
      </c>
      <c r="BA491" s="1">
        <v>113.98</v>
      </c>
      <c r="BB491" s="1">
        <v>123.68</v>
      </c>
      <c r="BC491" s="1">
        <v>117.12</v>
      </c>
      <c r="BD491" s="1">
        <v>120.75</v>
      </c>
      <c r="BE491" s="1">
        <v>114.92</v>
      </c>
      <c r="BF491" s="1">
        <v>116.15</v>
      </c>
      <c r="BG491" s="1">
        <v>122.19</v>
      </c>
      <c r="BH491" s="1">
        <v>107.15</v>
      </c>
      <c r="BI491" s="1">
        <v>118.34</v>
      </c>
      <c r="BJ491" s="1">
        <v>122.53</v>
      </c>
      <c r="BK491" s="1">
        <v>107.12</v>
      </c>
      <c r="BL491" s="1">
        <v>106.51</v>
      </c>
      <c r="BN491" s="1">
        <v>106.37</v>
      </c>
    </row>
    <row r="492" spans="1:66" x14ac:dyDescent="0.3">
      <c r="A492" s="2"/>
      <c r="C492" s="14" t="str">
        <f t="shared" si="8"/>
        <v>20244</v>
      </c>
      <c r="D492" s="3">
        <v>45394</v>
      </c>
      <c r="E492" s="21">
        <v>2056.5</v>
      </c>
      <c r="F492" s="21">
        <v>1964.54</v>
      </c>
      <c r="G492" s="21">
        <v>2031.94</v>
      </c>
      <c r="H492" s="21">
        <v>1914.75</v>
      </c>
      <c r="I492" s="21">
        <v>1843.61</v>
      </c>
      <c r="J492" s="21">
        <v>1838.06</v>
      </c>
      <c r="K492" s="21">
        <v>1759.66</v>
      </c>
      <c r="L492" s="21">
        <v>1888.84</v>
      </c>
      <c r="M492" s="21">
        <v>1619.44</v>
      </c>
      <c r="N492" s="21">
        <v>1809.63</v>
      </c>
      <c r="O492" s="21">
        <v>1823.63</v>
      </c>
      <c r="P492" s="21">
        <v>1803.35</v>
      </c>
      <c r="Q492" s="21">
        <v>5141.3599999999997</v>
      </c>
      <c r="R492" s="20">
        <v>111.66</v>
      </c>
      <c r="S492" s="20">
        <v>103.12</v>
      </c>
      <c r="T492" s="21">
        <v>111.54</v>
      </c>
      <c r="V492" s="1">
        <v>108.94</v>
      </c>
      <c r="W492" s="1">
        <v>113.37</v>
      </c>
      <c r="X492" s="1">
        <v>117.34</v>
      </c>
      <c r="Y492" s="1">
        <v>109.06</v>
      </c>
      <c r="Z492" s="1">
        <v>109.44</v>
      </c>
      <c r="AA492" s="1">
        <v>112.77</v>
      </c>
      <c r="AB492" s="1">
        <v>117.2</v>
      </c>
      <c r="AC492" s="1">
        <v>107.89</v>
      </c>
      <c r="AE492" s="1">
        <v>120.39</v>
      </c>
      <c r="AF492" s="1">
        <v>118.55</v>
      </c>
      <c r="AG492" s="1">
        <v>106.36</v>
      </c>
      <c r="AI492" s="1">
        <v>45</v>
      </c>
      <c r="AJ492" s="1">
        <v>30</v>
      </c>
      <c r="AN492" s="1">
        <v>3084.4</v>
      </c>
      <c r="AP492" s="1">
        <v>2691</v>
      </c>
      <c r="AQ492" s="1">
        <v>2917.89</v>
      </c>
      <c r="AR492" s="1">
        <v>2724.93</v>
      </c>
      <c r="AS492" s="1">
        <v>3117.42</v>
      </c>
      <c r="AT492" s="1">
        <v>3345.43</v>
      </c>
      <c r="AU492" s="1">
        <v>2660.08</v>
      </c>
      <c r="AW492" s="1">
        <v>3044.28</v>
      </c>
      <c r="AX492" s="1">
        <v>106.51</v>
      </c>
      <c r="AY492" s="1">
        <v>2779.45</v>
      </c>
      <c r="BA492" s="1">
        <v>113.01</v>
      </c>
      <c r="BB492" s="1">
        <v>122.62</v>
      </c>
      <c r="BC492" s="1">
        <v>116.51</v>
      </c>
      <c r="BD492" s="1">
        <v>120.18</v>
      </c>
      <c r="BE492" s="1">
        <v>113.92</v>
      </c>
      <c r="BF492" s="1">
        <v>112.69</v>
      </c>
      <c r="BG492" s="1">
        <v>121.54</v>
      </c>
      <c r="BH492" s="1">
        <v>107.93</v>
      </c>
      <c r="BI492" s="1">
        <v>118.34</v>
      </c>
      <c r="BJ492" s="1">
        <v>122.49</v>
      </c>
      <c r="BK492" s="1">
        <v>106.79</v>
      </c>
      <c r="BL492" s="1">
        <v>106.02</v>
      </c>
      <c r="BN492" s="1">
        <v>105.71</v>
      </c>
    </row>
    <row r="493" spans="1:66" x14ac:dyDescent="0.3">
      <c r="A493" s="2"/>
      <c r="C493" s="14" t="str">
        <f t="shared" si="8"/>
        <v>20244</v>
      </c>
      <c r="D493" s="3">
        <v>45393</v>
      </c>
      <c r="E493" s="21">
        <v>2026.66</v>
      </c>
      <c r="F493" s="21">
        <v>1964.54</v>
      </c>
      <c r="G493" s="21">
        <v>2024.51</v>
      </c>
      <c r="H493" s="21">
        <v>1914.75</v>
      </c>
      <c r="I493" s="21">
        <v>1843.61</v>
      </c>
      <c r="J493" s="21">
        <v>1838.06</v>
      </c>
      <c r="K493" s="21">
        <v>1759.66</v>
      </c>
      <c r="L493" s="21">
        <v>1888.84</v>
      </c>
      <c r="M493" s="21">
        <v>1599.72</v>
      </c>
      <c r="N493" s="21">
        <v>1738.4</v>
      </c>
      <c r="O493" s="21">
        <v>1806.18</v>
      </c>
      <c r="P493" s="21">
        <v>1780.47</v>
      </c>
      <c r="Q493" s="21">
        <v>5143.41</v>
      </c>
      <c r="R493" s="20">
        <v>108.24</v>
      </c>
      <c r="S493" s="20">
        <v>102.34</v>
      </c>
      <c r="T493" s="21">
        <v>110.27</v>
      </c>
      <c r="V493" s="1">
        <v>108.44</v>
      </c>
      <c r="W493" s="1">
        <v>112.78</v>
      </c>
      <c r="X493" s="1">
        <v>118.34</v>
      </c>
      <c r="Y493" s="1">
        <v>107.87</v>
      </c>
      <c r="Z493" s="1">
        <v>108.54</v>
      </c>
      <c r="AA493" s="1">
        <v>110.73</v>
      </c>
      <c r="AB493" s="1">
        <v>117.95</v>
      </c>
      <c r="AC493" s="1">
        <v>106.26</v>
      </c>
      <c r="AE493" s="1">
        <v>121.14</v>
      </c>
      <c r="AF493" s="1">
        <v>116.56</v>
      </c>
      <c r="AG493" s="1">
        <v>106.45</v>
      </c>
      <c r="AI493" s="1">
        <v>32.33</v>
      </c>
      <c r="AJ493" s="1">
        <v>30</v>
      </c>
      <c r="AN493" s="1">
        <v>3087.27</v>
      </c>
      <c r="AP493" s="1">
        <v>2691</v>
      </c>
      <c r="AQ493" s="1">
        <v>2917.89</v>
      </c>
      <c r="AR493" s="1">
        <v>2724.93</v>
      </c>
      <c r="AT493" s="1">
        <v>3345.43</v>
      </c>
      <c r="AU493" s="1">
        <v>2660.08</v>
      </c>
      <c r="AW493" s="1">
        <v>3044.28</v>
      </c>
      <c r="AX493" s="1">
        <v>106.5</v>
      </c>
      <c r="AY493" s="1">
        <v>2765.58</v>
      </c>
      <c r="BA493" s="1">
        <v>110.36</v>
      </c>
      <c r="BB493" s="1">
        <v>121.93</v>
      </c>
      <c r="BC493" s="1">
        <v>118.22</v>
      </c>
      <c r="BD493" s="1">
        <v>119.65</v>
      </c>
      <c r="BE493" s="1">
        <v>112.77</v>
      </c>
      <c r="BF493" s="1">
        <v>112.69</v>
      </c>
      <c r="BG493" s="1">
        <v>119.23</v>
      </c>
      <c r="BH493" s="1">
        <v>107.11</v>
      </c>
      <c r="BI493" s="1">
        <v>118.01</v>
      </c>
      <c r="BJ493" s="1">
        <v>118.01</v>
      </c>
      <c r="BK493" s="1">
        <v>105.13</v>
      </c>
      <c r="BL493" s="1">
        <v>104.27</v>
      </c>
      <c r="BN493" s="1">
        <v>103.72</v>
      </c>
    </row>
    <row r="494" spans="1:66" x14ac:dyDescent="0.3">
      <c r="A494" s="2"/>
      <c r="C494" s="14" t="str">
        <f t="shared" si="8"/>
        <v>20244</v>
      </c>
      <c r="D494" s="3">
        <v>45392</v>
      </c>
      <c r="E494" s="21">
        <v>1957.03</v>
      </c>
      <c r="F494" s="21">
        <v>1926.63</v>
      </c>
      <c r="G494" s="21">
        <v>2043.51</v>
      </c>
      <c r="H494" s="21">
        <v>1986.67</v>
      </c>
      <c r="I494" s="21">
        <v>1835.68</v>
      </c>
      <c r="J494" s="21">
        <v>1838.06</v>
      </c>
      <c r="K494" s="21">
        <v>1759.66</v>
      </c>
      <c r="L494" s="21">
        <v>1888.84</v>
      </c>
      <c r="M494" s="21">
        <v>1599.72</v>
      </c>
      <c r="N494" s="21">
        <v>1734.84</v>
      </c>
      <c r="O494" s="21">
        <v>1807.44</v>
      </c>
      <c r="P494" s="21">
        <v>1780.47</v>
      </c>
      <c r="Q494" s="21">
        <v>5337.33</v>
      </c>
      <c r="R494" s="20">
        <v>108.23</v>
      </c>
      <c r="S494" s="20">
        <v>102.45</v>
      </c>
      <c r="T494" s="21">
        <v>110</v>
      </c>
      <c r="V494" s="1">
        <v>108.65</v>
      </c>
      <c r="W494" s="1">
        <v>112.18</v>
      </c>
      <c r="X494" s="1">
        <v>118.34</v>
      </c>
      <c r="Y494" s="1">
        <v>107.87</v>
      </c>
      <c r="Z494" s="1">
        <v>108.44</v>
      </c>
      <c r="AA494" s="1">
        <v>110.84</v>
      </c>
      <c r="AB494" s="1">
        <v>117.95</v>
      </c>
      <c r="AC494" s="1">
        <v>106.26</v>
      </c>
      <c r="AE494" s="1">
        <v>120.74</v>
      </c>
      <c r="AF494" s="1">
        <v>116.56</v>
      </c>
      <c r="AG494" s="1">
        <v>106.33</v>
      </c>
      <c r="AI494" s="1">
        <v>32.33</v>
      </c>
      <c r="AJ494" s="1">
        <v>30</v>
      </c>
      <c r="AN494" s="1">
        <v>3087.27</v>
      </c>
      <c r="AP494" s="1">
        <v>2691</v>
      </c>
      <c r="AQ494" s="1">
        <v>2876.01</v>
      </c>
      <c r="AR494" s="1">
        <v>2716.67</v>
      </c>
      <c r="AS494" s="1">
        <v>2903.88</v>
      </c>
      <c r="AT494" s="1">
        <v>3345.43</v>
      </c>
      <c r="AU494" s="1">
        <v>2660.08</v>
      </c>
      <c r="AW494" s="1">
        <v>3044.28</v>
      </c>
      <c r="AX494" s="1">
        <v>109.21</v>
      </c>
      <c r="AY494" s="1">
        <v>2765.58</v>
      </c>
      <c r="BA494" s="1">
        <v>108.86</v>
      </c>
      <c r="BB494" s="1">
        <v>121.47</v>
      </c>
      <c r="BC494" s="1">
        <v>118.11</v>
      </c>
      <c r="BD494" s="1">
        <v>119.59</v>
      </c>
      <c r="BE494" s="1">
        <v>112.76</v>
      </c>
      <c r="BF494" s="1">
        <v>112.68</v>
      </c>
      <c r="BG494" s="1">
        <v>119.23</v>
      </c>
      <c r="BH494" s="1">
        <v>107.11</v>
      </c>
      <c r="BI494" s="1">
        <v>118.01</v>
      </c>
      <c r="BJ494" s="1">
        <v>118.25</v>
      </c>
      <c r="BK494" s="1">
        <v>106.53</v>
      </c>
      <c r="BL494" s="1">
        <v>105.17</v>
      </c>
      <c r="BN494" s="1">
        <v>105.4</v>
      </c>
    </row>
    <row r="495" spans="1:66" x14ac:dyDescent="0.3">
      <c r="A495" s="2"/>
      <c r="C495" s="14" t="str">
        <f t="shared" si="8"/>
        <v>20244</v>
      </c>
      <c r="D495" s="3">
        <v>45391</v>
      </c>
      <c r="E495" s="21">
        <v>2032.56</v>
      </c>
      <c r="F495" s="21">
        <v>1974.45</v>
      </c>
      <c r="G495" s="21">
        <v>2104.63</v>
      </c>
      <c r="H495" s="21">
        <v>1985.91</v>
      </c>
      <c r="I495" s="21">
        <v>1849.56</v>
      </c>
      <c r="J495" s="21">
        <v>1862.9</v>
      </c>
      <c r="K495" s="21">
        <v>1759.66</v>
      </c>
      <c r="L495" s="21">
        <v>1882.23</v>
      </c>
      <c r="M495" s="21">
        <v>1623.95</v>
      </c>
      <c r="N495" s="21">
        <v>1759.6</v>
      </c>
      <c r="O495" s="21">
        <v>1801.21</v>
      </c>
      <c r="P495" s="21">
        <v>1853.24</v>
      </c>
      <c r="Q495" s="21">
        <v>5155.41</v>
      </c>
      <c r="R495" s="20">
        <v>108.23</v>
      </c>
      <c r="S495" s="20">
        <v>103.54</v>
      </c>
      <c r="T495" s="21">
        <v>110.24</v>
      </c>
      <c r="V495" s="1">
        <v>108.69</v>
      </c>
      <c r="W495" s="1">
        <v>113.26</v>
      </c>
      <c r="X495" s="1">
        <v>118.52</v>
      </c>
      <c r="Y495" s="1">
        <v>108.93</v>
      </c>
      <c r="Z495" s="1">
        <v>109.61</v>
      </c>
      <c r="AA495" s="1">
        <v>110.2</v>
      </c>
      <c r="AB495" s="1">
        <v>117.08</v>
      </c>
      <c r="AC495" s="1">
        <v>107.26</v>
      </c>
      <c r="AE495" s="1">
        <v>120.72</v>
      </c>
      <c r="AF495" s="1">
        <v>117.56</v>
      </c>
      <c r="AG495" s="1">
        <v>106.58</v>
      </c>
      <c r="AI495" s="1">
        <v>32.33</v>
      </c>
      <c r="AJ495" s="1">
        <v>30</v>
      </c>
      <c r="AN495" s="1">
        <v>3073.22</v>
      </c>
      <c r="AQ495" s="1">
        <v>2885.38</v>
      </c>
      <c r="AR495" s="1">
        <v>2716.67</v>
      </c>
      <c r="AS495" s="1">
        <v>2903.88</v>
      </c>
      <c r="AU495" s="1">
        <v>2643.68</v>
      </c>
      <c r="AW495" s="1">
        <v>3044.28</v>
      </c>
      <c r="AX495" s="1">
        <v>109.2</v>
      </c>
      <c r="AZ495" s="1">
        <v>2663.43</v>
      </c>
      <c r="BA495" s="1">
        <v>108.71</v>
      </c>
      <c r="BB495" s="1">
        <v>121.69</v>
      </c>
      <c r="BC495" s="1">
        <v>118.15</v>
      </c>
      <c r="BD495" s="1">
        <v>120.45</v>
      </c>
      <c r="BE495" s="1">
        <v>113.17</v>
      </c>
      <c r="BF495" s="1">
        <v>112.68</v>
      </c>
      <c r="BG495" s="1">
        <v>119.34</v>
      </c>
      <c r="BH495" s="1">
        <v>107.43</v>
      </c>
      <c r="BI495" s="1">
        <v>117.84</v>
      </c>
      <c r="BJ495" s="1">
        <v>117.98</v>
      </c>
      <c r="BK495" s="1">
        <v>105.79</v>
      </c>
      <c r="BL495" s="1">
        <v>105.19</v>
      </c>
      <c r="BN495" s="1">
        <v>104.49</v>
      </c>
    </row>
    <row r="496" spans="1:66" x14ac:dyDescent="0.3">
      <c r="A496" s="2"/>
      <c r="C496" s="14" t="str">
        <f t="shared" si="8"/>
        <v>20244</v>
      </c>
      <c r="D496" s="3">
        <v>45390</v>
      </c>
      <c r="E496" s="21">
        <v>2044.5</v>
      </c>
      <c r="F496" s="21">
        <v>2015.72</v>
      </c>
      <c r="G496" s="21">
        <v>2104.63</v>
      </c>
      <c r="H496" s="21">
        <v>1982.86</v>
      </c>
      <c r="I496" s="21">
        <v>1841.63</v>
      </c>
      <c r="J496" s="21">
        <v>1862.9</v>
      </c>
      <c r="K496" s="21">
        <v>1753.02</v>
      </c>
      <c r="L496" s="21">
        <v>1882.23</v>
      </c>
      <c r="M496" s="21">
        <v>1623.95</v>
      </c>
      <c r="N496" s="21">
        <v>1737.32</v>
      </c>
      <c r="O496" s="21">
        <v>1799.35</v>
      </c>
      <c r="P496" s="21">
        <v>1853.24</v>
      </c>
      <c r="Q496" s="21">
        <v>5199.2</v>
      </c>
      <c r="R496" s="20">
        <v>109.22</v>
      </c>
      <c r="S496" s="20">
        <v>103.46</v>
      </c>
      <c r="T496" s="21">
        <v>111.19</v>
      </c>
      <c r="V496" s="1">
        <v>108.69</v>
      </c>
      <c r="W496" s="1">
        <v>113.48</v>
      </c>
      <c r="X496" s="1">
        <v>118.52</v>
      </c>
      <c r="Y496" s="1">
        <v>109.86</v>
      </c>
      <c r="Z496" s="1">
        <v>110.14</v>
      </c>
      <c r="AA496" s="1">
        <v>111.81</v>
      </c>
      <c r="AB496" s="1">
        <v>117.29</v>
      </c>
      <c r="AC496" s="1">
        <v>108.34</v>
      </c>
      <c r="AE496" s="1">
        <v>119.79</v>
      </c>
      <c r="AF496" s="1">
        <v>117.56</v>
      </c>
      <c r="AG496" s="1">
        <v>106.37</v>
      </c>
      <c r="AI496" s="1">
        <v>7</v>
      </c>
      <c r="AJ496" s="1">
        <v>30</v>
      </c>
      <c r="AN496" s="1">
        <v>3092.05</v>
      </c>
      <c r="AR496" s="1">
        <v>2751.87</v>
      </c>
      <c r="AS496" s="1">
        <v>2927.98</v>
      </c>
      <c r="AU496" s="1">
        <v>2661.75</v>
      </c>
      <c r="AX496" s="1">
        <v>107.6</v>
      </c>
      <c r="AY496" s="1">
        <v>2723.96</v>
      </c>
      <c r="AZ496" s="1">
        <v>2663.43</v>
      </c>
      <c r="BA496" s="1">
        <v>110.05</v>
      </c>
      <c r="BB496" s="1">
        <v>121.42</v>
      </c>
      <c r="BC496" s="1">
        <v>119.04</v>
      </c>
      <c r="BD496" s="1">
        <v>120.31</v>
      </c>
      <c r="BE496" s="1">
        <v>114.87</v>
      </c>
      <c r="BF496" s="1">
        <v>113.38</v>
      </c>
      <c r="BG496" s="1">
        <v>119.34</v>
      </c>
      <c r="BH496" s="1">
        <v>107.57</v>
      </c>
      <c r="BI496" s="1">
        <v>117.84</v>
      </c>
      <c r="BJ496" s="1">
        <v>117.96</v>
      </c>
      <c r="BK496" s="1">
        <v>106.45</v>
      </c>
      <c r="BL496" s="1">
        <v>106.27</v>
      </c>
      <c r="BN496" s="1">
        <v>105.81</v>
      </c>
    </row>
    <row r="497" spans="1:66" x14ac:dyDescent="0.3">
      <c r="A497" s="2"/>
      <c r="C497" s="14" t="str">
        <f t="shared" si="8"/>
        <v>20244</v>
      </c>
      <c r="D497" s="3">
        <v>45387</v>
      </c>
      <c r="E497" s="21">
        <v>2044.5</v>
      </c>
      <c r="F497" s="21">
        <v>2029.46</v>
      </c>
      <c r="G497" s="21">
        <v>2104.63</v>
      </c>
      <c r="H497" s="21">
        <v>1953.03</v>
      </c>
      <c r="I497" s="21">
        <v>1837.67</v>
      </c>
      <c r="J497" s="21">
        <v>1845.03</v>
      </c>
      <c r="K497" s="21">
        <v>1753.02</v>
      </c>
      <c r="L497" s="21">
        <v>1942</v>
      </c>
      <c r="M497" s="21">
        <v>1623.95</v>
      </c>
      <c r="N497" s="21">
        <v>1727.35</v>
      </c>
      <c r="O497" s="21">
        <v>1814.4</v>
      </c>
      <c r="P497" s="21">
        <v>1853.24</v>
      </c>
      <c r="Q497" s="21">
        <v>5219.0200000000004</v>
      </c>
      <c r="R497" s="20">
        <v>109.21</v>
      </c>
      <c r="S497" s="20">
        <v>102.11</v>
      </c>
      <c r="T497" s="21">
        <v>110.83</v>
      </c>
      <c r="V497" s="1">
        <v>108.85</v>
      </c>
      <c r="W497" s="1">
        <v>113.14</v>
      </c>
      <c r="X497" s="1">
        <v>118.18</v>
      </c>
      <c r="Y497" s="1">
        <v>109.12</v>
      </c>
      <c r="Z497" s="1">
        <v>109.13</v>
      </c>
      <c r="AA497" s="1">
        <v>111.73</v>
      </c>
      <c r="AB497" s="1">
        <v>117.07</v>
      </c>
      <c r="AC497" s="1">
        <v>108.26</v>
      </c>
      <c r="AE497" s="1">
        <v>120.83</v>
      </c>
      <c r="AF497" s="1">
        <v>116.4</v>
      </c>
      <c r="AG497" s="1">
        <v>105.92</v>
      </c>
      <c r="AI497" s="1">
        <v>7</v>
      </c>
      <c r="AN497" s="1">
        <v>3176.58</v>
      </c>
      <c r="AP497" s="1">
        <v>2925</v>
      </c>
      <c r="AQ497" s="1">
        <v>2928.26</v>
      </c>
      <c r="AR497" s="1">
        <v>2804.67</v>
      </c>
      <c r="AS497" s="1">
        <v>2927.98</v>
      </c>
      <c r="AT497" s="1">
        <v>2437.64</v>
      </c>
      <c r="AU497" s="1">
        <v>2616.77</v>
      </c>
      <c r="AV497" s="1">
        <v>30</v>
      </c>
      <c r="AW497" s="1">
        <v>2940.89</v>
      </c>
      <c r="AX497" s="1">
        <v>108.1</v>
      </c>
      <c r="AY497" s="1">
        <v>2721.16</v>
      </c>
      <c r="AZ497" s="1">
        <v>2663.43</v>
      </c>
      <c r="BA497" s="1">
        <v>109.1</v>
      </c>
      <c r="BB497" s="1">
        <v>121.22</v>
      </c>
      <c r="BC497" s="1">
        <v>119.13</v>
      </c>
      <c r="BD497" s="1">
        <v>120.25</v>
      </c>
      <c r="BE497" s="1">
        <v>114.78</v>
      </c>
      <c r="BF497" s="1">
        <v>115.15</v>
      </c>
      <c r="BG497" s="1">
        <v>118.95</v>
      </c>
      <c r="BH497" s="1">
        <v>108.92</v>
      </c>
      <c r="BI497" s="1">
        <v>117.84</v>
      </c>
      <c r="BJ497" s="1">
        <v>119.27</v>
      </c>
      <c r="BK497" s="1">
        <v>107.72</v>
      </c>
      <c r="BL497" s="1">
        <v>105.77</v>
      </c>
      <c r="BN497" s="1">
        <v>105.81</v>
      </c>
    </row>
    <row r="498" spans="1:66" x14ac:dyDescent="0.3">
      <c r="A498" s="2"/>
      <c r="C498" s="14" t="str">
        <f t="shared" si="8"/>
        <v>20244</v>
      </c>
      <c r="D498" s="3">
        <v>45386</v>
      </c>
      <c r="E498" s="21">
        <v>2028.58</v>
      </c>
      <c r="F498" s="21">
        <v>2029.46</v>
      </c>
      <c r="G498" s="21">
        <v>2104.63</v>
      </c>
      <c r="H498" s="21">
        <v>1950.74</v>
      </c>
      <c r="I498" s="21">
        <v>1837.67</v>
      </c>
      <c r="J498" s="21">
        <v>1846.69</v>
      </c>
      <c r="K498" s="21">
        <v>1753.02</v>
      </c>
      <c r="L498" s="21">
        <v>1942</v>
      </c>
      <c r="M498" s="21">
        <v>1623.95</v>
      </c>
      <c r="N498" s="21">
        <v>1716.34</v>
      </c>
      <c r="O498" s="21">
        <v>1826.69</v>
      </c>
      <c r="P498" s="21">
        <v>1853.24</v>
      </c>
      <c r="Q498" s="21">
        <v>5233.08</v>
      </c>
      <c r="R498" s="20">
        <v>108.51</v>
      </c>
      <c r="S498" s="20">
        <v>101.68</v>
      </c>
      <c r="T498" s="21">
        <v>109.84</v>
      </c>
      <c r="V498" s="1">
        <v>109.06</v>
      </c>
      <c r="W498" s="1">
        <v>113.06</v>
      </c>
      <c r="X498" s="1">
        <v>116.59</v>
      </c>
      <c r="Y498" s="1">
        <v>107.87</v>
      </c>
      <c r="Z498" s="1">
        <v>108.33</v>
      </c>
      <c r="AA498" s="1">
        <v>111.09</v>
      </c>
      <c r="AB498" s="1">
        <v>116.88</v>
      </c>
      <c r="AC498" s="1">
        <v>109.01</v>
      </c>
      <c r="AE498" s="1">
        <v>119.49</v>
      </c>
      <c r="AF498" s="1">
        <v>116.73</v>
      </c>
      <c r="AG498" s="1">
        <v>105.6</v>
      </c>
      <c r="AP498" s="1">
        <v>2925</v>
      </c>
      <c r="AQ498" s="1">
        <v>2928.26</v>
      </c>
      <c r="AR498" s="1">
        <v>2804.67</v>
      </c>
      <c r="AS498" s="1">
        <v>2927.98</v>
      </c>
      <c r="AT498" s="1">
        <v>2437.64</v>
      </c>
      <c r="AU498" s="1">
        <v>2616.77</v>
      </c>
      <c r="AV498" s="1">
        <v>30</v>
      </c>
      <c r="AW498" s="1">
        <v>2940.89</v>
      </c>
      <c r="AX498" s="1">
        <v>107.66</v>
      </c>
      <c r="AY498" s="1">
        <v>2721.16</v>
      </c>
      <c r="AZ498" s="1">
        <v>2663.43</v>
      </c>
      <c r="BA498" s="1">
        <v>111.51</v>
      </c>
      <c r="BB498" s="1">
        <v>120.74</v>
      </c>
      <c r="BC498" s="1">
        <v>116.95</v>
      </c>
      <c r="BD498" s="1">
        <v>119.97</v>
      </c>
      <c r="BE498" s="1">
        <v>113.82</v>
      </c>
      <c r="BF498" s="1">
        <v>114.82</v>
      </c>
      <c r="BG498" s="1">
        <v>118.95</v>
      </c>
      <c r="BH498" s="1">
        <v>109.39</v>
      </c>
      <c r="BI498" s="1">
        <v>116.68</v>
      </c>
      <c r="BJ498" s="1">
        <v>119.26</v>
      </c>
      <c r="BK498" s="1">
        <v>106.39</v>
      </c>
      <c r="BL498" s="1">
        <v>104.27</v>
      </c>
      <c r="BN498" s="1">
        <v>103.82</v>
      </c>
    </row>
    <row r="499" spans="1:66" x14ac:dyDescent="0.3">
      <c r="A499" s="2"/>
      <c r="C499" s="14" t="str">
        <f t="shared" si="8"/>
        <v>20244</v>
      </c>
      <c r="D499" s="3">
        <v>45385</v>
      </c>
      <c r="E499" s="21">
        <v>2040.52</v>
      </c>
      <c r="F499" s="21">
        <v>2011.22</v>
      </c>
      <c r="G499" s="21">
        <v>2104.63</v>
      </c>
      <c r="H499" s="21">
        <v>1918.53</v>
      </c>
      <c r="I499" s="21">
        <v>1845.6</v>
      </c>
      <c r="J499" s="21">
        <v>1846.69</v>
      </c>
      <c r="K499" s="21">
        <v>1762.99</v>
      </c>
      <c r="L499" s="21">
        <v>1942</v>
      </c>
      <c r="M499" s="21">
        <v>1630.52</v>
      </c>
      <c r="N499" s="21">
        <v>1718.56</v>
      </c>
      <c r="O499" s="21">
        <v>1830.79</v>
      </c>
      <c r="P499" s="21">
        <v>1873.89</v>
      </c>
      <c r="Q499" s="21">
        <v>5201.18</v>
      </c>
      <c r="R499" s="20">
        <v>108.51</v>
      </c>
      <c r="S499" s="20">
        <v>101.97</v>
      </c>
      <c r="T499" s="21">
        <v>109.21</v>
      </c>
      <c r="V499" s="1">
        <v>109.31</v>
      </c>
      <c r="W499" s="1">
        <v>112.64</v>
      </c>
      <c r="X499" s="1">
        <v>116.47</v>
      </c>
      <c r="Y499" s="1">
        <v>107.87</v>
      </c>
      <c r="Z499" s="1">
        <v>108.34</v>
      </c>
      <c r="AA499" s="1">
        <v>111.09</v>
      </c>
      <c r="AB499" s="1">
        <v>116.52</v>
      </c>
      <c r="AC499" s="1">
        <v>108.76</v>
      </c>
      <c r="AE499" s="1">
        <v>119.66</v>
      </c>
      <c r="AF499" s="1">
        <v>116.73</v>
      </c>
      <c r="AG499" s="1">
        <v>106.09</v>
      </c>
      <c r="AN499" s="1">
        <v>3010.48</v>
      </c>
      <c r="AP499" s="1">
        <v>2925</v>
      </c>
      <c r="AQ499" s="1">
        <v>2928.26</v>
      </c>
      <c r="AR499" s="1">
        <v>2726.48</v>
      </c>
      <c r="AS499" s="1">
        <v>2937.54</v>
      </c>
      <c r="AT499" s="1">
        <v>2437.64</v>
      </c>
      <c r="AU499" s="1">
        <v>2616.77</v>
      </c>
      <c r="AV499" s="1">
        <v>30</v>
      </c>
      <c r="AW499" s="1">
        <v>3046.13</v>
      </c>
      <c r="AX499" s="1">
        <v>107.65</v>
      </c>
      <c r="AY499" s="1">
        <v>2721.16</v>
      </c>
      <c r="AZ499" s="1">
        <v>2663.43</v>
      </c>
      <c r="BA499" s="1">
        <v>111.32</v>
      </c>
      <c r="BB499" s="1">
        <v>122.12</v>
      </c>
      <c r="BC499" s="1">
        <v>117.81</v>
      </c>
      <c r="BD499" s="1">
        <v>120.02</v>
      </c>
      <c r="BE499" s="1">
        <v>113.81</v>
      </c>
      <c r="BF499" s="1">
        <v>115.49</v>
      </c>
      <c r="BG499" s="1">
        <v>119.15</v>
      </c>
      <c r="BH499" s="1">
        <v>109.3</v>
      </c>
      <c r="BI499" s="1">
        <v>116.68</v>
      </c>
      <c r="BJ499" s="1">
        <v>119.25</v>
      </c>
      <c r="BK499" s="1">
        <v>106.39</v>
      </c>
      <c r="BL499" s="1">
        <v>104.27</v>
      </c>
      <c r="BN499" s="1">
        <v>103.82</v>
      </c>
    </row>
    <row r="500" spans="1:66" x14ac:dyDescent="0.3">
      <c r="A500" s="2"/>
      <c r="C500" s="14" t="str">
        <f t="shared" si="8"/>
        <v>20244</v>
      </c>
      <c r="D500" s="3">
        <v>45384</v>
      </c>
      <c r="E500" s="21">
        <v>2040.52</v>
      </c>
      <c r="F500" s="21">
        <v>2011.22</v>
      </c>
      <c r="G500" s="21">
        <v>2104.63</v>
      </c>
      <c r="H500" s="21">
        <v>1904.88</v>
      </c>
      <c r="I500" s="21">
        <v>1845.6</v>
      </c>
      <c r="J500" s="21">
        <v>1860.02</v>
      </c>
      <c r="K500" s="21">
        <v>1762.99</v>
      </c>
      <c r="L500" s="21">
        <v>1909.04</v>
      </c>
      <c r="M500" s="21">
        <v>1630.52</v>
      </c>
      <c r="N500" s="21">
        <v>1721.6</v>
      </c>
      <c r="O500" s="21">
        <v>1824.66</v>
      </c>
      <c r="P500" s="21">
        <v>1873.89</v>
      </c>
      <c r="Q500" s="21">
        <v>5251.18</v>
      </c>
      <c r="R500" s="20">
        <v>108.5</v>
      </c>
      <c r="S500" s="20">
        <v>101.97</v>
      </c>
      <c r="T500" s="21">
        <v>109.2</v>
      </c>
      <c r="V500" s="1">
        <v>108.49</v>
      </c>
      <c r="W500" s="1">
        <v>112.81</v>
      </c>
      <c r="X500" s="1">
        <v>116.47</v>
      </c>
      <c r="Y500" s="1">
        <v>107.87</v>
      </c>
      <c r="Z500" s="1">
        <v>108.34</v>
      </c>
      <c r="AA500" s="1">
        <v>111.03</v>
      </c>
      <c r="AB500" s="1">
        <v>116.41</v>
      </c>
      <c r="AC500" s="1">
        <v>108.12</v>
      </c>
      <c r="AE500" s="1">
        <v>119.65</v>
      </c>
      <c r="AF500" s="1">
        <v>116.73</v>
      </c>
      <c r="AG500" s="1">
        <v>106.07</v>
      </c>
      <c r="AN500" s="1">
        <v>3010.48</v>
      </c>
      <c r="AP500" s="1">
        <v>2925</v>
      </c>
      <c r="AQ500" s="1">
        <v>2928.26</v>
      </c>
      <c r="AR500" s="1">
        <v>2726.48</v>
      </c>
      <c r="AS500" s="1">
        <v>2957.51</v>
      </c>
      <c r="AT500" s="1">
        <v>2437.64</v>
      </c>
      <c r="AU500" s="1">
        <v>2585.2399999999998</v>
      </c>
      <c r="AV500" s="1">
        <v>30</v>
      </c>
      <c r="AW500" s="1">
        <v>3046.13</v>
      </c>
      <c r="AX500" s="1">
        <v>109.6</v>
      </c>
      <c r="AY500" s="1">
        <v>2721.16</v>
      </c>
      <c r="BA500" s="1">
        <v>111.41</v>
      </c>
      <c r="BB500" s="1">
        <v>122.25</v>
      </c>
      <c r="BC500" s="1">
        <v>118.02</v>
      </c>
      <c r="BD500" s="1">
        <v>119.27</v>
      </c>
      <c r="BE500" s="1">
        <v>113.51</v>
      </c>
      <c r="BF500" s="1">
        <v>115.49</v>
      </c>
      <c r="BG500" s="1">
        <v>119.15</v>
      </c>
      <c r="BH500" s="1">
        <v>107.23</v>
      </c>
      <c r="BI500" s="1">
        <v>116.68</v>
      </c>
      <c r="BJ500" s="1">
        <v>119.31</v>
      </c>
      <c r="BK500" s="1">
        <v>106.39</v>
      </c>
      <c r="BL500" s="1">
        <v>104.27</v>
      </c>
      <c r="BN500" s="1">
        <v>103.82</v>
      </c>
    </row>
    <row r="501" spans="1:66" x14ac:dyDescent="0.3">
      <c r="A501" s="2"/>
      <c r="C501" s="14" t="str">
        <f t="shared" si="8"/>
        <v>20244</v>
      </c>
      <c r="D501" s="3">
        <v>45383</v>
      </c>
      <c r="E501" s="21">
        <v>2040.52</v>
      </c>
      <c r="F501" s="21">
        <v>2025.9</v>
      </c>
      <c r="G501" s="21">
        <v>2104.63</v>
      </c>
      <c r="H501" s="21">
        <v>1913.55</v>
      </c>
      <c r="I501" s="21">
        <v>1837.67</v>
      </c>
      <c r="J501" s="21">
        <v>1840.02</v>
      </c>
      <c r="K501" s="21">
        <v>1924.11</v>
      </c>
      <c r="L501" s="21">
        <v>1935.39</v>
      </c>
      <c r="M501" s="21">
        <v>1623.95</v>
      </c>
      <c r="N501" s="21">
        <v>1702.54</v>
      </c>
      <c r="O501" s="21">
        <v>1785.2</v>
      </c>
      <c r="P501" s="21">
        <v>1896.33</v>
      </c>
      <c r="Q501" s="21">
        <v>5156.49</v>
      </c>
      <c r="R501" s="20">
        <v>107.93</v>
      </c>
      <c r="S501" s="20">
        <v>102.26</v>
      </c>
      <c r="T501" s="21">
        <v>108.87</v>
      </c>
      <c r="V501" s="1">
        <v>108.44</v>
      </c>
      <c r="W501" s="1">
        <v>111.98</v>
      </c>
      <c r="X501" s="1">
        <v>115.52</v>
      </c>
      <c r="Y501" s="1">
        <v>107.75</v>
      </c>
      <c r="Z501" s="1">
        <v>107.95</v>
      </c>
      <c r="AA501" s="1">
        <v>110.61</v>
      </c>
      <c r="AB501" s="1">
        <v>116.24</v>
      </c>
      <c r="AC501" s="1">
        <v>108.59</v>
      </c>
      <c r="AE501" s="1">
        <v>118.65</v>
      </c>
      <c r="AF501" s="1">
        <v>116.73</v>
      </c>
      <c r="AG501" s="1">
        <v>105.88</v>
      </c>
      <c r="AN501" s="1">
        <v>3010.48</v>
      </c>
      <c r="AP501" s="1">
        <v>2925</v>
      </c>
      <c r="AQ501" s="1">
        <v>2917.66</v>
      </c>
      <c r="AR501" s="1">
        <v>2648.29</v>
      </c>
      <c r="AS501" s="1">
        <v>2948.82</v>
      </c>
      <c r="AT501" s="1">
        <v>2437.64</v>
      </c>
      <c r="AU501" s="1">
        <v>2616.41</v>
      </c>
      <c r="AV501" s="1">
        <v>30</v>
      </c>
      <c r="AW501" s="1">
        <v>3046.13</v>
      </c>
      <c r="AX501" s="1">
        <v>108.84</v>
      </c>
      <c r="AY501" s="1">
        <v>2711.35</v>
      </c>
      <c r="AZ501" s="1">
        <v>2885.38</v>
      </c>
      <c r="BA501" s="1">
        <v>111.08</v>
      </c>
      <c r="BB501" s="1">
        <v>121.65</v>
      </c>
      <c r="BC501" s="1">
        <v>116.48</v>
      </c>
      <c r="BD501" s="1">
        <v>118.7</v>
      </c>
      <c r="BE501" s="1">
        <v>113.46</v>
      </c>
      <c r="BF501" s="1">
        <v>111.94</v>
      </c>
      <c r="BG501" s="1">
        <v>118.82</v>
      </c>
      <c r="BH501" s="1">
        <v>109.17</v>
      </c>
      <c r="BI501" s="1">
        <v>115.68</v>
      </c>
      <c r="BJ501" s="1">
        <v>118.05</v>
      </c>
      <c r="BK501" s="1">
        <v>106.06</v>
      </c>
      <c r="BL501" s="1">
        <v>104.02</v>
      </c>
      <c r="BN501" s="1">
        <v>103.16</v>
      </c>
    </row>
    <row r="502" spans="1:66" x14ac:dyDescent="0.3">
      <c r="A502" s="2"/>
      <c r="C502" s="14" t="str">
        <f t="shared" si="8"/>
        <v>20243</v>
      </c>
      <c r="D502" s="3">
        <v>45379</v>
      </c>
      <c r="E502" s="21">
        <v>1978.82</v>
      </c>
      <c r="F502" s="21">
        <v>2012.06</v>
      </c>
      <c r="G502" s="21">
        <v>2105.5100000000002</v>
      </c>
      <c r="H502" s="21">
        <v>1823.96</v>
      </c>
      <c r="I502" s="21">
        <v>1838.44</v>
      </c>
      <c r="J502" s="21">
        <v>1861.17</v>
      </c>
      <c r="K502" s="21">
        <v>1924.11</v>
      </c>
      <c r="L502" s="21">
        <v>1935.92</v>
      </c>
      <c r="M502" s="21">
        <v>1630.45</v>
      </c>
      <c r="N502" s="21">
        <v>1683.42</v>
      </c>
      <c r="O502" s="21">
        <v>1804.24</v>
      </c>
      <c r="P502" s="21">
        <v>1896.52</v>
      </c>
      <c r="Q502" s="21">
        <v>5192.41</v>
      </c>
      <c r="R502" s="20">
        <v>107.73</v>
      </c>
      <c r="S502" s="20">
        <v>102.19</v>
      </c>
      <c r="T502" s="21">
        <v>108.78</v>
      </c>
      <c r="V502" s="1">
        <v>108.45</v>
      </c>
      <c r="W502" s="1">
        <v>111.82</v>
      </c>
      <c r="X502" s="1">
        <v>115.3</v>
      </c>
      <c r="Y502" s="1">
        <v>106.87</v>
      </c>
      <c r="Z502" s="1">
        <v>107.34</v>
      </c>
      <c r="AA502" s="1">
        <v>110.42</v>
      </c>
      <c r="AB502" s="1">
        <v>114.97</v>
      </c>
      <c r="AC502" s="1">
        <v>107.93</v>
      </c>
      <c r="AE502" s="1">
        <v>118.91</v>
      </c>
      <c r="AF502" s="1">
        <v>115.69</v>
      </c>
      <c r="AG502" s="1">
        <v>105.77</v>
      </c>
      <c r="AN502" s="1">
        <v>3009.27</v>
      </c>
      <c r="AQ502" s="1">
        <v>2949.77</v>
      </c>
      <c r="AR502" s="1">
        <v>2647.23</v>
      </c>
      <c r="AS502" s="1">
        <v>2945.36</v>
      </c>
      <c r="AU502" s="1">
        <v>2627.4</v>
      </c>
      <c r="AV502" s="1">
        <v>30</v>
      </c>
      <c r="AW502" s="1">
        <v>3017.5</v>
      </c>
      <c r="AX502" s="1">
        <v>108.81</v>
      </c>
      <c r="AY502" s="1">
        <v>2687.57</v>
      </c>
      <c r="AZ502" s="1">
        <v>2884.22</v>
      </c>
      <c r="BA502" s="1">
        <v>111.11</v>
      </c>
      <c r="BB502" s="1">
        <v>120.47</v>
      </c>
      <c r="BC502" s="1">
        <v>116.18</v>
      </c>
      <c r="BD502" s="1">
        <v>118.4</v>
      </c>
      <c r="BE502" s="1">
        <v>112.75</v>
      </c>
      <c r="BF502" s="1">
        <v>112.79</v>
      </c>
      <c r="BG502" s="1">
        <v>118.83</v>
      </c>
      <c r="BH502" s="1">
        <v>108.25</v>
      </c>
      <c r="BI502" s="1">
        <v>115.09</v>
      </c>
      <c r="BJ502" s="1">
        <v>118.49</v>
      </c>
      <c r="BK502" s="1">
        <v>105.74</v>
      </c>
      <c r="BL502" s="1">
        <v>103.28</v>
      </c>
      <c r="BN502" s="1">
        <v>102.85</v>
      </c>
    </row>
    <row r="503" spans="1:66" x14ac:dyDescent="0.3">
      <c r="A503" s="2"/>
      <c r="C503" s="14" t="str">
        <f t="shared" si="8"/>
        <v>20243</v>
      </c>
      <c r="D503" s="3">
        <v>45378</v>
      </c>
      <c r="E503" s="21">
        <v>1981.31</v>
      </c>
      <c r="F503" s="21">
        <v>2030.32</v>
      </c>
      <c r="G503" s="21">
        <v>2105.5100000000002</v>
      </c>
      <c r="H503" s="21">
        <v>1833.91</v>
      </c>
      <c r="I503" s="21">
        <v>1858.27</v>
      </c>
      <c r="J503" s="21">
        <v>1861.17</v>
      </c>
      <c r="K503" s="21">
        <v>1922.99</v>
      </c>
      <c r="L503" s="21">
        <v>1930.97</v>
      </c>
      <c r="M503" s="21">
        <v>1653.45</v>
      </c>
      <c r="N503" s="21">
        <v>1689.04</v>
      </c>
      <c r="O503" s="21">
        <v>1829.64</v>
      </c>
      <c r="P503" s="21">
        <v>1896.52</v>
      </c>
      <c r="Q503" s="21">
        <v>5192.41</v>
      </c>
      <c r="R503" s="20">
        <v>107.19</v>
      </c>
      <c r="S503" s="20">
        <v>101.79</v>
      </c>
      <c r="T503" s="21">
        <v>108.77</v>
      </c>
      <c r="V503" s="1">
        <v>108.45</v>
      </c>
      <c r="W503" s="1">
        <v>111.77</v>
      </c>
      <c r="X503" s="1">
        <v>114.36</v>
      </c>
      <c r="Y503" s="1">
        <v>106.87</v>
      </c>
      <c r="Z503" s="1">
        <v>107.25</v>
      </c>
      <c r="AA503" s="1">
        <v>110.54</v>
      </c>
      <c r="AB503" s="1">
        <v>114.59</v>
      </c>
      <c r="AC503" s="1">
        <v>107.93</v>
      </c>
      <c r="AE503" s="1">
        <v>118.17</v>
      </c>
      <c r="AF503" s="1">
        <v>115.45</v>
      </c>
      <c r="AG503" s="1">
        <v>106.91</v>
      </c>
      <c r="AQ503" s="1">
        <v>2949.77</v>
      </c>
      <c r="AS503" s="1">
        <v>2932.12</v>
      </c>
      <c r="AU503" s="1">
        <v>2627.4</v>
      </c>
      <c r="AX503" s="1">
        <v>108.81</v>
      </c>
      <c r="AY503" s="1">
        <v>2687.57</v>
      </c>
      <c r="AZ503" s="1">
        <v>2884.22</v>
      </c>
      <c r="BA503" s="1">
        <v>110.35</v>
      </c>
      <c r="BB503" s="1">
        <v>121.24</v>
      </c>
      <c r="BC503" s="1">
        <v>117.1</v>
      </c>
      <c r="BD503" s="1">
        <v>119.23</v>
      </c>
      <c r="BE503" s="1">
        <v>113.08</v>
      </c>
      <c r="BF503" s="1">
        <v>111.22</v>
      </c>
      <c r="BG503" s="1">
        <v>119.33</v>
      </c>
      <c r="BH503" s="1">
        <v>108.25</v>
      </c>
      <c r="BI503" s="1">
        <v>115.09</v>
      </c>
      <c r="BJ503" s="1">
        <v>118.48</v>
      </c>
      <c r="BK503" s="1">
        <v>105.07</v>
      </c>
      <c r="BL503" s="1">
        <v>102.78</v>
      </c>
      <c r="BN503" s="1">
        <v>102.19</v>
      </c>
    </row>
    <row r="504" spans="1:66" x14ac:dyDescent="0.3">
      <c r="A504" s="2"/>
      <c r="C504" s="14" t="str">
        <f t="shared" si="8"/>
        <v>20243</v>
      </c>
      <c r="D504" s="3">
        <v>45377</v>
      </c>
      <c r="E504" s="21">
        <v>1981.31</v>
      </c>
      <c r="F504" s="21">
        <v>2012.06</v>
      </c>
      <c r="G504" s="21">
        <v>2105.5100000000002</v>
      </c>
      <c r="H504" s="21">
        <v>1848.67</v>
      </c>
      <c r="I504" s="21">
        <v>1844.39</v>
      </c>
      <c r="J504" s="21">
        <v>1866.17</v>
      </c>
      <c r="K504" s="21">
        <v>1919.64</v>
      </c>
      <c r="L504" s="21">
        <v>1881.11</v>
      </c>
      <c r="M504" s="21">
        <v>1653.45</v>
      </c>
      <c r="N504" s="21">
        <v>1671.96</v>
      </c>
      <c r="O504" s="21">
        <v>1796.23</v>
      </c>
      <c r="P504" s="21">
        <v>1896.52</v>
      </c>
      <c r="Q504" s="21">
        <v>5112.41</v>
      </c>
      <c r="R504" s="20">
        <v>107.18</v>
      </c>
      <c r="S504" s="20">
        <v>102.45</v>
      </c>
      <c r="T504" s="21">
        <v>109.06</v>
      </c>
      <c r="V504" s="1">
        <v>108.45</v>
      </c>
      <c r="W504" s="1">
        <v>111.94</v>
      </c>
      <c r="X504" s="1">
        <v>113.48</v>
      </c>
      <c r="Y504" s="1">
        <v>106.86</v>
      </c>
      <c r="Z504" s="1">
        <v>107.25</v>
      </c>
      <c r="AA504" s="1">
        <v>110.39</v>
      </c>
      <c r="AB504" s="1">
        <v>113.72</v>
      </c>
      <c r="AC504" s="1">
        <v>108.26</v>
      </c>
      <c r="AE504" s="1">
        <v>117.85</v>
      </c>
      <c r="AF504" s="1">
        <v>115.45</v>
      </c>
      <c r="AG504" s="1">
        <v>107.19</v>
      </c>
      <c r="AI504" s="1">
        <v>7</v>
      </c>
      <c r="AN504" s="1">
        <v>2697.57</v>
      </c>
      <c r="AQ504" s="1">
        <v>2949.77</v>
      </c>
      <c r="AS504" s="1">
        <v>2939.69</v>
      </c>
      <c r="AU504" s="1">
        <v>2627.4</v>
      </c>
      <c r="AX504" s="1">
        <v>108.8</v>
      </c>
      <c r="AY504" s="1">
        <v>2646.56</v>
      </c>
      <c r="AZ504" s="1">
        <v>2884.22</v>
      </c>
      <c r="BA504" s="1">
        <v>109.97</v>
      </c>
      <c r="BB504" s="1">
        <v>121.77</v>
      </c>
      <c r="BC504" s="1">
        <v>117.58</v>
      </c>
      <c r="BD504" s="1">
        <v>119.11</v>
      </c>
      <c r="BE504" s="1">
        <v>113.07</v>
      </c>
      <c r="BF504" s="1">
        <v>111.21</v>
      </c>
      <c r="BG504" s="1">
        <v>119.21</v>
      </c>
      <c r="BH504" s="1">
        <v>108.5</v>
      </c>
      <c r="BI504" s="1">
        <v>115.19</v>
      </c>
      <c r="BJ504" s="1">
        <v>118.47</v>
      </c>
      <c r="BK504" s="1">
        <v>104.64</v>
      </c>
      <c r="BL504" s="1">
        <v>102.78</v>
      </c>
      <c r="BN504" s="1">
        <v>102.19</v>
      </c>
    </row>
    <row r="505" spans="1:66" x14ac:dyDescent="0.3">
      <c r="A505" s="2"/>
      <c r="C505" s="14" t="str">
        <f t="shared" si="8"/>
        <v>20243</v>
      </c>
      <c r="D505" s="3">
        <v>45376</v>
      </c>
      <c r="E505" s="21">
        <v>2053.12</v>
      </c>
      <c r="F505" s="21">
        <v>2071.63</v>
      </c>
      <c r="G505" s="21">
        <v>2138.5700000000002</v>
      </c>
      <c r="H505" s="21">
        <v>1863.55</v>
      </c>
      <c r="I505" s="21">
        <v>1844.39</v>
      </c>
      <c r="J505" s="21">
        <v>1861.51</v>
      </c>
      <c r="K505" s="21">
        <v>1909.58</v>
      </c>
      <c r="L505" s="21">
        <v>1881.11</v>
      </c>
      <c r="M505" s="21">
        <v>1660.02</v>
      </c>
      <c r="N505" s="21">
        <v>1700.22</v>
      </c>
      <c r="O505" s="21">
        <v>1815.82</v>
      </c>
      <c r="P505" s="21">
        <v>1875.08</v>
      </c>
      <c r="Q505" s="21">
        <v>5108.4399999999996</v>
      </c>
      <c r="R505" s="20">
        <v>107.68</v>
      </c>
      <c r="S505" s="20">
        <v>102.45</v>
      </c>
      <c r="T505" s="21">
        <v>109.05</v>
      </c>
      <c r="V505" s="1">
        <v>108.21</v>
      </c>
      <c r="W505" s="1">
        <v>112.27</v>
      </c>
      <c r="X505" s="1">
        <v>113.48</v>
      </c>
      <c r="Y505" s="1">
        <v>106.87</v>
      </c>
      <c r="Z505" s="1">
        <v>107.35</v>
      </c>
      <c r="AA505" s="1">
        <v>110.7</v>
      </c>
      <c r="AB505" s="1">
        <v>113.31</v>
      </c>
      <c r="AC505" s="1">
        <v>107.93</v>
      </c>
      <c r="AE505" s="1">
        <v>117.44</v>
      </c>
      <c r="AF505" s="1">
        <v>115.45</v>
      </c>
      <c r="AG505" s="1">
        <v>106.15</v>
      </c>
      <c r="AI505" s="1">
        <v>7</v>
      </c>
      <c r="AN505" s="1">
        <v>2697.57</v>
      </c>
      <c r="AP505" s="1">
        <v>2916.79</v>
      </c>
      <c r="AQ505" s="1">
        <v>2949.77</v>
      </c>
      <c r="AS505" s="1">
        <v>2939.69</v>
      </c>
      <c r="AU505" s="1">
        <v>2654.8</v>
      </c>
      <c r="AX505" s="1">
        <v>108.72</v>
      </c>
      <c r="AY505" s="1">
        <v>2646.56</v>
      </c>
      <c r="AZ505" s="1">
        <v>2884.22</v>
      </c>
      <c r="BA505" s="1">
        <v>108.77</v>
      </c>
      <c r="BB505" s="1">
        <v>121.83</v>
      </c>
      <c r="BC505" s="1">
        <v>116.59</v>
      </c>
      <c r="BD505" s="1">
        <v>118.78</v>
      </c>
      <c r="BE505" s="1">
        <v>114.17</v>
      </c>
      <c r="BF505" s="1">
        <v>112.13</v>
      </c>
      <c r="BG505" s="1">
        <v>118.26</v>
      </c>
      <c r="BH505" s="1">
        <v>108.25</v>
      </c>
      <c r="BI505" s="1">
        <v>114.59</v>
      </c>
      <c r="BJ505" s="1">
        <v>118.65</v>
      </c>
      <c r="BK505" s="1">
        <v>104.64</v>
      </c>
      <c r="BL505" s="1">
        <v>102.78</v>
      </c>
      <c r="BN505" s="1">
        <v>102.19</v>
      </c>
    </row>
    <row r="506" spans="1:66" x14ac:dyDescent="0.3">
      <c r="A506" s="2"/>
      <c r="C506" s="14" t="str">
        <f t="shared" si="8"/>
        <v>20243</v>
      </c>
      <c r="D506" s="3">
        <v>45373</v>
      </c>
      <c r="E506" s="21">
        <v>2088.84</v>
      </c>
      <c r="F506" s="21">
        <v>2156.29</v>
      </c>
      <c r="G506" s="21">
        <v>2188.15</v>
      </c>
      <c r="H506" s="21">
        <v>1891.26</v>
      </c>
      <c r="I506" s="21">
        <v>1840.42</v>
      </c>
      <c r="J506" s="21">
        <v>1878.43</v>
      </c>
      <c r="K506" s="21">
        <v>1796.51</v>
      </c>
      <c r="L506" s="21">
        <v>1869.59</v>
      </c>
      <c r="M506" s="21">
        <v>1660.02</v>
      </c>
      <c r="N506" s="21">
        <v>1711.69</v>
      </c>
      <c r="O506" s="21">
        <v>1843.12</v>
      </c>
      <c r="P506" s="21">
        <v>1885.06</v>
      </c>
      <c r="Q506" s="21">
        <v>5116.6099999999997</v>
      </c>
      <c r="R506" s="20">
        <v>106.84</v>
      </c>
      <c r="S506" s="20">
        <v>102.29</v>
      </c>
      <c r="T506" s="21">
        <v>108.69</v>
      </c>
      <c r="V506" s="1">
        <v>107.84</v>
      </c>
      <c r="W506" s="1">
        <v>113.12</v>
      </c>
      <c r="X506" s="1">
        <v>113.48</v>
      </c>
      <c r="Y506" s="1">
        <v>106.87</v>
      </c>
      <c r="Z506" s="1">
        <v>107.34</v>
      </c>
      <c r="AA506" s="1">
        <v>109.9</v>
      </c>
      <c r="AB506" s="1">
        <v>112.64</v>
      </c>
      <c r="AC506" s="1">
        <v>108.59</v>
      </c>
      <c r="AE506" s="1">
        <v>118.42</v>
      </c>
      <c r="AF506" s="1">
        <v>115.45</v>
      </c>
      <c r="AG506" s="1">
        <v>105.25</v>
      </c>
      <c r="AI506" s="1">
        <v>7</v>
      </c>
      <c r="AN506" s="1">
        <v>2780.61</v>
      </c>
      <c r="AP506" s="1">
        <v>2921.14</v>
      </c>
      <c r="AT506" s="1">
        <v>2960.68</v>
      </c>
      <c r="AU506" s="1">
        <v>2622.02</v>
      </c>
      <c r="AX506" s="1">
        <v>106.05</v>
      </c>
      <c r="AY506" s="1">
        <v>2693.14</v>
      </c>
      <c r="AZ506" s="1">
        <v>2884.22</v>
      </c>
      <c r="BA506" s="1">
        <v>108.77</v>
      </c>
      <c r="BB506" s="1">
        <v>121.4</v>
      </c>
      <c r="BC506" s="1">
        <v>117.93</v>
      </c>
      <c r="BD506" s="1">
        <v>118.14</v>
      </c>
      <c r="BE506" s="1">
        <v>113.36</v>
      </c>
      <c r="BF506" s="1">
        <v>108.68</v>
      </c>
      <c r="BG506" s="1">
        <v>117.57</v>
      </c>
      <c r="BH506" s="1">
        <v>108.75</v>
      </c>
      <c r="BI506" s="1">
        <v>114.52</v>
      </c>
      <c r="BJ506" s="1">
        <v>118.61</v>
      </c>
      <c r="BK506" s="1">
        <v>104.14</v>
      </c>
      <c r="BL506" s="1">
        <v>102.78</v>
      </c>
      <c r="BN506" s="1">
        <v>102.19</v>
      </c>
    </row>
    <row r="507" spans="1:66" x14ac:dyDescent="0.3">
      <c r="A507" s="2"/>
      <c r="C507" s="14" t="str">
        <f t="shared" si="8"/>
        <v>20243</v>
      </c>
      <c r="D507" s="3">
        <v>45372</v>
      </c>
      <c r="E507" s="21">
        <v>2096.1</v>
      </c>
      <c r="F507" s="21">
        <v>2132.77</v>
      </c>
      <c r="G507" s="21">
        <v>2187.29</v>
      </c>
      <c r="H507" s="21">
        <v>1889.82</v>
      </c>
      <c r="I507" s="21">
        <v>1799.06</v>
      </c>
      <c r="J507" s="21">
        <v>1878.03</v>
      </c>
      <c r="K507" s="21">
        <v>1909.07</v>
      </c>
      <c r="L507" s="21">
        <v>1878.97</v>
      </c>
      <c r="M507" s="21">
        <v>1659.61</v>
      </c>
      <c r="N507" s="21">
        <v>1721.91</v>
      </c>
      <c r="O507" s="21">
        <v>1842.04</v>
      </c>
      <c r="P507" s="21">
        <v>1884.82</v>
      </c>
      <c r="Q507" s="21">
        <v>5147.88</v>
      </c>
      <c r="R507" s="20">
        <v>110.08</v>
      </c>
      <c r="S507" s="20">
        <v>102.53</v>
      </c>
      <c r="T507" s="21">
        <v>108.44</v>
      </c>
      <c r="V507" s="1">
        <v>107.84</v>
      </c>
      <c r="W507" s="1">
        <v>111.26</v>
      </c>
      <c r="X507" s="1">
        <v>113.35</v>
      </c>
      <c r="Y507" s="1">
        <v>106.82</v>
      </c>
      <c r="Z507" s="1">
        <v>106.64</v>
      </c>
      <c r="AA507" s="1">
        <v>111.56</v>
      </c>
      <c r="AB507" s="1">
        <v>112.71</v>
      </c>
      <c r="AC507" s="1">
        <v>108.59</v>
      </c>
      <c r="AE507" s="1">
        <v>118.16</v>
      </c>
      <c r="AF507" s="1">
        <v>114.88</v>
      </c>
      <c r="AG507" s="1">
        <v>106.78</v>
      </c>
      <c r="AJ507" s="1">
        <v>30</v>
      </c>
      <c r="AL507" s="1">
        <v>30</v>
      </c>
      <c r="AP507" s="1">
        <v>2921.14</v>
      </c>
      <c r="AR507" s="1">
        <v>2716.67</v>
      </c>
      <c r="AS507" s="1">
        <v>2839.91</v>
      </c>
      <c r="AT507" s="1">
        <v>2910.8</v>
      </c>
      <c r="AX507" s="1">
        <v>106.67</v>
      </c>
      <c r="AY507" s="1">
        <v>2695.64</v>
      </c>
      <c r="AZ507" s="1">
        <v>2880.4</v>
      </c>
      <c r="BA507" s="1">
        <v>106.8</v>
      </c>
      <c r="BB507" s="1">
        <v>120.91</v>
      </c>
      <c r="BC507" s="1">
        <v>118.14</v>
      </c>
      <c r="BD507" s="1">
        <v>118.86</v>
      </c>
      <c r="BE507" s="1">
        <v>114.12</v>
      </c>
      <c r="BF507" s="1">
        <v>113.31</v>
      </c>
      <c r="BG507" s="1">
        <v>116.95</v>
      </c>
      <c r="BH507" s="1">
        <v>108.61</v>
      </c>
      <c r="BI507" s="1">
        <v>114.51</v>
      </c>
      <c r="BJ507" s="1">
        <v>118.55</v>
      </c>
      <c r="BK507" s="1">
        <v>104.13</v>
      </c>
      <c r="BL507" s="1">
        <v>102.77</v>
      </c>
      <c r="BN507" s="1">
        <v>102.16</v>
      </c>
    </row>
    <row r="508" spans="1:66" x14ac:dyDescent="0.3">
      <c r="A508" s="2"/>
      <c r="C508" s="14" t="str">
        <f t="shared" si="8"/>
        <v>20243</v>
      </c>
      <c r="D508" s="3">
        <v>45371</v>
      </c>
      <c r="E508" s="21">
        <v>2088.14</v>
      </c>
      <c r="F508" s="21">
        <v>2132.77</v>
      </c>
      <c r="G508" s="21">
        <v>2187.29</v>
      </c>
      <c r="H508" s="21">
        <v>1846.51</v>
      </c>
      <c r="I508" s="21">
        <v>1835.74</v>
      </c>
      <c r="J508" s="21">
        <v>1878.03</v>
      </c>
      <c r="K508" s="21">
        <v>1909.07</v>
      </c>
      <c r="L508" s="21">
        <v>1878.97</v>
      </c>
      <c r="M508" s="21">
        <v>1643.18</v>
      </c>
      <c r="N508" s="21">
        <v>1720.99</v>
      </c>
      <c r="O508" s="21">
        <v>1847.5</v>
      </c>
      <c r="P508" s="21">
        <v>1884.82</v>
      </c>
      <c r="Q508" s="21">
        <v>5147.88</v>
      </c>
      <c r="R508" s="20">
        <v>108.24</v>
      </c>
      <c r="S508" s="20">
        <v>101.19</v>
      </c>
      <c r="T508" s="21">
        <v>108.18</v>
      </c>
      <c r="V508" s="1">
        <v>107.34</v>
      </c>
      <c r="W508" s="1">
        <v>110.98</v>
      </c>
      <c r="X508" s="1">
        <v>112.08</v>
      </c>
      <c r="Y508" s="1">
        <v>105.87</v>
      </c>
      <c r="Z508" s="1">
        <v>106.34</v>
      </c>
      <c r="AA508" s="1">
        <v>109.99</v>
      </c>
      <c r="AB508" s="1">
        <v>111.52</v>
      </c>
      <c r="AC508" s="1">
        <v>107.59</v>
      </c>
      <c r="AE508" s="1">
        <v>114.15</v>
      </c>
      <c r="AF508" s="1">
        <v>114.88</v>
      </c>
      <c r="AG508" s="1">
        <v>105.67</v>
      </c>
      <c r="AI508" s="1">
        <v>7</v>
      </c>
      <c r="AJ508" s="1">
        <v>30</v>
      </c>
      <c r="AL508" s="1">
        <v>30</v>
      </c>
      <c r="AN508" s="1">
        <v>2954</v>
      </c>
      <c r="AP508" s="1">
        <v>2921.14</v>
      </c>
      <c r="AR508" s="1">
        <v>2716.67</v>
      </c>
      <c r="AS508" s="1">
        <v>2839.91</v>
      </c>
      <c r="AU508" s="1">
        <v>2688.58</v>
      </c>
      <c r="AX508" s="1">
        <v>106.66</v>
      </c>
      <c r="AY508" s="1">
        <v>2685.95</v>
      </c>
      <c r="AZ508" s="1">
        <v>2832.87</v>
      </c>
      <c r="BA508" s="1">
        <v>107.34</v>
      </c>
      <c r="BB508" s="1">
        <v>120.17</v>
      </c>
      <c r="BC508" s="1">
        <v>116.21</v>
      </c>
      <c r="BD508" s="1">
        <v>118.1</v>
      </c>
      <c r="BE508" s="1">
        <v>114.24</v>
      </c>
      <c r="BF508" s="1">
        <v>113.06</v>
      </c>
      <c r="BG508" s="1">
        <v>116.95</v>
      </c>
      <c r="BH508" s="1">
        <v>107.36</v>
      </c>
      <c r="BI508" s="1">
        <v>113.68</v>
      </c>
      <c r="BJ508" s="1">
        <v>118.54</v>
      </c>
      <c r="BK508" s="1">
        <v>103.47</v>
      </c>
      <c r="BL508" s="1">
        <v>101.78</v>
      </c>
      <c r="BN508" s="1">
        <v>101.17</v>
      </c>
    </row>
    <row r="509" spans="1:66" x14ac:dyDescent="0.3">
      <c r="A509" s="2"/>
      <c r="C509" s="14" t="str">
        <f t="shared" si="8"/>
        <v>20243</v>
      </c>
      <c r="D509" s="3">
        <v>45370</v>
      </c>
      <c r="E509" s="21">
        <v>2092.12</v>
      </c>
      <c r="F509" s="21">
        <v>2155.4499999999998</v>
      </c>
      <c r="G509" s="21">
        <v>2187.29</v>
      </c>
      <c r="H509" s="21">
        <v>1920.95</v>
      </c>
      <c r="I509" s="21">
        <v>1845.65</v>
      </c>
      <c r="J509" s="21">
        <v>1878.03</v>
      </c>
      <c r="K509" s="21">
        <v>1909.07</v>
      </c>
      <c r="L509" s="21">
        <v>1872.36</v>
      </c>
      <c r="M509" s="21">
        <v>1643.18</v>
      </c>
      <c r="N509" s="21">
        <v>1722.38</v>
      </c>
      <c r="O509" s="21">
        <v>1863.78</v>
      </c>
      <c r="P509" s="21">
        <v>1884.82</v>
      </c>
      <c r="Q509" s="21">
        <v>5099.88</v>
      </c>
      <c r="R509" s="20">
        <v>109.08</v>
      </c>
      <c r="S509" s="20">
        <v>101.04</v>
      </c>
      <c r="T509" s="21">
        <v>107.74</v>
      </c>
      <c r="V509" s="1">
        <v>106.37</v>
      </c>
      <c r="W509" s="1">
        <v>110.32</v>
      </c>
      <c r="X509" s="1">
        <v>111.97</v>
      </c>
      <c r="Y509" s="1">
        <v>105.87</v>
      </c>
      <c r="Z509" s="1">
        <v>106.14</v>
      </c>
      <c r="AA509" s="1">
        <v>109.79</v>
      </c>
      <c r="AB509" s="1">
        <v>111.52</v>
      </c>
      <c r="AC509" s="1">
        <v>105.55</v>
      </c>
      <c r="AE509" s="1">
        <v>113.75</v>
      </c>
      <c r="AF509" s="1">
        <v>114.88</v>
      </c>
      <c r="AG509" s="1">
        <v>105.21</v>
      </c>
      <c r="AJ509" s="1">
        <v>30</v>
      </c>
      <c r="AL509" s="1">
        <v>30</v>
      </c>
      <c r="AP509" s="1">
        <v>2921.14</v>
      </c>
      <c r="AQ509" s="1">
        <v>3316.59</v>
      </c>
      <c r="AR509" s="1">
        <v>2716.67</v>
      </c>
      <c r="AS509" s="1">
        <v>2865.97</v>
      </c>
      <c r="AT509" s="1">
        <v>3198.05</v>
      </c>
      <c r="AU509" s="1">
        <v>2643.43</v>
      </c>
      <c r="AX509" s="1">
        <v>106.23</v>
      </c>
      <c r="AY509" s="1">
        <v>2731.76</v>
      </c>
      <c r="AZ509" s="1">
        <v>2840.2</v>
      </c>
      <c r="BA509" s="1">
        <v>107.13</v>
      </c>
      <c r="BB509" s="1">
        <v>120.33</v>
      </c>
      <c r="BC509" s="1">
        <v>114.77</v>
      </c>
      <c r="BD509" s="1">
        <v>117.24</v>
      </c>
      <c r="BE509" s="1">
        <v>113.49</v>
      </c>
      <c r="BF509" s="1">
        <v>112.69</v>
      </c>
      <c r="BG509" s="1">
        <v>116.76</v>
      </c>
      <c r="BH509" s="1">
        <v>104.17</v>
      </c>
      <c r="BI509" s="1">
        <v>113.18</v>
      </c>
      <c r="BJ509" s="1">
        <v>116.17</v>
      </c>
      <c r="BK509" s="1">
        <v>103.47</v>
      </c>
      <c r="BL509" s="1">
        <v>101.78</v>
      </c>
      <c r="BN509" s="1">
        <v>101.17</v>
      </c>
    </row>
    <row r="510" spans="1:66" x14ac:dyDescent="0.3">
      <c r="A510" s="2"/>
      <c r="C510" s="14" t="str">
        <f t="shared" si="8"/>
        <v>20243</v>
      </c>
      <c r="D510" s="3">
        <v>45369</v>
      </c>
      <c r="E510" s="21">
        <v>2098.09</v>
      </c>
      <c r="F510" s="21">
        <v>2132.77</v>
      </c>
      <c r="G510" s="21">
        <v>2187.29</v>
      </c>
      <c r="H510" s="21">
        <v>1923.23</v>
      </c>
      <c r="I510" s="21">
        <v>1845.65</v>
      </c>
      <c r="J510" s="21">
        <v>1859.3</v>
      </c>
      <c r="K510" s="21">
        <v>1873</v>
      </c>
      <c r="L510" s="21">
        <v>1872.36</v>
      </c>
      <c r="M510" s="21">
        <v>1623.38</v>
      </c>
      <c r="N510" s="21">
        <v>1719.16</v>
      </c>
      <c r="O510" s="21">
        <v>1861.31</v>
      </c>
      <c r="P510" s="21">
        <v>1823.66</v>
      </c>
      <c r="Q510" s="21">
        <v>5199.7</v>
      </c>
      <c r="R510" s="20">
        <v>109.08</v>
      </c>
      <c r="S510" s="20">
        <v>100.89</v>
      </c>
      <c r="T510" s="21">
        <v>107.3</v>
      </c>
      <c r="V510" s="1">
        <v>105.93</v>
      </c>
      <c r="W510" s="1">
        <v>109.65</v>
      </c>
      <c r="X510" s="1">
        <v>112.08</v>
      </c>
      <c r="Y510" s="1">
        <v>105.8</v>
      </c>
      <c r="Z510" s="1">
        <v>105.64</v>
      </c>
      <c r="AA510" s="1">
        <v>109.73</v>
      </c>
      <c r="AB510" s="1">
        <v>111.52</v>
      </c>
      <c r="AC510" s="1">
        <v>105.64</v>
      </c>
      <c r="AE510" s="1">
        <v>114.54</v>
      </c>
      <c r="AF510" s="1">
        <v>114.64</v>
      </c>
      <c r="AG510" s="1">
        <v>105.2</v>
      </c>
      <c r="AI510" s="1">
        <v>7</v>
      </c>
      <c r="AJ510" s="1">
        <v>30</v>
      </c>
      <c r="AL510" s="1">
        <v>30</v>
      </c>
      <c r="AN510" s="1">
        <v>2929.35</v>
      </c>
      <c r="AQ510" s="1">
        <v>3316.59</v>
      </c>
      <c r="AR510" s="1">
        <v>2716.67</v>
      </c>
      <c r="AS510" s="1">
        <v>2865.97</v>
      </c>
      <c r="AT510" s="1">
        <v>3198.05</v>
      </c>
      <c r="AU510" s="1">
        <v>2646.35</v>
      </c>
      <c r="AW510" s="1">
        <v>2888.23</v>
      </c>
      <c r="AX510" s="1">
        <v>105.11</v>
      </c>
      <c r="AY510" s="1">
        <v>2731.76</v>
      </c>
      <c r="AZ510" s="1">
        <v>2850.14</v>
      </c>
      <c r="BA510" s="1">
        <v>108.12</v>
      </c>
      <c r="BB510" s="1">
        <v>120.03</v>
      </c>
      <c r="BC510" s="1">
        <v>115</v>
      </c>
      <c r="BD510" s="1">
        <v>116.63</v>
      </c>
      <c r="BE510" s="1">
        <v>113.49</v>
      </c>
      <c r="BF510" s="1">
        <v>112.56</v>
      </c>
      <c r="BG510" s="1">
        <v>116.95</v>
      </c>
      <c r="BH510" s="1">
        <v>104.75</v>
      </c>
      <c r="BI510" s="1">
        <v>113.68</v>
      </c>
      <c r="BJ510" s="1">
        <v>115.58</v>
      </c>
      <c r="BK510" s="1">
        <v>102.8</v>
      </c>
      <c r="BL510" s="1">
        <v>101.78</v>
      </c>
      <c r="BN510" s="1">
        <v>101.17</v>
      </c>
    </row>
    <row r="511" spans="1:66" x14ac:dyDescent="0.3">
      <c r="A511" s="2"/>
      <c r="C511" s="14" t="str">
        <f t="shared" si="8"/>
        <v>20243</v>
      </c>
      <c r="D511" s="3">
        <v>45366</v>
      </c>
      <c r="E511" s="21">
        <v>2100.08</v>
      </c>
      <c r="F511" s="21">
        <v>2132.77</v>
      </c>
      <c r="G511" s="21">
        <v>2187.29</v>
      </c>
      <c r="H511" s="21">
        <v>1923.66</v>
      </c>
      <c r="I511" s="21">
        <v>1885.3</v>
      </c>
      <c r="J511" s="21">
        <v>1875.63</v>
      </c>
      <c r="K511" s="21">
        <v>1909.07</v>
      </c>
      <c r="L511" s="21">
        <v>1872.36</v>
      </c>
      <c r="M511" s="21">
        <v>1638.74</v>
      </c>
      <c r="N511" s="21">
        <v>1725.9</v>
      </c>
      <c r="O511" s="21">
        <v>1867.55</v>
      </c>
      <c r="P511" s="21">
        <v>1823.66</v>
      </c>
      <c r="Q511" s="21">
        <v>5231.3100000000004</v>
      </c>
      <c r="R511" s="20">
        <v>108.38</v>
      </c>
      <c r="S511" s="20">
        <v>100.78</v>
      </c>
      <c r="T511" s="21">
        <v>106.53</v>
      </c>
      <c r="V511" s="1">
        <v>105.73</v>
      </c>
      <c r="W511" s="1">
        <v>109.65</v>
      </c>
      <c r="X511" s="1">
        <v>111.35</v>
      </c>
      <c r="Y511" s="1">
        <v>105.07</v>
      </c>
      <c r="Z511" s="1">
        <v>105.14</v>
      </c>
      <c r="AA511" s="1">
        <v>108.67</v>
      </c>
      <c r="AB511" s="1">
        <v>110.3</v>
      </c>
      <c r="AC511" s="1">
        <v>105.93</v>
      </c>
      <c r="AE511" s="1">
        <v>117.15</v>
      </c>
      <c r="AF511" s="1">
        <v>114.73</v>
      </c>
      <c r="AG511" s="1">
        <v>105.17</v>
      </c>
      <c r="AJ511" s="1">
        <v>30</v>
      </c>
      <c r="AL511" s="1">
        <v>30</v>
      </c>
      <c r="AN511" s="1">
        <v>2946.56</v>
      </c>
      <c r="AQ511" s="1">
        <v>3316.59</v>
      </c>
      <c r="AR511" s="1">
        <v>2716.67</v>
      </c>
      <c r="AS511" s="1">
        <v>2865.97</v>
      </c>
      <c r="AT511" s="1">
        <v>3213.18</v>
      </c>
      <c r="AU511" s="1">
        <v>2646.35</v>
      </c>
      <c r="AW511" s="1">
        <v>2854.47</v>
      </c>
      <c r="AX511" s="1">
        <v>104.89</v>
      </c>
      <c r="AY511" s="1">
        <v>2640.32</v>
      </c>
      <c r="AZ511" s="1">
        <v>2850.14</v>
      </c>
      <c r="BA511" s="1">
        <v>107.99</v>
      </c>
      <c r="BB511" s="1">
        <v>120.27</v>
      </c>
      <c r="BC511" s="1">
        <v>114.87</v>
      </c>
      <c r="BD511" s="1">
        <v>117.34</v>
      </c>
      <c r="BE511" s="1">
        <v>112.07</v>
      </c>
      <c r="BF511" s="1">
        <v>112.08</v>
      </c>
      <c r="BG511" s="1">
        <v>116.36</v>
      </c>
      <c r="BH511" s="1">
        <v>105.26</v>
      </c>
      <c r="BI511" s="1">
        <v>111.64</v>
      </c>
      <c r="BJ511" s="1">
        <v>115.18</v>
      </c>
      <c r="BK511" s="1">
        <v>102.14</v>
      </c>
      <c r="BL511" s="1">
        <v>100.28</v>
      </c>
      <c r="BN511" s="1">
        <v>99.85</v>
      </c>
    </row>
    <row r="512" spans="1:66" x14ac:dyDescent="0.3">
      <c r="A512" s="2"/>
      <c r="C512" s="14" t="str">
        <f t="shared" si="8"/>
        <v>20243</v>
      </c>
      <c r="D512" s="3">
        <v>45365</v>
      </c>
      <c r="E512" s="21">
        <v>2115.9899999999998</v>
      </c>
      <c r="F512" s="21">
        <v>2132.77</v>
      </c>
      <c r="G512" s="21">
        <v>2187.29</v>
      </c>
      <c r="H512" s="21">
        <v>1907.89</v>
      </c>
      <c r="I512" s="21">
        <v>1885.3</v>
      </c>
      <c r="J512" s="21">
        <v>1875.63</v>
      </c>
      <c r="K512" s="21">
        <v>1909.07</v>
      </c>
      <c r="L512" s="21">
        <v>1872.36</v>
      </c>
      <c r="M512" s="21">
        <v>1669.46</v>
      </c>
      <c r="N512" s="21">
        <v>1720.53</v>
      </c>
      <c r="O512" s="21">
        <v>1872.83</v>
      </c>
      <c r="P512" s="21">
        <v>1823.66</v>
      </c>
      <c r="Q512" s="21">
        <v>5167.9799999999996</v>
      </c>
      <c r="R512" s="20">
        <v>108.42</v>
      </c>
      <c r="S512" s="20">
        <v>101.12</v>
      </c>
      <c r="T512" s="21">
        <v>107.1</v>
      </c>
      <c r="V512" s="1">
        <v>105.51</v>
      </c>
      <c r="W512" s="1">
        <v>109.65</v>
      </c>
      <c r="X512" s="1">
        <v>109.73</v>
      </c>
      <c r="Y512" s="1">
        <v>104.87</v>
      </c>
      <c r="Z512" s="1">
        <v>105.13</v>
      </c>
      <c r="AA512" s="1">
        <v>109.18</v>
      </c>
      <c r="AB512" s="1">
        <v>109.59</v>
      </c>
      <c r="AC512" s="1">
        <v>106.26</v>
      </c>
      <c r="AE512" s="1">
        <v>115.16</v>
      </c>
      <c r="AF512" s="1">
        <v>114.64</v>
      </c>
      <c r="AG512" s="1">
        <v>106.2</v>
      </c>
      <c r="AJ512" s="1">
        <v>30</v>
      </c>
      <c r="AL512" s="1">
        <v>30</v>
      </c>
      <c r="AN512" s="1">
        <v>2946.56</v>
      </c>
      <c r="AR512" s="1">
        <v>2721.47</v>
      </c>
      <c r="AS512" s="1">
        <v>2835.87</v>
      </c>
      <c r="AT512" s="1">
        <v>3213.18</v>
      </c>
      <c r="AU512" s="1">
        <v>2646.35</v>
      </c>
      <c r="AW512" s="1">
        <v>2854.47</v>
      </c>
      <c r="AX512" s="1">
        <v>106.22</v>
      </c>
      <c r="AY512" s="1">
        <v>2640.32</v>
      </c>
      <c r="AZ512" s="1">
        <v>2840</v>
      </c>
      <c r="BA512" s="1">
        <v>107.71</v>
      </c>
      <c r="BB512" s="1">
        <v>120.07</v>
      </c>
      <c r="BC512" s="1">
        <v>112.49</v>
      </c>
      <c r="BD512" s="1">
        <v>117.31</v>
      </c>
      <c r="BE512" s="1">
        <v>112.59</v>
      </c>
      <c r="BF512" s="1">
        <v>111.57</v>
      </c>
      <c r="BG512" s="1">
        <v>116.45</v>
      </c>
      <c r="BH512" s="1">
        <v>105.63</v>
      </c>
      <c r="BI512" s="1">
        <v>111.24</v>
      </c>
      <c r="BJ512" s="1">
        <v>115.18</v>
      </c>
      <c r="BK512" s="1">
        <v>102.81</v>
      </c>
      <c r="BL512" s="1">
        <v>100.28</v>
      </c>
      <c r="BN512" s="1">
        <v>99.85</v>
      </c>
    </row>
    <row r="513" spans="1:66" x14ac:dyDescent="0.3">
      <c r="A513" s="2"/>
      <c r="C513" s="14" t="str">
        <f t="shared" si="8"/>
        <v>20243</v>
      </c>
      <c r="D513" s="3">
        <v>45364</v>
      </c>
      <c r="E513" s="21">
        <v>2094.11</v>
      </c>
      <c r="F513" s="21">
        <v>2132.77</v>
      </c>
      <c r="G513" s="21">
        <v>2187.29</v>
      </c>
      <c r="H513" s="21">
        <v>1907.89</v>
      </c>
      <c r="I513" s="21">
        <v>1885.3</v>
      </c>
      <c r="J513" s="21">
        <v>1854.14</v>
      </c>
      <c r="K513" s="21">
        <v>1909.07</v>
      </c>
      <c r="L513" s="21">
        <v>1905.55</v>
      </c>
      <c r="M513" s="21">
        <v>1699.74</v>
      </c>
      <c r="N513" s="21">
        <v>1704.68</v>
      </c>
      <c r="O513" s="21">
        <v>1877.03</v>
      </c>
      <c r="P513" s="21">
        <v>1846.94</v>
      </c>
      <c r="Q513" s="21">
        <v>5134.9799999999996</v>
      </c>
      <c r="R513" s="20">
        <v>107.08</v>
      </c>
      <c r="S513" s="20">
        <v>100.95</v>
      </c>
      <c r="T513" s="21">
        <v>107.08</v>
      </c>
      <c r="V513" s="1">
        <v>104.82</v>
      </c>
      <c r="W513" s="1">
        <v>108.82</v>
      </c>
      <c r="X513" s="1">
        <v>109.48</v>
      </c>
      <c r="Y513" s="1">
        <v>104.87</v>
      </c>
      <c r="Z513" s="1">
        <v>105.14</v>
      </c>
      <c r="AA513" s="1">
        <v>108.1</v>
      </c>
      <c r="AB513" s="1">
        <v>109.08</v>
      </c>
      <c r="AC513" s="1">
        <v>105.59</v>
      </c>
      <c r="AE513" s="1">
        <v>115.16</v>
      </c>
      <c r="AF513" s="1">
        <v>112.16</v>
      </c>
      <c r="AG513" s="1">
        <v>103.87</v>
      </c>
      <c r="AI513" s="1">
        <v>7</v>
      </c>
      <c r="AJ513" s="1">
        <v>30</v>
      </c>
      <c r="AL513" s="1">
        <v>30</v>
      </c>
      <c r="AN513" s="1">
        <v>2957.1</v>
      </c>
      <c r="AQ513" s="1">
        <v>2939.53</v>
      </c>
      <c r="AR513" s="1">
        <v>2726.28</v>
      </c>
      <c r="AS513" s="1">
        <v>2835.87</v>
      </c>
      <c r="AT513" s="1">
        <v>3213.18</v>
      </c>
      <c r="AU513" s="1">
        <v>2674.23</v>
      </c>
      <c r="AW513" s="1">
        <v>2854.47</v>
      </c>
      <c r="AX513" s="1">
        <v>105.7</v>
      </c>
      <c r="AY513" s="1">
        <v>2670.42</v>
      </c>
      <c r="AZ513" s="1">
        <v>2875</v>
      </c>
      <c r="BA513" s="1">
        <v>106.19</v>
      </c>
      <c r="BB513" s="1">
        <v>119.44</v>
      </c>
      <c r="BC513" s="1">
        <v>114.68</v>
      </c>
      <c r="BD513" s="1">
        <v>116.9</v>
      </c>
      <c r="BE513" s="1">
        <v>111.83</v>
      </c>
      <c r="BF513" s="1">
        <v>109.9</v>
      </c>
      <c r="BG513" s="1">
        <v>116.16</v>
      </c>
      <c r="BH513" s="1">
        <v>103.29</v>
      </c>
      <c r="BI513" s="1">
        <v>110.55</v>
      </c>
      <c r="BJ513" s="1">
        <v>114.59</v>
      </c>
      <c r="BK513" s="1">
        <v>102.14</v>
      </c>
      <c r="BL513" s="1">
        <v>100.28</v>
      </c>
      <c r="BN513" s="1">
        <v>99.85</v>
      </c>
    </row>
    <row r="514" spans="1:66" x14ac:dyDescent="0.3">
      <c r="A514" s="2"/>
      <c r="C514" s="14" t="str">
        <f t="shared" si="8"/>
        <v>20243</v>
      </c>
      <c r="D514" s="3">
        <v>45363</v>
      </c>
      <c r="E514" s="21">
        <v>2100.08</v>
      </c>
      <c r="F514" s="21">
        <v>2132.77</v>
      </c>
      <c r="G514" s="21">
        <v>2111.3000000000002</v>
      </c>
      <c r="H514" s="21">
        <v>1907.48</v>
      </c>
      <c r="I514" s="21">
        <v>1881.34</v>
      </c>
      <c r="J514" s="21">
        <v>1865.49</v>
      </c>
      <c r="K514" s="21">
        <v>1953.17</v>
      </c>
      <c r="L514" s="21">
        <v>1915.46</v>
      </c>
      <c r="M514" s="21">
        <v>1699.74</v>
      </c>
      <c r="N514" s="21">
        <v>1737.98</v>
      </c>
      <c r="O514" s="21">
        <v>1889.35</v>
      </c>
      <c r="P514" s="21">
        <v>1892.04</v>
      </c>
      <c r="Q514" s="21">
        <v>5113.9399999999996</v>
      </c>
      <c r="R514" s="20">
        <v>105.41</v>
      </c>
      <c r="S514" s="20">
        <v>97.1</v>
      </c>
      <c r="T514" s="21">
        <v>106.58</v>
      </c>
      <c r="V514" s="1">
        <v>102.32</v>
      </c>
      <c r="W514" s="1">
        <v>108.65</v>
      </c>
      <c r="X514" s="1">
        <v>108.13</v>
      </c>
      <c r="Y514" s="1">
        <v>104.76</v>
      </c>
      <c r="Z514" s="1">
        <v>105.14</v>
      </c>
      <c r="AA514" s="1">
        <v>106.86</v>
      </c>
      <c r="AB514" s="1">
        <v>108.46</v>
      </c>
      <c r="AC514" s="1">
        <v>104.59</v>
      </c>
      <c r="AE514" s="1">
        <v>113.11</v>
      </c>
      <c r="AF514" s="1">
        <v>111.41</v>
      </c>
      <c r="AG514" s="1">
        <v>102.91</v>
      </c>
      <c r="AI514" s="1">
        <v>7</v>
      </c>
      <c r="AJ514" s="1">
        <v>30</v>
      </c>
      <c r="AL514" s="1">
        <v>30</v>
      </c>
      <c r="AN514" s="1">
        <v>2957.1</v>
      </c>
      <c r="AQ514" s="1">
        <v>2885.31</v>
      </c>
      <c r="AR514" s="1">
        <v>2728.69</v>
      </c>
      <c r="AT514" s="1">
        <v>3117.66</v>
      </c>
      <c r="AU514" s="1">
        <v>2746.59</v>
      </c>
      <c r="AW514" s="1">
        <v>2909.72</v>
      </c>
      <c r="AX514" s="1">
        <v>105.18</v>
      </c>
      <c r="AY514" s="1">
        <v>2711.28</v>
      </c>
      <c r="AZ514" s="1">
        <v>2856.19</v>
      </c>
      <c r="BA514" s="1">
        <v>109.29</v>
      </c>
      <c r="BB514" s="1">
        <v>118.98</v>
      </c>
      <c r="BC514" s="1">
        <v>114.3</v>
      </c>
      <c r="BD514" s="1">
        <v>115.89</v>
      </c>
      <c r="BE514" s="1">
        <v>110.83</v>
      </c>
      <c r="BF514" s="1">
        <v>109.22</v>
      </c>
      <c r="BG514" s="1">
        <v>115.1</v>
      </c>
      <c r="BH514" s="1">
        <v>102.79</v>
      </c>
      <c r="BI514" s="1">
        <v>110.52</v>
      </c>
      <c r="BJ514" s="1">
        <v>114.19</v>
      </c>
      <c r="BK514" s="1">
        <v>102.14</v>
      </c>
      <c r="BL514" s="1">
        <v>100.41</v>
      </c>
      <c r="BN514" s="1">
        <v>99.85</v>
      </c>
    </row>
    <row r="515" spans="1:66" x14ac:dyDescent="0.3">
      <c r="A515" s="2"/>
      <c r="C515" s="14" t="str">
        <f t="shared" si="8"/>
        <v>20243</v>
      </c>
      <c r="D515" s="3">
        <v>45362</v>
      </c>
      <c r="E515" s="21">
        <v>2086.15</v>
      </c>
      <c r="F515" s="21">
        <v>2132.77</v>
      </c>
      <c r="G515" s="21">
        <v>2123.69</v>
      </c>
      <c r="H515" s="21">
        <v>1887.67</v>
      </c>
      <c r="I515" s="21">
        <v>1881.34</v>
      </c>
      <c r="J515" s="21">
        <v>1908.88</v>
      </c>
      <c r="K515" s="21">
        <v>2001.26</v>
      </c>
      <c r="L515" s="21">
        <v>1915.46</v>
      </c>
      <c r="M515" s="21">
        <v>1674.75</v>
      </c>
      <c r="N515" s="21">
        <v>1800.87</v>
      </c>
      <c r="O515" s="21">
        <v>1897.55</v>
      </c>
      <c r="P515" s="21">
        <v>1877.01</v>
      </c>
      <c r="Q515" s="21">
        <v>5159.99</v>
      </c>
      <c r="R515" s="20">
        <v>105.24</v>
      </c>
      <c r="S515" s="20">
        <v>96.42</v>
      </c>
      <c r="T515" s="21">
        <v>106.34</v>
      </c>
      <c r="V515" s="1">
        <v>101.82</v>
      </c>
      <c r="W515" s="1">
        <v>107.82</v>
      </c>
      <c r="X515" s="1">
        <v>108.13</v>
      </c>
      <c r="Y515" s="1">
        <v>104.87</v>
      </c>
      <c r="Z515" s="1">
        <v>104.74</v>
      </c>
      <c r="AA515" s="1">
        <v>107.19</v>
      </c>
      <c r="AB515" s="1">
        <v>108.15</v>
      </c>
      <c r="AC515" s="1">
        <v>102.93</v>
      </c>
      <c r="AE515" s="1">
        <v>112.31</v>
      </c>
      <c r="AF515" s="1">
        <v>110.42</v>
      </c>
      <c r="AG515" s="1">
        <v>102.94</v>
      </c>
      <c r="AJ515" s="1">
        <v>30</v>
      </c>
      <c r="AP515" s="1">
        <v>2693.75</v>
      </c>
      <c r="AQ515" s="1">
        <v>2885.31</v>
      </c>
      <c r="AR515" s="1">
        <v>2732.69</v>
      </c>
      <c r="AS515" s="1">
        <v>2920.62</v>
      </c>
      <c r="AT515" s="1">
        <v>3117.66</v>
      </c>
      <c r="AU515" s="1">
        <v>2736.78</v>
      </c>
      <c r="AW515" s="1">
        <v>2933.03</v>
      </c>
      <c r="AX515" s="1">
        <v>104.88</v>
      </c>
      <c r="AY515" s="1">
        <v>2690.26</v>
      </c>
      <c r="AZ515" s="1">
        <v>2866.14</v>
      </c>
      <c r="BA515" s="1">
        <v>109.88</v>
      </c>
      <c r="BB515" s="1">
        <v>117.67</v>
      </c>
      <c r="BC515" s="1">
        <v>113.48</v>
      </c>
      <c r="BD515" s="1">
        <v>115.07</v>
      </c>
      <c r="BE515" s="1">
        <v>111.08</v>
      </c>
      <c r="BF515" s="1">
        <v>109.79</v>
      </c>
      <c r="BG515" s="1">
        <v>113.48</v>
      </c>
      <c r="BH515" s="1">
        <v>102.79</v>
      </c>
      <c r="BI515" s="1">
        <v>110.52</v>
      </c>
      <c r="BJ515" s="1">
        <v>113.59</v>
      </c>
      <c r="BK515" s="1">
        <v>102.14</v>
      </c>
      <c r="BL515" s="1">
        <v>100.31</v>
      </c>
      <c r="BN515" s="1">
        <v>99.85</v>
      </c>
    </row>
    <row r="516" spans="1:66" x14ac:dyDescent="0.3">
      <c r="A516" s="2"/>
      <c r="C516" s="14" t="str">
        <f t="shared" si="8"/>
        <v>20243</v>
      </c>
      <c r="D516" s="3">
        <v>45359</v>
      </c>
      <c r="E516" s="21">
        <v>2086.15</v>
      </c>
      <c r="F516" s="21">
        <v>2145.16</v>
      </c>
      <c r="G516" s="21">
        <v>2123.69</v>
      </c>
      <c r="H516" s="21">
        <v>1886.14</v>
      </c>
      <c r="I516" s="21">
        <v>1889.26</v>
      </c>
      <c r="J516" s="21">
        <v>1906.38</v>
      </c>
      <c r="K516" s="21">
        <v>1909.07</v>
      </c>
      <c r="L516" s="21">
        <v>1942.04</v>
      </c>
      <c r="M516" s="21">
        <v>1674.75</v>
      </c>
      <c r="N516" s="21">
        <v>1800.53</v>
      </c>
      <c r="O516" s="21">
        <v>1926.19</v>
      </c>
      <c r="P516" s="21">
        <v>1846.94</v>
      </c>
      <c r="Q516" s="21">
        <v>5027.3500000000004</v>
      </c>
      <c r="R516" s="20">
        <v>105.42</v>
      </c>
      <c r="S516" s="20">
        <v>96.34</v>
      </c>
      <c r="T516" s="21">
        <v>103.68</v>
      </c>
      <c r="V516" s="1">
        <v>100.82</v>
      </c>
      <c r="W516" s="1">
        <v>106.99</v>
      </c>
      <c r="X516" s="1">
        <v>107.91</v>
      </c>
      <c r="Y516" s="1">
        <v>103.87</v>
      </c>
      <c r="Z516" s="1">
        <v>103.64</v>
      </c>
      <c r="AA516" s="1">
        <v>106.64</v>
      </c>
      <c r="AB516" s="1">
        <v>107.11</v>
      </c>
      <c r="AC516" s="1">
        <v>102.26</v>
      </c>
      <c r="AE516" s="1">
        <v>111.89</v>
      </c>
      <c r="AF516" s="1">
        <v>109.92</v>
      </c>
      <c r="AG516" s="1">
        <v>101.42</v>
      </c>
      <c r="AN516" s="1">
        <v>2449.8200000000002</v>
      </c>
      <c r="AP516" s="1">
        <v>2693.75</v>
      </c>
      <c r="AQ516" s="1">
        <v>2885.31</v>
      </c>
      <c r="AR516" s="1">
        <v>2740.7</v>
      </c>
      <c r="AS516" s="1">
        <v>2920.62</v>
      </c>
      <c r="AT516" s="1">
        <v>3163.22</v>
      </c>
      <c r="AU516" s="1">
        <v>2755.32</v>
      </c>
      <c r="AW516" s="1">
        <v>2974.59</v>
      </c>
      <c r="AX516" s="1">
        <v>103.12</v>
      </c>
      <c r="AY516" s="1">
        <v>2690.26</v>
      </c>
      <c r="AZ516" s="1">
        <v>2866.14</v>
      </c>
      <c r="BA516" s="1">
        <v>107.63</v>
      </c>
      <c r="BB516" s="1">
        <v>116.33</v>
      </c>
      <c r="BC516" s="1">
        <v>112.31</v>
      </c>
      <c r="BD516" s="1">
        <v>113.15</v>
      </c>
      <c r="BE516" s="1">
        <v>109.67</v>
      </c>
      <c r="BF516" s="1">
        <v>108.62</v>
      </c>
      <c r="BG516" s="1">
        <v>112.61</v>
      </c>
      <c r="BH516" s="1">
        <v>102.42</v>
      </c>
      <c r="BI516" s="1">
        <v>110.02</v>
      </c>
      <c r="BJ516" s="1">
        <v>112.87</v>
      </c>
      <c r="BK516" s="1">
        <v>99.81</v>
      </c>
      <c r="BL516" s="1">
        <v>99.41</v>
      </c>
      <c r="BN516" s="1">
        <v>98.52</v>
      </c>
    </row>
    <row r="517" spans="1:66" x14ac:dyDescent="0.3">
      <c r="A517" s="2"/>
      <c r="C517" s="14" t="str">
        <f t="shared" si="8"/>
        <v>20243</v>
      </c>
      <c r="D517" s="3">
        <v>45358</v>
      </c>
      <c r="E517" s="21">
        <v>2086.15</v>
      </c>
      <c r="F517" s="21">
        <v>2145.16</v>
      </c>
      <c r="G517" s="21">
        <v>2123.69</v>
      </c>
      <c r="H517" s="21">
        <v>1879.14</v>
      </c>
      <c r="I517" s="21">
        <v>1889.26</v>
      </c>
      <c r="J517" s="21">
        <v>1908.85</v>
      </c>
      <c r="K517" s="21">
        <v>1909.07</v>
      </c>
      <c r="L517" s="21">
        <v>1938.73</v>
      </c>
      <c r="M517" s="21">
        <v>1681.32</v>
      </c>
      <c r="N517" s="21">
        <v>1782.92</v>
      </c>
      <c r="O517" s="21">
        <v>1919.15</v>
      </c>
      <c r="P517" s="21">
        <v>1846.94</v>
      </c>
      <c r="Q517" s="21">
        <v>5027.3500000000004</v>
      </c>
      <c r="R517" s="20">
        <v>104.47</v>
      </c>
      <c r="S517" s="20">
        <v>93.13</v>
      </c>
      <c r="T517" s="21">
        <v>103.04</v>
      </c>
      <c r="V517" s="1">
        <v>100.45</v>
      </c>
      <c r="W517" s="1">
        <v>105.83</v>
      </c>
      <c r="X517" s="1">
        <v>107.73</v>
      </c>
      <c r="Y517" s="1">
        <v>102.87</v>
      </c>
      <c r="Z517" s="1">
        <v>102.74</v>
      </c>
      <c r="AA517" s="1">
        <v>105.79</v>
      </c>
      <c r="AB517" s="1">
        <v>107.09</v>
      </c>
      <c r="AC517" s="1">
        <v>100.93</v>
      </c>
      <c r="AE517" s="1">
        <v>110.86</v>
      </c>
      <c r="AF517" s="1">
        <v>109.43</v>
      </c>
      <c r="AG517" s="1">
        <v>98.89</v>
      </c>
      <c r="AN517" s="1">
        <v>2449.8200000000002</v>
      </c>
      <c r="AP517" s="1">
        <v>2693.68</v>
      </c>
      <c r="AQ517" s="1">
        <v>2885.31</v>
      </c>
      <c r="AS517" s="1">
        <v>2920.62</v>
      </c>
      <c r="AT517" s="1">
        <v>3144.05</v>
      </c>
      <c r="AU517" s="1">
        <v>2755.32</v>
      </c>
      <c r="AW517" s="1">
        <v>2974.59</v>
      </c>
      <c r="AX517" s="1">
        <v>103.09</v>
      </c>
      <c r="AY517" s="1">
        <v>2690.26</v>
      </c>
      <c r="AZ517" s="1">
        <v>2871.61</v>
      </c>
      <c r="BA517" s="1">
        <v>105.07</v>
      </c>
      <c r="BB517" s="1">
        <v>114.58</v>
      </c>
      <c r="BC517" s="1">
        <v>110.8</v>
      </c>
      <c r="BD517" s="1">
        <v>112.84</v>
      </c>
      <c r="BE517" s="1">
        <v>108.65</v>
      </c>
      <c r="BF517" s="1">
        <v>107.67</v>
      </c>
      <c r="BG517" s="1">
        <v>111.77</v>
      </c>
      <c r="BH517" s="1">
        <v>101.42</v>
      </c>
      <c r="BI517" s="1">
        <v>110.02</v>
      </c>
      <c r="BJ517" s="1">
        <v>112.49</v>
      </c>
      <c r="BK517" s="1">
        <v>98.48</v>
      </c>
      <c r="BL517" s="1">
        <v>98.6</v>
      </c>
      <c r="BN517" s="1">
        <v>97.86</v>
      </c>
    </row>
    <row r="518" spans="1:66" x14ac:dyDescent="0.3">
      <c r="A518" s="2"/>
      <c r="C518" s="14" t="str">
        <f t="shared" ref="C518:C581" si="9">YEAR(D518)&amp;MONTH(D518)</f>
        <v>20243</v>
      </c>
      <c r="D518" s="3">
        <v>45357</v>
      </c>
      <c r="E518" s="21">
        <v>2124.4699999999998</v>
      </c>
      <c r="F518" s="21">
        <v>2145.16</v>
      </c>
      <c r="G518" s="21">
        <v>2123.69</v>
      </c>
      <c r="H518" s="21">
        <v>1868.08</v>
      </c>
      <c r="I518" s="21">
        <v>1905.12</v>
      </c>
      <c r="J518" s="21">
        <v>1908.85</v>
      </c>
      <c r="K518" s="21">
        <v>1880.48</v>
      </c>
      <c r="L518" s="21">
        <v>1938.73</v>
      </c>
      <c r="M518" s="21">
        <v>1681.32</v>
      </c>
      <c r="N518" s="21">
        <v>1788.52</v>
      </c>
      <c r="O518" s="21">
        <v>1924.15</v>
      </c>
      <c r="P518" s="21">
        <v>1906.82</v>
      </c>
      <c r="Q518" s="21">
        <v>5027.3500000000004</v>
      </c>
      <c r="R518" s="20">
        <v>103.96</v>
      </c>
      <c r="S518" s="20">
        <v>92.05</v>
      </c>
      <c r="T518" s="21">
        <v>102.78</v>
      </c>
      <c r="V518" s="1">
        <v>100.2</v>
      </c>
      <c r="W518" s="1">
        <v>105.41</v>
      </c>
      <c r="X518" s="1">
        <v>108.08</v>
      </c>
      <c r="Y518" s="1">
        <v>101.87</v>
      </c>
      <c r="Z518" s="1">
        <v>102.14</v>
      </c>
      <c r="AA518" s="1">
        <v>105.22</v>
      </c>
      <c r="AB518" s="1">
        <v>107.22</v>
      </c>
      <c r="AC518" s="1">
        <v>100.93</v>
      </c>
      <c r="AE518" s="1">
        <v>110.25</v>
      </c>
      <c r="AF518" s="1">
        <v>108.47</v>
      </c>
      <c r="AG518" s="1">
        <v>98.8</v>
      </c>
      <c r="AN518" s="1">
        <v>2449.8200000000002</v>
      </c>
      <c r="AP518" s="1">
        <v>2693.68</v>
      </c>
      <c r="AR518" s="1">
        <v>3132.47</v>
      </c>
      <c r="AS518" s="1">
        <v>2920.62</v>
      </c>
      <c r="AT518" s="1">
        <v>3144.05</v>
      </c>
      <c r="AU518" s="1">
        <v>2756.32</v>
      </c>
      <c r="AW518" s="1">
        <v>2965.15</v>
      </c>
      <c r="AX518" s="1">
        <v>103.15</v>
      </c>
      <c r="AY518" s="1">
        <v>2679.75</v>
      </c>
      <c r="AZ518" s="1">
        <v>2829.4</v>
      </c>
      <c r="BA518" s="1">
        <v>103.32</v>
      </c>
      <c r="BB518" s="1">
        <v>113.55</v>
      </c>
      <c r="BC518" s="1">
        <v>109.78</v>
      </c>
      <c r="BD518" s="1">
        <v>112.1</v>
      </c>
      <c r="BE518" s="1">
        <v>107.69</v>
      </c>
      <c r="BF518" s="1">
        <v>106.1</v>
      </c>
      <c r="BG518" s="1">
        <v>112.07</v>
      </c>
      <c r="BH518" s="1">
        <v>101.42</v>
      </c>
      <c r="BI518" s="1">
        <v>110.02</v>
      </c>
      <c r="BJ518" s="1">
        <v>113.98</v>
      </c>
      <c r="BK518" s="1">
        <v>96.48</v>
      </c>
      <c r="BL518" s="1">
        <v>97.01</v>
      </c>
      <c r="BN518" s="1">
        <v>95.2</v>
      </c>
    </row>
    <row r="519" spans="1:66" x14ac:dyDescent="0.3">
      <c r="A519" s="2"/>
      <c r="C519" s="14" t="str">
        <f t="shared" si="9"/>
        <v>20243</v>
      </c>
      <c r="D519" s="3">
        <v>45356</v>
      </c>
      <c r="E519" s="21">
        <v>2187.29</v>
      </c>
      <c r="F519" s="21">
        <v>2145.16</v>
      </c>
      <c r="G519" s="21">
        <v>2123.69</v>
      </c>
      <c r="H519" s="21">
        <v>1921.46</v>
      </c>
      <c r="I519" s="21">
        <v>1905.12</v>
      </c>
      <c r="J519" s="21">
        <v>1912.94</v>
      </c>
      <c r="K519" s="21"/>
      <c r="L519" s="21">
        <v>1951.95</v>
      </c>
      <c r="M519" s="21">
        <v>1681.32</v>
      </c>
      <c r="N519" s="21">
        <v>1775.16</v>
      </c>
      <c r="O519" s="21">
        <v>1918.16</v>
      </c>
      <c r="P519" s="21"/>
      <c r="Q519" s="21">
        <v>4906.7</v>
      </c>
      <c r="R519" s="20">
        <v>103.95</v>
      </c>
      <c r="S519" s="20">
        <v>90.55</v>
      </c>
      <c r="T519" s="21">
        <v>102.44</v>
      </c>
      <c r="V519" s="1">
        <v>103.22</v>
      </c>
      <c r="W519" s="1">
        <v>104.49</v>
      </c>
      <c r="X519" s="1">
        <v>107.48</v>
      </c>
      <c r="Y519" s="1">
        <v>101.87</v>
      </c>
      <c r="Z519" s="1">
        <v>102.14</v>
      </c>
      <c r="AA519" s="1">
        <v>105.27</v>
      </c>
      <c r="AB519" s="1">
        <v>107.22</v>
      </c>
      <c r="AE519" s="1">
        <v>112.42</v>
      </c>
      <c r="AF519" s="1">
        <v>108.47</v>
      </c>
      <c r="AG519" s="1">
        <v>99.76</v>
      </c>
      <c r="AN519" s="1">
        <v>2449.8200000000002</v>
      </c>
      <c r="AP519" s="1">
        <v>2693.68</v>
      </c>
      <c r="AR519" s="1">
        <v>3132.47</v>
      </c>
      <c r="AS519" s="1">
        <v>2920.62</v>
      </c>
      <c r="AU519" s="1">
        <v>2812.16</v>
      </c>
      <c r="AW519" s="1">
        <v>2910.02</v>
      </c>
      <c r="AX519" s="1">
        <v>103.13</v>
      </c>
      <c r="AY519" s="1">
        <v>2679.75</v>
      </c>
      <c r="AZ519" s="1">
        <v>2827.8</v>
      </c>
      <c r="BA519" s="1">
        <v>105.66</v>
      </c>
      <c r="BB519" s="1">
        <v>113.65</v>
      </c>
      <c r="BC519" s="1">
        <v>109.25</v>
      </c>
      <c r="BD519" s="1">
        <v>112.18</v>
      </c>
      <c r="BE519" s="1">
        <v>107.68</v>
      </c>
      <c r="BF519" s="1">
        <v>106.09</v>
      </c>
      <c r="BG519" s="1">
        <v>111.96</v>
      </c>
      <c r="BH519" s="1">
        <v>99.39</v>
      </c>
      <c r="BI519" s="1">
        <v>109.69</v>
      </c>
      <c r="BJ519" s="1">
        <v>114.59</v>
      </c>
      <c r="BK519" s="1">
        <v>96.15</v>
      </c>
      <c r="BL519" s="1">
        <v>96.61</v>
      </c>
      <c r="BN519" s="1">
        <v>94.87</v>
      </c>
    </row>
    <row r="520" spans="1:66" x14ac:dyDescent="0.3">
      <c r="A520" s="2"/>
      <c r="C520" s="14" t="str">
        <f t="shared" si="9"/>
        <v>20243</v>
      </c>
      <c r="D520" s="3">
        <v>45355</v>
      </c>
      <c r="E520" s="21">
        <v>2096.1</v>
      </c>
      <c r="F520" s="21">
        <v>2157.56</v>
      </c>
      <c r="G520" s="21">
        <v>2123.69</v>
      </c>
      <c r="H520" s="21">
        <v>1918.41</v>
      </c>
      <c r="I520" s="21">
        <v>1915.04</v>
      </c>
      <c r="J520" s="21">
        <v>1921.83</v>
      </c>
      <c r="K520" s="21"/>
      <c r="L520" s="21">
        <v>1938.73</v>
      </c>
      <c r="M520" s="21">
        <v>1668.18</v>
      </c>
      <c r="N520" s="21">
        <v>1775.76</v>
      </c>
      <c r="O520" s="21">
        <v>1919.43</v>
      </c>
      <c r="P520" s="21"/>
      <c r="Q520" s="21">
        <v>4989.3599999999997</v>
      </c>
      <c r="R520" s="20">
        <v>103.88</v>
      </c>
      <c r="S520" s="20">
        <v>89.25</v>
      </c>
      <c r="T520" s="21">
        <v>102.42</v>
      </c>
      <c r="V520" s="1">
        <v>100.7</v>
      </c>
      <c r="W520" s="1">
        <v>103.99</v>
      </c>
      <c r="X520" s="1">
        <v>107.48</v>
      </c>
      <c r="Y520" s="1">
        <v>101.2</v>
      </c>
      <c r="Z520" s="1">
        <v>101.47</v>
      </c>
      <c r="AA520" s="1">
        <v>105.68</v>
      </c>
      <c r="AB520" s="1">
        <v>107.22</v>
      </c>
      <c r="AE520" s="1">
        <v>112.42</v>
      </c>
      <c r="AF520" s="1">
        <v>110.64</v>
      </c>
      <c r="AG520" s="1">
        <v>99.18</v>
      </c>
      <c r="AP520" s="1">
        <v>2647.79</v>
      </c>
      <c r="AQ520" s="1">
        <v>2966.01</v>
      </c>
      <c r="AR520" s="1">
        <v>3181.23</v>
      </c>
      <c r="AU520" s="1">
        <v>2830.32</v>
      </c>
      <c r="AW520" s="1">
        <v>2919</v>
      </c>
      <c r="AX520" s="1">
        <v>103.36</v>
      </c>
      <c r="AY520" s="1">
        <v>2679.75</v>
      </c>
      <c r="AZ520" s="1">
        <v>2825.62</v>
      </c>
      <c r="BA520" s="1">
        <v>102.82</v>
      </c>
      <c r="BB520" s="1">
        <v>113</v>
      </c>
      <c r="BC520" s="1">
        <v>109.45</v>
      </c>
      <c r="BD520" s="1">
        <v>112.1</v>
      </c>
      <c r="BE520" s="1">
        <v>109.44</v>
      </c>
      <c r="BF520" s="1">
        <v>105.83</v>
      </c>
      <c r="BG520" s="1">
        <v>111.96</v>
      </c>
      <c r="BH520" s="1">
        <v>99.39</v>
      </c>
      <c r="BI520" s="1">
        <v>110.02</v>
      </c>
      <c r="BJ520" s="1">
        <v>114.59</v>
      </c>
      <c r="BK520" s="1">
        <v>95.49</v>
      </c>
      <c r="BL520" s="1">
        <v>95.52</v>
      </c>
      <c r="BN520" s="1">
        <v>93.55</v>
      </c>
    </row>
    <row r="521" spans="1:66" x14ac:dyDescent="0.3">
      <c r="A521" s="2"/>
      <c r="C521" s="14" t="str">
        <f t="shared" si="9"/>
        <v>20243</v>
      </c>
      <c r="D521" s="3">
        <v>45352</v>
      </c>
      <c r="E521" s="21">
        <v>2124.4699999999998</v>
      </c>
      <c r="F521" s="21">
        <v>2157.56</v>
      </c>
      <c r="G521" s="21">
        <v>2187.29</v>
      </c>
      <c r="H521" s="21">
        <v>1891.89</v>
      </c>
      <c r="I521" s="21">
        <v>1915.04</v>
      </c>
      <c r="J521" s="21">
        <v>1902.48</v>
      </c>
      <c r="K521" s="21"/>
      <c r="L521" s="21">
        <v>1902.91</v>
      </c>
      <c r="M521" s="21">
        <v>1701.03</v>
      </c>
      <c r="N521" s="21">
        <v>1816.36</v>
      </c>
      <c r="O521" s="21">
        <v>1918.33</v>
      </c>
      <c r="P521" s="21"/>
      <c r="Q521" s="21">
        <v>4856.0200000000004</v>
      </c>
      <c r="R521" s="20">
        <v>102.75</v>
      </c>
      <c r="S521" s="20">
        <v>88.85</v>
      </c>
      <c r="T521" s="21">
        <v>101.72</v>
      </c>
      <c r="V521" s="1">
        <v>99.32</v>
      </c>
      <c r="W521" s="1">
        <v>102.58</v>
      </c>
      <c r="X521" s="1">
        <v>108.08</v>
      </c>
      <c r="Y521" s="1">
        <v>100.52</v>
      </c>
      <c r="Z521" s="1">
        <v>100.74</v>
      </c>
      <c r="AA521" s="1">
        <v>105</v>
      </c>
      <c r="AB521" s="1">
        <v>107.47</v>
      </c>
      <c r="AE521" s="1">
        <v>112.92</v>
      </c>
      <c r="AF521" s="1">
        <v>108.89</v>
      </c>
      <c r="AG521" s="1">
        <v>97.5</v>
      </c>
      <c r="AI521" s="1">
        <v>7</v>
      </c>
      <c r="AN521" s="1">
        <v>3279.07</v>
      </c>
      <c r="AP521" s="1">
        <v>2647.79</v>
      </c>
      <c r="AQ521" s="1">
        <v>2966.01</v>
      </c>
      <c r="AR521" s="1">
        <v>3181.23</v>
      </c>
      <c r="AT521" s="1">
        <v>3002.46</v>
      </c>
      <c r="AU521" s="1">
        <v>2782.26</v>
      </c>
      <c r="AW521" s="1">
        <v>2834.2</v>
      </c>
      <c r="AX521" s="1">
        <v>99.41</v>
      </c>
      <c r="AY521" s="1">
        <v>2679.75</v>
      </c>
      <c r="AZ521" s="1">
        <v>2825.62</v>
      </c>
      <c r="BA521" s="1">
        <v>100.83</v>
      </c>
      <c r="BB521" s="1">
        <v>112.38</v>
      </c>
      <c r="BC521" s="1">
        <v>107.66</v>
      </c>
      <c r="BD521" s="1">
        <v>109.36</v>
      </c>
      <c r="BE521" s="1">
        <v>106.89</v>
      </c>
      <c r="BF521" s="1">
        <v>105.32</v>
      </c>
      <c r="BG521" s="1">
        <v>112.17</v>
      </c>
      <c r="BH521" s="1">
        <v>99.06</v>
      </c>
      <c r="BI521" s="1">
        <v>110.36</v>
      </c>
      <c r="BJ521" s="1">
        <v>111.8</v>
      </c>
      <c r="BK521" s="1">
        <v>92.8</v>
      </c>
      <c r="BL521" s="1">
        <v>94.72</v>
      </c>
      <c r="BN521" s="1">
        <v>92.23</v>
      </c>
    </row>
    <row r="522" spans="1:66" x14ac:dyDescent="0.3">
      <c r="A522" s="2"/>
      <c r="C522" s="14" t="str">
        <f t="shared" si="9"/>
        <v>20242</v>
      </c>
      <c r="D522" s="3">
        <v>45351</v>
      </c>
      <c r="E522" s="21">
        <v>2119.48</v>
      </c>
      <c r="F522" s="21">
        <v>2157.56</v>
      </c>
      <c r="G522" s="21">
        <v>2100.56</v>
      </c>
      <c r="H522" s="21">
        <v>1918.77</v>
      </c>
      <c r="I522" s="21">
        <v>1919</v>
      </c>
      <c r="J522" s="21">
        <v>1915.73</v>
      </c>
      <c r="K522" s="21"/>
      <c r="L522" s="21">
        <v>2021.63</v>
      </c>
      <c r="M522" s="21">
        <v>1701.03</v>
      </c>
      <c r="N522" s="21">
        <v>1782.74</v>
      </c>
      <c r="O522" s="21">
        <v>1894.46</v>
      </c>
      <c r="P522" s="21"/>
      <c r="Q522" s="21">
        <v>4847.6899999999996</v>
      </c>
      <c r="R522" s="20">
        <v>102.41</v>
      </c>
      <c r="S522" s="20">
        <v>88.65</v>
      </c>
      <c r="T522" s="21">
        <v>100.88</v>
      </c>
      <c r="V522" s="1">
        <v>99.32</v>
      </c>
      <c r="W522" s="1">
        <v>102.18</v>
      </c>
      <c r="X522" s="1">
        <v>108.08</v>
      </c>
      <c r="Y522" s="1">
        <v>99.88</v>
      </c>
      <c r="Z522" s="1">
        <v>100.14</v>
      </c>
      <c r="AA522" s="1">
        <v>104.05</v>
      </c>
      <c r="AB522" s="1">
        <v>107.22</v>
      </c>
      <c r="AE522" s="1">
        <v>112.67</v>
      </c>
      <c r="AF522" s="1">
        <v>108.89</v>
      </c>
      <c r="AG522" s="1">
        <v>98.21</v>
      </c>
      <c r="AI522" s="1">
        <v>7</v>
      </c>
      <c r="AN522" s="1">
        <v>3279.07</v>
      </c>
      <c r="AP522" s="1">
        <v>2625</v>
      </c>
      <c r="AQ522" s="1">
        <v>2966.01</v>
      </c>
      <c r="AR522" s="1">
        <v>3181.23</v>
      </c>
      <c r="AT522" s="1">
        <v>2981.43</v>
      </c>
      <c r="AU522" s="1">
        <v>2806.79</v>
      </c>
      <c r="AW522" s="1">
        <v>2819.74</v>
      </c>
      <c r="AX522" s="1">
        <v>99.4</v>
      </c>
      <c r="AY522" s="1">
        <v>2733.35</v>
      </c>
      <c r="AZ522" s="1">
        <v>2813.68</v>
      </c>
      <c r="BA522" s="1">
        <v>102.65</v>
      </c>
      <c r="BB522" s="1">
        <v>111.83</v>
      </c>
      <c r="BC522" s="1">
        <v>106.3</v>
      </c>
      <c r="BD522" s="1">
        <v>109.56</v>
      </c>
      <c r="BE522" s="1">
        <v>106.13</v>
      </c>
      <c r="BF522" s="1">
        <v>104.81</v>
      </c>
      <c r="BG522" s="1">
        <v>112.17</v>
      </c>
      <c r="BH522" s="1">
        <v>98.39</v>
      </c>
      <c r="BI522" s="1">
        <v>111.45</v>
      </c>
      <c r="BJ522" s="1">
        <v>112.23</v>
      </c>
      <c r="BK522" s="1">
        <v>93.16</v>
      </c>
      <c r="BL522" s="1">
        <v>93.92</v>
      </c>
      <c r="BN522" s="1">
        <v>92.23</v>
      </c>
    </row>
    <row r="523" spans="1:66" x14ac:dyDescent="0.3">
      <c r="A523" s="2"/>
      <c r="C523" s="14" t="str">
        <f t="shared" si="9"/>
        <v>20242</v>
      </c>
      <c r="D523" s="3">
        <v>45350</v>
      </c>
      <c r="E523" s="21">
        <v>2119.48</v>
      </c>
      <c r="F523" s="21">
        <v>2157.56</v>
      </c>
      <c r="G523" s="21">
        <v>2187.29</v>
      </c>
      <c r="H523" s="21">
        <v>1918.52</v>
      </c>
      <c r="I523" s="21">
        <v>1926.93</v>
      </c>
      <c r="J523" s="21">
        <v>1915.73</v>
      </c>
      <c r="K523" s="21"/>
      <c r="L523" s="21">
        <v>2021.63</v>
      </c>
      <c r="M523" s="21">
        <v>1668.18</v>
      </c>
      <c r="N523" s="21">
        <v>1810.32</v>
      </c>
      <c r="O523" s="21">
        <v>1907.31</v>
      </c>
      <c r="P523" s="21"/>
      <c r="Q523" s="21">
        <v>4775.67</v>
      </c>
      <c r="R523" s="20">
        <v>102.4</v>
      </c>
      <c r="S523" s="20">
        <v>88.57</v>
      </c>
      <c r="T523" s="21">
        <v>100.86</v>
      </c>
      <c r="V523" s="1">
        <v>99.32</v>
      </c>
      <c r="W523" s="1">
        <v>102.38</v>
      </c>
      <c r="X523" s="1">
        <v>108.2</v>
      </c>
      <c r="Y523" s="1">
        <v>99.88</v>
      </c>
      <c r="Z523" s="1">
        <v>100.14</v>
      </c>
      <c r="AA523" s="1">
        <v>104.06</v>
      </c>
      <c r="AB523" s="1">
        <v>107.47</v>
      </c>
      <c r="AE523" s="1">
        <v>112.67</v>
      </c>
      <c r="AF523" s="1">
        <v>108.97</v>
      </c>
      <c r="AG523" s="1">
        <v>97.96</v>
      </c>
      <c r="AI523" s="1">
        <v>7</v>
      </c>
      <c r="AN523" s="1">
        <v>3279.07</v>
      </c>
      <c r="AP523" s="1">
        <v>2625</v>
      </c>
      <c r="AQ523" s="1">
        <v>2963.85</v>
      </c>
      <c r="AR523" s="1">
        <v>3278.76</v>
      </c>
      <c r="AT523" s="1">
        <v>2981.43</v>
      </c>
      <c r="AU523" s="1">
        <v>2827.39</v>
      </c>
      <c r="AW523" s="1">
        <v>2811.67</v>
      </c>
      <c r="AX523" s="1">
        <v>99.38</v>
      </c>
      <c r="AY523" s="1">
        <v>2786.94</v>
      </c>
      <c r="AZ523" s="1">
        <v>2857.06</v>
      </c>
      <c r="BA523" s="1">
        <v>102.64</v>
      </c>
      <c r="BB523" s="1">
        <v>111.74</v>
      </c>
      <c r="BC523" s="1">
        <v>106.46</v>
      </c>
      <c r="BD523" s="1">
        <v>108.44</v>
      </c>
      <c r="BE523" s="1">
        <v>105.38</v>
      </c>
      <c r="BF523" s="1">
        <v>104.1</v>
      </c>
      <c r="BG523" s="1">
        <v>112.17</v>
      </c>
      <c r="BH523" s="1">
        <v>98.39</v>
      </c>
      <c r="BI523" s="1">
        <v>111.45</v>
      </c>
      <c r="BJ523" s="1">
        <v>112.93</v>
      </c>
      <c r="BK523" s="1">
        <v>93.16</v>
      </c>
      <c r="BL523" s="1">
        <v>93.92</v>
      </c>
      <c r="BN523" s="1">
        <v>92.23</v>
      </c>
    </row>
    <row r="524" spans="1:66" x14ac:dyDescent="0.3">
      <c r="A524" s="2"/>
      <c r="C524" s="14" t="str">
        <f t="shared" si="9"/>
        <v>20242</v>
      </c>
      <c r="D524" s="3">
        <v>45349</v>
      </c>
      <c r="E524" s="21">
        <v>2098.09</v>
      </c>
      <c r="F524" s="21">
        <v>2157.56</v>
      </c>
      <c r="G524" s="21">
        <v>2187.29</v>
      </c>
      <c r="H524" s="21">
        <v>1972.79</v>
      </c>
      <c r="I524" s="21">
        <v>1926.93</v>
      </c>
      <c r="J524" s="21">
        <v>1945.9</v>
      </c>
      <c r="K524" s="21"/>
      <c r="L524" s="21">
        <v>2038.15</v>
      </c>
      <c r="M524" s="21">
        <v>1668.18</v>
      </c>
      <c r="N524" s="21">
        <v>1839.37</v>
      </c>
      <c r="O524" s="21">
        <v>1909.58</v>
      </c>
      <c r="P524" s="21"/>
      <c r="Q524" s="21">
        <v>4778.34</v>
      </c>
      <c r="R524" s="20">
        <v>101.72</v>
      </c>
      <c r="S524" s="20">
        <v>88.75</v>
      </c>
      <c r="T524" s="21">
        <v>101.75</v>
      </c>
      <c r="V524" s="1">
        <v>99.32</v>
      </c>
      <c r="W524" s="1">
        <v>104.49</v>
      </c>
      <c r="X524" s="1">
        <v>108.2</v>
      </c>
      <c r="Y524" s="1">
        <v>100.77</v>
      </c>
      <c r="Z524" s="1">
        <v>101.94</v>
      </c>
      <c r="AA524" s="1">
        <v>104.11</v>
      </c>
      <c r="AB524" s="1">
        <v>107.34</v>
      </c>
      <c r="AE524" s="1">
        <v>112.92</v>
      </c>
      <c r="AF524" s="1">
        <v>108.93</v>
      </c>
      <c r="AG524" s="1">
        <v>97.71</v>
      </c>
      <c r="AI524" s="1">
        <v>7</v>
      </c>
      <c r="AN524" s="1">
        <v>3279.07</v>
      </c>
      <c r="AQ524" s="1">
        <v>2921.74</v>
      </c>
      <c r="AR524" s="1">
        <v>3278.76</v>
      </c>
      <c r="AT524" s="1">
        <v>2981.43</v>
      </c>
      <c r="AU524" s="1">
        <v>2792.08</v>
      </c>
      <c r="AV524" s="1">
        <v>30</v>
      </c>
      <c r="AW524" s="1">
        <v>2815.45</v>
      </c>
      <c r="AX524" s="1">
        <v>97.49</v>
      </c>
      <c r="AY524" s="1">
        <v>2786.94</v>
      </c>
      <c r="AZ524" s="1">
        <v>2857.06</v>
      </c>
      <c r="BA524" s="1">
        <v>101.55</v>
      </c>
      <c r="BB524" s="1">
        <v>112.33</v>
      </c>
      <c r="BC524" s="1">
        <v>108.04</v>
      </c>
      <c r="BD524" s="1">
        <v>107.38</v>
      </c>
      <c r="BE524" s="1">
        <v>106.61</v>
      </c>
      <c r="BF524" s="1">
        <v>106.49</v>
      </c>
      <c r="BG524" s="1">
        <v>111.97</v>
      </c>
      <c r="BH524" s="1">
        <v>97.52</v>
      </c>
      <c r="BI524" s="1">
        <v>111.45</v>
      </c>
      <c r="BJ524" s="1">
        <v>115.72</v>
      </c>
      <c r="BK524" s="1">
        <v>93.49</v>
      </c>
      <c r="BL524" s="1">
        <v>93.82</v>
      </c>
      <c r="BN524" s="1">
        <v>92.89</v>
      </c>
    </row>
    <row r="525" spans="1:66" x14ac:dyDescent="0.3">
      <c r="A525" s="2"/>
      <c r="C525" s="14" t="str">
        <f t="shared" si="9"/>
        <v>20242</v>
      </c>
      <c r="D525" s="3">
        <v>45348</v>
      </c>
      <c r="E525" s="21">
        <v>2121.92</v>
      </c>
      <c r="F525" s="21">
        <v>2162.5100000000002</v>
      </c>
      <c r="G525" s="21">
        <v>2207.12</v>
      </c>
      <c r="H525" s="21">
        <v>2001.37</v>
      </c>
      <c r="I525" s="21">
        <v>1936.84</v>
      </c>
      <c r="J525" s="21">
        <v>1930.55</v>
      </c>
      <c r="K525" s="21"/>
      <c r="L525" s="21">
        <v>1955.91</v>
      </c>
      <c r="M525" s="21">
        <v>1697.74</v>
      </c>
      <c r="N525" s="21">
        <v>1877.47</v>
      </c>
      <c r="O525" s="21">
        <v>1901.72</v>
      </c>
      <c r="P525" s="21"/>
      <c r="Q525" s="21">
        <v>4778.34</v>
      </c>
      <c r="R525" s="20">
        <v>101.21</v>
      </c>
      <c r="S525" s="20">
        <v>86.93</v>
      </c>
      <c r="T525" s="21">
        <v>101.9</v>
      </c>
      <c r="V525" s="1">
        <v>99.89</v>
      </c>
      <c r="W525" s="1">
        <v>105.83</v>
      </c>
      <c r="X525" s="1">
        <v>108.08</v>
      </c>
      <c r="Y525" s="1">
        <v>102.14</v>
      </c>
      <c r="Z525" s="1">
        <v>104.54</v>
      </c>
      <c r="AA525" s="1">
        <v>103.42</v>
      </c>
      <c r="AB525" s="1">
        <v>107.09</v>
      </c>
      <c r="AE525" s="1">
        <v>112.92</v>
      </c>
      <c r="AF525" s="1">
        <v>108.43</v>
      </c>
      <c r="AG525" s="1">
        <v>97.36</v>
      </c>
      <c r="AP525" s="1">
        <v>2625</v>
      </c>
      <c r="AQ525" s="1">
        <v>2957.82</v>
      </c>
      <c r="AS525" s="1">
        <v>2820.57</v>
      </c>
      <c r="AU525" s="1">
        <v>2819.16</v>
      </c>
      <c r="AV525" s="1">
        <v>30</v>
      </c>
      <c r="AW525" s="1">
        <v>2797.26</v>
      </c>
      <c r="AX525" s="1">
        <v>101.04</v>
      </c>
      <c r="AY525" s="1">
        <v>2786.94</v>
      </c>
      <c r="BA525" s="1">
        <v>99.88</v>
      </c>
      <c r="BB525" s="1">
        <v>111.83</v>
      </c>
      <c r="BC525" s="1">
        <v>106.33</v>
      </c>
      <c r="BD525" s="1">
        <v>107.24</v>
      </c>
      <c r="BE525" s="1">
        <v>105.43</v>
      </c>
      <c r="BF525" s="1">
        <v>104.74</v>
      </c>
      <c r="BG525" s="1">
        <v>112.71</v>
      </c>
      <c r="BH525" s="1">
        <v>96.94</v>
      </c>
      <c r="BI525" s="1">
        <v>111.45</v>
      </c>
      <c r="BJ525" s="1">
        <v>115.72</v>
      </c>
      <c r="BK525" s="1">
        <v>93.83</v>
      </c>
      <c r="BL525" s="1">
        <v>95.02</v>
      </c>
      <c r="BN525" s="1">
        <v>92.89</v>
      </c>
    </row>
    <row r="526" spans="1:66" x14ac:dyDescent="0.3">
      <c r="A526" s="2"/>
      <c r="C526" s="14" t="str">
        <f t="shared" si="9"/>
        <v>20242</v>
      </c>
      <c r="D526" s="3">
        <v>45345</v>
      </c>
      <c r="E526" s="21">
        <v>2179.6</v>
      </c>
      <c r="F526" s="21">
        <v>2162.5100000000002</v>
      </c>
      <c r="G526" s="21">
        <v>2207.12</v>
      </c>
      <c r="H526" s="21">
        <v>1947.64</v>
      </c>
      <c r="I526" s="21">
        <v>1972.53</v>
      </c>
      <c r="J526" s="21">
        <v>1931.06</v>
      </c>
      <c r="K526" s="21"/>
      <c r="L526" s="21">
        <v>1955.11</v>
      </c>
      <c r="M526" s="21">
        <v>1717.46</v>
      </c>
      <c r="N526" s="21">
        <v>1858.98</v>
      </c>
      <c r="O526" s="21">
        <v>1899.58</v>
      </c>
      <c r="P526" s="21"/>
      <c r="Q526" s="21">
        <v>4765.6000000000004</v>
      </c>
      <c r="R526" s="20">
        <v>100.69</v>
      </c>
      <c r="S526" s="20">
        <v>87.33</v>
      </c>
      <c r="T526" s="21">
        <v>102.45</v>
      </c>
      <c r="V526" s="1">
        <v>99.57</v>
      </c>
      <c r="W526" s="1">
        <v>107.21</v>
      </c>
      <c r="X526" s="1">
        <v>108.08</v>
      </c>
      <c r="Y526" s="1">
        <v>104.76</v>
      </c>
      <c r="Z526" s="1">
        <v>105.96</v>
      </c>
      <c r="AA526" s="1">
        <v>103.05</v>
      </c>
      <c r="AB526" s="1">
        <v>107.34</v>
      </c>
      <c r="AE526" s="1">
        <v>112.92</v>
      </c>
      <c r="AF526" s="1">
        <v>108.43</v>
      </c>
      <c r="AG526" s="1">
        <v>95.96</v>
      </c>
      <c r="AI526" s="1">
        <v>45</v>
      </c>
      <c r="AN526" s="1">
        <v>3007.96</v>
      </c>
      <c r="AP526" s="1">
        <v>2625</v>
      </c>
      <c r="AQ526" s="1">
        <v>2957.82</v>
      </c>
      <c r="AS526" s="1">
        <v>2820.57</v>
      </c>
      <c r="AT526" s="1">
        <v>2427.29</v>
      </c>
      <c r="AU526" s="1">
        <v>2819.16</v>
      </c>
      <c r="AV526" s="1">
        <v>30</v>
      </c>
      <c r="AW526" s="1">
        <v>2870.66</v>
      </c>
      <c r="AX526" s="1">
        <v>102.39</v>
      </c>
      <c r="AY526" s="1">
        <v>2803.34</v>
      </c>
      <c r="BA526" s="1">
        <v>96.11</v>
      </c>
      <c r="BB526" s="1">
        <v>113.1</v>
      </c>
      <c r="BC526" s="1">
        <v>108.4</v>
      </c>
      <c r="BD526" s="1">
        <v>109.77</v>
      </c>
      <c r="BE526" s="1">
        <v>104.7</v>
      </c>
      <c r="BF526" s="1">
        <v>103.72</v>
      </c>
      <c r="BG526" s="1">
        <v>113.2</v>
      </c>
      <c r="BH526" s="1">
        <v>95.44</v>
      </c>
      <c r="BI526" s="1">
        <v>111.45</v>
      </c>
      <c r="BJ526" s="1">
        <v>116.59</v>
      </c>
      <c r="BK526" s="1">
        <v>96.15</v>
      </c>
      <c r="BL526" s="1">
        <v>97.01</v>
      </c>
      <c r="BN526" s="1">
        <v>96.53</v>
      </c>
    </row>
    <row r="527" spans="1:66" x14ac:dyDescent="0.3">
      <c r="A527" s="2"/>
      <c r="C527" s="14" t="str">
        <f t="shared" si="9"/>
        <v>20242</v>
      </c>
      <c r="D527" s="3">
        <v>45344</v>
      </c>
      <c r="E527" s="21">
        <v>2165.6799999999998</v>
      </c>
      <c r="F527" s="21">
        <v>2162.5100000000002</v>
      </c>
      <c r="G527" s="21">
        <v>2207.12</v>
      </c>
      <c r="H527" s="21">
        <v>1958.89</v>
      </c>
      <c r="I527" s="21">
        <v>1972.53</v>
      </c>
      <c r="J527" s="21">
        <v>1987.41</v>
      </c>
      <c r="K527" s="21"/>
      <c r="L527" s="21">
        <v>1983.34</v>
      </c>
      <c r="M527" s="21">
        <v>1747.74</v>
      </c>
      <c r="N527" s="21">
        <v>1857.39</v>
      </c>
      <c r="O527" s="21">
        <v>1917.85</v>
      </c>
      <c r="P527" s="21"/>
      <c r="Q527" s="21">
        <v>4805.92</v>
      </c>
      <c r="R527" s="20">
        <v>101.93</v>
      </c>
      <c r="S527" s="20">
        <v>88.5</v>
      </c>
      <c r="T527" s="21">
        <v>102.57</v>
      </c>
      <c r="V527" s="1">
        <v>99.32</v>
      </c>
      <c r="W527" s="1">
        <v>106.18</v>
      </c>
      <c r="X527" s="1">
        <v>108.61</v>
      </c>
      <c r="Y527" s="1">
        <v>104.76</v>
      </c>
      <c r="Z527" s="1">
        <v>105.85</v>
      </c>
      <c r="AA527" s="1">
        <v>103.4</v>
      </c>
      <c r="AB527" s="1">
        <v>108.09</v>
      </c>
      <c r="AE527" s="1">
        <v>113.17</v>
      </c>
      <c r="AF527" s="1">
        <v>104.7</v>
      </c>
      <c r="AG527" s="1">
        <v>99.64</v>
      </c>
      <c r="AI527" s="1">
        <v>45</v>
      </c>
      <c r="AN527" s="1">
        <v>3013.88</v>
      </c>
      <c r="AP527" s="1">
        <v>2625</v>
      </c>
      <c r="AQ527" s="1">
        <v>2952.9</v>
      </c>
      <c r="AS527" s="1">
        <v>2820.57</v>
      </c>
      <c r="AT527" s="1">
        <v>2427.29</v>
      </c>
      <c r="AU527" s="1">
        <v>2808.33</v>
      </c>
      <c r="AV527" s="1">
        <v>30</v>
      </c>
      <c r="AW527" s="1">
        <v>2919.59</v>
      </c>
      <c r="AX527" s="1">
        <v>103.45</v>
      </c>
      <c r="AY527" s="1">
        <v>2819.73</v>
      </c>
      <c r="BA527" s="1">
        <v>99.28</v>
      </c>
      <c r="BB527" s="1">
        <v>113.6</v>
      </c>
      <c r="BC527" s="1">
        <v>108.91</v>
      </c>
      <c r="BD527" s="1">
        <v>110.92</v>
      </c>
      <c r="BE527" s="1">
        <v>105.11</v>
      </c>
      <c r="BF527" s="1">
        <v>104.37</v>
      </c>
      <c r="BG527" s="1">
        <v>113.96</v>
      </c>
      <c r="BH527" s="1">
        <v>97.19</v>
      </c>
      <c r="BI527" s="1">
        <v>111.45</v>
      </c>
      <c r="BJ527" s="1">
        <v>116.84</v>
      </c>
      <c r="BK527" s="1">
        <v>94.15</v>
      </c>
      <c r="BL527" s="1">
        <v>97.01</v>
      </c>
      <c r="BN527" s="1">
        <v>96.53</v>
      </c>
    </row>
    <row r="528" spans="1:66" x14ac:dyDescent="0.3">
      <c r="A528" s="2"/>
      <c r="C528" s="14" t="str">
        <f t="shared" si="9"/>
        <v>20242</v>
      </c>
      <c r="D528" s="3">
        <v>45343</v>
      </c>
      <c r="E528" s="21">
        <v>2181.59</v>
      </c>
      <c r="F528" s="21">
        <v>2162.5100000000002</v>
      </c>
      <c r="G528" s="21">
        <v>2207.12</v>
      </c>
      <c r="H528" s="21">
        <v>1983.78</v>
      </c>
      <c r="I528" s="21">
        <v>1972.53</v>
      </c>
      <c r="J528" s="21">
        <v>1981.22</v>
      </c>
      <c r="K528" s="21"/>
      <c r="L528" s="21">
        <v>1983.34</v>
      </c>
      <c r="M528" s="21">
        <v>1747.74</v>
      </c>
      <c r="N528" s="21">
        <v>1821.87</v>
      </c>
      <c r="O528" s="21">
        <v>2012.26</v>
      </c>
      <c r="P528" s="21"/>
      <c r="Q528" s="21">
        <v>4773.13</v>
      </c>
      <c r="R528" s="20">
        <v>101.69</v>
      </c>
      <c r="S528" s="20">
        <v>88.75</v>
      </c>
      <c r="T528" s="21">
        <v>102.41</v>
      </c>
      <c r="V528" s="1">
        <v>99.13</v>
      </c>
      <c r="W528" s="1">
        <v>106.66</v>
      </c>
      <c r="X528" s="1">
        <v>108.73</v>
      </c>
      <c r="Y528" s="1">
        <v>104.76</v>
      </c>
      <c r="Z528" s="1">
        <v>105.25</v>
      </c>
      <c r="AA528" s="1">
        <v>103.28</v>
      </c>
      <c r="AB528" s="1">
        <v>108.09</v>
      </c>
      <c r="AE528" s="1">
        <v>113.67</v>
      </c>
      <c r="AF528" s="1">
        <v>106.68</v>
      </c>
      <c r="AG528" s="1">
        <v>100.89</v>
      </c>
      <c r="AI528" s="1">
        <v>45</v>
      </c>
      <c r="AN528" s="1">
        <v>2938.21</v>
      </c>
      <c r="AP528" s="1">
        <v>2625</v>
      </c>
      <c r="AQ528" s="1">
        <v>2910.53</v>
      </c>
      <c r="AS528" s="1">
        <v>2865.13</v>
      </c>
      <c r="AT528" s="1">
        <v>2427.29</v>
      </c>
      <c r="AU528" s="1">
        <v>2723.89</v>
      </c>
      <c r="AX528" s="1">
        <v>104.88</v>
      </c>
      <c r="AY528" s="1">
        <v>2787.78</v>
      </c>
      <c r="BA528" s="1">
        <v>102.8</v>
      </c>
      <c r="BB528" s="1">
        <v>114.66</v>
      </c>
      <c r="BC528" s="1">
        <v>110.27</v>
      </c>
      <c r="BD528" s="1">
        <v>110.32</v>
      </c>
      <c r="BE528" s="1">
        <v>105.83</v>
      </c>
      <c r="BF528" s="1">
        <v>105.51</v>
      </c>
      <c r="BG528" s="1">
        <v>116.46</v>
      </c>
      <c r="BH528" s="1">
        <v>97.85</v>
      </c>
      <c r="BI528" s="1">
        <v>111.12</v>
      </c>
      <c r="BJ528" s="1">
        <v>116.26</v>
      </c>
      <c r="BK528" s="1">
        <v>94.15</v>
      </c>
      <c r="BL528" s="1">
        <v>97.01</v>
      </c>
      <c r="BN528" s="1">
        <v>96.53</v>
      </c>
    </row>
    <row r="529" spans="1:66" x14ac:dyDescent="0.3">
      <c r="A529" s="2"/>
      <c r="C529" s="14" t="str">
        <f t="shared" si="9"/>
        <v>20242</v>
      </c>
      <c r="D529" s="3">
        <v>45342</v>
      </c>
      <c r="E529" s="21">
        <v>2181.59</v>
      </c>
      <c r="F529" s="21">
        <v>2162.5100000000002</v>
      </c>
      <c r="G529" s="21">
        <v>2207.12</v>
      </c>
      <c r="H529" s="21">
        <v>2074.81</v>
      </c>
      <c r="I529" s="21">
        <v>1972.53</v>
      </c>
      <c r="J529" s="21">
        <v>1974.25</v>
      </c>
      <c r="K529" s="21"/>
      <c r="L529" s="21"/>
      <c r="M529" s="21">
        <v>1746.38</v>
      </c>
      <c r="N529" s="21">
        <v>1867.53</v>
      </c>
      <c r="O529" s="21">
        <v>1975.6</v>
      </c>
      <c r="P529" s="21"/>
      <c r="Q529" s="21">
        <v>4789.6499999999996</v>
      </c>
      <c r="R529" s="20">
        <v>102.66</v>
      </c>
      <c r="S529" s="20">
        <v>87.94</v>
      </c>
      <c r="T529" s="21">
        <v>102.25</v>
      </c>
      <c r="V529" s="1">
        <v>105.93</v>
      </c>
      <c r="W529" s="1">
        <v>106.49</v>
      </c>
      <c r="X529" s="1">
        <v>108.85</v>
      </c>
      <c r="Y529" s="1">
        <v>104.9</v>
      </c>
      <c r="Z529" s="1">
        <v>105.14</v>
      </c>
      <c r="AA529" s="1">
        <v>104.22</v>
      </c>
      <c r="AB529" s="1">
        <v>108.09</v>
      </c>
      <c r="AE529" s="1">
        <v>114.66</v>
      </c>
      <c r="AF529" s="1">
        <v>106.43</v>
      </c>
      <c r="AG529" s="1">
        <v>98.96</v>
      </c>
      <c r="AI529" s="1">
        <v>45</v>
      </c>
      <c r="AN529" s="1">
        <v>2938.21</v>
      </c>
      <c r="AP529" s="1">
        <v>2640</v>
      </c>
      <c r="AQ529" s="1">
        <v>2978.62</v>
      </c>
      <c r="AS529" s="1">
        <v>2865.13</v>
      </c>
      <c r="AT529" s="1">
        <v>2427.29</v>
      </c>
      <c r="AU529" s="1">
        <v>2701.19</v>
      </c>
      <c r="AV529" s="1">
        <v>30</v>
      </c>
      <c r="AW529" s="1">
        <v>3516.99</v>
      </c>
      <c r="AX529" s="1">
        <v>98.01</v>
      </c>
      <c r="AY529" s="1">
        <v>2785.34</v>
      </c>
      <c r="AZ529" s="1">
        <v>2814.69</v>
      </c>
      <c r="BA529" s="1">
        <v>100.82</v>
      </c>
      <c r="BB529" s="1">
        <v>114.52</v>
      </c>
      <c r="BC529" s="1">
        <v>111.29</v>
      </c>
      <c r="BD529" s="1">
        <v>109.64</v>
      </c>
      <c r="BE529" s="1">
        <v>106.44</v>
      </c>
      <c r="BF529" s="1">
        <v>105.99</v>
      </c>
      <c r="BG529" s="1">
        <v>116.71</v>
      </c>
      <c r="BH529" s="1">
        <v>98.12</v>
      </c>
      <c r="BI529" s="1">
        <v>111.12</v>
      </c>
      <c r="BJ529" s="1">
        <v>116.17</v>
      </c>
      <c r="BK529" s="1">
        <v>94.81</v>
      </c>
      <c r="BL529" s="1">
        <v>98.01</v>
      </c>
      <c r="BN529" s="1">
        <v>96.53</v>
      </c>
    </row>
    <row r="530" spans="1:66" x14ac:dyDescent="0.3">
      <c r="A530" s="2"/>
      <c r="C530" s="14" t="str">
        <f t="shared" si="9"/>
        <v>20242</v>
      </c>
      <c r="D530" s="3">
        <v>45341</v>
      </c>
      <c r="E530" s="21">
        <v>2177.61</v>
      </c>
      <c r="F530" s="21">
        <v>2162.5100000000002</v>
      </c>
      <c r="G530" s="21">
        <v>2207.12</v>
      </c>
      <c r="H530" s="21">
        <v>2139.96</v>
      </c>
      <c r="I530" s="21">
        <v>1982.44</v>
      </c>
      <c r="J530" s="21">
        <v>2024.03</v>
      </c>
      <c r="K530" s="21"/>
      <c r="L530" s="21"/>
      <c r="M530" s="21">
        <v>1748.45</v>
      </c>
      <c r="N530" s="21">
        <v>1892.88</v>
      </c>
      <c r="O530" s="21">
        <v>2010.46</v>
      </c>
      <c r="P530" s="21"/>
      <c r="Q530" s="21">
        <v>4817.74</v>
      </c>
      <c r="R530" s="20">
        <v>102.66</v>
      </c>
      <c r="S530" s="20">
        <v>88.69</v>
      </c>
      <c r="T530" s="21">
        <v>102.23</v>
      </c>
      <c r="V530" s="1">
        <v>104.73</v>
      </c>
      <c r="W530" s="1">
        <v>106.49</v>
      </c>
      <c r="X530" s="1">
        <v>108.73</v>
      </c>
      <c r="Y530" s="1">
        <v>105.37</v>
      </c>
      <c r="Z530" s="1">
        <v>105.14</v>
      </c>
      <c r="AA530" s="1">
        <v>104.11</v>
      </c>
      <c r="AB530" s="1">
        <v>109.09</v>
      </c>
      <c r="AE530" s="1">
        <v>113.67</v>
      </c>
      <c r="AF530" s="1">
        <v>106.17</v>
      </c>
      <c r="AG530" s="1">
        <v>90.12</v>
      </c>
      <c r="AI530" s="1">
        <v>45</v>
      </c>
      <c r="AN530" s="1">
        <v>2908.77</v>
      </c>
      <c r="AP530" s="1">
        <v>2646</v>
      </c>
      <c r="AQ530" s="1">
        <v>2966.01</v>
      </c>
      <c r="AS530" s="1">
        <v>2861.09</v>
      </c>
      <c r="AT530" s="1">
        <v>2427.29</v>
      </c>
      <c r="AU530" s="1">
        <v>2542.3000000000002</v>
      </c>
      <c r="AV530" s="1">
        <v>30</v>
      </c>
      <c r="AW530" s="1">
        <v>3510</v>
      </c>
      <c r="AX530" s="1">
        <v>97.33</v>
      </c>
      <c r="AY530" s="1">
        <v>2785.34</v>
      </c>
      <c r="AZ530" s="1">
        <v>2814.69</v>
      </c>
      <c r="BA530" s="1">
        <v>100.29</v>
      </c>
      <c r="BB530" s="1">
        <v>113.23</v>
      </c>
      <c r="BC530" s="1">
        <v>109.92</v>
      </c>
      <c r="BD530" s="1">
        <v>110.46</v>
      </c>
      <c r="BE530" s="1">
        <v>106.3</v>
      </c>
      <c r="BF530" s="1">
        <v>104.56</v>
      </c>
      <c r="BG530" s="1">
        <v>115.21</v>
      </c>
      <c r="BH530" s="1">
        <v>97.79</v>
      </c>
      <c r="BI530" s="1">
        <v>111.79</v>
      </c>
      <c r="BJ530" s="1">
        <v>117.36</v>
      </c>
      <c r="BL530" s="1">
        <v>97.81</v>
      </c>
      <c r="BN530" s="1">
        <v>96.53</v>
      </c>
    </row>
    <row r="531" spans="1:66" x14ac:dyDescent="0.3">
      <c r="A531" s="2"/>
      <c r="C531" s="14" t="str">
        <f t="shared" si="9"/>
        <v>20242</v>
      </c>
      <c r="D531" s="3">
        <v>45338</v>
      </c>
      <c r="E531" s="21">
        <v>2185.5700000000002</v>
      </c>
      <c r="F531" s="21">
        <v>2174.9</v>
      </c>
      <c r="G531" s="21">
        <v>2207.12</v>
      </c>
      <c r="H531" s="21">
        <v>2123.17</v>
      </c>
      <c r="I531" s="21">
        <v>1982.44</v>
      </c>
      <c r="J531" s="21">
        <v>2024.03</v>
      </c>
      <c r="K531" s="21"/>
      <c r="L531" s="21"/>
      <c r="M531" s="21">
        <v>1752.59</v>
      </c>
      <c r="N531" s="21">
        <v>1860.14</v>
      </c>
      <c r="O531" s="21">
        <v>2004.58</v>
      </c>
      <c r="P531" s="21"/>
      <c r="Q531" s="21">
        <v>4817.74</v>
      </c>
      <c r="R531" s="20">
        <v>102.63</v>
      </c>
      <c r="S531" s="20">
        <v>90.93</v>
      </c>
      <c r="T531" s="21">
        <v>102.12</v>
      </c>
      <c r="V531" s="1">
        <v>104.33</v>
      </c>
      <c r="W531" s="1">
        <v>107.01</v>
      </c>
      <c r="X531" s="1">
        <v>108.73</v>
      </c>
      <c r="Y531" s="1">
        <v>105.6</v>
      </c>
      <c r="Z531" s="1">
        <v>105.13</v>
      </c>
      <c r="AA531" s="1">
        <v>104.25</v>
      </c>
      <c r="AB531" s="1">
        <v>109.47</v>
      </c>
      <c r="AE531" s="1">
        <v>113.17</v>
      </c>
      <c r="AF531" s="1">
        <v>106.15</v>
      </c>
      <c r="AG531" s="1">
        <v>94.03</v>
      </c>
      <c r="AI531" s="1">
        <v>45</v>
      </c>
      <c r="AN531" s="1">
        <v>3029.08</v>
      </c>
      <c r="AP531" s="1">
        <v>2660</v>
      </c>
      <c r="AQ531" s="1">
        <v>2966.01</v>
      </c>
      <c r="AS531" s="1">
        <v>2925.66</v>
      </c>
      <c r="AU531" s="1">
        <v>2542.3000000000002</v>
      </c>
      <c r="AV531" s="1">
        <v>30</v>
      </c>
      <c r="AW531" s="1">
        <v>3510</v>
      </c>
      <c r="AX531" s="1">
        <v>97.93</v>
      </c>
      <c r="AY531" s="1">
        <v>2765.69</v>
      </c>
      <c r="AZ531" s="1">
        <v>2814.69</v>
      </c>
      <c r="BA531" s="1">
        <v>100.28</v>
      </c>
      <c r="BB531" s="1">
        <v>113.87</v>
      </c>
      <c r="BC531" s="1">
        <v>109.85</v>
      </c>
      <c r="BD531" s="1">
        <v>109.59</v>
      </c>
      <c r="BE531" s="1">
        <v>106.28</v>
      </c>
      <c r="BF531" s="1">
        <v>105.46</v>
      </c>
      <c r="BG531" s="1">
        <v>115.21</v>
      </c>
      <c r="BH531" s="1">
        <v>97.79</v>
      </c>
      <c r="BI531" s="1">
        <v>111.79</v>
      </c>
      <c r="BJ531" s="1">
        <v>117.36</v>
      </c>
      <c r="BK531" s="1">
        <v>96.44</v>
      </c>
      <c r="BL531" s="1">
        <v>97.81</v>
      </c>
      <c r="BN531" s="1">
        <v>96.53</v>
      </c>
    </row>
    <row r="532" spans="1:66" x14ac:dyDescent="0.3">
      <c r="A532" s="2"/>
      <c r="C532" s="14" t="str">
        <f t="shared" si="9"/>
        <v>20242</v>
      </c>
      <c r="D532" s="3">
        <v>45337</v>
      </c>
      <c r="E532" s="21">
        <v>2181.5300000000002</v>
      </c>
      <c r="F532" s="21">
        <v>2183.16</v>
      </c>
      <c r="G532" s="21">
        <v>2240.16</v>
      </c>
      <c r="H532" s="21">
        <v>2070.17</v>
      </c>
      <c r="I532" s="21">
        <v>2010.19</v>
      </c>
      <c r="J532" s="21">
        <v>2024.01</v>
      </c>
      <c r="K532" s="21"/>
      <c r="L532" s="21"/>
      <c r="M532" s="21">
        <v>1760.88</v>
      </c>
      <c r="N532" s="21">
        <v>1867.02</v>
      </c>
      <c r="O532" s="21">
        <v>2001.46</v>
      </c>
      <c r="P532" s="21"/>
      <c r="Q532" s="21">
        <v>4834.79</v>
      </c>
      <c r="R532" s="20">
        <v>101.88</v>
      </c>
      <c r="S532" s="20">
        <v>96.67</v>
      </c>
      <c r="T532" s="21">
        <v>102.05</v>
      </c>
      <c r="V532" s="1">
        <v>103.21</v>
      </c>
      <c r="W532" s="1">
        <v>106.49</v>
      </c>
      <c r="X532" s="1">
        <v>109.48</v>
      </c>
      <c r="Y532" s="1">
        <v>105.72</v>
      </c>
      <c r="Z532" s="1">
        <v>105.13</v>
      </c>
      <c r="AA532" s="1">
        <v>103.16</v>
      </c>
      <c r="AB532" s="1">
        <v>110.34</v>
      </c>
      <c r="AE532" s="1">
        <v>114.17</v>
      </c>
      <c r="AF532" s="1">
        <v>106.57</v>
      </c>
      <c r="AG532" s="1">
        <v>99.18</v>
      </c>
      <c r="AN532" s="1">
        <v>3026.54</v>
      </c>
      <c r="AP532" s="1">
        <v>2730</v>
      </c>
      <c r="AQ532" s="1">
        <v>2973.08</v>
      </c>
      <c r="AS532" s="1">
        <v>2911.54</v>
      </c>
      <c r="AU532" s="1">
        <v>2609.89</v>
      </c>
      <c r="AV532" s="1">
        <v>30</v>
      </c>
      <c r="AW532" s="1">
        <v>3510</v>
      </c>
      <c r="AX532" s="1">
        <v>104.76</v>
      </c>
      <c r="AY532" s="1">
        <v>2772.65</v>
      </c>
      <c r="AZ532" s="1">
        <v>2814.69</v>
      </c>
      <c r="BA532" s="1">
        <v>99.92</v>
      </c>
      <c r="BB532" s="1">
        <v>112.78</v>
      </c>
      <c r="BC532" s="1">
        <v>109.16</v>
      </c>
      <c r="BD532" s="1">
        <v>108.64</v>
      </c>
      <c r="BE532" s="1">
        <v>105.96</v>
      </c>
      <c r="BF532" s="1">
        <v>105.2</v>
      </c>
      <c r="BG532" s="1">
        <v>115.71</v>
      </c>
      <c r="BH532" s="1">
        <v>97.19</v>
      </c>
      <c r="BI532" s="1">
        <v>111.79</v>
      </c>
      <c r="BJ532" s="1">
        <v>116.96</v>
      </c>
      <c r="BK532" s="1">
        <v>96.89</v>
      </c>
      <c r="BL532" s="1">
        <v>97.04</v>
      </c>
      <c r="BN532" s="1">
        <v>96.53</v>
      </c>
    </row>
    <row r="533" spans="1:66" x14ac:dyDescent="0.3">
      <c r="A533" s="2"/>
      <c r="C533" s="14" t="str">
        <f t="shared" si="9"/>
        <v>20242</v>
      </c>
      <c r="D533" s="3">
        <v>45336</v>
      </c>
      <c r="E533" s="21">
        <v>2197.44</v>
      </c>
      <c r="F533" s="21">
        <v>2183.16</v>
      </c>
      <c r="G533" s="21">
        <v>2240.16</v>
      </c>
      <c r="H533" s="21">
        <v>2070.17</v>
      </c>
      <c r="I533" s="21">
        <v>1979.96</v>
      </c>
      <c r="J533" s="21">
        <v>2009.72</v>
      </c>
      <c r="K533" s="21"/>
      <c r="L533" s="21"/>
      <c r="M533" s="21">
        <v>1760.88</v>
      </c>
      <c r="N533" s="21">
        <v>1836.41</v>
      </c>
      <c r="O533" s="21">
        <v>1969.58</v>
      </c>
      <c r="P533" s="21"/>
      <c r="Q533" s="21">
        <v>4843.29</v>
      </c>
      <c r="R533" s="20">
        <v>102.09</v>
      </c>
      <c r="S533" s="20">
        <v>96.67</v>
      </c>
      <c r="T533" s="21">
        <v>101.98</v>
      </c>
      <c r="V533" s="1">
        <v>101.45</v>
      </c>
      <c r="W533" s="1">
        <v>107.01</v>
      </c>
      <c r="X533" s="1">
        <v>111.55</v>
      </c>
      <c r="Y533" s="1">
        <v>104.88</v>
      </c>
      <c r="Z533" s="1">
        <v>105.15</v>
      </c>
      <c r="AA533" s="1">
        <v>104.11</v>
      </c>
      <c r="AB533" s="1">
        <v>110.84</v>
      </c>
      <c r="AE533" s="1">
        <v>116.66</v>
      </c>
      <c r="AF533" s="1">
        <v>106.56</v>
      </c>
      <c r="AG533" s="1">
        <v>98.56</v>
      </c>
      <c r="AN533" s="1">
        <v>3026.54</v>
      </c>
      <c r="AP533" s="1">
        <v>2730</v>
      </c>
      <c r="AQ533" s="1">
        <v>2983.67</v>
      </c>
      <c r="AS533" s="1">
        <v>2814.69</v>
      </c>
      <c r="AU533" s="1">
        <v>2626.79</v>
      </c>
      <c r="AX533" s="1">
        <v>102.08</v>
      </c>
      <c r="AY533" s="1">
        <v>2784.42</v>
      </c>
      <c r="AZ533" s="1">
        <v>2814.69</v>
      </c>
      <c r="BA533" s="1">
        <v>99.92</v>
      </c>
      <c r="BB533" s="1">
        <v>113.48</v>
      </c>
      <c r="BC533" s="1">
        <v>109.64</v>
      </c>
      <c r="BD533" s="1">
        <v>110.78</v>
      </c>
      <c r="BE533" s="1">
        <v>105.56</v>
      </c>
      <c r="BF533" s="1">
        <v>104.77</v>
      </c>
      <c r="BG533" s="1">
        <v>115.21</v>
      </c>
      <c r="BH533" s="1">
        <v>97.19</v>
      </c>
      <c r="BI533" s="1">
        <v>111.79</v>
      </c>
      <c r="BJ533" s="1">
        <v>116.96</v>
      </c>
      <c r="BK533" s="1">
        <v>98.22</v>
      </c>
      <c r="BL533" s="1">
        <v>97.03</v>
      </c>
      <c r="BN533" s="1">
        <v>96.53</v>
      </c>
    </row>
    <row r="534" spans="1:66" x14ac:dyDescent="0.3">
      <c r="A534" s="2"/>
      <c r="C534" s="14" t="str">
        <f t="shared" si="9"/>
        <v>20242</v>
      </c>
      <c r="D534" s="3">
        <v>45331</v>
      </c>
      <c r="E534" s="21">
        <v>2181.5500000000002</v>
      </c>
      <c r="F534" s="21">
        <v>2148.4699999999998</v>
      </c>
      <c r="G534" s="21">
        <v>2230.2399999999998</v>
      </c>
      <c r="H534" s="21">
        <v>2098.21</v>
      </c>
      <c r="I534" s="21">
        <v>1930.4</v>
      </c>
      <c r="J534" s="21">
        <v>2011.14</v>
      </c>
      <c r="K534" s="21"/>
      <c r="L534" s="21"/>
      <c r="M534" s="21">
        <v>1760.88</v>
      </c>
      <c r="N534" s="21">
        <v>1858.01</v>
      </c>
      <c r="O534" s="21">
        <v>1981.13</v>
      </c>
      <c r="P534" s="21"/>
      <c r="Q534" s="21">
        <v>4800.43</v>
      </c>
      <c r="R534" s="20">
        <v>102.27</v>
      </c>
      <c r="S534" s="20">
        <v>88.64</v>
      </c>
      <c r="T534" s="21">
        <v>101.37</v>
      </c>
      <c r="V534" s="1">
        <v>101.7</v>
      </c>
      <c r="W534" s="1">
        <v>106.49</v>
      </c>
      <c r="X534" s="1">
        <v>111.35</v>
      </c>
      <c r="Y534" s="1">
        <v>105.14</v>
      </c>
      <c r="Z534" s="1">
        <v>105.13</v>
      </c>
      <c r="AA534" s="1">
        <v>104.45</v>
      </c>
      <c r="AB534" s="1">
        <v>111.59</v>
      </c>
      <c r="AE534" s="1">
        <v>116.91</v>
      </c>
      <c r="AF534" s="1">
        <v>109.21</v>
      </c>
      <c r="AG534" s="1">
        <v>95.72</v>
      </c>
      <c r="AN534" s="1">
        <v>3009.39</v>
      </c>
      <c r="AP534" s="1">
        <v>2730</v>
      </c>
      <c r="AQ534" s="1">
        <v>2906.2</v>
      </c>
      <c r="AS534" s="1">
        <v>2884.95</v>
      </c>
      <c r="AU534" s="1">
        <v>2626.79</v>
      </c>
      <c r="AW534" s="1">
        <v>2774.84</v>
      </c>
      <c r="AX534" s="1">
        <v>104.44</v>
      </c>
      <c r="AY534" s="1">
        <v>2764.24</v>
      </c>
      <c r="AZ534" s="1">
        <v>2814.69</v>
      </c>
      <c r="BA534" s="1">
        <v>100</v>
      </c>
      <c r="BB534" s="1">
        <v>113.91</v>
      </c>
      <c r="BC534" s="1">
        <v>110.79</v>
      </c>
      <c r="BD534" s="1">
        <v>109.86</v>
      </c>
      <c r="BE534" s="1">
        <v>108.66</v>
      </c>
      <c r="BF534" s="1">
        <v>108.9</v>
      </c>
      <c r="BG534" s="1">
        <v>117.19</v>
      </c>
      <c r="BH534" s="1">
        <v>95.48</v>
      </c>
      <c r="BI534" s="1">
        <v>111.79</v>
      </c>
      <c r="BJ534" s="1">
        <v>116.96</v>
      </c>
      <c r="BK534" s="1">
        <v>94.48</v>
      </c>
      <c r="BL534" s="1">
        <v>96.78</v>
      </c>
      <c r="BN534" s="1">
        <v>95.87</v>
      </c>
    </row>
    <row r="535" spans="1:66" x14ac:dyDescent="0.3">
      <c r="A535" s="2"/>
      <c r="C535" s="14" t="str">
        <f t="shared" si="9"/>
        <v>20242</v>
      </c>
      <c r="D535" s="3">
        <v>45330</v>
      </c>
      <c r="E535" s="21">
        <v>2181.56</v>
      </c>
      <c r="F535" s="21">
        <v>2141.86</v>
      </c>
      <c r="G535" s="21">
        <v>2223.64</v>
      </c>
      <c r="H535" s="21">
        <v>2136.4899999999998</v>
      </c>
      <c r="I535" s="21">
        <v>1942.79</v>
      </c>
      <c r="J535" s="21">
        <v>2023.98</v>
      </c>
      <c r="K535" s="21"/>
      <c r="L535" s="21"/>
      <c r="M535" s="21">
        <v>1770.74</v>
      </c>
      <c r="N535" s="21">
        <v>1834.83</v>
      </c>
      <c r="O535" s="21">
        <v>1997.34</v>
      </c>
      <c r="P535" s="21"/>
      <c r="Q535" s="21">
        <v>4806.1000000000004</v>
      </c>
      <c r="R535" s="20">
        <v>102.03</v>
      </c>
      <c r="S535" s="20">
        <v>92.31</v>
      </c>
      <c r="T535" s="21">
        <v>100.75</v>
      </c>
      <c r="V535" s="1">
        <v>101.93</v>
      </c>
      <c r="W535" s="1">
        <v>105.16</v>
      </c>
      <c r="X535" s="1">
        <v>111.44</v>
      </c>
      <c r="Y535" s="1">
        <v>104.78</v>
      </c>
      <c r="Z535" s="1">
        <v>104.43</v>
      </c>
      <c r="AA535" s="1">
        <v>104.43</v>
      </c>
      <c r="AB535" s="1">
        <v>111.82</v>
      </c>
      <c r="AE535" s="1">
        <v>116.91</v>
      </c>
      <c r="AF535" s="1">
        <v>108.11</v>
      </c>
      <c r="AG535" s="1">
        <v>95.42</v>
      </c>
      <c r="AL535" s="1">
        <v>30</v>
      </c>
      <c r="AN535" s="1">
        <v>3005.11</v>
      </c>
      <c r="AP535" s="1">
        <v>2730</v>
      </c>
      <c r="AQ535" s="1">
        <v>2875.22</v>
      </c>
      <c r="AS535" s="1">
        <v>2900.02</v>
      </c>
      <c r="AW535" s="1">
        <v>2802.08</v>
      </c>
      <c r="AX535" s="1">
        <v>99.53</v>
      </c>
      <c r="AY535" s="1">
        <v>2759.2</v>
      </c>
      <c r="AZ535" s="1">
        <v>2839.87</v>
      </c>
      <c r="BA535" s="1">
        <v>100.94</v>
      </c>
      <c r="BB535" s="1">
        <v>113.54</v>
      </c>
      <c r="BC535" s="1">
        <v>110.08</v>
      </c>
      <c r="BD535" s="1">
        <v>109.66</v>
      </c>
      <c r="BE535" s="1">
        <v>107.86</v>
      </c>
      <c r="BF535" s="1">
        <v>108.9</v>
      </c>
      <c r="BG535" s="1">
        <v>116.65</v>
      </c>
      <c r="BH535" s="1">
        <v>95.48</v>
      </c>
      <c r="BI535" s="1">
        <v>111.68</v>
      </c>
      <c r="BJ535" s="1">
        <v>115.97</v>
      </c>
      <c r="BK535" s="1">
        <v>94.48</v>
      </c>
      <c r="BL535" s="1">
        <v>96.28</v>
      </c>
      <c r="BN535" s="1">
        <v>95.87</v>
      </c>
    </row>
    <row r="536" spans="1:66" x14ac:dyDescent="0.3">
      <c r="A536" s="2"/>
      <c r="C536" s="14" t="str">
        <f t="shared" si="9"/>
        <v>20242</v>
      </c>
      <c r="D536" s="3">
        <v>45329</v>
      </c>
      <c r="E536" s="21">
        <v>2203.41</v>
      </c>
      <c r="F536" s="21">
        <v>2183.16</v>
      </c>
      <c r="G536" s="21">
        <v>2240.16</v>
      </c>
      <c r="H536" s="21">
        <v>2122.9299999999998</v>
      </c>
      <c r="I536" s="21">
        <v>2073.63</v>
      </c>
      <c r="J536" s="21">
        <v>2028.38</v>
      </c>
      <c r="K536" s="21"/>
      <c r="L536" s="21">
        <v>2026.06</v>
      </c>
      <c r="M536" s="21">
        <v>1790.45</v>
      </c>
      <c r="N536" s="21">
        <v>1842.61</v>
      </c>
      <c r="O536" s="21">
        <v>1996.72</v>
      </c>
      <c r="P536" s="21"/>
      <c r="Q536" s="21">
        <v>4779.45</v>
      </c>
      <c r="R536" s="20">
        <v>101.53</v>
      </c>
      <c r="S536" s="20">
        <v>87.31</v>
      </c>
      <c r="T536" s="21">
        <v>100.62</v>
      </c>
      <c r="V536" s="1">
        <v>99.52</v>
      </c>
      <c r="W536" s="1">
        <v>104.78</v>
      </c>
      <c r="X536" s="1">
        <v>111.3</v>
      </c>
      <c r="Y536" s="1">
        <v>103.89</v>
      </c>
      <c r="Z536" s="1">
        <v>104.14</v>
      </c>
      <c r="AA536" s="1">
        <v>103.42</v>
      </c>
      <c r="AB536" s="1">
        <v>111.24</v>
      </c>
      <c r="AE536" s="1">
        <v>116.66</v>
      </c>
      <c r="AF536" s="1">
        <v>108.1</v>
      </c>
      <c r="AG536" s="1">
        <v>92.9</v>
      </c>
      <c r="AI536" s="1">
        <v>7</v>
      </c>
      <c r="AL536" s="1">
        <v>30</v>
      </c>
      <c r="AN536" s="1">
        <v>2945.73</v>
      </c>
      <c r="AP536" s="1">
        <v>2730</v>
      </c>
      <c r="AQ536" s="1">
        <v>2875.22</v>
      </c>
      <c r="AS536" s="1">
        <v>2925.16</v>
      </c>
      <c r="AT536" s="1">
        <v>2942.69</v>
      </c>
      <c r="AU536" s="1">
        <v>2687.5</v>
      </c>
      <c r="AW536" s="1">
        <v>2848.31</v>
      </c>
      <c r="AX536" s="1">
        <v>99.85</v>
      </c>
      <c r="AY536" s="1">
        <v>2751.78</v>
      </c>
      <c r="AZ536" s="1">
        <v>2856.67</v>
      </c>
      <c r="BA536" s="1">
        <v>102.76</v>
      </c>
      <c r="BB536" s="1">
        <v>113.72</v>
      </c>
      <c r="BC536" s="1">
        <v>109.82</v>
      </c>
      <c r="BD536" s="1">
        <v>109.64</v>
      </c>
      <c r="BE536" s="1">
        <v>107.05</v>
      </c>
      <c r="BF536" s="1">
        <v>105.7</v>
      </c>
      <c r="BG536" s="1">
        <v>114.75</v>
      </c>
      <c r="BH536" s="1">
        <v>95.48</v>
      </c>
      <c r="BI536" s="1">
        <v>111.68</v>
      </c>
      <c r="BJ536" s="1">
        <v>115.97</v>
      </c>
      <c r="BK536" s="1">
        <v>94.48</v>
      </c>
      <c r="BL536" s="1">
        <v>96.29</v>
      </c>
      <c r="BN536" s="1">
        <v>95.87</v>
      </c>
    </row>
    <row r="537" spans="1:66" x14ac:dyDescent="0.3">
      <c r="A537" s="2"/>
      <c r="C537" s="14" t="str">
        <f t="shared" si="9"/>
        <v>20242</v>
      </c>
      <c r="D537" s="3">
        <v>45328</v>
      </c>
      <c r="E537" s="21">
        <v>2203.41</v>
      </c>
      <c r="F537" s="21">
        <v>2195.5500000000002</v>
      </c>
      <c r="G537" s="21">
        <v>2240.16</v>
      </c>
      <c r="H537" s="21">
        <v>2157.85</v>
      </c>
      <c r="I537" s="21">
        <v>2073.63</v>
      </c>
      <c r="J537" s="21">
        <v>2030.61</v>
      </c>
      <c r="K537" s="21"/>
      <c r="L537" s="21">
        <v>2014.69</v>
      </c>
      <c r="M537" s="21">
        <v>1790.45</v>
      </c>
      <c r="N537" s="21">
        <v>1870.42</v>
      </c>
      <c r="O537" s="21">
        <v>2028.03</v>
      </c>
      <c r="P537" s="21"/>
      <c r="Q537" s="21">
        <v>4782.03</v>
      </c>
      <c r="R537" s="20">
        <v>104.02</v>
      </c>
      <c r="S537" s="20">
        <v>91.58</v>
      </c>
      <c r="T537" s="21">
        <v>100.39</v>
      </c>
      <c r="V537" s="1">
        <v>101.45</v>
      </c>
      <c r="W537" s="1">
        <v>104.83</v>
      </c>
      <c r="X537" s="1">
        <v>111.23</v>
      </c>
      <c r="Y537" s="1">
        <v>103.33</v>
      </c>
      <c r="Z537" s="1">
        <v>103.65</v>
      </c>
      <c r="AA537" s="1">
        <v>105.46</v>
      </c>
      <c r="AB537" s="1">
        <v>112.1</v>
      </c>
      <c r="AE537" s="1">
        <v>119.15</v>
      </c>
      <c r="AF537" s="1">
        <v>108.79</v>
      </c>
      <c r="AG537" s="1">
        <v>95.32</v>
      </c>
      <c r="AJ537" s="1">
        <v>30</v>
      </c>
      <c r="AL537" s="1">
        <v>30</v>
      </c>
      <c r="AN537" s="1">
        <v>2826.04</v>
      </c>
      <c r="AP537" s="1">
        <v>2730</v>
      </c>
      <c r="AQ537" s="1">
        <v>2846.63</v>
      </c>
      <c r="AR537" s="1">
        <v>2716.67</v>
      </c>
      <c r="AS537" s="1">
        <v>2925.16</v>
      </c>
      <c r="AT537" s="1">
        <v>2942.69</v>
      </c>
      <c r="AU537" s="1">
        <v>2783.33</v>
      </c>
      <c r="AW537" s="1">
        <v>2905.48</v>
      </c>
      <c r="AX537" s="1">
        <v>99.84</v>
      </c>
      <c r="AY537" s="1">
        <v>2723.89</v>
      </c>
      <c r="AZ537" s="1">
        <v>2866</v>
      </c>
      <c r="BA537" s="1">
        <v>101.64</v>
      </c>
      <c r="BB537" s="1">
        <v>115.09</v>
      </c>
      <c r="BC537" s="1">
        <v>109.74</v>
      </c>
      <c r="BD537" s="1">
        <v>109.58</v>
      </c>
      <c r="BE537" s="1">
        <v>108.09</v>
      </c>
      <c r="BF537" s="1">
        <v>105.92</v>
      </c>
      <c r="BG537" s="1">
        <v>120.65</v>
      </c>
      <c r="BH537" s="1">
        <v>95.15</v>
      </c>
      <c r="BI537" s="1">
        <v>111.69</v>
      </c>
      <c r="BJ537" s="1">
        <v>116.37</v>
      </c>
      <c r="BK537" s="1">
        <v>94.82</v>
      </c>
      <c r="BL537" s="1">
        <v>96.04</v>
      </c>
      <c r="BN537" s="1">
        <v>95.87</v>
      </c>
    </row>
    <row r="538" spans="1:66" x14ac:dyDescent="0.3">
      <c r="A538" s="2"/>
      <c r="C538" s="14" t="str">
        <f t="shared" si="9"/>
        <v>20242</v>
      </c>
      <c r="D538" s="3">
        <v>45327</v>
      </c>
      <c r="E538" s="21">
        <v>2203.41</v>
      </c>
      <c r="F538" s="21">
        <v>2195.5500000000002</v>
      </c>
      <c r="G538" s="21">
        <v>2240.16</v>
      </c>
      <c r="H538" s="21">
        <v>2144.6</v>
      </c>
      <c r="I538" s="21">
        <v>2024.57</v>
      </c>
      <c r="J538" s="21">
        <v>2095.6</v>
      </c>
      <c r="K538" s="21">
        <v>1924.33</v>
      </c>
      <c r="L538" s="21">
        <v>1880.57</v>
      </c>
      <c r="M538" s="21">
        <v>1817.19</v>
      </c>
      <c r="N538" s="21">
        <v>1900.02</v>
      </c>
      <c r="O538" s="21">
        <v>2011.27</v>
      </c>
      <c r="P538" s="21"/>
      <c r="Q538" s="21">
        <v>4783.4399999999996</v>
      </c>
      <c r="R538" s="20">
        <v>102.53</v>
      </c>
      <c r="S538" s="20">
        <v>91.68</v>
      </c>
      <c r="T538" s="21">
        <v>100.37</v>
      </c>
      <c r="V538" s="1">
        <v>102.93</v>
      </c>
      <c r="W538" s="1">
        <v>103.78</v>
      </c>
      <c r="X538" s="1">
        <v>110.85</v>
      </c>
      <c r="Y538" s="1">
        <v>101.89</v>
      </c>
      <c r="Z538" s="1">
        <v>102.14</v>
      </c>
      <c r="AA538" s="1">
        <v>104.59</v>
      </c>
      <c r="AB538" s="1">
        <v>111.82</v>
      </c>
      <c r="AE538" s="1">
        <v>118.65</v>
      </c>
      <c r="AF538" s="1">
        <v>106.12</v>
      </c>
      <c r="AG538" s="1">
        <v>95.96</v>
      </c>
      <c r="AJ538" s="1">
        <v>30</v>
      </c>
      <c r="AL538" s="1">
        <v>30</v>
      </c>
      <c r="AN538" s="1">
        <v>2885.31</v>
      </c>
      <c r="AP538" s="1">
        <v>2807</v>
      </c>
      <c r="AQ538" s="1">
        <v>2782.4</v>
      </c>
      <c r="AR538" s="1">
        <v>2716.67</v>
      </c>
      <c r="AS538" s="1">
        <v>2925.16</v>
      </c>
      <c r="AT538" s="1">
        <v>2942.69</v>
      </c>
      <c r="AU538" s="1">
        <v>2783.33</v>
      </c>
      <c r="AW538" s="1">
        <v>2905.48</v>
      </c>
      <c r="AX538" s="1">
        <v>102.74</v>
      </c>
      <c r="AY538" s="1">
        <v>2703.71</v>
      </c>
      <c r="AZ538" s="1">
        <v>2862.5</v>
      </c>
      <c r="BA538" s="1">
        <v>102.3</v>
      </c>
      <c r="BB538" s="1">
        <v>114.66</v>
      </c>
      <c r="BC538" s="1">
        <v>108.43</v>
      </c>
      <c r="BD538" s="1">
        <v>110.38</v>
      </c>
      <c r="BE538" s="1">
        <v>110.17</v>
      </c>
      <c r="BF538" s="1">
        <v>105.57</v>
      </c>
      <c r="BG538" s="1">
        <v>118.88</v>
      </c>
      <c r="BH538" s="1">
        <v>98.64</v>
      </c>
      <c r="BI538" s="1">
        <v>113.52</v>
      </c>
      <c r="BJ538" s="1">
        <v>116.37</v>
      </c>
      <c r="BK538" s="1">
        <v>93.16</v>
      </c>
      <c r="BL538" s="1">
        <v>93.79</v>
      </c>
      <c r="BN538" s="1">
        <v>93.38</v>
      </c>
    </row>
    <row r="539" spans="1:66" x14ac:dyDescent="0.3">
      <c r="A539" s="2"/>
      <c r="C539" s="14" t="str">
        <f t="shared" si="9"/>
        <v>20242</v>
      </c>
      <c r="D539" s="3">
        <v>45324</v>
      </c>
      <c r="E539" s="21">
        <v>2203.41</v>
      </c>
      <c r="F539" s="21">
        <v>2207.94</v>
      </c>
      <c r="G539" s="21">
        <v>2240.16</v>
      </c>
      <c r="H539" s="21">
        <v>2183.9699999999998</v>
      </c>
      <c r="I539" s="21">
        <v>2044.39</v>
      </c>
      <c r="J539" s="21">
        <v>2074.81</v>
      </c>
      <c r="K539" s="21"/>
      <c r="L539" s="21">
        <v>1980.47</v>
      </c>
      <c r="M539" s="21">
        <v>1817.19</v>
      </c>
      <c r="N539" s="21">
        <v>1916.2</v>
      </c>
      <c r="O539" s="21">
        <v>2014.84</v>
      </c>
      <c r="P539" s="21"/>
      <c r="Q539" s="21">
        <v>4783.4399999999996</v>
      </c>
      <c r="R539" s="20">
        <v>101.78</v>
      </c>
      <c r="S539" s="20">
        <v>92.58</v>
      </c>
      <c r="T539" s="21">
        <v>100.27</v>
      </c>
      <c r="V539" s="1">
        <v>101.83</v>
      </c>
      <c r="W539" s="1">
        <v>104.38</v>
      </c>
      <c r="X539" s="1">
        <v>111.73</v>
      </c>
      <c r="Y539" s="1">
        <v>101.89</v>
      </c>
      <c r="Z539" s="1">
        <v>102.14</v>
      </c>
      <c r="AA539" s="1">
        <v>104.11</v>
      </c>
      <c r="AB539" s="1">
        <v>112.39</v>
      </c>
      <c r="AE539" s="1">
        <v>119.9</v>
      </c>
      <c r="AF539" s="1">
        <v>107.59</v>
      </c>
      <c r="AG539" s="1">
        <v>99.45</v>
      </c>
      <c r="AJ539" s="1">
        <v>30</v>
      </c>
      <c r="AL539" s="1">
        <v>30</v>
      </c>
      <c r="AN539" s="1">
        <v>2966.01</v>
      </c>
      <c r="AP539" s="1">
        <v>2774</v>
      </c>
      <c r="AQ539" s="1">
        <v>2723.89</v>
      </c>
      <c r="AR539" s="1">
        <v>2716.67</v>
      </c>
      <c r="AT539" s="1">
        <v>3088.34</v>
      </c>
      <c r="AU539" s="1">
        <v>2805.71</v>
      </c>
      <c r="AW539" s="1">
        <v>2764.24</v>
      </c>
      <c r="AX539" s="1">
        <v>102.71</v>
      </c>
      <c r="AY539" s="1">
        <v>2760.88</v>
      </c>
      <c r="AZ539" s="1">
        <v>2866</v>
      </c>
      <c r="BA539" s="1">
        <v>103.05</v>
      </c>
      <c r="BB539" s="1">
        <v>113.54</v>
      </c>
      <c r="BC539" s="1">
        <v>107.29</v>
      </c>
      <c r="BD539" s="1">
        <v>109.22</v>
      </c>
      <c r="BE539" s="1">
        <v>112.16</v>
      </c>
      <c r="BF539" s="1">
        <v>106.11</v>
      </c>
      <c r="BG539" s="1">
        <v>118.55</v>
      </c>
      <c r="BH539" s="1">
        <v>98.97</v>
      </c>
      <c r="BI539" s="1">
        <v>113.85</v>
      </c>
      <c r="BJ539" s="1">
        <v>116.37</v>
      </c>
      <c r="BK539" s="1">
        <v>93.49</v>
      </c>
      <c r="BL539" s="1">
        <v>93.79</v>
      </c>
      <c r="BN539" s="1">
        <v>93.38</v>
      </c>
    </row>
    <row r="540" spans="1:66" x14ac:dyDescent="0.3">
      <c r="A540" s="2"/>
      <c r="C540" s="14" t="str">
        <f t="shared" si="9"/>
        <v>20242</v>
      </c>
      <c r="D540" s="3">
        <v>45323</v>
      </c>
      <c r="E540" s="21">
        <v>2210.69</v>
      </c>
      <c r="F540" s="21">
        <v>2207.15</v>
      </c>
      <c r="G540" s="21">
        <v>2239.35</v>
      </c>
      <c r="H540" s="21">
        <v>2173.67</v>
      </c>
      <c r="I540" s="21">
        <v>2130.36</v>
      </c>
      <c r="J540" s="21">
        <v>2123.89</v>
      </c>
      <c r="K540" s="21"/>
      <c r="L540" s="21">
        <v>2059.7600000000002</v>
      </c>
      <c r="M540" s="21">
        <v>1856.18</v>
      </c>
      <c r="N540" s="21">
        <v>1909.06</v>
      </c>
      <c r="O540" s="21">
        <v>2028.68</v>
      </c>
      <c r="P540" s="21"/>
      <c r="Q540" s="21">
        <v>4791.2</v>
      </c>
      <c r="R540" s="20">
        <v>102.27</v>
      </c>
      <c r="S540" s="20">
        <v>101</v>
      </c>
      <c r="T540" s="21">
        <v>101.18</v>
      </c>
      <c r="V540" s="1">
        <v>101.82</v>
      </c>
      <c r="W540" s="1">
        <v>104.38</v>
      </c>
      <c r="X540" s="1">
        <v>113.34</v>
      </c>
      <c r="Y540" s="1">
        <v>101.88</v>
      </c>
      <c r="Z540" s="1">
        <v>102.13</v>
      </c>
      <c r="AA540" s="1">
        <v>104.4</v>
      </c>
      <c r="AB540" s="1">
        <v>113.09</v>
      </c>
      <c r="AE540" s="1">
        <v>119.39</v>
      </c>
      <c r="AF540" s="1">
        <v>109.69</v>
      </c>
      <c r="AG540" s="1">
        <v>101.95</v>
      </c>
      <c r="AJ540" s="1">
        <v>30</v>
      </c>
      <c r="AL540" s="1">
        <v>30</v>
      </c>
      <c r="AN540" s="1">
        <v>2967.12</v>
      </c>
      <c r="AP540" s="1">
        <v>2807</v>
      </c>
      <c r="AQ540" s="1">
        <v>2724.91</v>
      </c>
      <c r="AR540" s="1">
        <v>2716.67</v>
      </c>
      <c r="AT540" s="1">
        <v>3162.35</v>
      </c>
      <c r="AU540" s="1">
        <v>2799.4</v>
      </c>
      <c r="AW540" s="1">
        <v>2644.17</v>
      </c>
      <c r="AX540" s="1">
        <v>100.72</v>
      </c>
      <c r="AY540" s="1">
        <v>2803.4</v>
      </c>
      <c r="AZ540" s="1">
        <v>2870</v>
      </c>
      <c r="BA540" s="1">
        <v>103.04</v>
      </c>
      <c r="BB540" s="1">
        <v>112.89</v>
      </c>
      <c r="BC540" s="1">
        <v>108.17</v>
      </c>
      <c r="BD540" s="1">
        <v>108.24</v>
      </c>
      <c r="BE540" s="1">
        <v>112.04</v>
      </c>
      <c r="BF540" s="1">
        <v>107.62</v>
      </c>
      <c r="BG540" s="1">
        <v>120.69</v>
      </c>
      <c r="BH540" s="1">
        <v>98.96</v>
      </c>
      <c r="BI540" s="1">
        <v>113.84</v>
      </c>
      <c r="BJ540" s="1">
        <v>117.16</v>
      </c>
      <c r="BK540" s="1">
        <v>93.48</v>
      </c>
      <c r="BL540" s="1">
        <v>93.79</v>
      </c>
      <c r="BN540" s="1">
        <v>93.36</v>
      </c>
    </row>
    <row r="541" spans="1:66" x14ac:dyDescent="0.3">
      <c r="A541" s="2"/>
      <c r="C541" s="14" t="str">
        <f t="shared" si="9"/>
        <v>20241</v>
      </c>
      <c r="D541" s="3">
        <v>45322</v>
      </c>
      <c r="E541" s="21">
        <v>2218.9899999999998</v>
      </c>
      <c r="F541" s="21">
        <v>2217.6</v>
      </c>
      <c r="G541" s="21">
        <v>2237.4</v>
      </c>
      <c r="H541" s="21">
        <v>2053.1</v>
      </c>
      <c r="I541" s="21">
        <v>2148.3000000000002</v>
      </c>
      <c r="J541" s="21">
        <v>2136.0500000000002</v>
      </c>
      <c r="K541" s="21"/>
      <c r="L541" s="21">
        <v>2066.0100000000002</v>
      </c>
      <c r="M541" s="21">
        <v>1855.14</v>
      </c>
      <c r="N541" s="21">
        <v>1924.7</v>
      </c>
      <c r="O541" s="21">
        <v>2091</v>
      </c>
      <c r="P541" s="21"/>
      <c r="Q541" s="21">
        <v>4789.43</v>
      </c>
      <c r="R541" s="20">
        <v>101.75</v>
      </c>
      <c r="S541" s="20">
        <v>101</v>
      </c>
      <c r="T541" s="21">
        <v>101.12</v>
      </c>
      <c r="V541" s="1">
        <v>102.3</v>
      </c>
      <c r="W541" s="1">
        <v>104.38</v>
      </c>
      <c r="X541" s="1">
        <v>113.28</v>
      </c>
      <c r="Y541" s="1">
        <v>101.86</v>
      </c>
      <c r="Z541" s="1">
        <v>102.13</v>
      </c>
      <c r="AA541" s="1">
        <v>104.51</v>
      </c>
      <c r="AB541" s="1">
        <v>113.79</v>
      </c>
      <c r="AE541" s="1">
        <v>119.35</v>
      </c>
      <c r="AF541" s="1">
        <v>111.43</v>
      </c>
      <c r="AG541" s="1">
        <v>103.1</v>
      </c>
      <c r="AJ541" s="1">
        <v>30</v>
      </c>
      <c r="AL541" s="1">
        <v>30</v>
      </c>
      <c r="AN541" s="1">
        <v>2888.91</v>
      </c>
      <c r="AP541" s="1">
        <v>2807</v>
      </c>
      <c r="AQ541" s="1">
        <v>2727.29</v>
      </c>
      <c r="AR541" s="1">
        <v>2727.65</v>
      </c>
      <c r="AT541" s="1">
        <v>2907.11</v>
      </c>
      <c r="AU541" s="1">
        <v>2775.5</v>
      </c>
      <c r="AW541" s="1">
        <v>2646.48</v>
      </c>
      <c r="AX541" s="1">
        <v>100.01</v>
      </c>
      <c r="AY541" s="1">
        <v>2828.3</v>
      </c>
      <c r="AZ541" s="1">
        <v>2870</v>
      </c>
      <c r="BA541" s="1">
        <v>102.46</v>
      </c>
      <c r="BB541" s="1">
        <v>113.43</v>
      </c>
      <c r="BC541" s="1">
        <v>108.47</v>
      </c>
      <c r="BD541" s="1">
        <v>107.15</v>
      </c>
      <c r="BE541" s="1">
        <v>112.01</v>
      </c>
      <c r="BF541" s="1">
        <v>106.69</v>
      </c>
      <c r="BG541" s="1">
        <v>120.33</v>
      </c>
      <c r="BH541" s="1">
        <v>100.38</v>
      </c>
      <c r="BI541" s="1">
        <v>113.82</v>
      </c>
      <c r="BJ541" s="1">
        <v>117.09</v>
      </c>
      <c r="BK541" s="1">
        <v>93.45</v>
      </c>
      <c r="BL541" s="1">
        <v>93.77</v>
      </c>
      <c r="BN541" s="1">
        <v>93.31</v>
      </c>
    </row>
    <row r="542" spans="1:66" x14ac:dyDescent="0.3">
      <c r="A542" s="2"/>
      <c r="C542" s="14" t="str">
        <f t="shared" si="9"/>
        <v>20241</v>
      </c>
      <c r="D542" s="3">
        <v>45321</v>
      </c>
      <c r="E542" s="21">
        <v>2217.0100000000002</v>
      </c>
      <c r="F542" s="21">
        <v>2217.6</v>
      </c>
      <c r="G542" s="21">
        <v>2237.4</v>
      </c>
      <c r="H542" s="21">
        <v>2033.3</v>
      </c>
      <c r="I542" s="21">
        <v>2166.12</v>
      </c>
      <c r="J542" s="21">
        <v>2165.64</v>
      </c>
      <c r="K542" s="21"/>
      <c r="L542" s="21">
        <v>2086.34</v>
      </c>
      <c r="M542" s="21">
        <v>1897.49</v>
      </c>
      <c r="N542" s="21">
        <v>1945.34</v>
      </c>
      <c r="O542" s="21">
        <v>2037.63</v>
      </c>
      <c r="P542" s="21"/>
      <c r="Q542" s="21">
        <v>4810.8599999999997</v>
      </c>
      <c r="R542" s="20">
        <v>104.24</v>
      </c>
      <c r="S542" s="20">
        <v>101</v>
      </c>
      <c r="T542" s="21">
        <v>101.93</v>
      </c>
      <c r="V542" s="1">
        <v>103.04</v>
      </c>
      <c r="W542" s="1">
        <v>105.38</v>
      </c>
      <c r="X542" s="1">
        <v>112.58</v>
      </c>
      <c r="Y542" s="1">
        <v>101.86</v>
      </c>
      <c r="Z542" s="1">
        <v>103.33</v>
      </c>
      <c r="AA542" s="1">
        <v>105.79</v>
      </c>
      <c r="AB542" s="1">
        <v>113.64</v>
      </c>
      <c r="AE542" s="1">
        <v>120.08</v>
      </c>
      <c r="AF542" s="1">
        <v>109.61</v>
      </c>
      <c r="AG542" s="1">
        <v>103.08</v>
      </c>
      <c r="AJ542" s="1">
        <v>30</v>
      </c>
      <c r="AL542" s="1">
        <v>30</v>
      </c>
      <c r="AN542" s="1">
        <v>3030.33</v>
      </c>
      <c r="AP542" s="1">
        <v>2807</v>
      </c>
      <c r="AQ542" s="1">
        <v>2710.88</v>
      </c>
      <c r="AR542" s="1">
        <v>2730.4</v>
      </c>
      <c r="AT542" s="1">
        <v>2952.06</v>
      </c>
      <c r="AU542" s="1">
        <v>2738.33</v>
      </c>
      <c r="AW542" s="1">
        <v>2666.69</v>
      </c>
      <c r="AX542" s="1">
        <v>102.03</v>
      </c>
      <c r="AY542" s="1">
        <v>2863.66</v>
      </c>
      <c r="AZ542" s="1">
        <v>2926.03</v>
      </c>
      <c r="BA542" s="1">
        <v>104.64</v>
      </c>
      <c r="BB542" s="1">
        <v>114.5</v>
      </c>
      <c r="BC542" s="1">
        <v>106.59</v>
      </c>
      <c r="BD542" s="1">
        <v>106.6</v>
      </c>
      <c r="BE542" s="1">
        <v>112.75</v>
      </c>
      <c r="BF542" s="1">
        <v>102.9</v>
      </c>
      <c r="BG542" s="1">
        <v>119.67</v>
      </c>
      <c r="BH542" s="1">
        <v>100.26</v>
      </c>
      <c r="BI542" s="1">
        <v>113.82</v>
      </c>
      <c r="BK542" s="1">
        <v>93.73</v>
      </c>
      <c r="BL542" s="1">
        <v>93.77</v>
      </c>
      <c r="BN542" s="1">
        <v>93.31</v>
      </c>
    </row>
    <row r="543" spans="1:66" x14ac:dyDescent="0.3">
      <c r="A543" s="2"/>
      <c r="C543" s="14" t="str">
        <f t="shared" si="9"/>
        <v>20241</v>
      </c>
      <c r="D543" s="3">
        <v>45320</v>
      </c>
      <c r="E543" s="21">
        <v>2201.1</v>
      </c>
      <c r="F543" s="21">
        <v>2217.6</v>
      </c>
      <c r="G543" s="21">
        <v>2237.4</v>
      </c>
      <c r="H543" s="21">
        <v>2121.15</v>
      </c>
      <c r="I543" s="21">
        <v>2166.12</v>
      </c>
      <c r="J543" s="21">
        <v>2164.81</v>
      </c>
      <c r="K543" s="21"/>
      <c r="L543" s="21">
        <v>2152.67</v>
      </c>
      <c r="M543" s="21">
        <v>1843.48</v>
      </c>
      <c r="N543" s="21">
        <v>1932.04</v>
      </c>
      <c r="O543" s="21">
        <v>2101.63</v>
      </c>
      <c r="P543" s="21"/>
      <c r="Q543" s="21">
        <v>4725.71</v>
      </c>
      <c r="R543" s="20">
        <v>102.75</v>
      </c>
      <c r="S543" s="20">
        <v>104</v>
      </c>
      <c r="T543" s="21">
        <v>102.98</v>
      </c>
      <c r="V543" s="1">
        <v>103.93</v>
      </c>
      <c r="W543" s="1">
        <v>106.18</v>
      </c>
      <c r="X543" s="1">
        <v>113.39</v>
      </c>
      <c r="Y543" s="1">
        <v>102.42</v>
      </c>
      <c r="Z543" s="1">
        <v>104.62</v>
      </c>
      <c r="AA543" s="1">
        <v>104.84</v>
      </c>
      <c r="AB543" s="1">
        <v>114.35</v>
      </c>
      <c r="AE543" s="1">
        <v>119.85</v>
      </c>
      <c r="AF543" s="1">
        <v>110.77</v>
      </c>
      <c r="AG543" s="1">
        <v>104.91</v>
      </c>
      <c r="AI543" s="1">
        <v>7</v>
      </c>
      <c r="AJ543" s="1">
        <v>30</v>
      </c>
      <c r="AL543" s="1">
        <v>30</v>
      </c>
      <c r="AN543" s="1">
        <v>3046.83</v>
      </c>
      <c r="AP543" s="1">
        <v>2875.83</v>
      </c>
      <c r="AR543" s="1">
        <v>2734.97</v>
      </c>
      <c r="AS543" s="1">
        <v>2929.31</v>
      </c>
      <c r="AT543" s="1">
        <v>2952.06</v>
      </c>
      <c r="AU543" s="1">
        <v>2738.33</v>
      </c>
      <c r="AW543" s="1">
        <v>2715.17</v>
      </c>
      <c r="AX543" s="1">
        <v>103.48</v>
      </c>
      <c r="AY543" s="1">
        <v>2863.66</v>
      </c>
      <c r="AZ543" s="1">
        <v>2935.93</v>
      </c>
      <c r="BA543" s="1">
        <v>105.42</v>
      </c>
      <c r="BB543" s="1">
        <v>116.51</v>
      </c>
      <c r="BC543" s="1">
        <v>108.05</v>
      </c>
      <c r="BD543" s="1">
        <v>109.42</v>
      </c>
      <c r="BE543" s="1">
        <v>112.09</v>
      </c>
      <c r="BF543" s="1">
        <v>106.23</v>
      </c>
      <c r="BG543" s="1">
        <v>123.14</v>
      </c>
      <c r="BH543" s="1">
        <v>104.96</v>
      </c>
      <c r="BI543" s="1">
        <v>113.82</v>
      </c>
      <c r="BK543" s="1">
        <v>97.12</v>
      </c>
      <c r="BL543" s="1">
        <v>93.77</v>
      </c>
      <c r="BN543" s="1">
        <v>93.31</v>
      </c>
    </row>
    <row r="544" spans="1:66" x14ac:dyDescent="0.3">
      <c r="A544" s="2"/>
      <c r="C544" s="14" t="str">
        <f t="shared" si="9"/>
        <v>20241</v>
      </c>
      <c r="D544" s="3">
        <v>45317</v>
      </c>
      <c r="E544" s="21">
        <v>2228.9299999999998</v>
      </c>
      <c r="F544" s="21">
        <v>2227.5</v>
      </c>
      <c r="G544" s="21">
        <v>2237.4</v>
      </c>
      <c r="H544" s="21">
        <v>2185.84</v>
      </c>
      <c r="I544" s="21">
        <v>2152.2600000000002</v>
      </c>
      <c r="J544" s="21">
        <v>2172.2399999999998</v>
      </c>
      <c r="K544" s="21"/>
      <c r="L544" s="21">
        <v>2195.5700000000002</v>
      </c>
      <c r="M544" s="21">
        <v>1890.98</v>
      </c>
      <c r="N544" s="21">
        <v>1965.24</v>
      </c>
      <c r="O544" s="21">
        <v>2096.46</v>
      </c>
      <c r="P544" s="21"/>
      <c r="Q544" s="21">
        <v>4817.93</v>
      </c>
      <c r="R544" s="20">
        <v>105.61</v>
      </c>
      <c r="S544" s="20">
        <v>102</v>
      </c>
      <c r="T544" s="21">
        <v>106.71</v>
      </c>
      <c r="V544" s="1">
        <v>106.37</v>
      </c>
      <c r="W544" s="1">
        <v>107.38</v>
      </c>
      <c r="X544" s="1">
        <v>114.45</v>
      </c>
      <c r="Y544" s="1">
        <v>103.49</v>
      </c>
      <c r="Z544" s="1">
        <v>104.93</v>
      </c>
      <c r="AA544" s="1">
        <v>106.84</v>
      </c>
      <c r="AB544" s="1">
        <v>115.07</v>
      </c>
      <c r="AE544" s="1">
        <v>121.34</v>
      </c>
      <c r="AF544" s="1">
        <v>117.08</v>
      </c>
      <c r="AG544" s="1">
        <v>103.09</v>
      </c>
      <c r="AI544" s="1">
        <v>7</v>
      </c>
      <c r="AN544" s="1">
        <v>3046.83</v>
      </c>
      <c r="AP544" s="1">
        <v>3021.67</v>
      </c>
      <c r="AQ544" s="1">
        <v>2970.98</v>
      </c>
      <c r="AR544" s="1">
        <v>2744.13</v>
      </c>
      <c r="AS544" s="1">
        <v>2929.31</v>
      </c>
      <c r="AT544" s="1">
        <v>2860.64</v>
      </c>
      <c r="AU544" s="1">
        <v>2782.85</v>
      </c>
      <c r="AW544" s="1">
        <v>2770.73</v>
      </c>
      <c r="AX544" s="1">
        <v>104.1</v>
      </c>
      <c r="AY544" s="1">
        <v>2888.91</v>
      </c>
      <c r="AZ544" s="1">
        <v>2980.45</v>
      </c>
      <c r="BA544" s="1">
        <v>105.42</v>
      </c>
      <c r="BB544" s="1">
        <v>117.72</v>
      </c>
      <c r="BC544" s="1">
        <v>110.9</v>
      </c>
      <c r="BD544" s="1">
        <v>109.9</v>
      </c>
      <c r="BE544" s="1">
        <v>118.3</v>
      </c>
      <c r="BF544" s="1">
        <v>107.89</v>
      </c>
      <c r="BG544" s="1">
        <v>123.14</v>
      </c>
      <c r="BH544" s="1">
        <v>104.96</v>
      </c>
      <c r="BI544" s="1">
        <v>114.65</v>
      </c>
      <c r="BJ544" s="1">
        <v>118.31</v>
      </c>
      <c r="BK544" s="1">
        <v>97.78</v>
      </c>
      <c r="BL544" s="1">
        <v>95.01</v>
      </c>
      <c r="BN544" s="1">
        <v>96.88</v>
      </c>
    </row>
    <row r="545" spans="1:66" x14ac:dyDescent="0.3">
      <c r="A545" s="2"/>
      <c r="C545" s="14" t="str">
        <f t="shared" si="9"/>
        <v>20241</v>
      </c>
      <c r="D545" s="3">
        <v>45316</v>
      </c>
      <c r="E545" s="21">
        <v>2234.89</v>
      </c>
      <c r="F545" s="21">
        <v>2227.5</v>
      </c>
      <c r="G545" s="21">
        <v>2237.4</v>
      </c>
      <c r="H545" s="21">
        <v>2214.81</v>
      </c>
      <c r="I545" s="21">
        <v>2096.33</v>
      </c>
      <c r="J545" s="21">
        <v>2203.9899999999998</v>
      </c>
      <c r="K545" s="21"/>
      <c r="L545" s="21">
        <v>2231.87</v>
      </c>
      <c r="M545" s="21">
        <v>1876.32</v>
      </c>
      <c r="N545" s="21">
        <v>1954.96</v>
      </c>
      <c r="O545" s="21">
        <v>2251.1799999999998</v>
      </c>
      <c r="P545" s="21"/>
      <c r="Q545" s="21">
        <v>4860.5</v>
      </c>
      <c r="R545" s="20">
        <v>107.61</v>
      </c>
      <c r="S545" s="20">
        <v>99.75</v>
      </c>
      <c r="T545" s="21">
        <v>108.02</v>
      </c>
      <c r="V545" s="1">
        <v>107.48</v>
      </c>
      <c r="W545" s="1">
        <v>109.38</v>
      </c>
      <c r="X545" s="1">
        <v>115.76</v>
      </c>
      <c r="Y545" s="1">
        <v>105.74</v>
      </c>
      <c r="Z545" s="1">
        <v>106.38</v>
      </c>
      <c r="AA545" s="1">
        <v>108.3</v>
      </c>
      <c r="AB545" s="1">
        <v>116.14</v>
      </c>
      <c r="AE545" s="1">
        <v>122.55</v>
      </c>
      <c r="AF545" s="1">
        <v>117.24</v>
      </c>
      <c r="AG545" s="1">
        <v>103.41</v>
      </c>
      <c r="AI545" s="1">
        <v>7</v>
      </c>
      <c r="AN545" s="1">
        <v>3046.83</v>
      </c>
      <c r="AP545" s="1">
        <v>3021.67</v>
      </c>
      <c r="AQ545" s="1">
        <v>2967.7</v>
      </c>
      <c r="AR545" s="1">
        <v>2744.13</v>
      </c>
      <c r="AS545" s="1">
        <v>2929.31</v>
      </c>
      <c r="AT545" s="1">
        <v>2937.75</v>
      </c>
      <c r="AW545" s="1">
        <v>2770.73</v>
      </c>
      <c r="AX545" s="1">
        <v>106.41</v>
      </c>
      <c r="AY545" s="1">
        <v>2888.91</v>
      </c>
      <c r="AZ545" s="1">
        <v>2980.45</v>
      </c>
      <c r="BA545" s="1">
        <v>106.25</v>
      </c>
      <c r="BB545" s="1">
        <v>119.37</v>
      </c>
      <c r="BC545" s="1">
        <v>112.89</v>
      </c>
      <c r="BD545" s="1">
        <v>112.65</v>
      </c>
      <c r="BE545" s="1">
        <v>116.93</v>
      </c>
      <c r="BF545" s="1">
        <v>110.69</v>
      </c>
      <c r="BG545" s="1">
        <v>123.78</v>
      </c>
      <c r="BH545" s="1">
        <v>106.34</v>
      </c>
      <c r="BI545" s="1">
        <v>114.65</v>
      </c>
      <c r="BK545" s="1">
        <v>97.77</v>
      </c>
      <c r="BL545" s="1">
        <v>98.01</v>
      </c>
      <c r="BN545" s="1">
        <v>102.55</v>
      </c>
    </row>
    <row r="546" spans="1:66" x14ac:dyDescent="0.3">
      <c r="A546" s="2"/>
      <c r="C546" s="14" t="str">
        <f t="shared" si="9"/>
        <v>20241</v>
      </c>
      <c r="D546" s="3">
        <v>45315</v>
      </c>
      <c r="E546" s="21">
        <v>2198.31</v>
      </c>
      <c r="F546" s="21">
        <v>2227.5</v>
      </c>
      <c r="G546" s="21">
        <v>2237.4</v>
      </c>
      <c r="H546" s="21">
        <v>2217.4299999999998</v>
      </c>
      <c r="I546" s="21">
        <v>2162.16</v>
      </c>
      <c r="J546" s="21">
        <v>2203.9899999999998</v>
      </c>
      <c r="K546" s="21"/>
      <c r="L546" s="21">
        <v>2248.54</v>
      </c>
      <c r="M546" s="21">
        <v>1876.32</v>
      </c>
      <c r="N546" s="21">
        <v>1971.86</v>
      </c>
      <c r="O546" s="21">
        <v>2196.94</v>
      </c>
      <c r="P546" s="21"/>
      <c r="Q546" s="21">
        <v>4928.25</v>
      </c>
      <c r="R546" s="20">
        <v>108.1</v>
      </c>
      <c r="S546" s="20">
        <v>99.75</v>
      </c>
      <c r="T546" s="21">
        <v>108.67</v>
      </c>
      <c r="V546" s="1">
        <v>107.66</v>
      </c>
      <c r="W546" s="1">
        <v>109.18</v>
      </c>
      <c r="X546" s="1">
        <v>115.33</v>
      </c>
      <c r="Y546" s="1">
        <v>106.61</v>
      </c>
      <c r="Z546" s="1">
        <v>107.13</v>
      </c>
      <c r="AA546" s="1">
        <v>108.73</v>
      </c>
      <c r="AB546" s="1">
        <v>116.35</v>
      </c>
      <c r="AE546" s="1">
        <v>121.1</v>
      </c>
      <c r="AF546" s="1">
        <v>117.72</v>
      </c>
      <c r="AG546" s="1">
        <v>102.7</v>
      </c>
      <c r="AI546" s="1">
        <v>7</v>
      </c>
      <c r="AN546" s="1">
        <v>3046.83</v>
      </c>
      <c r="AO546" s="1">
        <v>7</v>
      </c>
      <c r="AP546" s="1">
        <v>2863</v>
      </c>
      <c r="AQ546" s="1">
        <v>2965.51</v>
      </c>
      <c r="AS546" s="1">
        <v>2929.31</v>
      </c>
      <c r="AT546" s="1">
        <v>3233.5</v>
      </c>
      <c r="AU546" s="1">
        <v>3005.07</v>
      </c>
      <c r="AW546" s="1">
        <v>2770.73</v>
      </c>
      <c r="AX546" s="1">
        <v>106.4</v>
      </c>
      <c r="AY546" s="1">
        <v>2888.91</v>
      </c>
      <c r="AZ546" s="1">
        <v>2980.45</v>
      </c>
      <c r="BA546" s="1">
        <v>106.25</v>
      </c>
      <c r="BB546" s="1">
        <v>120.58</v>
      </c>
      <c r="BC546" s="1">
        <v>112.58</v>
      </c>
      <c r="BD546" s="1">
        <v>113.88</v>
      </c>
      <c r="BE546" s="1">
        <v>117.38</v>
      </c>
      <c r="BF546" s="1">
        <v>110.63</v>
      </c>
      <c r="BG546" s="1">
        <v>123.39</v>
      </c>
      <c r="BH546" s="1">
        <v>106.46</v>
      </c>
      <c r="BI546" s="1">
        <v>114.65</v>
      </c>
      <c r="BK546" s="1">
        <v>99.11</v>
      </c>
      <c r="BL546" s="1">
        <v>98.26</v>
      </c>
      <c r="BN546" s="1">
        <v>102.55</v>
      </c>
    </row>
    <row r="547" spans="1:66" x14ac:dyDescent="0.3">
      <c r="A547" s="2"/>
      <c r="C547" s="14" t="str">
        <f t="shared" si="9"/>
        <v>20241</v>
      </c>
      <c r="D547" s="3">
        <v>45314</v>
      </c>
      <c r="E547" s="21">
        <v>2198.31</v>
      </c>
      <c r="F547" s="21">
        <v>2227.5</v>
      </c>
      <c r="G547" s="21">
        <v>2237.4</v>
      </c>
      <c r="H547" s="21">
        <v>2233.1</v>
      </c>
      <c r="I547" s="21">
        <v>2103.75</v>
      </c>
      <c r="J547" s="21">
        <v>2168.66</v>
      </c>
      <c r="K547" s="21"/>
      <c r="L547" s="21">
        <v>2248.54</v>
      </c>
      <c r="M547" s="21">
        <v>1879.34</v>
      </c>
      <c r="N547" s="21">
        <v>1967.62</v>
      </c>
      <c r="O547" s="21">
        <v>2260</v>
      </c>
      <c r="P547" s="21"/>
      <c r="Q547" s="21">
        <v>5197.55</v>
      </c>
      <c r="R547" s="20">
        <v>108.85</v>
      </c>
      <c r="S547" s="20">
        <v>98.73</v>
      </c>
      <c r="T547" s="21">
        <v>108.52</v>
      </c>
      <c r="V547" s="1">
        <v>108.41</v>
      </c>
      <c r="W547" s="1">
        <v>107.58</v>
      </c>
      <c r="X547" s="1">
        <v>115.7</v>
      </c>
      <c r="Y547" s="1">
        <v>106.71</v>
      </c>
      <c r="Z547" s="1">
        <v>106.73</v>
      </c>
      <c r="AA547" s="1">
        <v>109.57</v>
      </c>
      <c r="AB547" s="1">
        <v>115.39</v>
      </c>
      <c r="AE547" s="1">
        <v>118.6</v>
      </c>
      <c r="AF547" s="1">
        <v>116.06</v>
      </c>
      <c r="AG547" s="1">
        <v>102.16</v>
      </c>
      <c r="AI547" s="1">
        <v>7</v>
      </c>
      <c r="AN547" s="1">
        <v>3046.83</v>
      </c>
      <c r="AO547" s="1">
        <v>7</v>
      </c>
      <c r="AP547" s="1">
        <v>2863</v>
      </c>
      <c r="AQ547" s="1">
        <v>2965.51</v>
      </c>
      <c r="AS547" s="1">
        <v>2929.31</v>
      </c>
      <c r="AT547" s="1">
        <v>3165.78</v>
      </c>
      <c r="AU547" s="1">
        <v>2922.58</v>
      </c>
      <c r="AW547" s="1">
        <v>2785.21</v>
      </c>
      <c r="AX547" s="1">
        <v>108.93</v>
      </c>
      <c r="AY547" s="1">
        <v>2888.91</v>
      </c>
      <c r="BA547" s="1">
        <v>106.86</v>
      </c>
      <c r="BB547" s="1">
        <v>119.85</v>
      </c>
      <c r="BC547" s="1">
        <v>113</v>
      </c>
      <c r="BD547" s="1">
        <v>114.56</v>
      </c>
      <c r="BE547" s="1">
        <v>116.39</v>
      </c>
      <c r="BF547" s="1">
        <v>111.3</v>
      </c>
      <c r="BG547" s="1">
        <v>120.65</v>
      </c>
      <c r="BH547" s="1">
        <v>113.13</v>
      </c>
      <c r="BI547" s="1">
        <v>114.65</v>
      </c>
      <c r="BK547" s="1">
        <v>99.44</v>
      </c>
      <c r="BL547" s="1">
        <v>98.5</v>
      </c>
      <c r="BN547" s="1">
        <v>103.21</v>
      </c>
    </row>
    <row r="548" spans="1:66" x14ac:dyDescent="0.3">
      <c r="A548" s="2"/>
      <c r="C548" s="14" t="str">
        <f t="shared" si="9"/>
        <v>20241</v>
      </c>
      <c r="D548" s="3">
        <v>45313</v>
      </c>
      <c r="E548" s="21">
        <v>2195.4699999999998</v>
      </c>
      <c r="F548" s="21">
        <v>2227.5</v>
      </c>
      <c r="G548" s="21">
        <v>2237.4</v>
      </c>
      <c r="H548" s="21">
        <v>2226.38</v>
      </c>
      <c r="I548" s="21">
        <v>2178</v>
      </c>
      <c r="J548" s="21">
        <v>2168.66</v>
      </c>
      <c r="K548" s="21"/>
      <c r="L548" s="21">
        <v>2248.54</v>
      </c>
      <c r="M548" s="21">
        <v>1912.17</v>
      </c>
      <c r="N548" s="21">
        <v>1985.98</v>
      </c>
      <c r="O548" s="21">
        <v>2130</v>
      </c>
      <c r="P548" s="21"/>
      <c r="Q548" s="21">
        <v>5100.04</v>
      </c>
      <c r="R548" s="20">
        <v>106.84</v>
      </c>
      <c r="S548" s="20">
        <v>91.64</v>
      </c>
      <c r="T548" s="21">
        <v>108.5</v>
      </c>
      <c r="V548" s="1">
        <v>109.03</v>
      </c>
      <c r="W548" s="1">
        <v>107.98</v>
      </c>
      <c r="X548" s="1">
        <v>115.2</v>
      </c>
      <c r="Y548" s="1">
        <v>105.85</v>
      </c>
      <c r="Z548" s="1">
        <v>106.33</v>
      </c>
      <c r="AA548" s="1">
        <v>108.47</v>
      </c>
      <c r="AB548" s="1">
        <v>115.29</v>
      </c>
      <c r="AE548" s="1">
        <v>121.05</v>
      </c>
      <c r="AG548" s="1">
        <v>104.67</v>
      </c>
      <c r="AI548" s="1">
        <v>20</v>
      </c>
      <c r="AN548" s="1">
        <v>3186.45</v>
      </c>
      <c r="AO548" s="1">
        <v>7</v>
      </c>
      <c r="AP548" s="1">
        <v>2625</v>
      </c>
      <c r="AQ548" s="1">
        <v>2973.33</v>
      </c>
      <c r="AT548" s="1">
        <v>3165.78</v>
      </c>
      <c r="AU548" s="1">
        <v>2922.58</v>
      </c>
      <c r="AW548" s="1">
        <v>2723.25</v>
      </c>
      <c r="AX548" s="1">
        <v>108.92</v>
      </c>
      <c r="AY548" s="1">
        <v>2888.91</v>
      </c>
      <c r="AZ548" s="1">
        <v>2935.63</v>
      </c>
      <c r="BA548" s="1">
        <v>106.85</v>
      </c>
      <c r="BB548" s="1">
        <v>119.21</v>
      </c>
      <c r="BC548" s="1">
        <v>109.72</v>
      </c>
      <c r="BD548" s="1">
        <v>113.83</v>
      </c>
      <c r="BG548" s="1">
        <v>121.65</v>
      </c>
      <c r="BH548" s="1">
        <v>113.13</v>
      </c>
      <c r="BI548" s="1">
        <v>114.48</v>
      </c>
      <c r="BK548" s="1">
        <v>99.11</v>
      </c>
      <c r="BL548" s="1">
        <v>97.76</v>
      </c>
      <c r="BN548" s="1">
        <v>100.71</v>
      </c>
    </row>
    <row r="549" spans="1:66" x14ac:dyDescent="0.3">
      <c r="A549" s="2"/>
      <c r="C549" s="14" t="str">
        <f t="shared" si="9"/>
        <v>20241</v>
      </c>
      <c r="D549" s="3">
        <v>45310</v>
      </c>
      <c r="E549" s="21">
        <v>2261.5100000000002</v>
      </c>
      <c r="F549" s="21">
        <v>2227.5</v>
      </c>
      <c r="G549" s="21">
        <v>2237.4</v>
      </c>
      <c r="H549" s="21">
        <v>2282.59</v>
      </c>
      <c r="I549" s="21">
        <v>2187.9</v>
      </c>
      <c r="J549" s="21">
        <v>2171.66</v>
      </c>
      <c r="K549" s="21"/>
      <c r="L549" s="21">
        <v>2238.64</v>
      </c>
      <c r="M549" s="21">
        <v>1938.44</v>
      </c>
      <c r="N549" s="21">
        <v>2018.74</v>
      </c>
      <c r="O549" s="21">
        <v>2260</v>
      </c>
      <c r="P549" s="21"/>
      <c r="Q549" s="21">
        <v>5094.1000000000004</v>
      </c>
      <c r="R549" s="20">
        <v>107.68</v>
      </c>
      <c r="S549" s="20">
        <v>95.98</v>
      </c>
      <c r="T549" s="21">
        <v>110.37</v>
      </c>
      <c r="V549" s="1">
        <v>109.25</v>
      </c>
      <c r="W549" s="1">
        <v>108.18</v>
      </c>
      <c r="X549" s="1">
        <v>115.2</v>
      </c>
      <c r="Y549" s="1">
        <v>105.85</v>
      </c>
      <c r="Z549" s="1">
        <v>106.32</v>
      </c>
      <c r="AA549" s="1">
        <v>108.78</v>
      </c>
      <c r="AB549" s="1">
        <v>117.34</v>
      </c>
      <c r="AE549" s="1">
        <v>120.1</v>
      </c>
      <c r="AG549" s="1">
        <v>108.53</v>
      </c>
      <c r="AI549" s="1">
        <v>20</v>
      </c>
      <c r="AN549" s="1">
        <v>3186.45</v>
      </c>
      <c r="AO549" s="1">
        <v>7</v>
      </c>
      <c r="AP549" s="1">
        <v>2625</v>
      </c>
      <c r="AQ549" s="1">
        <v>3103.56</v>
      </c>
      <c r="AS549" s="1">
        <v>2725.78</v>
      </c>
      <c r="AT549" s="1">
        <v>3243.6</v>
      </c>
      <c r="AU549" s="1">
        <v>2863.66</v>
      </c>
      <c r="AV549" s="1">
        <v>30</v>
      </c>
      <c r="AW549" s="1">
        <v>2533.5700000000002</v>
      </c>
      <c r="AX549" s="1">
        <v>108.24</v>
      </c>
      <c r="AY549" s="1">
        <v>2888.91</v>
      </c>
      <c r="AZ549" s="1">
        <v>2935.63</v>
      </c>
      <c r="BA549" s="1">
        <v>106.48</v>
      </c>
      <c r="BB549" s="1">
        <v>118.25</v>
      </c>
      <c r="BC549" s="1">
        <v>113.61</v>
      </c>
      <c r="BD549" s="1">
        <v>114.28</v>
      </c>
      <c r="BG549" s="1">
        <v>122.37</v>
      </c>
      <c r="BH549" s="1">
        <v>108.93</v>
      </c>
      <c r="BI549" s="1">
        <v>114.48</v>
      </c>
      <c r="BK549" s="1">
        <v>97.81</v>
      </c>
      <c r="BL549" s="1">
        <v>97.76</v>
      </c>
      <c r="BN549" s="1">
        <v>108.08</v>
      </c>
    </row>
    <row r="550" spans="1:66" x14ac:dyDescent="0.3">
      <c r="A550" s="2"/>
      <c r="C550" s="14" t="str">
        <f t="shared" si="9"/>
        <v>20241</v>
      </c>
      <c r="D550" s="3">
        <v>45309</v>
      </c>
      <c r="E550" s="21">
        <v>2302.48</v>
      </c>
      <c r="F550" s="21">
        <v>2227.5</v>
      </c>
      <c r="G550" s="21">
        <v>2237.4</v>
      </c>
      <c r="H550" s="21">
        <v>2339.34</v>
      </c>
      <c r="I550" s="21">
        <v>2187.9</v>
      </c>
      <c r="J550" s="21">
        <v>2171.66</v>
      </c>
      <c r="K550" s="21"/>
      <c r="L550" s="21">
        <v>2255.14</v>
      </c>
      <c r="M550" s="21">
        <v>1885.91</v>
      </c>
      <c r="N550" s="21">
        <v>2046.6</v>
      </c>
      <c r="O550" s="21">
        <v>2281.12</v>
      </c>
      <c r="P550" s="21"/>
      <c r="Q550" s="21">
        <v>4915.13</v>
      </c>
      <c r="R550" s="20">
        <v>107.51</v>
      </c>
      <c r="S550" s="20">
        <v>97</v>
      </c>
      <c r="T550" s="21">
        <v>110.44</v>
      </c>
      <c r="V550" s="1">
        <v>108.6</v>
      </c>
      <c r="W550" s="1">
        <v>108.38</v>
      </c>
      <c r="X550" s="1">
        <v>115.33</v>
      </c>
      <c r="Y550" s="1">
        <v>105.84</v>
      </c>
      <c r="Z550" s="1">
        <v>106.32</v>
      </c>
      <c r="AA550" s="1">
        <v>108.87</v>
      </c>
      <c r="AB550" s="1">
        <v>116.58</v>
      </c>
      <c r="AE550" s="1">
        <v>120.35</v>
      </c>
      <c r="AG550" s="1">
        <v>108.52</v>
      </c>
      <c r="AI550" s="1">
        <v>20</v>
      </c>
      <c r="AN550" s="1">
        <v>3186.45</v>
      </c>
      <c r="AP550" s="1">
        <v>2625</v>
      </c>
      <c r="AQ550" s="1">
        <v>3133.36</v>
      </c>
      <c r="AR550" s="1">
        <v>2727.29</v>
      </c>
      <c r="AS550" s="1">
        <v>2725.78</v>
      </c>
      <c r="AT550" s="1">
        <v>3043.79</v>
      </c>
      <c r="AU550" s="1">
        <v>2863.66</v>
      </c>
      <c r="AV550" s="1">
        <v>30</v>
      </c>
      <c r="AW550" s="1">
        <v>2533.5700000000002</v>
      </c>
      <c r="AX550" s="1">
        <v>106.84</v>
      </c>
      <c r="AY550" s="1">
        <v>2888.91</v>
      </c>
      <c r="AZ550" s="1">
        <v>2935.63</v>
      </c>
      <c r="BA550" s="1">
        <v>107.09</v>
      </c>
      <c r="BB550" s="1">
        <v>117.55</v>
      </c>
      <c r="BC550" s="1">
        <v>111.81</v>
      </c>
      <c r="BD550" s="1">
        <v>115.39</v>
      </c>
      <c r="BG550" s="1">
        <v>119.89</v>
      </c>
      <c r="BH550" s="1">
        <v>109.14</v>
      </c>
      <c r="BI550" s="1">
        <v>114.48</v>
      </c>
      <c r="BK550" s="1">
        <v>99.11</v>
      </c>
      <c r="BL550" s="1">
        <v>97.67</v>
      </c>
      <c r="BN550" s="1">
        <v>102.55</v>
      </c>
    </row>
    <row r="551" spans="1:66" x14ac:dyDescent="0.3">
      <c r="A551" s="2"/>
      <c r="C551" s="14" t="str">
        <f t="shared" si="9"/>
        <v>20241</v>
      </c>
      <c r="D551" s="3">
        <v>45308</v>
      </c>
      <c r="E551" s="21">
        <v>2302.48</v>
      </c>
      <c r="F551" s="21">
        <v>2227.5</v>
      </c>
      <c r="G551" s="21">
        <v>2237.4</v>
      </c>
      <c r="H551" s="21">
        <v>2355.7199999999998</v>
      </c>
      <c r="I551" s="21">
        <v>2116.13</v>
      </c>
      <c r="J551" s="21">
        <v>2171.66</v>
      </c>
      <c r="K551" s="21"/>
      <c r="L551" s="21">
        <v>2255.14</v>
      </c>
      <c r="M551" s="21">
        <v>1885.91</v>
      </c>
      <c r="N551" s="21">
        <v>2041.11</v>
      </c>
      <c r="O551" s="21">
        <v>2213.62</v>
      </c>
      <c r="P551" s="21"/>
      <c r="Q551" s="21">
        <v>4920</v>
      </c>
      <c r="R551" s="20">
        <v>106.18</v>
      </c>
      <c r="S551" s="20">
        <v>97.93</v>
      </c>
      <c r="T551" s="21">
        <v>111.27</v>
      </c>
      <c r="V551" s="1">
        <v>109.45</v>
      </c>
      <c r="W551" s="1">
        <v>108.78</v>
      </c>
      <c r="X551" s="1">
        <v>117.38</v>
      </c>
      <c r="Y551" s="1">
        <v>105.85</v>
      </c>
      <c r="Z551" s="1">
        <v>106.33</v>
      </c>
      <c r="AA551" s="1">
        <v>110.06</v>
      </c>
      <c r="AB551" s="1">
        <v>117.64</v>
      </c>
      <c r="AE551" s="1">
        <v>121.84</v>
      </c>
      <c r="AG551" s="1">
        <v>108.35</v>
      </c>
      <c r="AI551" s="1">
        <v>20</v>
      </c>
      <c r="AN551" s="1">
        <v>3255.62</v>
      </c>
      <c r="AQ551" s="1">
        <v>3178.05</v>
      </c>
      <c r="AR551" s="1">
        <v>2727.29</v>
      </c>
      <c r="AS551" s="1">
        <v>2725.78</v>
      </c>
      <c r="AT551" s="1">
        <v>3043.79</v>
      </c>
      <c r="AU551" s="1">
        <v>2757.6</v>
      </c>
      <c r="AW551" s="1">
        <v>2575.7800000000002</v>
      </c>
      <c r="AX551" s="1">
        <v>110.41</v>
      </c>
      <c r="AY551" s="1">
        <v>2888.91</v>
      </c>
      <c r="AZ551" s="1">
        <v>2935.63</v>
      </c>
      <c r="BA551" s="1">
        <v>107.84</v>
      </c>
      <c r="BB551" s="1">
        <v>118.11</v>
      </c>
      <c r="BC551" s="1">
        <v>110.59</v>
      </c>
      <c r="BD551" s="1">
        <v>116.86</v>
      </c>
      <c r="BE551" s="1">
        <v>118.49</v>
      </c>
      <c r="BF551" s="1">
        <v>125.87</v>
      </c>
      <c r="BG551" s="1">
        <v>121.39</v>
      </c>
      <c r="BH551" s="1">
        <v>109.14</v>
      </c>
      <c r="BI551" s="1">
        <v>114.81</v>
      </c>
      <c r="BK551" s="1">
        <v>99.11</v>
      </c>
      <c r="BL551" s="1">
        <v>97.76</v>
      </c>
      <c r="BN551" s="1">
        <v>102.55</v>
      </c>
    </row>
    <row r="552" spans="1:66" x14ac:dyDescent="0.3">
      <c r="A552" s="2"/>
      <c r="C552" s="14" t="str">
        <f t="shared" si="9"/>
        <v>20241</v>
      </c>
      <c r="D552" s="3">
        <v>45307</v>
      </c>
      <c r="E552" s="21">
        <v>2274.65</v>
      </c>
      <c r="F552" s="21">
        <v>2242.35</v>
      </c>
      <c r="G552" s="21">
        <v>2237.4</v>
      </c>
      <c r="H552" s="21">
        <v>2375.67</v>
      </c>
      <c r="I552" s="21">
        <v>2223.54</v>
      </c>
      <c r="J552" s="21">
        <v>2189.16</v>
      </c>
      <c r="K552" s="21"/>
      <c r="L552" s="21">
        <v>2235.17</v>
      </c>
      <c r="M552" s="21">
        <v>1895.76</v>
      </c>
      <c r="N552" s="21">
        <v>2126.8000000000002</v>
      </c>
      <c r="O552" s="21">
        <v>2197.4899999999998</v>
      </c>
      <c r="P552" s="21"/>
      <c r="Q552" s="21">
        <v>4940.18</v>
      </c>
      <c r="R552" s="20">
        <v>108.36</v>
      </c>
      <c r="S552" s="20">
        <v>100.33</v>
      </c>
      <c r="T552" s="21">
        <v>112.46</v>
      </c>
      <c r="V552" s="1">
        <v>112.18</v>
      </c>
      <c r="W552" s="1">
        <v>108.58</v>
      </c>
      <c r="X552" s="1">
        <v>117.45</v>
      </c>
      <c r="Y552" s="1">
        <v>105.85</v>
      </c>
      <c r="Z552" s="1">
        <v>106.73</v>
      </c>
      <c r="AA552" s="1">
        <v>110.75</v>
      </c>
      <c r="AB552" s="1">
        <v>117.92</v>
      </c>
      <c r="AE552" s="1">
        <v>122.84</v>
      </c>
      <c r="AG552" s="1">
        <v>109.17</v>
      </c>
      <c r="AI552" s="1">
        <v>20</v>
      </c>
      <c r="AN552" s="1">
        <v>3255.62</v>
      </c>
      <c r="AP552" s="1">
        <v>2700</v>
      </c>
      <c r="AQ552" s="1">
        <v>3252.55</v>
      </c>
      <c r="AR552" s="1">
        <v>2727.29</v>
      </c>
      <c r="AS552" s="1">
        <v>2939.42</v>
      </c>
      <c r="AT552" s="1">
        <v>3050.53</v>
      </c>
      <c r="AW552" s="1">
        <v>2575.7800000000002</v>
      </c>
      <c r="AX552" s="1">
        <v>110.52</v>
      </c>
      <c r="AZ552" s="1">
        <v>2935.63</v>
      </c>
      <c r="BA552" s="1">
        <v>107.84</v>
      </c>
      <c r="BB552" s="1">
        <v>120.89</v>
      </c>
      <c r="BC552" s="1">
        <v>111.46</v>
      </c>
      <c r="BD552" s="1">
        <v>118.34</v>
      </c>
      <c r="BE552" s="1">
        <v>119.93</v>
      </c>
      <c r="BF552" s="1">
        <v>123.88</v>
      </c>
      <c r="BG552" s="1">
        <v>121.79</v>
      </c>
      <c r="BH552" s="1">
        <v>110.89</v>
      </c>
      <c r="BI552" s="1">
        <v>118.31</v>
      </c>
      <c r="BK552" s="1">
        <v>101.11</v>
      </c>
      <c r="BL552" s="1">
        <v>97.76</v>
      </c>
      <c r="BN552" s="1">
        <v>102.55</v>
      </c>
    </row>
    <row r="553" spans="1:66" x14ac:dyDescent="0.3">
      <c r="A553" s="2"/>
      <c r="C553" s="14" t="str">
        <f t="shared" si="9"/>
        <v>20241</v>
      </c>
      <c r="D553" s="3">
        <v>45306</v>
      </c>
      <c r="E553" s="21">
        <v>2254.77</v>
      </c>
      <c r="F553" s="21">
        <v>2242.35</v>
      </c>
      <c r="G553" s="21">
        <v>2237.4</v>
      </c>
      <c r="H553" s="21">
        <v>2383.08</v>
      </c>
      <c r="I553" s="21">
        <v>2229.48</v>
      </c>
      <c r="J553" s="21">
        <v>2188.0100000000002</v>
      </c>
      <c r="K553" s="21"/>
      <c r="L553" s="21">
        <v>2218.67</v>
      </c>
      <c r="M553" s="21">
        <v>1882.58</v>
      </c>
      <c r="N553" s="21">
        <v>1908.96</v>
      </c>
      <c r="O553" s="21">
        <v>2226.4</v>
      </c>
      <c r="P553" s="21"/>
      <c r="Q553" s="21">
        <v>4940.18</v>
      </c>
      <c r="R553" s="20">
        <v>107.89</v>
      </c>
      <c r="S553" s="20">
        <v>100.33</v>
      </c>
      <c r="T553" s="21">
        <v>114.77</v>
      </c>
      <c r="V553" s="1">
        <v>117.75</v>
      </c>
      <c r="W553" s="1">
        <v>108.98</v>
      </c>
      <c r="X553" s="1">
        <v>118.94</v>
      </c>
      <c r="Y553" s="1">
        <v>105.79</v>
      </c>
      <c r="Z553" s="1">
        <v>107.53</v>
      </c>
      <c r="AA553" s="1">
        <v>109.93</v>
      </c>
      <c r="AB553" s="1">
        <v>119.92</v>
      </c>
      <c r="AE553" s="1">
        <v>125.72</v>
      </c>
      <c r="AG553" s="1">
        <v>109.15</v>
      </c>
      <c r="AN553" s="1">
        <v>3393.96</v>
      </c>
      <c r="AP553" s="1">
        <v>2700</v>
      </c>
      <c r="AR553" s="1">
        <v>2727.29</v>
      </c>
      <c r="AS553" s="1">
        <v>2939.42</v>
      </c>
      <c r="AT553" s="1">
        <v>3050.53</v>
      </c>
      <c r="AW553" s="1">
        <v>2575.7800000000002</v>
      </c>
      <c r="AX553" s="1">
        <v>111.35</v>
      </c>
      <c r="AY553" s="1">
        <v>2525.27</v>
      </c>
      <c r="BA553" s="1">
        <v>113.89</v>
      </c>
      <c r="BB553" s="1">
        <v>124.95</v>
      </c>
      <c r="BC553" s="1">
        <v>113.66</v>
      </c>
      <c r="BD553" s="1">
        <v>120.18</v>
      </c>
      <c r="BE553" s="1">
        <v>119.93</v>
      </c>
      <c r="BF553" s="1">
        <v>123.88</v>
      </c>
      <c r="BG553" s="1">
        <v>125.18</v>
      </c>
      <c r="BH553" s="1">
        <v>114.1</v>
      </c>
      <c r="BI553" s="1">
        <v>123.79</v>
      </c>
      <c r="BK553" s="1">
        <v>101.11</v>
      </c>
      <c r="BL553" s="1">
        <v>97.76</v>
      </c>
      <c r="BN553" s="1">
        <v>102.55</v>
      </c>
    </row>
    <row r="554" spans="1:66" x14ac:dyDescent="0.3">
      <c r="A554" s="2"/>
      <c r="C554" s="14" t="str">
        <f t="shared" si="9"/>
        <v>20241</v>
      </c>
      <c r="D554" s="3">
        <v>45303</v>
      </c>
      <c r="E554" s="21">
        <v>2250.7600000000002</v>
      </c>
      <c r="F554" s="21">
        <v>2271.23</v>
      </c>
      <c r="G554" s="21">
        <v>2253.9</v>
      </c>
      <c r="H554" s="21">
        <v>2385.11</v>
      </c>
      <c r="I554" s="21">
        <v>2229.48</v>
      </c>
      <c r="J554" s="21">
        <v>2200.5100000000002</v>
      </c>
      <c r="K554" s="21"/>
      <c r="L554" s="21">
        <v>2218.67</v>
      </c>
      <c r="M554" s="21">
        <v>1882.58</v>
      </c>
      <c r="N554" s="21">
        <v>2050.04</v>
      </c>
      <c r="O554" s="21">
        <v>2251.4</v>
      </c>
      <c r="P554" s="21"/>
      <c r="Q554" s="21">
        <v>4969.95</v>
      </c>
      <c r="R554" s="20">
        <v>106.4</v>
      </c>
      <c r="S554" s="20">
        <v>101.93</v>
      </c>
      <c r="T554" s="21">
        <v>115.47</v>
      </c>
      <c r="V554" s="1">
        <v>114.32</v>
      </c>
      <c r="W554" s="1">
        <v>111.78</v>
      </c>
      <c r="X554" s="1">
        <v>121.57</v>
      </c>
      <c r="Y554" s="1">
        <v>107.68</v>
      </c>
      <c r="Z554" s="1">
        <v>109.32</v>
      </c>
      <c r="AA554" s="1">
        <v>109.06</v>
      </c>
      <c r="AB554" s="1">
        <v>121.55</v>
      </c>
      <c r="AE554" s="1">
        <v>127.06</v>
      </c>
      <c r="AG554" s="1">
        <v>111.11</v>
      </c>
      <c r="AN554" s="1">
        <v>3393.96</v>
      </c>
      <c r="AP554" s="1">
        <v>2700</v>
      </c>
      <c r="AQ554" s="1">
        <v>2954.44</v>
      </c>
      <c r="AR554" s="1">
        <v>2727.29</v>
      </c>
      <c r="AT554" s="1">
        <v>2929.31</v>
      </c>
      <c r="AU554" s="1">
        <v>2651.54</v>
      </c>
      <c r="AW554" s="1">
        <v>2575.7800000000002</v>
      </c>
      <c r="AX554" s="1">
        <v>110.72</v>
      </c>
      <c r="AY554" s="1">
        <v>2525.27</v>
      </c>
      <c r="BA554" s="1">
        <v>111.07</v>
      </c>
      <c r="BB554" s="1">
        <v>123.63</v>
      </c>
      <c r="BC554" s="1">
        <v>114.79</v>
      </c>
      <c r="BD554" s="1">
        <v>118.59</v>
      </c>
      <c r="BE554" s="1">
        <v>119.93</v>
      </c>
      <c r="BF554" s="1">
        <v>123.88</v>
      </c>
      <c r="BG554" s="1">
        <v>125.18</v>
      </c>
      <c r="BH554" s="1">
        <v>116.71</v>
      </c>
      <c r="BI554" s="1">
        <v>124.62</v>
      </c>
      <c r="BK554" s="1">
        <v>101.11</v>
      </c>
      <c r="BL554" s="1">
        <v>98.76</v>
      </c>
      <c r="BN554" s="1">
        <v>102.55</v>
      </c>
    </row>
    <row r="555" spans="1:66" x14ac:dyDescent="0.3">
      <c r="A555" s="2"/>
      <c r="C555" s="14" t="str">
        <f t="shared" si="9"/>
        <v>20241</v>
      </c>
      <c r="D555" s="3">
        <v>45302</v>
      </c>
      <c r="E555" s="21">
        <v>2252.75</v>
      </c>
      <c r="F555" s="21">
        <v>2275.1999999999998</v>
      </c>
      <c r="G555" s="21">
        <v>2253.9</v>
      </c>
      <c r="H555" s="21">
        <v>2421.94</v>
      </c>
      <c r="I555" s="21">
        <v>2178</v>
      </c>
      <c r="J555" s="21">
        <v>2232.89</v>
      </c>
      <c r="K555" s="21">
        <v>2570.0500000000002</v>
      </c>
      <c r="L555" s="21">
        <v>2251.84</v>
      </c>
      <c r="M555" s="21">
        <v>1882.58</v>
      </c>
      <c r="N555" s="21">
        <v>2060.8200000000002</v>
      </c>
      <c r="O555" s="21">
        <v>2246.13</v>
      </c>
      <c r="P555" s="21">
        <v>2405.35</v>
      </c>
      <c r="Q555" s="21">
        <v>4922.3500000000004</v>
      </c>
      <c r="R555" s="20">
        <v>112.05</v>
      </c>
      <c r="S555" s="20">
        <v>102.43</v>
      </c>
      <c r="T555" s="21">
        <v>119.26</v>
      </c>
      <c r="V555" s="1">
        <v>112.97</v>
      </c>
      <c r="W555" s="1">
        <v>114.18</v>
      </c>
      <c r="X555" s="1">
        <v>121.57</v>
      </c>
      <c r="Y555" s="1">
        <v>110.79</v>
      </c>
      <c r="Z555" s="1">
        <v>111.72</v>
      </c>
      <c r="AA555" s="1">
        <v>113.96</v>
      </c>
      <c r="AB555" s="1">
        <v>121.67</v>
      </c>
      <c r="AE555" s="1">
        <v>128.32</v>
      </c>
      <c r="AG555" s="1">
        <v>111.09</v>
      </c>
      <c r="AN555" s="1">
        <v>3393.96</v>
      </c>
      <c r="AP555" s="1">
        <v>2700</v>
      </c>
      <c r="AQ555" s="1">
        <v>2954.44</v>
      </c>
      <c r="AR555" s="1">
        <v>2727.29</v>
      </c>
      <c r="AU555" s="1">
        <v>2661.64</v>
      </c>
      <c r="AW555" s="1">
        <v>2575.7800000000002</v>
      </c>
      <c r="AX555" s="1">
        <v>117.87</v>
      </c>
      <c r="AY555" s="1">
        <v>2525.27</v>
      </c>
      <c r="BA555" s="1">
        <v>111.79</v>
      </c>
      <c r="BB555" s="1">
        <v>125.83</v>
      </c>
      <c r="BC555" s="1">
        <v>114.78</v>
      </c>
      <c r="BD555" s="1">
        <v>119.78</v>
      </c>
      <c r="BE555" s="1">
        <v>119.93</v>
      </c>
      <c r="BF555" s="1">
        <v>123.88</v>
      </c>
      <c r="BG555" s="1">
        <v>127.97</v>
      </c>
      <c r="BH555" s="1">
        <v>119.49</v>
      </c>
      <c r="BI555" s="1">
        <v>124.46</v>
      </c>
      <c r="BK555" s="1">
        <v>108.09</v>
      </c>
      <c r="BL555" s="1">
        <v>104.49</v>
      </c>
      <c r="BN555" s="1">
        <v>106.51</v>
      </c>
    </row>
    <row r="556" spans="1:66" x14ac:dyDescent="0.3">
      <c r="A556" s="2"/>
      <c r="C556" s="14" t="str">
        <f t="shared" si="9"/>
        <v>20241</v>
      </c>
      <c r="D556" s="3">
        <v>45301</v>
      </c>
      <c r="E556" s="21">
        <v>2252.75</v>
      </c>
      <c r="F556" s="21">
        <v>2295.98</v>
      </c>
      <c r="G556" s="21">
        <v>2253.9</v>
      </c>
      <c r="H556" s="21">
        <v>2437.16</v>
      </c>
      <c r="I556" s="21">
        <v>2316.6</v>
      </c>
      <c r="J556" s="21">
        <v>2232.89</v>
      </c>
      <c r="K556" s="21"/>
      <c r="L556" s="21">
        <v>2218.67</v>
      </c>
      <c r="M556" s="21">
        <v>1882.58</v>
      </c>
      <c r="N556" s="21">
        <v>2058.0500000000002</v>
      </c>
      <c r="O556" s="21">
        <v>2245.5700000000002</v>
      </c>
      <c r="P556" s="21"/>
      <c r="Q556" s="21">
        <v>4930.26</v>
      </c>
      <c r="R556" s="20">
        <v>112.71</v>
      </c>
      <c r="S556" s="20">
        <v>104.27</v>
      </c>
      <c r="T556" s="21">
        <v>119.87</v>
      </c>
      <c r="V556" s="1">
        <v>113.88</v>
      </c>
      <c r="W556" s="1">
        <v>115.58</v>
      </c>
      <c r="X556" s="1">
        <v>121.82</v>
      </c>
      <c r="Y556" s="1">
        <v>111.55</v>
      </c>
      <c r="Z556" s="1">
        <v>112.82</v>
      </c>
      <c r="AA556" s="1">
        <v>114.87</v>
      </c>
      <c r="AB556" s="1">
        <v>121.67</v>
      </c>
      <c r="AE556" s="1">
        <v>127.08</v>
      </c>
      <c r="AF556" s="1">
        <v>124.81</v>
      </c>
      <c r="AG556" s="1">
        <v>109.1</v>
      </c>
      <c r="AN556" s="1">
        <v>3393.96</v>
      </c>
      <c r="AP556" s="1">
        <v>2700</v>
      </c>
      <c r="AR556" s="1">
        <v>2727.29</v>
      </c>
      <c r="AU556" s="1">
        <v>2661.64</v>
      </c>
      <c r="AX556" s="1">
        <v>120.84</v>
      </c>
      <c r="AY556" s="1">
        <v>2525.27</v>
      </c>
      <c r="BA556" s="1">
        <v>113.47</v>
      </c>
      <c r="BB556" s="1">
        <v>127.67</v>
      </c>
      <c r="BC556" s="1">
        <v>120.61</v>
      </c>
      <c r="BD556" s="1">
        <v>125.05</v>
      </c>
      <c r="BE556" s="1">
        <v>122.37</v>
      </c>
      <c r="BF556" s="1">
        <v>125.87</v>
      </c>
      <c r="BG556" s="1">
        <v>126.97</v>
      </c>
      <c r="BH556" s="1">
        <v>121.94</v>
      </c>
      <c r="BI556" s="1">
        <v>124.79</v>
      </c>
      <c r="BK556" s="1">
        <v>109.42</v>
      </c>
      <c r="BL556" s="1">
        <v>104.99</v>
      </c>
      <c r="BN556" s="1">
        <v>106.51</v>
      </c>
    </row>
    <row r="557" spans="1:66" x14ac:dyDescent="0.3">
      <c r="A557" s="2"/>
      <c r="C557" s="14" t="str">
        <f t="shared" si="9"/>
        <v>20241</v>
      </c>
      <c r="D557" s="3">
        <v>45300</v>
      </c>
      <c r="E557" s="21">
        <v>2252.75</v>
      </c>
      <c r="F557" s="21">
        <v>2295.98</v>
      </c>
      <c r="G557" s="21">
        <v>2253.9</v>
      </c>
      <c r="H557" s="21">
        <v>2428.5700000000002</v>
      </c>
      <c r="I557" s="21">
        <v>2376</v>
      </c>
      <c r="J557" s="21">
        <v>2320.54</v>
      </c>
      <c r="K557" s="21"/>
      <c r="L557" s="21">
        <v>2241.77</v>
      </c>
      <c r="M557" s="21">
        <v>1838.39</v>
      </c>
      <c r="N557" s="21">
        <v>2093.7199999999998</v>
      </c>
      <c r="O557" s="21">
        <v>2305.4699999999998</v>
      </c>
      <c r="P557" s="21"/>
      <c r="Q557" s="21">
        <v>5333.8</v>
      </c>
      <c r="R557" s="20">
        <v>113.37</v>
      </c>
      <c r="S557" s="20">
        <v>103.5</v>
      </c>
      <c r="T557" s="21">
        <v>120.76</v>
      </c>
      <c r="V557" s="1">
        <v>113.12</v>
      </c>
      <c r="W557" s="1">
        <v>117.38</v>
      </c>
      <c r="X557" s="1">
        <v>122.6</v>
      </c>
      <c r="Y557" s="1">
        <v>111.83</v>
      </c>
      <c r="Z557" s="1">
        <v>114.13</v>
      </c>
      <c r="AA557" s="1">
        <v>115.91</v>
      </c>
      <c r="AB557" s="1">
        <v>121.92</v>
      </c>
      <c r="AE557" s="1">
        <v>128.08000000000001</v>
      </c>
      <c r="AF557" s="1">
        <v>125.2</v>
      </c>
      <c r="AG557" s="1">
        <v>109.29</v>
      </c>
      <c r="AN557" s="1">
        <v>3393.96</v>
      </c>
      <c r="AP557" s="1">
        <v>2744</v>
      </c>
      <c r="AQ557" s="1">
        <v>3106.08</v>
      </c>
      <c r="AR557" s="1">
        <v>2727.29</v>
      </c>
      <c r="AT557" s="1">
        <v>3294.64</v>
      </c>
      <c r="AU557" s="1">
        <v>2629.65</v>
      </c>
      <c r="AW557" s="1">
        <v>2619.5500000000002</v>
      </c>
      <c r="AX557" s="1">
        <v>123.48</v>
      </c>
      <c r="AY557" s="1">
        <v>2525.27</v>
      </c>
      <c r="BA557" s="1">
        <v>116.45</v>
      </c>
      <c r="BB557" s="1">
        <v>129.35</v>
      </c>
      <c r="BC557" s="1">
        <v>123.48</v>
      </c>
      <c r="BD557" s="1">
        <v>125.84</v>
      </c>
      <c r="BE557" s="1">
        <v>126.01</v>
      </c>
      <c r="BF557" s="1">
        <v>128.79</v>
      </c>
      <c r="BG557" s="1">
        <v>129.16</v>
      </c>
      <c r="BH557" s="1">
        <v>123.68</v>
      </c>
      <c r="BI557" s="1">
        <v>124.96</v>
      </c>
      <c r="BK557" s="1">
        <v>114.39</v>
      </c>
      <c r="BL557" s="1">
        <v>104.99</v>
      </c>
      <c r="BN557" s="1">
        <v>106.51</v>
      </c>
    </row>
    <row r="558" spans="1:66" x14ac:dyDescent="0.3">
      <c r="A558" s="2"/>
      <c r="C558" s="14" t="str">
        <f t="shared" si="9"/>
        <v>20241</v>
      </c>
      <c r="D558" s="3">
        <v>45299</v>
      </c>
      <c r="E558" s="21">
        <v>2250.7600000000002</v>
      </c>
      <c r="F558" s="21">
        <v>2295.98</v>
      </c>
      <c r="G558" s="21">
        <v>2253.9</v>
      </c>
      <c r="H558" s="21">
        <v>2432.3000000000002</v>
      </c>
      <c r="I558" s="21">
        <v>2385.9</v>
      </c>
      <c r="J558" s="21">
        <v>2320.54</v>
      </c>
      <c r="K558" s="21"/>
      <c r="L558" s="21">
        <v>2240.8000000000002</v>
      </c>
      <c r="M558" s="21">
        <v>1838.39</v>
      </c>
      <c r="N558" s="21">
        <v>2084.6799999999998</v>
      </c>
      <c r="O558" s="21">
        <v>2255.71</v>
      </c>
      <c r="P558" s="21"/>
      <c r="Q558" s="21">
        <v>5405</v>
      </c>
      <c r="R558" s="20">
        <v>114.37</v>
      </c>
      <c r="S558" s="20">
        <v>110.17</v>
      </c>
      <c r="T558" s="21">
        <v>120.08</v>
      </c>
      <c r="V558" s="1">
        <v>115.12</v>
      </c>
      <c r="W558" s="1">
        <v>118.37</v>
      </c>
      <c r="X558" s="1">
        <v>123.69</v>
      </c>
      <c r="Y558" s="1">
        <v>113.83</v>
      </c>
      <c r="Z558" s="1">
        <v>117.12</v>
      </c>
      <c r="AA558" s="1">
        <v>116.53</v>
      </c>
      <c r="AB558" s="1">
        <v>122.4</v>
      </c>
      <c r="AE558" s="1">
        <v>129.07</v>
      </c>
      <c r="AF558" s="1">
        <v>127.54</v>
      </c>
      <c r="AG558" s="1">
        <v>117.28</v>
      </c>
      <c r="AN558" s="1">
        <v>3393.96</v>
      </c>
      <c r="AP558" s="1">
        <v>2744</v>
      </c>
      <c r="AQ558" s="1">
        <v>3106.08</v>
      </c>
      <c r="AR558" s="1">
        <v>2727.29</v>
      </c>
      <c r="AS558" s="1">
        <v>2939.42</v>
      </c>
      <c r="AT558" s="1">
        <v>3294.64</v>
      </c>
      <c r="AU558" s="1">
        <v>2629.65</v>
      </c>
      <c r="AW558" s="1">
        <v>2619.5500000000002</v>
      </c>
      <c r="AX558" s="1">
        <v>123.46</v>
      </c>
      <c r="AY558" s="1">
        <v>2525.27</v>
      </c>
      <c r="BA558" s="1">
        <v>116.45</v>
      </c>
      <c r="BB558" s="1">
        <v>129.38</v>
      </c>
      <c r="BC558" s="1">
        <v>124.63</v>
      </c>
      <c r="BD558" s="1">
        <v>127.31</v>
      </c>
      <c r="BE558" s="1">
        <v>126.01</v>
      </c>
      <c r="BF558" s="1">
        <v>128.47</v>
      </c>
      <c r="BG558" s="1">
        <v>131.27000000000001</v>
      </c>
      <c r="BH558" s="1">
        <v>123.68</v>
      </c>
      <c r="BI558" s="1">
        <v>126.45</v>
      </c>
      <c r="BK558" s="1">
        <v>113.52</v>
      </c>
      <c r="BL558" s="1">
        <v>108.23</v>
      </c>
      <c r="BN558" s="1">
        <v>111.58</v>
      </c>
    </row>
    <row r="559" spans="1:66" x14ac:dyDescent="0.3">
      <c r="A559" s="2"/>
      <c r="C559" s="14" t="str">
        <f t="shared" si="9"/>
        <v>20241</v>
      </c>
      <c r="D559" s="3">
        <v>45296</v>
      </c>
      <c r="E559" s="21">
        <v>2409.2800000000002</v>
      </c>
      <c r="F559" s="21">
        <v>2386.8000000000002</v>
      </c>
      <c r="G559" s="21">
        <v>2418.08</v>
      </c>
      <c r="H559" s="21">
        <v>2405.14</v>
      </c>
      <c r="I559" s="21">
        <v>2395.8000000000002</v>
      </c>
      <c r="J559" s="21">
        <v>2307.81</v>
      </c>
      <c r="K559" s="21"/>
      <c r="L559" s="21">
        <v>2240.8000000000002</v>
      </c>
      <c r="M559" s="21">
        <v>1963.16</v>
      </c>
      <c r="N559" s="21">
        <v>2059.46</v>
      </c>
      <c r="O559" s="21">
        <v>2295.71</v>
      </c>
      <c r="P559" s="21"/>
      <c r="Q559" s="21">
        <v>5380</v>
      </c>
      <c r="R559" s="20">
        <v>113.75</v>
      </c>
      <c r="S559" s="20">
        <v>111.03</v>
      </c>
      <c r="T559" s="21">
        <v>122.58</v>
      </c>
      <c r="V559" s="1">
        <v>116.22</v>
      </c>
      <c r="W559" s="1">
        <v>122.97</v>
      </c>
      <c r="X559" s="1">
        <v>124.69</v>
      </c>
      <c r="Y559" s="1">
        <v>118.36</v>
      </c>
      <c r="Z559" s="1">
        <v>120.32</v>
      </c>
      <c r="AA559" s="1">
        <v>117.73</v>
      </c>
      <c r="AB559" s="1">
        <v>124.07</v>
      </c>
      <c r="AE559" s="1">
        <v>130.57</v>
      </c>
      <c r="AF559" s="1">
        <v>139.22999999999999</v>
      </c>
      <c r="AG559" s="1">
        <v>117.08</v>
      </c>
      <c r="AN559" s="1">
        <v>3393.96</v>
      </c>
      <c r="AP559" s="1">
        <v>2744</v>
      </c>
      <c r="AQ559" s="1">
        <v>3181.84</v>
      </c>
      <c r="AR559" s="1">
        <v>2727.29</v>
      </c>
      <c r="AS559" s="1">
        <v>2939.42</v>
      </c>
      <c r="AT559" s="1">
        <v>3348.51</v>
      </c>
      <c r="AU559" s="1">
        <v>2691.94</v>
      </c>
      <c r="AW559" s="1">
        <v>2619.5500000000002</v>
      </c>
      <c r="AX559" s="1">
        <v>127.39</v>
      </c>
      <c r="AY559" s="1">
        <v>2525.27</v>
      </c>
      <c r="BA559" s="1">
        <v>122.27</v>
      </c>
      <c r="BB559" s="1">
        <v>132.99</v>
      </c>
      <c r="BC559" s="1">
        <v>126.82</v>
      </c>
      <c r="BD559" s="1">
        <v>133.88</v>
      </c>
      <c r="BE559" s="1">
        <v>126.64</v>
      </c>
      <c r="BF559" s="1">
        <v>126.87</v>
      </c>
      <c r="BG559" s="1">
        <v>131.61000000000001</v>
      </c>
      <c r="BI559" s="1">
        <v>128.61000000000001</v>
      </c>
      <c r="BK559" s="1">
        <v>114.51</v>
      </c>
      <c r="BL559" s="1">
        <v>110.22</v>
      </c>
      <c r="BN559" s="1">
        <v>113.56</v>
      </c>
    </row>
    <row r="560" spans="1:66" x14ac:dyDescent="0.3">
      <c r="A560" s="2"/>
      <c r="C560" s="14" t="str">
        <f t="shared" si="9"/>
        <v>20241</v>
      </c>
      <c r="D560" s="3">
        <v>45295</v>
      </c>
      <c r="E560" s="21">
        <v>2409.2800000000002</v>
      </c>
      <c r="F560" s="21">
        <v>2386.8000000000002</v>
      </c>
      <c r="G560" s="21">
        <v>2430.4499999999998</v>
      </c>
      <c r="H560" s="21">
        <v>2405.14</v>
      </c>
      <c r="I560" s="21">
        <v>2383.92</v>
      </c>
      <c r="J560" s="21">
        <v>2307.81</v>
      </c>
      <c r="K560" s="21"/>
      <c r="L560" s="21">
        <v>2240.8000000000002</v>
      </c>
      <c r="M560" s="21">
        <v>1963.16</v>
      </c>
      <c r="N560" s="21">
        <v>2064.23</v>
      </c>
      <c r="O560" s="21">
        <v>2296.5100000000002</v>
      </c>
      <c r="P560" s="21"/>
      <c r="Q560" s="21">
        <v>5380</v>
      </c>
      <c r="R560" s="20">
        <v>114.25</v>
      </c>
      <c r="S560" s="20">
        <v>107.53</v>
      </c>
      <c r="T560" s="21">
        <v>122.98</v>
      </c>
      <c r="V560" s="1">
        <v>115.22</v>
      </c>
      <c r="W560" s="1">
        <v>123.77</v>
      </c>
      <c r="X560" s="1">
        <v>126.04</v>
      </c>
      <c r="Y560" s="1">
        <v>120.83</v>
      </c>
      <c r="Z560" s="1">
        <v>121.73</v>
      </c>
      <c r="AA560" s="1">
        <v>118.43</v>
      </c>
      <c r="AB560" s="1">
        <v>124.27</v>
      </c>
      <c r="AE560" s="1">
        <v>133.06</v>
      </c>
      <c r="AF560" s="1">
        <v>138.30000000000001</v>
      </c>
      <c r="AG560" s="1">
        <v>117.33</v>
      </c>
      <c r="AN560" s="1">
        <v>3393.96</v>
      </c>
      <c r="AP560" s="1">
        <v>2744</v>
      </c>
      <c r="AQ560" s="1">
        <v>3181.84</v>
      </c>
      <c r="AR560" s="1">
        <v>2727.29</v>
      </c>
      <c r="AS560" s="1">
        <v>2939.42</v>
      </c>
      <c r="AT560" s="1">
        <v>3348.51</v>
      </c>
      <c r="AW560" s="1">
        <v>2571.7399999999998</v>
      </c>
      <c r="AX560" s="1">
        <v>127.38</v>
      </c>
      <c r="AY560" s="1">
        <v>2525.27</v>
      </c>
      <c r="BA560" s="1">
        <v>122.27</v>
      </c>
      <c r="BB560" s="1">
        <v>135.41999999999999</v>
      </c>
      <c r="BC560" s="1">
        <v>130.71</v>
      </c>
      <c r="BD560" s="1">
        <v>132.22999999999999</v>
      </c>
      <c r="BE560" s="1">
        <v>126.64</v>
      </c>
      <c r="BF560" s="1">
        <v>126.87</v>
      </c>
      <c r="BG560" s="1">
        <v>131.61000000000001</v>
      </c>
      <c r="BI560" s="1">
        <v>128.94999999999999</v>
      </c>
      <c r="BK560" s="1">
        <v>116.51</v>
      </c>
      <c r="BL560" s="1">
        <v>113.72</v>
      </c>
      <c r="BN560" s="1">
        <v>113.56</v>
      </c>
    </row>
    <row r="561" spans="1:66" x14ac:dyDescent="0.3">
      <c r="A561" s="2"/>
      <c r="C561" s="14" t="str">
        <f t="shared" si="9"/>
        <v>20241</v>
      </c>
      <c r="D561" s="3">
        <v>45294</v>
      </c>
      <c r="E561" s="21">
        <v>2417.23</v>
      </c>
      <c r="F561" s="21">
        <v>2431.2800000000002</v>
      </c>
      <c r="G561" s="21">
        <v>2442.83</v>
      </c>
      <c r="H561" s="21"/>
      <c r="I561" s="21">
        <v>2443.3200000000002</v>
      </c>
      <c r="J561" s="21">
        <v>2307.81</v>
      </c>
      <c r="K561" s="21"/>
      <c r="L561" s="21"/>
      <c r="M561" s="21">
        <v>1963.16</v>
      </c>
      <c r="N561" s="21">
        <v>2098.29</v>
      </c>
      <c r="O561" s="21">
        <v>2196.58</v>
      </c>
      <c r="P561" s="21"/>
      <c r="Q561" s="21">
        <v>5380</v>
      </c>
      <c r="R561" s="20">
        <v>114.25</v>
      </c>
      <c r="S561" s="20">
        <v>109.93</v>
      </c>
      <c r="T561" s="21">
        <v>124.49</v>
      </c>
      <c r="V561" s="1">
        <v>115.37</v>
      </c>
      <c r="W561" s="1">
        <v>123.77</v>
      </c>
      <c r="X561" s="1">
        <v>128.13999999999999</v>
      </c>
      <c r="Y561" s="1">
        <v>121.64</v>
      </c>
      <c r="Z561" s="1">
        <v>121.72</v>
      </c>
      <c r="AA561" s="1">
        <v>117.93</v>
      </c>
      <c r="AB561" s="1">
        <v>125.07</v>
      </c>
      <c r="AE561" s="1">
        <v>138.04</v>
      </c>
      <c r="AF561" s="1">
        <v>138.30000000000001</v>
      </c>
      <c r="AG561" s="1">
        <v>115.7</v>
      </c>
      <c r="AN561" s="1">
        <v>3393.96</v>
      </c>
      <c r="AP561" s="1">
        <v>2744</v>
      </c>
      <c r="AQ561" s="1">
        <v>3181.84</v>
      </c>
      <c r="AR561" s="1">
        <v>2727.29</v>
      </c>
      <c r="AS561" s="1">
        <v>2939.42</v>
      </c>
      <c r="AT561" s="1">
        <v>3348.51</v>
      </c>
      <c r="AW561" s="1">
        <v>2571.7399999999998</v>
      </c>
      <c r="AX561" s="1">
        <v>124.09</v>
      </c>
      <c r="AY561" s="1">
        <v>2525.27</v>
      </c>
      <c r="BB561" s="1">
        <v>135.11000000000001</v>
      </c>
      <c r="BC561" s="1">
        <v>131.63</v>
      </c>
      <c r="BD561" s="1">
        <v>132.53</v>
      </c>
      <c r="BE561" s="1">
        <v>126.39</v>
      </c>
      <c r="BG561" s="1">
        <v>134.27000000000001</v>
      </c>
      <c r="BI561" s="1">
        <v>129.19999999999999</v>
      </c>
      <c r="BK561" s="1">
        <v>115.35</v>
      </c>
      <c r="BL561" s="1">
        <v>113.72</v>
      </c>
      <c r="BN561" s="1">
        <v>113.56</v>
      </c>
    </row>
    <row r="562" spans="1:66" x14ac:dyDescent="0.3">
      <c r="A562" s="2"/>
      <c r="C562" s="14" t="str">
        <f t="shared" si="9"/>
        <v>20241</v>
      </c>
      <c r="D562" s="3">
        <v>45293</v>
      </c>
      <c r="E562" s="21">
        <v>2441.0100000000002</v>
      </c>
      <c r="F562" s="21">
        <v>2452.23</v>
      </c>
      <c r="G562" s="21">
        <v>2467.58</v>
      </c>
      <c r="H562" s="21">
        <v>2244.37</v>
      </c>
      <c r="I562" s="21">
        <v>2411.64</v>
      </c>
      <c r="J562" s="21">
        <v>2283.65</v>
      </c>
      <c r="K562" s="21"/>
      <c r="L562" s="21">
        <v>2274.94</v>
      </c>
      <c r="M562" s="21">
        <v>1976.81</v>
      </c>
      <c r="N562" s="21">
        <v>2210.2399999999998</v>
      </c>
      <c r="O562" s="21">
        <v>2093.9699999999998</v>
      </c>
      <c r="P562" s="21"/>
      <c r="Q562" s="21">
        <v>5540</v>
      </c>
      <c r="R562" s="20">
        <v>121.06</v>
      </c>
      <c r="S562" s="20">
        <v>110.27</v>
      </c>
      <c r="T562" s="21">
        <v>126.4</v>
      </c>
      <c r="V562" s="1">
        <v>120.62</v>
      </c>
      <c r="W562" s="1">
        <v>127.17</v>
      </c>
      <c r="X562" s="1">
        <v>131.75</v>
      </c>
      <c r="Y562" s="1">
        <v>122.45</v>
      </c>
      <c r="Z562" s="1">
        <v>124.16</v>
      </c>
      <c r="AA562" s="1">
        <v>123.95</v>
      </c>
      <c r="AB562" s="1">
        <v>135.04</v>
      </c>
      <c r="AC562" s="1">
        <v>120.15</v>
      </c>
      <c r="AE562" s="1">
        <v>139.54</v>
      </c>
      <c r="AF562" s="1">
        <v>137.94</v>
      </c>
      <c r="AG562" s="1">
        <v>121.1</v>
      </c>
      <c r="AN562" s="1">
        <v>3393.96</v>
      </c>
      <c r="AP562" s="1">
        <v>2744</v>
      </c>
      <c r="AQ562" s="1">
        <v>2969.72</v>
      </c>
      <c r="AR562" s="1">
        <v>2727.29</v>
      </c>
      <c r="AS562" s="1">
        <v>2939.42</v>
      </c>
      <c r="AX562" s="1">
        <v>124.69</v>
      </c>
      <c r="AY562" s="1">
        <v>2525.27</v>
      </c>
      <c r="BA562" s="1">
        <v>124.35</v>
      </c>
      <c r="BB562" s="1">
        <v>135.18</v>
      </c>
      <c r="BC562" s="1">
        <v>134.91999999999999</v>
      </c>
      <c r="BD562" s="1">
        <v>135.15</v>
      </c>
      <c r="BE562" s="1">
        <v>131.24</v>
      </c>
      <c r="BF562" s="1">
        <v>133.71</v>
      </c>
      <c r="BG562" s="1">
        <v>140.53</v>
      </c>
      <c r="BH562" s="1">
        <v>122.02</v>
      </c>
      <c r="BI562" s="1">
        <v>131.69</v>
      </c>
      <c r="BJ562" s="1">
        <v>139.34</v>
      </c>
      <c r="BK562" s="1">
        <v>117.31</v>
      </c>
      <c r="BL562" s="1">
        <v>115.96</v>
      </c>
      <c r="BN562" s="1">
        <v>114.43</v>
      </c>
    </row>
    <row r="563" spans="1:66" x14ac:dyDescent="0.3">
      <c r="A563" s="2"/>
      <c r="C563" s="14" t="str">
        <f t="shared" si="9"/>
        <v>202312</v>
      </c>
      <c r="D563" s="3">
        <v>45288</v>
      </c>
      <c r="E563" s="21">
        <v>2442.8200000000002</v>
      </c>
      <c r="F563" s="21">
        <v>2479.14</v>
      </c>
      <c r="G563" s="21">
        <v>2469.73</v>
      </c>
      <c r="H563" s="21">
        <v>2245.09</v>
      </c>
      <c r="I563" s="21">
        <v>2433.56</v>
      </c>
      <c r="J563" s="21">
        <v>2284.96</v>
      </c>
      <c r="K563" s="21"/>
      <c r="L563" s="21">
        <v>2276.23</v>
      </c>
      <c r="M563" s="21">
        <v>1977.92</v>
      </c>
      <c r="N563" s="21">
        <v>2210.6999999999998</v>
      </c>
      <c r="O563" s="21">
        <v>2093.9699999999998</v>
      </c>
      <c r="P563" s="21"/>
      <c r="Q563" s="21">
        <v>5517.44</v>
      </c>
      <c r="R563" s="20">
        <v>121.09</v>
      </c>
      <c r="S563" s="20">
        <v>110.28</v>
      </c>
      <c r="T563" s="21">
        <v>126.62</v>
      </c>
      <c r="V563" s="1">
        <v>120.74</v>
      </c>
      <c r="W563" s="1">
        <v>128.18</v>
      </c>
      <c r="X563" s="1">
        <v>132.1</v>
      </c>
      <c r="Y563" s="1">
        <v>123.9</v>
      </c>
      <c r="Z563" s="1">
        <v>124.15</v>
      </c>
      <c r="AA563" s="1">
        <v>123.97</v>
      </c>
      <c r="AB563" s="1">
        <v>135.06</v>
      </c>
      <c r="AC563" s="1">
        <v>120.16</v>
      </c>
      <c r="AE563" s="1">
        <v>140.82</v>
      </c>
      <c r="AF563" s="1">
        <v>138.03</v>
      </c>
      <c r="AG563" s="1">
        <v>121.16</v>
      </c>
      <c r="AN563" s="1">
        <v>3391</v>
      </c>
      <c r="AQ563" s="1">
        <v>2959.55</v>
      </c>
      <c r="AR563" s="1">
        <v>2724.91</v>
      </c>
      <c r="AX563" s="1">
        <v>124.73</v>
      </c>
      <c r="AY563" s="1">
        <v>2525.9499999999998</v>
      </c>
      <c r="BA563" s="1">
        <v>124.38</v>
      </c>
      <c r="BB563" s="1">
        <v>135.43</v>
      </c>
      <c r="BC563" s="1">
        <v>134.94999999999999</v>
      </c>
      <c r="BD563" s="1">
        <v>135.79</v>
      </c>
      <c r="BE563" s="1">
        <v>131.30000000000001</v>
      </c>
      <c r="BF563" s="1">
        <v>133.76</v>
      </c>
      <c r="BG563" s="1">
        <v>140.57</v>
      </c>
      <c r="BH563" s="1">
        <v>122.06</v>
      </c>
      <c r="BI563" s="1">
        <v>131.72</v>
      </c>
      <c r="BJ563" s="1">
        <v>139.46</v>
      </c>
      <c r="BK563" s="1">
        <v>117.33</v>
      </c>
      <c r="BL563" s="1">
        <v>115.99</v>
      </c>
      <c r="BN563" s="1">
        <v>114.49</v>
      </c>
    </row>
    <row r="564" spans="1:66" x14ac:dyDescent="0.3">
      <c r="A564" s="2"/>
      <c r="C564" s="14" t="str">
        <f t="shared" si="9"/>
        <v>202312</v>
      </c>
      <c r="D564" s="3">
        <v>45287</v>
      </c>
      <c r="E564" s="21">
        <v>2442.8200000000002</v>
      </c>
      <c r="F564" s="21">
        <v>2478.96</v>
      </c>
      <c r="G564" s="21">
        <v>2469.73</v>
      </c>
      <c r="H564" s="21">
        <v>2257.75</v>
      </c>
      <c r="I564" s="21">
        <v>2433.56</v>
      </c>
      <c r="J564" s="21">
        <v>2284.96</v>
      </c>
      <c r="K564" s="21"/>
      <c r="L564" s="21">
        <v>2276.23</v>
      </c>
      <c r="M564" s="21">
        <v>1977.92</v>
      </c>
      <c r="N564" s="21">
        <v>2186.09</v>
      </c>
      <c r="O564" s="21">
        <v>2093.9699999999998</v>
      </c>
      <c r="P564" s="21"/>
      <c r="Q564" s="21">
        <v>5517.44</v>
      </c>
      <c r="R564" s="20">
        <v>121.09</v>
      </c>
      <c r="S564" s="20">
        <v>110.94</v>
      </c>
      <c r="T564" s="21">
        <v>126.62</v>
      </c>
      <c r="V564" s="1">
        <v>120.74</v>
      </c>
      <c r="W564" s="1">
        <v>128.18</v>
      </c>
      <c r="X564" s="1">
        <v>132.99</v>
      </c>
      <c r="Y564" s="1">
        <v>124.28</v>
      </c>
      <c r="Z564" s="1">
        <v>124.15</v>
      </c>
      <c r="AA564" s="1">
        <v>124.03</v>
      </c>
      <c r="AB564" s="1">
        <v>135.06</v>
      </c>
      <c r="AC564" s="1">
        <v>120.16</v>
      </c>
      <c r="AE564" s="1">
        <v>140.82</v>
      </c>
      <c r="AF564" s="1">
        <v>138.03</v>
      </c>
      <c r="AG564" s="1">
        <v>121.56</v>
      </c>
      <c r="AN564" s="1">
        <v>3391</v>
      </c>
      <c r="AQ564" s="1">
        <v>2959.55</v>
      </c>
      <c r="AR564" s="1">
        <v>2724.91</v>
      </c>
      <c r="AX564" s="1">
        <v>124.73</v>
      </c>
      <c r="AY564" s="1">
        <v>2581.09</v>
      </c>
      <c r="BA564" s="1">
        <v>126.83</v>
      </c>
      <c r="BB564" s="1">
        <v>136.18</v>
      </c>
      <c r="BC564" s="1">
        <v>135.12</v>
      </c>
      <c r="BD564" s="1">
        <v>137.68</v>
      </c>
      <c r="BE564" s="1">
        <v>131.55000000000001</v>
      </c>
      <c r="BF564" s="1">
        <v>133.76</v>
      </c>
      <c r="BG564" s="1">
        <v>140.57</v>
      </c>
      <c r="BH564" s="1">
        <v>122.06</v>
      </c>
      <c r="BI564" s="1">
        <v>132.63</v>
      </c>
      <c r="BJ564" s="1">
        <v>139.46</v>
      </c>
      <c r="BK564" s="1">
        <v>117.33</v>
      </c>
      <c r="BL564" s="1">
        <v>115.99</v>
      </c>
      <c r="BN564" s="1">
        <v>114.49</v>
      </c>
    </row>
    <row r="565" spans="1:66" x14ac:dyDescent="0.3">
      <c r="A565" s="2"/>
      <c r="C565" s="14" t="str">
        <f t="shared" si="9"/>
        <v>202312</v>
      </c>
      <c r="D565" s="3">
        <v>45286</v>
      </c>
      <c r="E565" s="21">
        <v>2442.8200000000002</v>
      </c>
      <c r="F565" s="21">
        <v>2478.96</v>
      </c>
      <c r="G565" s="21">
        <v>2469.73</v>
      </c>
      <c r="H565" s="21">
        <v>2257.75</v>
      </c>
      <c r="I565" s="21">
        <v>2433.56</v>
      </c>
      <c r="J565" s="21">
        <v>2284.96</v>
      </c>
      <c r="K565" s="21"/>
      <c r="L565" s="21">
        <v>2276.23</v>
      </c>
      <c r="M565" s="21">
        <v>1977.92</v>
      </c>
      <c r="N565" s="21">
        <v>2186.09</v>
      </c>
      <c r="O565" s="21">
        <v>2093.9699999999998</v>
      </c>
      <c r="P565" s="21"/>
      <c r="Q565" s="21">
        <v>5517.44</v>
      </c>
      <c r="R565" s="20">
        <v>121.09</v>
      </c>
      <c r="S565" s="20">
        <v>110.94</v>
      </c>
      <c r="T565" s="21">
        <v>126.62</v>
      </c>
      <c r="V565" s="1">
        <v>120.74</v>
      </c>
      <c r="W565" s="1">
        <v>128.18</v>
      </c>
      <c r="X565" s="1">
        <v>132.99</v>
      </c>
      <c r="Y565" s="1">
        <v>124.28</v>
      </c>
      <c r="Z565" s="1">
        <v>124.15</v>
      </c>
      <c r="AA565" s="1">
        <v>124.03</v>
      </c>
      <c r="AB565" s="1">
        <v>135.06</v>
      </c>
      <c r="AC565" s="1">
        <v>120.16</v>
      </c>
      <c r="AE565" s="1">
        <v>140.82</v>
      </c>
      <c r="AF565" s="1">
        <v>138.03</v>
      </c>
      <c r="AG565" s="1">
        <v>121.56</v>
      </c>
      <c r="AP565" s="1">
        <v>3010</v>
      </c>
      <c r="AQ565" s="1">
        <v>2951.98</v>
      </c>
      <c r="AS565" s="1">
        <v>2964.6</v>
      </c>
      <c r="AX565" s="1">
        <v>124.73</v>
      </c>
      <c r="AY565" s="1">
        <v>2652.82</v>
      </c>
      <c r="AZ565" s="1">
        <v>2906.57</v>
      </c>
      <c r="BA565" s="1">
        <v>126.83</v>
      </c>
      <c r="BB565" s="1">
        <v>136.18</v>
      </c>
      <c r="BC565" s="1">
        <v>135.12</v>
      </c>
      <c r="BD565" s="1">
        <v>137.68</v>
      </c>
      <c r="BE565" s="1">
        <v>131.55000000000001</v>
      </c>
      <c r="BF565" s="1">
        <v>133.76</v>
      </c>
      <c r="BG565" s="1">
        <v>140.57</v>
      </c>
      <c r="BH565" s="1">
        <v>122.06</v>
      </c>
      <c r="BI565" s="1">
        <v>132.63</v>
      </c>
      <c r="BJ565" s="1">
        <v>139.46</v>
      </c>
      <c r="BK565" s="1">
        <v>117.33</v>
      </c>
      <c r="BL565" s="1">
        <v>115.99</v>
      </c>
      <c r="BN565" s="1">
        <v>114.49</v>
      </c>
    </row>
    <row r="566" spans="1:66" x14ac:dyDescent="0.3">
      <c r="A566" s="2"/>
      <c r="C566" s="14" t="str">
        <f t="shared" si="9"/>
        <v>202312</v>
      </c>
      <c r="D566" s="3">
        <v>45282</v>
      </c>
      <c r="E566" s="21">
        <v>2442.8200000000002</v>
      </c>
      <c r="F566" s="21">
        <v>2478.96</v>
      </c>
      <c r="G566" s="21">
        <v>2469.73</v>
      </c>
      <c r="H566" s="21">
        <v>2257.75</v>
      </c>
      <c r="I566" s="21">
        <v>2445.4499999999998</v>
      </c>
      <c r="J566" s="21">
        <v>2284.96</v>
      </c>
      <c r="K566" s="21"/>
      <c r="L566" s="21">
        <v>2276.23</v>
      </c>
      <c r="M566" s="21">
        <v>1977.92</v>
      </c>
      <c r="N566" s="21">
        <v>2186.09</v>
      </c>
      <c r="O566" s="21">
        <v>2093.9699999999998</v>
      </c>
      <c r="P566" s="21"/>
      <c r="Q566" s="21">
        <v>5517.44</v>
      </c>
      <c r="R566" s="20">
        <v>121.09</v>
      </c>
      <c r="S566" s="20">
        <v>110.94</v>
      </c>
      <c r="T566" s="21">
        <v>126.72</v>
      </c>
      <c r="V566" s="1">
        <v>120.74</v>
      </c>
      <c r="W566" s="1">
        <v>128.18</v>
      </c>
      <c r="X566" s="1">
        <v>132.99</v>
      </c>
      <c r="Y566" s="1">
        <v>124.2</v>
      </c>
      <c r="Z566" s="1">
        <v>124.82</v>
      </c>
      <c r="AA566" s="1">
        <v>124.03</v>
      </c>
      <c r="AB566" s="1">
        <v>135.06</v>
      </c>
      <c r="AC566" s="1">
        <v>120.16</v>
      </c>
      <c r="AE566" s="1">
        <v>140.82</v>
      </c>
      <c r="AF566" s="1">
        <v>138.03</v>
      </c>
      <c r="AG566" s="1">
        <v>121.56</v>
      </c>
      <c r="AI566" s="1">
        <v>7</v>
      </c>
      <c r="AN566" s="1">
        <v>3054.98</v>
      </c>
      <c r="AP566" s="1">
        <v>3010</v>
      </c>
      <c r="AQ566" s="1">
        <v>2951.98</v>
      </c>
      <c r="AR566" s="1">
        <v>2775.37</v>
      </c>
      <c r="AS566" s="1">
        <v>2964.6</v>
      </c>
      <c r="AT566" s="1">
        <v>3096.64</v>
      </c>
      <c r="AU566" s="1">
        <v>2738.37</v>
      </c>
      <c r="AW566" s="1">
        <v>2301.0300000000002</v>
      </c>
      <c r="AX566" s="1">
        <v>124.73</v>
      </c>
      <c r="AY566" s="1">
        <v>2660.32</v>
      </c>
      <c r="AZ566" s="1">
        <v>2904.05</v>
      </c>
      <c r="BA566" s="1">
        <v>126.83</v>
      </c>
      <c r="BB566" s="1">
        <v>136.63</v>
      </c>
      <c r="BC566" s="1">
        <v>135.19999999999999</v>
      </c>
      <c r="BD566" s="1">
        <v>138.69999999999999</v>
      </c>
      <c r="BE566" s="1">
        <v>131.55000000000001</v>
      </c>
      <c r="BF566" s="1">
        <v>133.76</v>
      </c>
      <c r="BG566" s="1">
        <v>140.57</v>
      </c>
      <c r="BH566" s="1">
        <v>122.06</v>
      </c>
      <c r="BI566" s="1">
        <v>132.63</v>
      </c>
      <c r="BJ566" s="1">
        <v>139.46</v>
      </c>
      <c r="BK566" s="1">
        <v>117.33</v>
      </c>
      <c r="BL566" s="1">
        <v>115.99</v>
      </c>
      <c r="BN566" s="1">
        <v>114.49</v>
      </c>
    </row>
    <row r="567" spans="1:66" x14ac:dyDescent="0.3">
      <c r="A567" s="2"/>
      <c r="C567" s="14" t="str">
        <f t="shared" si="9"/>
        <v>202312</v>
      </c>
      <c r="D567" s="3">
        <v>45281</v>
      </c>
      <c r="E567" s="21">
        <v>2442.8200000000002</v>
      </c>
      <c r="F567" s="21">
        <v>2478.96</v>
      </c>
      <c r="G567" s="21">
        <v>2469.73</v>
      </c>
      <c r="H567" s="21">
        <v>2260.23</v>
      </c>
      <c r="I567" s="21">
        <v>2445.4499999999998</v>
      </c>
      <c r="J567" s="21">
        <v>2256.39</v>
      </c>
      <c r="K567" s="21"/>
      <c r="L567" s="21">
        <v>2232.33</v>
      </c>
      <c r="M567" s="21">
        <v>1977.92</v>
      </c>
      <c r="N567" s="21">
        <v>2209.2800000000002</v>
      </c>
      <c r="O567" s="21">
        <v>2200.48</v>
      </c>
      <c r="P567" s="21"/>
      <c r="Q567" s="21">
        <v>5479.94</v>
      </c>
      <c r="R567" s="20">
        <v>121.09</v>
      </c>
      <c r="S567" s="20">
        <v>111.11</v>
      </c>
      <c r="T567" s="21">
        <v>127.19</v>
      </c>
      <c r="V567" s="1">
        <v>121.02</v>
      </c>
      <c r="W567" s="1">
        <v>128.38</v>
      </c>
      <c r="X567" s="1">
        <v>132.57</v>
      </c>
      <c r="Y567" s="1">
        <v>124.58</v>
      </c>
      <c r="Z567" s="1">
        <v>124.96</v>
      </c>
      <c r="AA567" s="1">
        <v>123.66</v>
      </c>
      <c r="AB567" s="1">
        <v>132.91</v>
      </c>
      <c r="AC567" s="1">
        <v>122.02</v>
      </c>
      <c r="AE567" s="1">
        <v>141.32</v>
      </c>
      <c r="AF567" s="1">
        <v>138.43</v>
      </c>
      <c r="AG567" s="1">
        <v>121.53</v>
      </c>
      <c r="AI567" s="1">
        <v>7</v>
      </c>
      <c r="AN567" s="1">
        <v>3054.98</v>
      </c>
      <c r="AP567" s="1">
        <v>3010</v>
      </c>
      <c r="AR567" s="1">
        <v>2775.37</v>
      </c>
      <c r="AS567" s="1">
        <v>2846.02</v>
      </c>
      <c r="AT567" s="1">
        <v>3034.55</v>
      </c>
      <c r="AU567" s="1">
        <v>2738.37</v>
      </c>
      <c r="AW567" s="1">
        <v>2301.0300000000002</v>
      </c>
      <c r="AX567" s="1">
        <v>124.72</v>
      </c>
      <c r="AY567" s="1">
        <v>2694.63</v>
      </c>
      <c r="AZ567" s="1">
        <v>2904.05</v>
      </c>
      <c r="BA567" s="1">
        <v>126.83</v>
      </c>
      <c r="BB567" s="1">
        <v>137.72</v>
      </c>
      <c r="BC567" s="1">
        <v>135.29</v>
      </c>
      <c r="BD567" s="1">
        <v>138.69</v>
      </c>
      <c r="BE567" s="1">
        <v>131.54</v>
      </c>
      <c r="BF567" s="1">
        <v>133.74</v>
      </c>
      <c r="BG567" s="1">
        <v>141.57</v>
      </c>
      <c r="BH567" s="1">
        <v>124.46</v>
      </c>
      <c r="BI567" s="1">
        <v>133.30000000000001</v>
      </c>
      <c r="BJ567" s="1">
        <v>139.96</v>
      </c>
      <c r="BK567" s="1">
        <v>116.04</v>
      </c>
      <c r="BL567" s="1">
        <v>116.24</v>
      </c>
      <c r="BN567" s="1">
        <v>114.49</v>
      </c>
    </row>
    <row r="568" spans="1:66" x14ac:dyDescent="0.3">
      <c r="A568" s="2"/>
      <c r="C568" s="14" t="str">
        <f t="shared" si="9"/>
        <v>202312</v>
      </c>
      <c r="D568" s="3">
        <v>45280</v>
      </c>
      <c r="E568" s="21">
        <v>2448.7600000000002</v>
      </c>
      <c r="F568" s="21">
        <v>2492.85</v>
      </c>
      <c r="G568" s="21">
        <v>2477.16</v>
      </c>
      <c r="H568" s="21">
        <v>2286.35</v>
      </c>
      <c r="I568" s="21">
        <v>2445.4499999999998</v>
      </c>
      <c r="J568" s="21">
        <v>2256.39</v>
      </c>
      <c r="K568" s="21"/>
      <c r="L568" s="21">
        <v>2207.4499999999998</v>
      </c>
      <c r="M568" s="21">
        <v>2017.33</v>
      </c>
      <c r="N568" s="21">
        <v>2190.61</v>
      </c>
      <c r="O568" s="21">
        <v>2093.9699999999998</v>
      </c>
      <c r="P568" s="21"/>
      <c r="Q568" s="21">
        <v>5444.08</v>
      </c>
      <c r="R568" s="20">
        <v>121.09</v>
      </c>
      <c r="S568" s="20">
        <v>111.28</v>
      </c>
      <c r="T568" s="21">
        <v>128.83000000000001</v>
      </c>
      <c r="V568" s="1">
        <v>121.45</v>
      </c>
      <c r="W568" s="1">
        <v>128.18</v>
      </c>
      <c r="X568" s="1">
        <v>133.19</v>
      </c>
      <c r="Y568" s="1">
        <v>124.78</v>
      </c>
      <c r="Z568" s="1">
        <v>124.96</v>
      </c>
      <c r="AA568" s="1">
        <v>124.05</v>
      </c>
      <c r="AB568" s="1">
        <v>133.19999999999999</v>
      </c>
      <c r="AC568" s="1">
        <v>121.33</v>
      </c>
      <c r="AE568" s="1">
        <v>142.57</v>
      </c>
      <c r="AF568" s="1">
        <v>137.63999999999999</v>
      </c>
      <c r="AG568" s="1">
        <v>121.49</v>
      </c>
      <c r="AI568" s="1">
        <v>7</v>
      </c>
      <c r="AN568" s="1">
        <v>3054.98</v>
      </c>
      <c r="AP568" s="1">
        <v>2915</v>
      </c>
      <c r="AQ568" s="1">
        <v>2598.7600000000002</v>
      </c>
      <c r="AR568" s="1">
        <v>2775.37</v>
      </c>
      <c r="AS568" s="1">
        <v>2846.02</v>
      </c>
      <c r="AT568" s="1">
        <v>3034.55</v>
      </c>
      <c r="AU568" s="1">
        <v>2726.17</v>
      </c>
      <c r="AW568" s="1">
        <v>2301.0300000000002</v>
      </c>
      <c r="AX568" s="1">
        <v>124.71</v>
      </c>
      <c r="AY568" s="1">
        <v>2694.63</v>
      </c>
      <c r="AZ568" s="1">
        <v>2906.57</v>
      </c>
      <c r="BA568" s="1">
        <v>128.63</v>
      </c>
      <c r="BB568" s="1">
        <v>138.05000000000001</v>
      </c>
      <c r="BC568" s="1">
        <v>134.78</v>
      </c>
      <c r="BD568" s="1">
        <v>138.16999999999999</v>
      </c>
      <c r="BE568" s="1">
        <v>132.02000000000001</v>
      </c>
      <c r="BF568" s="1">
        <v>133.71</v>
      </c>
      <c r="BG568" s="1">
        <v>141.97</v>
      </c>
      <c r="BH568" s="1">
        <v>122.39</v>
      </c>
      <c r="BI568" s="1">
        <v>133.30000000000001</v>
      </c>
      <c r="BJ568" s="1">
        <v>139.96</v>
      </c>
      <c r="BK568" s="1">
        <v>116.71</v>
      </c>
      <c r="BL568" s="1">
        <v>116.98</v>
      </c>
      <c r="BN568" s="1">
        <v>115.15</v>
      </c>
    </row>
    <row r="569" spans="1:66" x14ac:dyDescent="0.3">
      <c r="A569" s="2"/>
      <c r="C569" s="14" t="str">
        <f t="shared" si="9"/>
        <v>202312</v>
      </c>
      <c r="D569" s="3">
        <v>45279</v>
      </c>
      <c r="E569" s="21">
        <v>2468.65</v>
      </c>
      <c r="F569" s="21">
        <v>2492.85</v>
      </c>
      <c r="G569" s="21">
        <v>2477.16</v>
      </c>
      <c r="H569" s="21">
        <v>2297.75</v>
      </c>
      <c r="I569" s="21">
        <v>2463.29</v>
      </c>
      <c r="J569" s="21">
        <v>2394.1799999999998</v>
      </c>
      <c r="K569" s="21"/>
      <c r="L569" s="21">
        <v>2207.77</v>
      </c>
      <c r="M569" s="21"/>
      <c r="N569" s="21">
        <v>2193.86</v>
      </c>
      <c r="O569" s="21">
        <v>2211.9299999999998</v>
      </c>
      <c r="P569" s="21"/>
      <c r="Q569" s="21">
        <v>5354.04</v>
      </c>
      <c r="R569" s="20">
        <v>121.75</v>
      </c>
      <c r="S569" s="20">
        <v>111</v>
      </c>
      <c r="T569" s="21">
        <v>129.15</v>
      </c>
      <c r="V569" s="1">
        <v>121.66</v>
      </c>
      <c r="W569" s="1">
        <v>129.97999999999999</v>
      </c>
      <c r="X569" s="1">
        <v>133.44</v>
      </c>
      <c r="Y569" s="1">
        <v>125.34</v>
      </c>
      <c r="Z569" s="1">
        <v>126.75</v>
      </c>
      <c r="AA569" s="1">
        <v>123.94</v>
      </c>
      <c r="AB569" s="1">
        <v>133.47999999999999</v>
      </c>
      <c r="AE569" s="1">
        <v>140.97</v>
      </c>
      <c r="AF569" s="1">
        <v>137.63999999999999</v>
      </c>
      <c r="AG569" s="1">
        <v>124.45</v>
      </c>
      <c r="AI569" s="1">
        <v>7</v>
      </c>
      <c r="AN569" s="1">
        <v>3054.98</v>
      </c>
      <c r="AP569" s="1">
        <v>2930</v>
      </c>
      <c r="AQ569" s="1">
        <v>2598.7600000000002</v>
      </c>
      <c r="AR569" s="1">
        <v>2750.14</v>
      </c>
      <c r="AS569" s="1">
        <v>2785.46</v>
      </c>
      <c r="AT569" s="1">
        <v>3066.34</v>
      </c>
      <c r="AU569" s="1">
        <v>2726.17</v>
      </c>
      <c r="AW569" s="1">
        <v>2301.0300000000002</v>
      </c>
      <c r="AX569" s="1">
        <v>124.26</v>
      </c>
      <c r="AY569" s="1">
        <v>2694.63</v>
      </c>
      <c r="AZ569" s="1">
        <v>2901.52</v>
      </c>
      <c r="BA569" s="1">
        <v>128.63</v>
      </c>
      <c r="BB569" s="1">
        <v>140.24</v>
      </c>
      <c r="BC569" s="1">
        <v>135.55000000000001</v>
      </c>
      <c r="BD569" s="1">
        <v>138.16</v>
      </c>
      <c r="BE569" s="1">
        <v>133.01</v>
      </c>
      <c r="BF569" s="1">
        <v>134.69999999999999</v>
      </c>
      <c r="BG569" s="1">
        <v>142.76</v>
      </c>
      <c r="BH569" s="1">
        <v>124.96</v>
      </c>
      <c r="BI569" s="1">
        <v>133.30000000000001</v>
      </c>
      <c r="BJ569" s="1">
        <v>140.69999999999999</v>
      </c>
      <c r="BK569" s="1">
        <v>116.94</v>
      </c>
      <c r="BL569" s="1">
        <v>117.23</v>
      </c>
      <c r="BN569" s="1">
        <v>115.15</v>
      </c>
    </row>
    <row r="570" spans="1:66" x14ac:dyDescent="0.3">
      <c r="A570" s="2"/>
      <c r="C570" s="14" t="str">
        <f t="shared" si="9"/>
        <v>202312</v>
      </c>
      <c r="D570" s="3">
        <v>45278</v>
      </c>
      <c r="E570" s="21">
        <v>2468.65</v>
      </c>
      <c r="F570" s="21">
        <v>2492.85</v>
      </c>
      <c r="G570" s="21">
        <v>2477.16</v>
      </c>
      <c r="H570" s="21">
        <v>2297.75</v>
      </c>
      <c r="I570" s="21">
        <v>2463.29</v>
      </c>
      <c r="J570" s="21">
        <v>2394.1799999999998</v>
      </c>
      <c r="K570" s="21">
        <v>2466.5100000000002</v>
      </c>
      <c r="L570" s="21">
        <v>2199.13</v>
      </c>
      <c r="M570" s="21"/>
      <c r="N570" s="21">
        <v>2216.52</v>
      </c>
      <c r="O570" s="21">
        <v>2107.5700000000002</v>
      </c>
      <c r="P570" s="21">
        <v>2331.81</v>
      </c>
      <c r="Q570" s="21">
        <v>5354.04</v>
      </c>
      <c r="R570" s="20">
        <v>122.42</v>
      </c>
      <c r="S570" s="20">
        <v>111.33</v>
      </c>
      <c r="T570" s="21">
        <v>129.22999999999999</v>
      </c>
      <c r="V570" s="1">
        <v>121.65</v>
      </c>
      <c r="W570" s="1">
        <v>129.58000000000001</v>
      </c>
      <c r="X570" s="1">
        <v>134.93</v>
      </c>
      <c r="Y570" s="1">
        <v>125.84</v>
      </c>
      <c r="Z570" s="1">
        <v>126.16</v>
      </c>
      <c r="AA570" s="1">
        <v>124.8</v>
      </c>
      <c r="AB570" s="1">
        <v>134.34</v>
      </c>
      <c r="AE570" s="1">
        <v>140.76</v>
      </c>
      <c r="AF570" s="1">
        <v>140.02000000000001</v>
      </c>
      <c r="AG570" s="1">
        <v>123.72</v>
      </c>
      <c r="AI570" s="1">
        <v>7</v>
      </c>
      <c r="AN570" s="1">
        <v>3083.3</v>
      </c>
      <c r="AP570" s="1">
        <v>2930</v>
      </c>
      <c r="AQ570" s="1">
        <v>2598.7600000000002</v>
      </c>
      <c r="AR570" s="1">
        <v>2724.91</v>
      </c>
      <c r="AS570" s="1">
        <v>2785.46</v>
      </c>
      <c r="AT570" s="1">
        <v>3091.79</v>
      </c>
      <c r="AU570" s="1">
        <v>2735</v>
      </c>
      <c r="AX570" s="1">
        <v>124.25</v>
      </c>
      <c r="AY570" s="1">
        <v>2713.13</v>
      </c>
      <c r="AZ570" s="1">
        <v>2901.52</v>
      </c>
      <c r="BA570" s="1">
        <v>128.63</v>
      </c>
      <c r="BB570" s="1">
        <v>140.66999999999999</v>
      </c>
      <c r="BC570" s="1">
        <v>136.87</v>
      </c>
      <c r="BD570" s="1">
        <v>139.82</v>
      </c>
      <c r="BE570" s="1">
        <v>133.74</v>
      </c>
      <c r="BF570" s="1">
        <v>134.68</v>
      </c>
      <c r="BG570" s="1">
        <v>142.76</v>
      </c>
      <c r="BH570" s="1">
        <v>126.46</v>
      </c>
      <c r="BI570" s="1">
        <v>133.38</v>
      </c>
      <c r="BJ570" s="1">
        <v>140.69999999999999</v>
      </c>
      <c r="BK570" s="1">
        <v>117.58</v>
      </c>
      <c r="BL570" s="1">
        <v>117.73</v>
      </c>
      <c r="BN570" s="1">
        <v>115.81</v>
      </c>
    </row>
    <row r="571" spans="1:66" x14ac:dyDescent="0.3">
      <c r="A571" s="2"/>
      <c r="C571" s="14" t="str">
        <f t="shared" si="9"/>
        <v>202312</v>
      </c>
      <c r="D571" s="3">
        <v>45275</v>
      </c>
      <c r="E571" s="21">
        <v>2420.29</v>
      </c>
      <c r="F571" s="21">
        <v>2500.2800000000002</v>
      </c>
      <c r="G571" s="21">
        <v>2489.54</v>
      </c>
      <c r="H571" s="21">
        <v>2286.65</v>
      </c>
      <c r="I571" s="21">
        <v>2494.9899999999998</v>
      </c>
      <c r="J571" s="21">
        <v>2394.1799999999998</v>
      </c>
      <c r="K571" s="21">
        <v>2434.5700000000002</v>
      </c>
      <c r="L571" s="21">
        <v>2199.13</v>
      </c>
      <c r="M571" s="21"/>
      <c r="N571" s="21">
        <v>2212.16</v>
      </c>
      <c r="O571" s="21">
        <v>2177.94</v>
      </c>
      <c r="P571" s="21">
        <v>2477.66</v>
      </c>
      <c r="Q571" s="21">
        <v>5479.94</v>
      </c>
      <c r="R571" s="20">
        <v>121.08</v>
      </c>
      <c r="S571" s="20">
        <v>111.25</v>
      </c>
      <c r="T571" s="21">
        <v>130.07</v>
      </c>
      <c r="V571" s="1">
        <v>121.56</v>
      </c>
      <c r="W571" s="1">
        <v>129.78</v>
      </c>
      <c r="X571" s="1">
        <v>133.32</v>
      </c>
      <c r="Y571" s="1">
        <v>125.84</v>
      </c>
      <c r="Z571" s="1">
        <v>126.35</v>
      </c>
      <c r="AA571" s="1">
        <v>124.55</v>
      </c>
      <c r="AB571" s="1">
        <v>133.77000000000001</v>
      </c>
      <c r="AE571" s="1">
        <v>143.18</v>
      </c>
      <c r="AF571" s="1">
        <v>140.02000000000001</v>
      </c>
      <c r="AG571" s="1">
        <v>121.85</v>
      </c>
      <c r="AP571" s="1">
        <v>2930</v>
      </c>
      <c r="AQ571" s="1">
        <v>2598.7600000000002</v>
      </c>
      <c r="AR571" s="1">
        <v>2724.91</v>
      </c>
      <c r="AS571" s="1">
        <v>2785.46</v>
      </c>
      <c r="AT571" s="1">
        <v>3117.38</v>
      </c>
      <c r="AU571" s="1">
        <v>2735</v>
      </c>
      <c r="AW571" s="1">
        <v>2302.3000000000002</v>
      </c>
      <c r="AX571" s="1">
        <v>124.22</v>
      </c>
      <c r="AY571" s="1">
        <v>2705.99</v>
      </c>
      <c r="AZ571" s="1">
        <v>2901.52</v>
      </c>
      <c r="BA571" s="1">
        <v>129.77000000000001</v>
      </c>
      <c r="BB571" s="1">
        <v>140.02000000000001</v>
      </c>
      <c r="BC571" s="1">
        <v>137.31</v>
      </c>
      <c r="BD571" s="1">
        <v>139.21</v>
      </c>
      <c r="BE571" s="1">
        <v>135.80000000000001</v>
      </c>
      <c r="BF571" s="1">
        <v>136.52000000000001</v>
      </c>
      <c r="BG571" s="1">
        <v>143.16</v>
      </c>
      <c r="BH571" s="1">
        <v>127.08</v>
      </c>
      <c r="BI571" s="1">
        <v>133.96</v>
      </c>
      <c r="BJ571" s="1">
        <v>140.81</v>
      </c>
      <c r="BK571" s="1">
        <v>118.52</v>
      </c>
      <c r="BL571" s="1">
        <v>117.73</v>
      </c>
      <c r="BN571" s="1">
        <v>115.81</v>
      </c>
    </row>
    <row r="572" spans="1:66" x14ac:dyDescent="0.3">
      <c r="A572" s="2"/>
      <c r="C572" s="14" t="str">
        <f t="shared" si="9"/>
        <v>202312</v>
      </c>
      <c r="D572" s="3">
        <v>45274</v>
      </c>
      <c r="E572" s="21">
        <v>2426.6799999999998</v>
      </c>
      <c r="F572" s="21">
        <v>2499.31</v>
      </c>
      <c r="G572" s="21">
        <v>2509.21</v>
      </c>
      <c r="H572" s="21">
        <v>2343.54</v>
      </c>
      <c r="I572" s="21">
        <v>2490.06</v>
      </c>
      <c r="J572" s="21">
        <v>2422.6999999999998</v>
      </c>
      <c r="K572" s="21">
        <v>2443.41</v>
      </c>
      <c r="L572" s="21">
        <v>2203.27</v>
      </c>
      <c r="M572" s="21"/>
      <c r="N572" s="21">
        <v>2224.69</v>
      </c>
      <c r="O572" s="21">
        <v>2177.7199999999998</v>
      </c>
      <c r="P572" s="21">
        <v>2469.64</v>
      </c>
      <c r="Q572" s="21">
        <v>5479.41</v>
      </c>
      <c r="R572" s="20">
        <v>121.07</v>
      </c>
      <c r="S572" s="20">
        <v>111.25</v>
      </c>
      <c r="T572" s="21">
        <v>130.11000000000001</v>
      </c>
      <c r="V572" s="1">
        <v>121.26</v>
      </c>
      <c r="W572" s="1">
        <v>130.97</v>
      </c>
      <c r="X572" s="1">
        <v>134.06</v>
      </c>
      <c r="Y572" s="1">
        <v>127.06</v>
      </c>
      <c r="Z572" s="1">
        <v>128.9</v>
      </c>
      <c r="AA572" s="1">
        <v>124.66</v>
      </c>
      <c r="AB572" s="1">
        <v>136.47</v>
      </c>
      <c r="AE572" s="1">
        <v>144.54</v>
      </c>
      <c r="AF572" s="1">
        <v>139.97999999999999</v>
      </c>
      <c r="AG572" s="1">
        <v>121.78</v>
      </c>
      <c r="AP572" s="1">
        <v>2930</v>
      </c>
      <c r="AQ572" s="1">
        <v>2599.7199999999998</v>
      </c>
      <c r="AR572" s="1">
        <v>2725.92</v>
      </c>
      <c r="AS572" s="1">
        <v>2786.5</v>
      </c>
      <c r="AT572" s="1">
        <v>3163.41</v>
      </c>
      <c r="AU572" s="1">
        <v>2786.5</v>
      </c>
      <c r="AW572" s="1">
        <v>2298.04</v>
      </c>
      <c r="AX572" s="1">
        <v>124.19</v>
      </c>
      <c r="AY572" s="1">
        <v>2706.99</v>
      </c>
      <c r="AZ572" s="1">
        <v>2902.6</v>
      </c>
      <c r="BA572" s="1">
        <v>129.72999999999999</v>
      </c>
      <c r="BB572" s="1">
        <v>140.58000000000001</v>
      </c>
      <c r="BC572" s="1">
        <v>136.61000000000001</v>
      </c>
      <c r="BD572" s="1">
        <v>139.44</v>
      </c>
      <c r="BE572" s="1">
        <v>135.22999999999999</v>
      </c>
      <c r="BF572" s="1">
        <v>136.46</v>
      </c>
      <c r="BG572" s="1">
        <v>144.94</v>
      </c>
      <c r="BH572" s="1">
        <v>127.19</v>
      </c>
      <c r="BI572" s="1">
        <v>134.44999999999999</v>
      </c>
      <c r="BJ572" s="1">
        <v>141.13999999999999</v>
      </c>
      <c r="BK572" s="1">
        <v>121.34</v>
      </c>
      <c r="BL572" s="1">
        <v>120.55</v>
      </c>
      <c r="BN572" s="1">
        <v>117.77</v>
      </c>
    </row>
    <row r="573" spans="1:66" x14ac:dyDescent="0.3">
      <c r="A573" s="2"/>
      <c r="C573" s="14" t="str">
        <f t="shared" si="9"/>
        <v>202312</v>
      </c>
      <c r="D573" s="3">
        <v>45273</v>
      </c>
      <c r="E573" s="21">
        <v>2426.6799999999998</v>
      </c>
      <c r="F573" s="21">
        <v>2505.0100000000002</v>
      </c>
      <c r="G573" s="21">
        <v>2500.96</v>
      </c>
      <c r="H573" s="21">
        <v>2347.7399999999998</v>
      </c>
      <c r="I573" s="21">
        <v>2490.06</v>
      </c>
      <c r="J573" s="21">
        <v>2384.4499999999998</v>
      </c>
      <c r="K573" s="21">
        <v>2471.19</v>
      </c>
      <c r="L573" s="21">
        <v>2246.7399999999998</v>
      </c>
      <c r="M573" s="21"/>
      <c r="N573" s="21">
        <v>2224.5700000000002</v>
      </c>
      <c r="O573" s="21">
        <v>2253.17</v>
      </c>
      <c r="P573" s="21">
        <v>2503.7199999999998</v>
      </c>
      <c r="Q573" s="21">
        <v>5479.41</v>
      </c>
      <c r="R573" s="20">
        <v>121.07</v>
      </c>
      <c r="S573" s="20">
        <v>111.53</v>
      </c>
      <c r="T573" s="21">
        <v>130.41999999999999</v>
      </c>
      <c r="V573" s="1">
        <v>120.47</v>
      </c>
      <c r="W573" s="1">
        <v>131.72</v>
      </c>
      <c r="X573" s="1">
        <v>137.25</v>
      </c>
      <c r="Y573" s="1">
        <v>128.83000000000001</v>
      </c>
      <c r="Z573" s="1">
        <v>129.36000000000001</v>
      </c>
      <c r="AA573" s="1">
        <v>124.66</v>
      </c>
      <c r="AB573" s="1">
        <v>137.41</v>
      </c>
      <c r="AE573" s="1">
        <v>146.03</v>
      </c>
      <c r="AF573" s="1">
        <v>139.97999999999999</v>
      </c>
      <c r="AG573" s="1">
        <v>121.76</v>
      </c>
      <c r="AP573" s="1">
        <v>2953.93</v>
      </c>
      <c r="AR573" s="1">
        <v>2725.92</v>
      </c>
      <c r="AS573" s="1">
        <v>2786.5</v>
      </c>
      <c r="AT573" s="1">
        <v>3147.06</v>
      </c>
      <c r="AU573" s="1">
        <v>2810.48</v>
      </c>
      <c r="AW573" s="1">
        <v>2298.04</v>
      </c>
      <c r="AX573" s="1">
        <v>124.18</v>
      </c>
      <c r="AY573" s="1">
        <v>2706.99</v>
      </c>
      <c r="AZ573" s="1">
        <v>2902.6</v>
      </c>
      <c r="BA573" s="1">
        <v>130.16</v>
      </c>
      <c r="BB573" s="1">
        <v>141.99</v>
      </c>
      <c r="BC573" s="1">
        <v>138.83000000000001</v>
      </c>
      <c r="BD573" s="1">
        <v>139.33000000000001</v>
      </c>
      <c r="BE573" s="1">
        <v>135.21</v>
      </c>
      <c r="BF573" s="1">
        <v>136.43</v>
      </c>
      <c r="BG573" s="1">
        <v>145.71</v>
      </c>
      <c r="BH573" s="1">
        <v>127.69</v>
      </c>
      <c r="BI573" s="1">
        <v>134.94999999999999</v>
      </c>
      <c r="BJ573" s="1">
        <v>142.63</v>
      </c>
      <c r="BK573" s="1">
        <v>121.34</v>
      </c>
      <c r="BL573" s="1">
        <v>121.55</v>
      </c>
      <c r="BN573" s="1">
        <v>117.77</v>
      </c>
    </row>
    <row r="574" spans="1:66" x14ac:dyDescent="0.3">
      <c r="A574" s="2"/>
      <c r="C574" s="14" t="str">
        <f t="shared" si="9"/>
        <v>202312</v>
      </c>
      <c r="D574" s="3">
        <v>45272</v>
      </c>
      <c r="E574" s="21">
        <v>2456.5300000000002</v>
      </c>
      <c r="F574" s="21">
        <v>2505.0100000000002</v>
      </c>
      <c r="G574" s="21">
        <v>2500.96</v>
      </c>
      <c r="H574" s="21">
        <v>2308.58</v>
      </c>
      <c r="I574" s="21">
        <v>2490.06</v>
      </c>
      <c r="J574" s="21">
        <v>2383.37</v>
      </c>
      <c r="K574" s="21">
        <v>2497.4699999999998</v>
      </c>
      <c r="L574" s="21">
        <v>2316.71</v>
      </c>
      <c r="M574" s="21"/>
      <c r="N574" s="21">
        <v>2214.3000000000002</v>
      </c>
      <c r="O574" s="21">
        <v>2341.0700000000002</v>
      </c>
      <c r="P574" s="21">
        <v>2503.7199999999998</v>
      </c>
      <c r="Q574" s="21">
        <v>5479.41</v>
      </c>
      <c r="R574" s="20">
        <v>122.07</v>
      </c>
      <c r="S574" s="20">
        <v>110.75</v>
      </c>
      <c r="T574" s="21">
        <v>130.05000000000001</v>
      </c>
      <c r="V574" s="1">
        <v>120.68</v>
      </c>
      <c r="W574" s="1">
        <v>130.22</v>
      </c>
      <c r="X574" s="1">
        <v>138.25</v>
      </c>
      <c r="Y574" s="1">
        <v>128.69999999999999</v>
      </c>
      <c r="Z574" s="1">
        <v>128.58000000000001</v>
      </c>
      <c r="AA574" s="1">
        <v>126.22</v>
      </c>
      <c r="AB574" s="1">
        <v>137.03</v>
      </c>
      <c r="AE574" s="1">
        <v>146.78</v>
      </c>
      <c r="AF574" s="1">
        <v>135.63999999999999</v>
      </c>
      <c r="AG574" s="1">
        <v>119.11</v>
      </c>
      <c r="AI574" s="1">
        <v>7</v>
      </c>
      <c r="AN574" s="1">
        <v>3249.06</v>
      </c>
      <c r="AP574" s="1">
        <v>2922.15</v>
      </c>
      <c r="AQ574" s="1">
        <v>2887.46</v>
      </c>
      <c r="AT574" s="1">
        <v>3174.94</v>
      </c>
      <c r="AU574" s="1">
        <v>2810.48</v>
      </c>
      <c r="AW574" s="1">
        <v>2298.96</v>
      </c>
      <c r="AX574" s="1">
        <v>125.96</v>
      </c>
      <c r="AY574" s="1">
        <v>2706.99</v>
      </c>
      <c r="BA574" s="1">
        <v>129.51</v>
      </c>
      <c r="BB574" s="1">
        <v>140.74</v>
      </c>
      <c r="BC574" s="1">
        <v>138.43</v>
      </c>
      <c r="BD574" s="1">
        <v>135.1</v>
      </c>
      <c r="BE574" s="1">
        <v>134.19999999999999</v>
      </c>
      <c r="BF574" s="1">
        <v>136.4</v>
      </c>
      <c r="BG574" s="1">
        <v>146.19</v>
      </c>
      <c r="BH574" s="1">
        <v>128.76</v>
      </c>
      <c r="BI574" s="1">
        <v>134.78</v>
      </c>
      <c r="BJ574" s="1">
        <v>142.5</v>
      </c>
      <c r="BK574" s="1">
        <v>120.68</v>
      </c>
      <c r="BL574" s="1">
        <v>120.95</v>
      </c>
      <c r="BN574" s="1">
        <v>117.77</v>
      </c>
    </row>
    <row r="575" spans="1:66" x14ac:dyDescent="0.3">
      <c r="A575" s="2"/>
      <c r="C575" s="14" t="str">
        <f t="shared" si="9"/>
        <v>202312</v>
      </c>
      <c r="D575" s="3">
        <v>45271</v>
      </c>
      <c r="E575" s="21">
        <v>2459.35</v>
      </c>
      <c r="F575" s="21">
        <v>2507.56</v>
      </c>
      <c r="G575" s="21">
        <v>2508.38</v>
      </c>
      <c r="H575" s="21">
        <v>2308.58</v>
      </c>
      <c r="I575" s="21">
        <v>2490.06</v>
      </c>
      <c r="J575" s="21">
        <v>2367.92</v>
      </c>
      <c r="K575" s="21">
        <v>2483.65</v>
      </c>
      <c r="L575" s="21">
        <v>2316.71</v>
      </c>
      <c r="M575" s="21"/>
      <c r="N575" s="21">
        <v>2206.9899999999998</v>
      </c>
      <c r="O575" s="21">
        <v>2260.73</v>
      </c>
      <c r="P575" s="21">
        <v>2503.7199999999998</v>
      </c>
      <c r="Q575" s="21">
        <v>5479.41</v>
      </c>
      <c r="R575" s="20">
        <v>121.41</v>
      </c>
      <c r="S575" s="20">
        <v>110.65</v>
      </c>
      <c r="T575" s="21">
        <v>129.91</v>
      </c>
      <c r="V575" s="1">
        <v>119.72</v>
      </c>
      <c r="W575" s="1">
        <v>129.37</v>
      </c>
      <c r="X575" s="1">
        <v>135.93</v>
      </c>
      <c r="Y575" s="1">
        <v>127.06</v>
      </c>
      <c r="Z575" s="1">
        <v>126.36</v>
      </c>
      <c r="AA575" s="1">
        <v>124.32</v>
      </c>
      <c r="AB575" s="1">
        <v>136.66999999999999</v>
      </c>
      <c r="AE575" s="1">
        <v>145.29</v>
      </c>
      <c r="AF575" s="1">
        <v>135.63999999999999</v>
      </c>
      <c r="AG575" s="1">
        <v>120.16</v>
      </c>
      <c r="AJ575" s="1">
        <v>30</v>
      </c>
      <c r="AN575" s="1">
        <v>3223.99</v>
      </c>
      <c r="AP575" s="1">
        <v>2922.15</v>
      </c>
      <c r="AQ575" s="1">
        <v>2887.46</v>
      </c>
      <c r="AR575" s="1">
        <v>2700</v>
      </c>
      <c r="AS575" s="1">
        <v>2725.92</v>
      </c>
      <c r="AT575" s="1">
        <v>3142.89</v>
      </c>
      <c r="AU575" s="1">
        <v>2826.88</v>
      </c>
      <c r="AW575" s="1">
        <v>2298.77</v>
      </c>
      <c r="AX575" s="1">
        <v>124.75</v>
      </c>
      <c r="AY575" s="1">
        <v>2728.81</v>
      </c>
      <c r="BA575" s="1">
        <v>128.44</v>
      </c>
      <c r="BB575" s="1">
        <v>141.68</v>
      </c>
      <c r="BC575" s="1">
        <v>138.27000000000001</v>
      </c>
      <c r="BD575" s="1">
        <v>134.66999999999999</v>
      </c>
      <c r="BE575" s="1">
        <v>133.02000000000001</v>
      </c>
      <c r="BF575" s="1">
        <v>136.05000000000001</v>
      </c>
      <c r="BG575" s="1">
        <v>146.19</v>
      </c>
      <c r="BH575" s="1">
        <v>127.54</v>
      </c>
      <c r="BI575" s="1">
        <v>134.94999999999999</v>
      </c>
      <c r="BJ575" s="1">
        <v>141.76</v>
      </c>
      <c r="BL575" s="1">
        <v>118.97</v>
      </c>
      <c r="BN575" s="1">
        <v>116.44</v>
      </c>
    </row>
    <row r="576" spans="1:66" x14ac:dyDescent="0.3">
      <c r="A576" s="2"/>
      <c r="C576" s="14" t="str">
        <f t="shared" si="9"/>
        <v>202312</v>
      </c>
      <c r="D576" s="3">
        <v>45268</v>
      </c>
      <c r="E576" s="21">
        <v>2457.9</v>
      </c>
      <c r="F576" s="21">
        <v>2528.42</v>
      </c>
      <c r="G576" s="21">
        <v>2520.77</v>
      </c>
      <c r="H576" s="21">
        <v>2295.6799999999998</v>
      </c>
      <c r="I576" s="21">
        <v>2486.1</v>
      </c>
      <c r="J576" s="21">
        <v>2364.4899999999998</v>
      </c>
      <c r="K576" s="21">
        <v>2483.65</v>
      </c>
      <c r="L576" s="21"/>
      <c r="M576" s="21"/>
      <c r="N576" s="21">
        <v>2182.3200000000002</v>
      </c>
      <c r="O576" s="21">
        <v>2294.8200000000002</v>
      </c>
      <c r="P576" s="21">
        <v>2503.7199999999998</v>
      </c>
      <c r="Q576" s="21">
        <v>5491.91</v>
      </c>
      <c r="R576" s="20">
        <v>120.08</v>
      </c>
      <c r="S576" s="20">
        <v>111.04</v>
      </c>
      <c r="T576" s="21">
        <v>129.03</v>
      </c>
      <c r="V576" s="1">
        <v>120.05</v>
      </c>
      <c r="W576" s="1">
        <v>128.97</v>
      </c>
      <c r="X576" s="1">
        <v>135.31</v>
      </c>
      <c r="Y576" s="1">
        <v>126.71</v>
      </c>
      <c r="Z576" s="1">
        <v>126.25</v>
      </c>
      <c r="AA576" s="1">
        <v>125.27</v>
      </c>
      <c r="AB576" s="1">
        <v>135.91</v>
      </c>
      <c r="AE576" s="1">
        <v>144.54</v>
      </c>
      <c r="AF576" s="1">
        <v>135.63999999999999</v>
      </c>
      <c r="AG576" s="1">
        <v>116.67</v>
      </c>
      <c r="AI576" s="1">
        <v>7</v>
      </c>
      <c r="AJ576" s="1">
        <v>30</v>
      </c>
      <c r="AN576" s="1">
        <v>3144.3</v>
      </c>
      <c r="AP576" s="1">
        <v>2922.15</v>
      </c>
      <c r="AQ576" s="1">
        <v>2887.46</v>
      </c>
      <c r="AR576" s="1">
        <v>2700</v>
      </c>
      <c r="AS576" s="1">
        <v>2725.92</v>
      </c>
      <c r="AT576" s="1">
        <v>3049</v>
      </c>
      <c r="AU576" s="1">
        <v>2826.88</v>
      </c>
      <c r="AW576" s="1">
        <v>2332.3000000000002</v>
      </c>
      <c r="AX576" s="1">
        <v>123.75</v>
      </c>
      <c r="AY576" s="1">
        <v>2720.88</v>
      </c>
      <c r="BA576" s="1">
        <v>128.86000000000001</v>
      </c>
      <c r="BB576" s="1">
        <v>140.33000000000001</v>
      </c>
      <c r="BC576" s="1">
        <v>137.43</v>
      </c>
      <c r="BD576" s="1">
        <v>135.22</v>
      </c>
      <c r="BE576" s="1">
        <v>131.69</v>
      </c>
      <c r="BF576" s="1">
        <v>128.07</v>
      </c>
      <c r="BG576" s="1">
        <v>146.04</v>
      </c>
      <c r="BI576" s="1">
        <v>134.94999999999999</v>
      </c>
      <c r="BJ576" s="1">
        <v>141.88999999999999</v>
      </c>
      <c r="BL576" s="1">
        <v>118.47</v>
      </c>
      <c r="BN576" s="1">
        <v>116.44</v>
      </c>
    </row>
    <row r="577" spans="1:66" x14ac:dyDescent="0.3">
      <c r="A577" s="2"/>
      <c r="C577" s="14" t="str">
        <f t="shared" si="9"/>
        <v>202312</v>
      </c>
      <c r="D577" s="3">
        <v>45267</v>
      </c>
      <c r="E577" s="21">
        <v>2457.9</v>
      </c>
      <c r="F577" s="21">
        <v>2524.0700000000002</v>
      </c>
      <c r="G577" s="21">
        <v>2520.77</v>
      </c>
      <c r="H577" s="21">
        <v>2307.61</v>
      </c>
      <c r="I577" s="21">
        <v>2486.1</v>
      </c>
      <c r="J577" s="21">
        <v>2388.84</v>
      </c>
      <c r="K577" s="21">
        <v>2483.65</v>
      </c>
      <c r="L577" s="21"/>
      <c r="M577" s="21"/>
      <c r="N577" s="21">
        <v>2183.4699999999998</v>
      </c>
      <c r="O577" s="21">
        <v>2294.8200000000002</v>
      </c>
      <c r="P577" s="21">
        <v>2503.7199999999998</v>
      </c>
      <c r="Q577" s="21">
        <v>5449.41</v>
      </c>
      <c r="R577" s="20">
        <v>120.08</v>
      </c>
      <c r="S577" s="20">
        <v>111.04</v>
      </c>
      <c r="T577" s="21">
        <v>128.71</v>
      </c>
      <c r="V577" s="1">
        <v>120.11</v>
      </c>
      <c r="W577" s="1">
        <v>129.57</v>
      </c>
      <c r="X577" s="1">
        <v>134.31</v>
      </c>
      <c r="Y577" s="1">
        <v>125.77</v>
      </c>
      <c r="Z577" s="1">
        <v>125.95</v>
      </c>
      <c r="AA577" s="1">
        <v>125.27</v>
      </c>
      <c r="AB577" s="1">
        <v>136.41</v>
      </c>
      <c r="AE577" s="1">
        <v>143.79</v>
      </c>
      <c r="AF577" s="1">
        <v>135.24</v>
      </c>
      <c r="AG577" s="1">
        <v>120.22</v>
      </c>
      <c r="AI577" s="1">
        <v>7</v>
      </c>
      <c r="AJ577" s="1">
        <v>30</v>
      </c>
      <c r="AN577" s="1">
        <v>3232</v>
      </c>
      <c r="AP577" s="1">
        <v>2922.15</v>
      </c>
      <c r="AQ577" s="1">
        <v>2887.46</v>
      </c>
      <c r="AR577" s="1">
        <v>2700</v>
      </c>
      <c r="AS577" s="1">
        <v>2719.19</v>
      </c>
      <c r="AT577" s="1">
        <v>3049</v>
      </c>
      <c r="AU577" s="1">
        <v>2756.21</v>
      </c>
      <c r="AW577" s="1">
        <v>2302.02</v>
      </c>
      <c r="AX577" s="1">
        <v>123.74</v>
      </c>
      <c r="AY577" s="1">
        <v>2746.12</v>
      </c>
      <c r="BA577" s="1">
        <v>129.34</v>
      </c>
      <c r="BB577" s="1">
        <v>138.91</v>
      </c>
      <c r="BC577" s="1">
        <v>135.91999999999999</v>
      </c>
      <c r="BD577" s="1">
        <v>134.41999999999999</v>
      </c>
      <c r="BE577" s="1">
        <v>131.91999999999999</v>
      </c>
      <c r="BF577" s="1">
        <v>133.4</v>
      </c>
      <c r="BG577" s="1">
        <v>146.19999999999999</v>
      </c>
      <c r="BI577" s="1">
        <v>134.19999999999999</v>
      </c>
      <c r="BJ577" s="1">
        <v>141.63999999999999</v>
      </c>
      <c r="BL577" s="1">
        <v>117.72</v>
      </c>
      <c r="BN577" s="1">
        <v>116.56</v>
      </c>
    </row>
    <row r="578" spans="1:66" x14ac:dyDescent="0.3">
      <c r="A578" s="2"/>
      <c r="C578" s="14" t="str">
        <f t="shared" si="9"/>
        <v>202312</v>
      </c>
      <c r="D578" s="3">
        <v>45266</v>
      </c>
      <c r="E578" s="21">
        <v>2463.59</v>
      </c>
      <c r="F578" s="21">
        <v>2525.7199999999998</v>
      </c>
      <c r="G578" s="21">
        <v>2545.5300000000002</v>
      </c>
      <c r="H578" s="21">
        <v>2313.9299999999998</v>
      </c>
      <c r="I578" s="21">
        <v>2486.1</v>
      </c>
      <c r="J578" s="21">
        <v>2426.4899999999998</v>
      </c>
      <c r="K578" s="21">
        <v>2483.65</v>
      </c>
      <c r="L578" s="21"/>
      <c r="M578" s="21"/>
      <c r="N578" s="21">
        <v>2166.1999999999998</v>
      </c>
      <c r="O578" s="21">
        <v>2308.79</v>
      </c>
      <c r="P578" s="21">
        <v>2503.7199999999998</v>
      </c>
      <c r="Q578" s="21">
        <v>5419.34</v>
      </c>
      <c r="R578" s="20">
        <v>120.74</v>
      </c>
      <c r="S578" s="20">
        <v>109.93</v>
      </c>
      <c r="T578" s="21">
        <v>128.66</v>
      </c>
      <c r="V578" s="1">
        <v>119.79</v>
      </c>
      <c r="W578" s="1">
        <v>130.16999999999999</v>
      </c>
      <c r="X578" s="1">
        <v>136.80000000000001</v>
      </c>
      <c r="Y578" s="1">
        <v>126.65</v>
      </c>
      <c r="Z578" s="1">
        <v>127.56</v>
      </c>
      <c r="AA578" s="1">
        <v>123.07</v>
      </c>
      <c r="AB578" s="1">
        <v>137.03</v>
      </c>
      <c r="AE578" s="1">
        <v>144.79</v>
      </c>
      <c r="AF578" s="1">
        <v>134.77000000000001</v>
      </c>
      <c r="AG578" s="1">
        <v>120.38</v>
      </c>
      <c r="AI578" s="1">
        <v>7</v>
      </c>
      <c r="AJ578" s="1">
        <v>30</v>
      </c>
      <c r="AN578" s="1">
        <v>3232</v>
      </c>
      <c r="AP578" s="1">
        <v>2925</v>
      </c>
      <c r="AQ578" s="1">
        <v>2887.46</v>
      </c>
      <c r="AR578" s="1">
        <v>2700</v>
      </c>
      <c r="AS578" s="1">
        <v>2715.83</v>
      </c>
      <c r="AU578" s="1">
        <v>2685.54</v>
      </c>
      <c r="AW578" s="1">
        <v>2302.02</v>
      </c>
      <c r="AX578" s="1">
        <v>123.53</v>
      </c>
      <c r="AY578" s="1">
        <v>2774.38</v>
      </c>
      <c r="BA578" s="1">
        <v>128.65</v>
      </c>
      <c r="BB578" s="1">
        <v>138.58000000000001</v>
      </c>
      <c r="BC578" s="1">
        <v>136.82</v>
      </c>
      <c r="BD578" s="1">
        <v>134.94999999999999</v>
      </c>
      <c r="BE578" s="1">
        <v>132.03</v>
      </c>
      <c r="BF578" s="1">
        <v>133.38</v>
      </c>
      <c r="BG578" s="1">
        <v>146.19999999999999</v>
      </c>
      <c r="BI578" s="1">
        <v>134.12</v>
      </c>
      <c r="BJ578" s="1">
        <v>141.63999999999999</v>
      </c>
      <c r="BL578" s="1">
        <v>119.22</v>
      </c>
      <c r="BN578" s="1">
        <v>116.56</v>
      </c>
    </row>
    <row r="579" spans="1:66" x14ac:dyDescent="0.3">
      <c r="A579" s="2"/>
      <c r="C579" s="14" t="str">
        <f t="shared" si="9"/>
        <v>202312</v>
      </c>
      <c r="D579" s="3">
        <v>45265</v>
      </c>
      <c r="E579" s="21">
        <v>2467.84</v>
      </c>
      <c r="F579" s="21">
        <v>2536.4499999999998</v>
      </c>
      <c r="G579" s="21">
        <v>2545.5300000000002</v>
      </c>
      <c r="H579" s="21">
        <v>2344.7399999999998</v>
      </c>
      <c r="I579" s="21">
        <v>2496</v>
      </c>
      <c r="J579" s="21">
        <v>2426.4899999999998</v>
      </c>
      <c r="K579" s="21">
        <v>2483.65</v>
      </c>
      <c r="L579" s="21"/>
      <c r="M579" s="21"/>
      <c r="N579" s="21">
        <v>2244.41</v>
      </c>
      <c r="O579" s="21">
        <v>2379.0100000000002</v>
      </c>
      <c r="P579" s="21">
        <v>2503.7199999999998</v>
      </c>
      <c r="Q579" s="21">
        <v>5493.34</v>
      </c>
      <c r="R579" s="20">
        <v>121.74</v>
      </c>
      <c r="S579" s="20">
        <v>109.93</v>
      </c>
      <c r="T579" s="21">
        <v>129.47999999999999</v>
      </c>
      <c r="V579" s="1">
        <v>120.07</v>
      </c>
      <c r="W579" s="1">
        <v>131.53</v>
      </c>
      <c r="X579" s="1">
        <v>136.80000000000001</v>
      </c>
      <c r="Y579" s="1">
        <v>128.32</v>
      </c>
      <c r="Z579" s="1">
        <v>129.01</v>
      </c>
      <c r="AA579" s="1">
        <v>123.87</v>
      </c>
      <c r="AB579" s="1">
        <v>137.69999999999999</v>
      </c>
      <c r="AE579" s="1">
        <v>144.79</v>
      </c>
      <c r="AF579" s="1">
        <v>135.33000000000001</v>
      </c>
      <c r="AG579" s="1">
        <v>120.71</v>
      </c>
      <c r="AI579" s="1">
        <v>7</v>
      </c>
      <c r="AJ579" s="1">
        <v>30</v>
      </c>
      <c r="AN579" s="1">
        <v>3240</v>
      </c>
      <c r="AR579" s="1">
        <v>2700</v>
      </c>
      <c r="AS579" s="1">
        <v>2682.85</v>
      </c>
      <c r="AU579" s="1">
        <v>2685.54</v>
      </c>
      <c r="AW579" s="1">
        <v>2296.84</v>
      </c>
      <c r="AX579" s="1">
        <v>124.02</v>
      </c>
      <c r="AY579" s="1">
        <v>2800.48</v>
      </c>
      <c r="BA579" s="1">
        <v>127.9</v>
      </c>
      <c r="BB579" s="1">
        <v>139.49</v>
      </c>
      <c r="BC579" s="1">
        <v>137.49</v>
      </c>
      <c r="BD579" s="1">
        <v>135.57</v>
      </c>
      <c r="BE579" s="1">
        <v>133.01</v>
      </c>
      <c r="BF579" s="1">
        <v>134.36000000000001</v>
      </c>
      <c r="BG579" s="1">
        <v>148.54</v>
      </c>
      <c r="BH579" s="1">
        <v>122.56</v>
      </c>
      <c r="BI579" s="1">
        <v>134.12</v>
      </c>
      <c r="BJ579" s="1">
        <v>141.63999999999999</v>
      </c>
      <c r="BL579" s="1">
        <v>120.71</v>
      </c>
      <c r="BN579" s="1">
        <v>117.55</v>
      </c>
    </row>
    <row r="580" spans="1:66" x14ac:dyDescent="0.3">
      <c r="A580" s="2"/>
      <c r="C580" s="14" t="str">
        <f t="shared" si="9"/>
        <v>202312</v>
      </c>
      <c r="D580" s="3">
        <v>45264</v>
      </c>
      <c r="E580" s="21">
        <v>2538.6999999999998</v>
      </c>
      <c r="F580" s="21">
        <v>2540.5700000000002</v>
      </c>
      <c r="G580" s="21">
        <v>2570.29</v>
      </c>
      <c r="H580" s="21">
        <v>2424.14</v>
      </c>
      <c r="I580" s="21">
        <v>2496</v>
      </c>
      <c r="J580" s="21">
        <v>2514.8200000000002</v>
      </c>
      <c r="K580" s="21">
        <v>2483.65</v>
      </c>
      <c r="L580" s="21"/>
      <c r="M580" s="21"/>
      <c r="N580" s="21">
        <v>2334.67</v>
      </c>
      <c r="O580" s="21">
        <v>2288.17</v>
      </c>
      <c r="P580" s="21">
        <v>2503.7199999999998</v>
      </c>
      <c r="Q580" s="21">
        <v>5493.34</v>
      </c>
      <c r="R580" s="20">
        <v>121.74</v>
      </c>
      <c r="S580" s="20">
        <v>111.73</v>
      </c>
      <c r="T580" s="21">
        <v>129.08000000000001</v>
      </c>
      <c r="V580" s="1">
        <v>119.64</v>
      </c>
      <c r="W580" s="1">
        <v>132.08000000000001</v>
      </c>
      <c r="X580" s="1">
        <v>136.80000000000001</v>
      </c>
      <c r="Y580" s="1">
        <v>127.71</v>
      </c>
      <c r="Z580" s="1">
        <v>128.84</v>
      </c>
      <c r="AA580" s="1">
        <v>124</v>
      </c>
      <c r="AB580" s="1">
        <v>137.91999999999999</v>
      </c>
      <c r="AE580" s="1">
        <v>145.54</v>
      </c>
      <c r="AF580" s="1">
        <v>135.24</v>
      </c>
      <c r="AG580" s="1">
        <v>121.59</v>
      </c>
      <c r="AN580" s="1">
        <v>3407.4</v>
      </c>
      <c r="AP580" s="1">
        <v>2820</v>
      </c>
      <c r="AQ580" s="1">
        <v>2879.89</v>
      </c>
      <c r="AR580" s="1">
        <v>2725.92</v>
      </c>
      <c r="AS580" s="1">
        <v>2682.85</v>
      </c>
      <c r="AU580" s="1">
        <v>2588.37</v>
      </c>
      <c r="AX580" s="1">
        <v>125.01</v>
      </c>
      <c r="AY580" s="1">
        <v>2849.32</v>
      </c>
      <c r="AZ580" s="1">
        <v>2902.6</v>
      </c>
      <c r="BA580" s="1">
        <v>124.04</v>
      </c>
      <c r="BB580" s="1">
        <v>139.88</v>
      </c>
      <c r="BC580" s="1">
        <v>135.08000000000001</v>
      </c>
      <c r="BD580" s="1">
        <v>133.56</v>
      </c>
      <c r="BE580" s="1">
        <v>133.12</v>
      </c>
      <c r="BF580" s="1">
        <v>134.34</v>
      </c>
      <c r="BG580" s="1">
        <v>148.82</v>
      </c>
      <c r="BH580" s="1">
        <v>123.65</v>
      </c>
      <c r="BI580" s="1">
        <v>134.12</v>
      </c>
      <c r="BJ580" s="1">
        <v>140.9</v>
      </c>
      <c r="BL580" s="1">
        <v>121.46</v>
      </c>
      <c r="BN580" s="1">
        <v>117.43</v>
      </c>
    </row>
    <row r="581" spans="1:66" x14ac:dyDescent="0.3">
      <c r="A581" s="2"/>
      <c r="C581" s="14" t="str">
        <f t="shared" si="9"/>
        <v>202312</v>
      </c>
      <c r="D581" s="3">
        <v>45261</v>
      </c>
      <c r="E581" s="21">
        <v>2541.3000000000002</v>
      </c>
      <c r="F581" s="21">
        <v>2557.08</v>
      </c>
      <c r="G581" s="21">
        <v>2582.67</v>
      </c>
      <c r="H581" s="21">
        <v>2486.4899999999998</v>
      </c>
      <c r="I581" s="21">
        <v>2505.91</v>
      </c>
      <c r="J581" s="21">
        <v>2504.0300000000002</v>
      </c>
      <c r="K581" s="21">
        <v>2483.65</v>
      </c>
      <c r="L581" s="21"/>
      <c r="M581" s="21"/>
      <c r="N581" s="21">
        <v>2380.48</v>
      </c>
      <c r="O581" s="21">
        <v>2299.54</v>
      </c>
      <c r="P581" s="21">
        <v>2503.7199999999998</v>
      </c>
      <c r="Q581" s="21">
        <v>5503.24</v>
      </c>
      <c r="R581" s="20">
        <v>122.41</v>
      </c>
      <c r="S581" s="20">
        <v>111.53</v>
      </c>
      <c r="T581" s="21">
        <v>128.6</v>
      </c>
      <c r="V581" s="1">
        <v>119.32</v>
      </c>
      <c r="W581" s="1">
        <v>132.19</v>
      </c>
      <c r="X581" s="1">
        <v>139.25</v>
      </c>
      <c r="Y581" s="1">
        <v>128.22999999999999</v>
      </c>
      <c r="Z581" s="1">
        <v>128.31</v>
      </c>
      <c r="AA581" s="1">
        <v>124.26</v>
      </c>
      <c r="AB581" s="1">
        <v>139.58000000000001</v>
      </c>
      <c r="AE581" s="1">
        <v>148.08000000000001</v>
      </c>
      <c r="AF581" s="1">
        <v>135.24</v>
      </c>
      <c r="AG581" s="1">
        <v>121.52</v>
      </c>
      <c r="AN581" s="1">
        <v>3407.4</v>
      </c>
      <c r="AP581" s="1">
        <v>2820</v>
      </c>
      <c r="AQ581" s="1">
        <v>2879.89</v>
      </c>
      <c r="AR581" s="1">
        <v>2725.92</v>
      </c>
      <c r="AS581" s="1">
        <v>2682.85</v>
      </c>
      <c r="AT581" s="1">
        <v>2935.92</v>
      </c>
      <c r="AU581" s="1">
        <v>2588.37</v>
      </c>
      <c r="AX581" s="1">
        <v>125.11</v>
      </c>
      <c r="AY581" s="1">
        <v>2887.46</v>
      </c>
      <c r="AZ581" s="1">
        <v>2902.6</v>
      </c>
      <c r="BA581" s="1">
        <v>124.69</v>
      </c>
      <c r="BB581" s="1">
        <v>140.82</v>
      </c>
      <c r="BC581" s="1">
        <v>137.57</v>
      </c>
      <c r="BD581" s="1">
        <v>133.82</v>
      </c>
      <c r="BE581" s="1">
        <v>136.72999999999999</v>
      </c>
      <c r="BF581" s="1">
        <v>135.27000000000001</v>
      </c>
      <c r="BG581" s="1">
        <v>149.41</v>
      </c>
      <c r="BH581" s="1">
        <v>125.09</v>
      </c>
      <c r="BI581" s="1">
        <v>134.62</v>
      </c>
      <c r="BJ581" s="1">
        <v>141.13999999999999</v>
      </c>
      <c r="BL581" s="1">
        <v>121.71</v>
      </c>
      <c r="BN581" s="1">
        <v>117.43</v>
      </c>
    </row>
    <row r="582" spans="1:66" x14ac:dyDescent="0.3">
      <c r="A582" s="2"/>
      <c r="C582" s="14" t="str">
        <f t="shared" ref="C582:C645" si="10">YEAR(D582)&amp;MONTH(D582)</f>
        <v>202311</v>
      </c>
      <c r="D582" s="3">
        <v>45260</v>
      </c>
      <c r="E582" s="21">
        <v>2572.46</v>
      </c>
      <c r="F582" s="21">
        <v>2555.9299999999998</v>
      </c>
      <c r="G582" s="21">
        <v>2581.5100000000002</v>
      </c>
      <c r="H582" s="21">
        <v>2503.7199999999998</v>
      </c>
      <c r="I582" s="21">
        <v>2504.7800000000002</v>
      </c>
      <c r="J582" s="21">
        <v>2484.16</v>
      </c>
      <c r="K582" s="21">
        <v>2483</v>
      </c>
      <c r="L582" s="21"/>
      <c r="M582" s="21">
        <v>2286.84</v>
      </c>
      <c r="N582" s="21">
        <v>2377.71</v>
      </c>
      <c r="O582" s="21">
        <v>2369.35</v>
      </c>
      <c r="P582" s="21">
        <v>2509.0700000000002</v>
      </c>
      <c r="Q582" s="21">
        <v>5602.27</v>
      </c>
      <c r="R582" s="20">
        <v>123.81</v>
      </c>
      <c r="S582" s="20">
        <v>111.73</v>
      </c>
      <c r="T582" s="21">
        <v>129.25</v>
      </c>
      <c r="V582" s="1">
        <v>119.31</v>
      </c>
      <c r="W582" s="1">
        <v>131.83000000000001</v>
      </c>
      <c r="X582" s="1">
        <v>139.24</v>
      </c>
      <c r="Y582" s="1">
        <v>128.38</v>
      </c>
      <c r="Z582" s="1">
        <v>129.25</v>
      </c>
      <c r="AA582" s="1">
        <v>125.08</v>
      </c>
      <c r="AB582" s="1">
        <v>139.68</v>
      </c>
      <c r="AE582" s="1">
        <v>148.29</v>
      </c>
      <c r="AF582" s="1">
        <v>135.56</v>
      </c>
      <c r="AG582" s="1">
        <v>122.4</v>
      </c>
      <c r="AP582" s="1">
        <v>2820</v>
      </c>
      <c r="AQ582" s="1">
        <v>2919.08</v>
      </c>
      <c r="AR582" s="1">
        <v>2727.16</v>
      </c>
      <c r="AS582" s="1">
        <v>2618.08</v>
      </c>
      <c r="AT582" s="1">
        <v>2763.53</v>
      </c>
      <c r="AU582" s="1">
        <v>2589.54</v>
      </c>
      <c r="AX582" s="1">
        <v>125.06</v>
      </c>
      <c r="AY582" s="1">
        <v>2861.84</v>
      </c>
      <c r="AZ582" s="1">
        <v>2903.93</v>
      </c>
      <c r="BA582" s="1">
        <v>125.98</v>
      </c>
      <c r="BB582" s="1">
        <v>141.72999999999999</v>
      </c>
      <c r="BC582" s="1">
        <v>138.68</v>
      </c>
      <c r="BD582" s="1">
        <v>135.24</v>
      </c>
      <c r="BE582" s="1">
        <v>134.51</v>
      </c>
      <c r="BF582" s="1">
        <v>136.22</v>
      </c>
      <c r="BG582" s="1">
        <v>149.37</v>
      </c>
      <c r="BH582" s="1">
        <v>128.91999999999999</v>
      </c>
      <c r="BI582" s="1">
        <v>134.93</v>
      </c>
      <c r="BL582" s="1">
        <v>122.2</v>
      </c>
      <c r="BN582" s="1">
        <v>118.06</v>
      </c>
    </row>
    <row r="583" spans="1:66" x14ac:dyDescent="0.3">
      <c r="A583" s="2"/>
      <c r="C583" s="14" t="str">
        <f t="shared" si="10"/>
        <v>202311</v>
      </c>
      <c r="D583" s="3">
        <v>45259</v>
      </c>
      <c r="E583" s="21">
        <v>2570.15</v>
      </c>
      <c r="F583" s="21">
        <v>2524.58</v>
      </c>
      <c r="G583" s="21">
        <v>2583.98</v>
      </c>
      <c r="H583" s="21">
        <v>2492.2199999999998</v>
      </c>
      <c r="I583" s="21">
        <v>2504.7800000000002</v>
      </c>
      <c r="J583" s="21">
        <v>2484.16</v>
      </c>
      <c r="K583" s="21">
        <v>2483</v>
      </c>
      <c r="L583" s="21"/>
      <c r="M583" s="21"/>
      <c r="N583" s="21">
        <v>2371.37</v>
      </c>
      <c r="O583" s="21">
        <v>2267.7600000000002</v>
      </c>
      <c r="P583" s="21">
        <v>2502.63</v>
      </c>
      <c r="Q583" s="21">
        <v>5602.27</v>
      </c>
      <c r="R583" s="20">
        <v>123.89</v>
      </c>
      <c r="S583" s="20">
        <v>111.95</v>
      </c>
      <c r="T583" s="21">
        <v>129.03</v>
      </c>
      <c r="V583" s="1">
        <v>119.3</v>
      </c>
      <c r="W583" s="1">
        <v>130.4</v>
      </c>
      <c r="X583" s="1">
        <v>139.94</v>
      </c>
      <c r="Y583" s="1">
        <v>127.75</v>
      </c>
      <c r="Z583" s="1">
        <v>128.76</v>
      </c>
      <c r="AA583" s="1">
        <v>124.73</v>
      </c>
      <c r="AB583" s="1">
        <v>139.35</v>
      </c>
      <c r="AE583" s="1">
        <v>147.87</v>
      </c>
      <c r="AF583" s="1">
        <v>135.69</v>
      </c>
      <c r="AG583" s="1">
        <v>120.63</v>
      </c>
      <c r="AP583" s="1">
        <v>2820</v>
      </c>
      <c r="AQ583" s="1">
        <v>2919.08</v>
      </c>
      <c r="AR583" s="1">
        <v>2727.16</v>
      </c>
      <c r="AS583" s="1">
        <v>2618.08</v>
      </c>
      <c r="AT583" s="1">
        <v>2763.53</v>
      </c>
      <c r="AU583" s="1">
        <v>2527.6799999999998</v>
      </c>
      <c r="AX583" s="1">
        <v>125.05</v>
      </c>
      <c r="AY583" s="1">
        <v>2848.37</v>
      </c>
      <c r="AZ583" s="1">
        <v>2903.93</v>
      </c>
      <c r="BA583" s="1">
        <v>125.86</v>
      </c>
      <c r="BB583" s="1">
        <v>139.57</v>
      </c>
      <c r="BC583" s="1">
        <v>137.85</v>
      </c>
      <c r="BD583" s="1">
        <v>134.44</v>
      </c>
      <c r="BE583" s="1">
        <v>136.91</v>
      </c>
      <c r="BF583" s="1">
        <v>136.99</v>
      </c>
      <c r="BG583" s="1">
        <v>148.65</v>
      </c>
      <c r="BH583" s="1">
        <v>128.91999999999999</v>
      </c>
      <c r="BI583" s="1">
        <v>134.93</v>
      </c>
      <c r="BJ583" s="1">
        <v>141.54</v>
      </c>
      <c r="BL583" s="1">
        <v>120.54</v>
      </c>
      <c r="BN583" s="1">
        <v>117.27</v>
      </c>
    </row>
    <row r="584" spans="1:66" x14ac:dyDescent="0.3">
      <c r="A584" s="2"/>
      <c r="C584" s="14" t="str">
        <f t="shared" si="10"/>
        <v>202311</v>
      </c>
      <c r="D584" s="3">
        <v>45258</v>
      </c>
      <c r="E584" s="21">
        <v>2576.15</v>
      </c>
      <c r="F584" s="21">
        <v>2524.58</v>
      </c>
      <c r="G584" s="21">
        <v>2569.13</v>
      </c>
      <c r="H584" s="21">
        <v>2504.34</v>
      </c>
      <c r="I584" s="21">
        <v>2494.88</v>
      </c>
      <c r="J584" s="21">
        <v>2491.63</v>
      </c>
      <c r="K584" s="21">
        <v>2478.0100000000002</v>
      </c>
      <c r="L584" s="21"/>
      <c r="M584" s="21"/>
      <c r="N584" s="21">
        <v>2464.04</v>
      </c>
      <c r="O584" s="21">
        <v>2267.7600000000002</v>
      </c>
      <c r="P584" s="21">
        <v>2483.3000000000002</v>
      </c>
      <c r="Q584" s="21">
        <v>5588.79</v>
      </c>
      <c r="R584" s="20">
        <v>123.89</v>
      </c>
      <c r="S584" s="20">
        <v>111.95</v>
      </c>
      <c r="T584" s="21">
        <v>128.69</v>
      </c>
      <c r="V584" s="1">
        <v>119.15</v>
      </c>
      <c r="W584" s="1">
        <v>128.35</v>
      </c>
      <c r="X584" s="1">
        <v>138.94999999999999</v>
      </c>
      <c r="Y584" s="1">
        <v>127.35</v>
      </c>
      <c r="Z584" s="1">
        <v>127.58</v>
      </c>
      <c r="AA584" s="1">
        <v>125.06</v>
      </c>
      <c r="AB584" s="1">
        <v>138.68</v>
      </c>
      <c r="AE584" s="1">
        <v>146.72999999999999</v>
      </c>
      <c r="AF584" s="1">
        <v>133.82</v>
      </c>
      <c r="AG584" s="1">
        <v>119.29</v>
      </c>
      <c r="AP584" s="1">
        <v>2905</v>
      </c>
      <c r="AQ584" s="1">
        <v>2919.08</v>
      </c>
      <c r="AR584" s="1">
        <v>2727.16</v>
      </c>
      <c r="AT584" s="1">
        <v>2797.62</v>
      </c>
      <c r="AU584" s="1">
        <v>2544.34</v>
      </c>
      <c r="AX584" s="1">
        <v>125.09</v>
      </c>
      <c r="AY584" s="1">
        <v>2878.67</v>
      </c>
      <c r="AZ584" s="1">
        <v>2903.93</v>
      </c>
      <c r="BA584" s="1">
        <v>125.85</v>
      </c>
      <c r="BB584" s="1">
        <v>138.54</v>
      </c>
      <c r="BC584" s="1">
        <v>135.97999999999999</v>
      </c>
      <c r="BD584" s="1">
        <v>133.97</v>
      </c>
      <c r="BE584" s="1">
        <v>132.69</v>
      </c>
      <c r="BF584" s="1">
        <v>134.09</v>
      </c>
      <c r="BG584" s="1">
        <v>146.5</v>
      </c>
      <c r="BH584" s="1">
        <v>128.30000000000001</v>
      </c>
      <c r="BI584" s="1">
        <v>134.93</v>
      </c>
      <c r="BJ584" s="1">
        <v>141.54</v>
      </c>
      <c r="BL584" s="1">
        <v>120.34</v>
      </c>
      <c r="BN584" s="1">
        <v>117.27</v>
      </c>
    </row>
    <row r="585" spans="1:66" x14ac:dyDescent="0.3">
      <c r="A585" s="2"/>
      <c r="C585" s="14" t="str">
        <f t="shared" si="10"/>
        <v>202311</v>
      </c>
      <c r="D585" s="3">
        <v>45257</v>
      </c>
      <c r="E585" s="21">
        <v>2607.87</v>
      </c>
      <c r="F585" s="21">
        <v>2529.08</v>
      </c>
      <c r="G585" s="21">
        <v>2569.13</v>
      </c>
      <c r="H585" s="21">
        <v>2562.89</v>
      </c>
      <c r="I585" s="21">
        <v>2498.84</v>
      </c>
      <c r="J585" s="21">
        <v>2506.9499999999998</v>
      </c>
      <c r="K585" s="21">
        <v>2483</v>
      </c>
      <c r="L585" s="21"/>
      <c r="M585" s="21"/>
      <c r="N585" s="21">
        <v>2407.64</v>
      </c>
      <c r="O585" s="21">
        <v>2408.3200000000002</v>
      </c>
      <c r="P585" s="21">
        <v>2483.3000000000002</v>
      </c>
      <c r="Q585" s="21">
        <v>5613.54</v>
      </c>
      <c r="R585" s="20">
        <v>124.23</v>
      </c>
      <c r="S585" s="20">
        <v>112.45</v>
      </c>
      <c r="T585" s="21">
        <v>128.81</v>
      </c>
      <c r="V585" s="1">
        <v>120.99</v>
      </c>
      <c r="W585" s="1">
        <v>129.74</v>
      </c>
      <c r="X585" s="1">
        <v>139.19999999999999</v>
      </c>
      <c r="Y585" s="1">
        <v>126.82</v>
      </c>
      <c r="Z585" s="1">
        <v>128.26</v>
      </c>
      <c r="AA585" s="1">
        <v>125.66</v>
      </c>
      <c r="AB585" s="1">
        <v>138.91</v>
      </c>
      <c r="AE585" s="1">
        <v>147.22</v>
      </c>
      <c r="AF585" s="1">
        <v>135.18</v>
      </c>
      <c r="AG585" s="1">
        <v>119.76</v>
      </c>
      <c r="AN585" s="1">
        <v>3408.96</v>
      </c>
      <c r="AP585" s="1">
        <v>2827.5</v>
      </c>
      <c r="AQ585" s="1">
        <v>2908.13</v>
      </c>
      <c r="AR585" s="1">
        <v>2727.16</v>
      </c>
      <c r="AT585" s="1">
        <v>2797.62</v>
      </c>
      <c r="AU585" s="1">
        <v>2596.87</v>
      </c>
      <c r="AW585" s="1">
        <v>2411.02</v>
      </c>
      <c r="AX585" s="1">
        <v>124.78</v>
      </c>
      <c r="AY585" s="1">
        <v>2878.67</v>
      </c>
      <c r="AZ585" s="1">
        <v>2903.93</v>
      </c>
      <c r="BA585" s="1">
        <v>124.87</v>
      </c>
      <c r="BB585" s="1">
        <v>137.63999999999999</v>
      </c>
      <c r="BC585" s="1">
        <v>135.36000000000001</v>
      </c>
      <c r="BD585" s="1">
        <v>133.52000000000001</v>
      </c>
      <c r="BE585" s="1">
        <v>133.88</v>
      </c>
      <c r="BF585" s="1">
        <v>134.62</v>
      </c>
      <c r="BG585" s="1">
        <v>146.5</v>
      </c>
      <c r="BH585" s="1">
        <v>125.7</v>
      </c>
      <c r="BI585" s="1">
        <v>134.93</v>
      </c>
      <c r="BJ585" s="1">
        <v>141.41999999999999</v>
      </c>
      <c r="BL585" s="1">
        <v>120.34</v>
      </c>
      <c r="BN585" s="1">
        <v>117.77</v>
      </c>
    </row>
    <row r="586" spans="1:66" x14ac:dyDescent="0.3">
      <c r="A586" s="2"/>
      <c r="C586" s="14" t="str">
        <f t="shared" si="10"/>
        <v>202311</v>
      </c>
      <c r="D586" s="3">
        <v>45254</v>
      </c>
      <c r="E586" s="21">
        <v>2609.86</v>
      </c>
      <c r="F586" s="21">
        <v>2529.08</v>
      </c>
      <c r="G586" s="21">
        <v>2569.13</v>
      </c>
      <c r="H586" s="21">
        <v>2579.87</v>
      </c>
      <c r="I586" s="21">
        <v>2498.84</v>
      </c>
      <c r="J586" s="21">
        <v>2504.42</v>
      </c>
      <c r="K586" s="21">
        <v>2483</v>
      </c>
      <c r="L586" s="21"/>
      <c r="M586" s="21"/>
      <c r="N586" s="21">
        <v>2414.13</v>
      </c>
      <c r="O586" s="21">
        <v>2464.62</v>
      </c>
      <c r="P586" s="21">
        <v>2493.1999999999998</v>
      </c>
      <c r="Q586" s="21">
        <v>5641.04</v>
      </c>
      <c r="R586" s="20">
        <v>124.15</v>
      </c>
      <c r="S586" s="20">
        <v>111.72</v>
      </c>
      <c r="T586" s="21">
        <v>129.31</v>
      </c>
      <c r="V586" s="1">
        <v>119.08</v>
      </c>
      <c r="W586" s="1">
        <v>131.16999999999999</v>
      </c>
      <c r="X586" s="1">
        <v>141.07</v>
      </c>
      <c r="Y586" s="1">
        <v>128.87</v>
      </c>
      <c r="Z586" s="1">
        <v>129.94</v>
      </c>
      <c r="AA586" s="1">
        <v>125.91</v>
      </c>
      <c r="AB586" s="1">
        <v>139.77000000000001</v>
      </c>
      <c r="AE586" s="1">
        <v>147.72</v>
      </c>
      <c r="AF586" s="1">
        <v>136.16</v>
      </c>
      <c r="AG586" s="1">
        <v>117.91</v>
      </c>
      <c r="AN586" s="1">
        <v>3260.48</v>
      </c>
      <c r="AP586" s="1">
        <v>2827.5</v>
      </c>
      <c r="AQ586" s="1">
        <v>2908.13</v>
      </c>
      <c r="AR586" s="1">
        <v>2727.16</v>
      </c>
      <c r="AT586" s="1">
        <v>2831.71</v>
      </c>
      <c r="AU586" s="1">
        <v>2596.87</v>
      </c>
      <c r="AW586" s="1">
        <v>2504.4499999999998</v>
      </c>
      <c r="AX586" s="1">
        <v>124.78</v>
      </c>
      <c r="AY586" s="1">
        <v>2878.67</v>
      </c>
      <c r="AZ586" s="1">
        <v>2903.93</v>
      </c>
      <c r="BA586" s="1">
        <v>123.3</v>
      </c>
      <c r="BB586" s="1">
        <v>139.44</v>
      </c>
      <c r="BC586" s="1">
        <v>135.19999999999999</v>
      </c>
      <c r="BD586" s="1">
        <v>135.63</v>
      </c>
      <c r="BE586" s="1">
        <v>133.80000000000001</v>
      </c>
      <c r="BF586" s="1">
        <v>130.44</v>
      </c>
      <c r="BG586" s="1">
        <v>147.30000000000001</v>
      </c>
      <c r="BH586" s="1">
        <v>128.30000000000001</v>
      </c>
      <c r="BI586" s="1">
        <v>135.43</v>
      </c>
      <c r="BJ586" s="1">
        <v>140.96</v>
      </c>
      <c r="BL586" s="1">
        <v>122.45</v>
      </c>
      <c r="BN586" s="1">
        <v>118.52</v>
      </c>
    </row>
    <row r="587" spans="1:66" x14ac:dyDescent="0.3">
      <c r="A587" s="2"/>
      <c r="C587" s="14" t="str">
        <f t="shared" si="10"/>
        <v>202311</v>
      </c>
      <c r="D587" s="3">
        <v>45253</v>
      </c>
      <c r="E587" s="21">
        <v>2613.88</v>
      </c>
      <c r="F587" s="21">
        <v>2470.58</v>
      </c>
      <c r="G587" s="21">
        <v>2556.7600000000002</v>
      </c>
      <c r="H587" s="21">
        <v>2585.46</v>
      </c>
      <c r="I587" s="21">
        <v>2498.84</v>
      </c>
      <c r="J587" s="21">
        <v>2504.42</v>
      </c>
      <c r="K587" s="21">
        <v>2484.23</v>
      </c>
      <c r="L587" s="21"/>
      <c r="M587" s="21"/>
      <c r="N587" s="21">
        <v>2409.6999999999998</v>
      </c>
      <c r="O587" s="21">
        <v>2448.48</v>
      </c>
      <c r="P587" s="21">
        <v>2455.02</v>
      </c>
      <c r="Q587" s="21">
        <v>5641.04</v>
      </c>
      <c r="R587" s="20">
        <v>122.65</v>
      </c>
      <c r="S587" s="20">
        <v>112.7</v>
      </c>
      <c r="T587" s="21">
        <v>130.21</v>
      </c>
      <c r="V587" s="1">
        <v>119.86</v>
      </c>
      <c r="W587" s="1">
        <v>131.77000000000001</v>
      </c>
      <c r="X587" s="1">
        <v>141.07</v>
      </c>
      <c r="Y587" s="1">
        <v>129.82</v>
      </c>
      <c r="Z587" s="1">
        <v>130.29</v>
      </c>
      <c r="AA587" s="1">
        <v>126.18</v>
      </c>
      <c r="AB587" s="1">
        <v>140.02000000000001</v>
      </c>
      <c r="AE587" s="1">
        <v>148.06</v>
      </c>
      <c r="AF587" s="1">
        <v>136.16</v>
      </c>
      <c r="AG587" s="1">
        <v>118.94</v>
      </c>
      <c r="AN587" s="1">
        <v>3353.23</v>
      </c>
      <c r="AP587" s="1">
        <v>2827.5</v>
      </c>
      <c r="AQ587" s="1">
        <v>2857.21</v>
      </c>
      <c r="AR587" s="1">
        <v>2727.16</v>
      </c>
      <c r="AT587" s="1">
        <v>2831.71</v>
      </c>
      <c r="AU587" s="1">
        <v>2596.87</v>
      </c>
      <c r="AW587" s="1">
        <v>2504.4499999999998</v>
      </c>
      <c r="AX587" s="1">
        <v>124.78</v>
      </c>
      <c r="AY587" s="1">
        <v>3030.18</v>
      </c>
      <c r="AZ587" s="1">
        <v>2903.93</v>
      </c>
      <c r="BA587" s="1">
        <v>125.3</v>
      </c>
      <c r="BB587" s="1">
        <v>141.02000000000001</v>
      </c>
      <c r="BC587" s="1">
        <v>137</v>
      </c>
      <c r="BD587" s="1">
        <v>135.63</v>
      </c>
      <c r="BE587" s="1">
        <v>133.78</v>
      </c>
      <c r="BF587" s="1">
        <v>131.84</v>
      </c>
      <c r="BG587" s="1">
        <v>148.16999999999999</v>
      </c>
      <c r="BH587" s="1">
        <v>128.80000000000001</v>
      </c>
      <c r="BI587" s="1">
        <v>135.43</v>
      </c>
      <c r="BJ587" s="1">
        <v>140.96</v>
      </c>
      <c r="BL587" s="1">
        <v>122.94</v>
      </c>
      <c r="BN587" s="1">
        <v>119.51</v>
      </c>
    </row>
    <row r="588" spans="1:66" x14ac:dyDescent="0.3">
      <c r="A588" s="2"/>
      <c r="C588" s="14" t="str">
        <f t="shared" si="10"/>
        <v>202311</v>
      </c>
      <c r="D588" s="3">
        <v>45252</v>
      </c>
      <c r="E588" s="21">
        <v>2613.88</v>
      </c>
      <c r="F588" s="21">
        <v>2470.58</v>
      </c>
      <c r="G588" s="21">
        <v>2556.7600000000002</v>
      </c>
      <c r="H588" s="21">
        <v>2585.46</v>
      </c>
      <c r="I588" s="21">
        <v>2469.14</v>
      </c>
      <c r="J588" s="21">
        <v>2504.42</v>
      </c>
      <c r="K588" s="21">
        <v>2488.59</v>
      </c>
      <c r="L588" s="21"/>
      <c r="M588" s="21"/>
      <c r="N588" s="21">
        <v>2411.73</v>
      </c>
      <c r="O588" s="21">
        <v>2383.9299999999998</v>
      </c>
      <c r="P588" s="21">
        <v>2484.9499999999998</v>
      </c>
      <c r="Q588" s="21">
        <v>5641.04</v>
      </c>
      <c r="R588" s="20">
        <v>124.72</v>
      </c>
      <c r="S588" s="20">
        <v>112.37</v>
      </c>
      <c r="T588" s="21">
        <v>130.21</v>
      </c>
      <c r="V588" s="1">
        <v>119.84</v>
      </c>
      <c r="W588" s="1">
        <v>132.16999999999999</v>
      </c>
      <c r="X588" s="1">
        <v>141.19</v>
      </c>
      <c r="Y588" s="1">
        <v>129.83000000000001</v>
      </c>
      <c r="Z588" s="1">
        <v>130.13</v>
      </c>
      <c r="AA588" s="1">
        <v>126.31</v>
      </c>
      <c r="AB588" s="1">
        <v>140.02000000000001</v>
      </c>
      <c r="AE588" s="1">
        <v>147.76</v>
      </c>
      <c r="AF588" s="1">
        <v>136.16</v>
      </c>
      <c r="AG588" s="1">
        <v>120.18</v>
      </c>
      <c r="AN588" s="1">
        <v>3327.48</v>
      </c>
      <c r="AP588" s="1">
        <v>2827.5</v>
      </c>
      <c r="AQ588" s="1">
        <v>2863.52</v>
      </c>
      <c r="AR588" s="1">
        <v>2727.16</v>
      </c>
      <c r="AS588" s="1">
        <v>3030.18</v>
      </c>
      <c r="AU588" s="1">
        <v>2579.02</v>
      </c>
      <c r="AW588" s="1">
        <v>2478.63</v>
      </c>
      <c r="AX588" s="1">
        <v>124.78</v>
      </c>
      <c r="AY588" s="1">
        <v>2843.57</v>
      </c>
      <c r="AZ588" s="1">
        <v>2903.93</v>
      </c>
      <c r="BA588" s="1">
        <v>125.57</v>
      </c>
      <c r="BB588" s="1">
        <v>141.28</v>
      </c>
      <c r="BC588" s="1">
        <v>136.94</v>
      </c>
      <c r="BD588" s="1">
        <v>136.11000000000001</v>
      </c>
      <c r="BE588" s="1">
        <v>135.21</v>
      </c>
      <c r="BF588" s="1">
        <v>136.12</v>
      </c>
      <c r="BG588" s="1">
        <v>148.1</v>
      </c>
      <c r="BH588" s="1">
        <v>128.80000000000001</v>
      </c>
      <c r="BI588" s="1">
        <v>135.43</v>
      </c>
      <c r="BJ588" s="1">
        <v>140.96</v>
      </c>
      <c r="BL588" s="1">
        <v>122.69</v>
      </c>
      <c r="BN588" s="1">
        <v>119.51</v>
      </c>
    </row>
    <row r="589" spans="1:66" x14ac:dyDescent="0.3">
      <c r="A589" s="2"/>
      <c r="C589" s="14" t="str">
        <f t="shared" si="10"/>
        <v>202311</v>
      </c>
      <c r="D589" s="3">
        <v>45251</v>
      </c>
      <c r="E589" s="21">
        <v>2603.98</v>
      </c>
      <c r="F589" s="21">
        <v>2452.58</v>
      </c>
      <c r="G589" s="21">
        <v>2539.4299999999998</v>
      </c>
      <c r="H589" s="21">
        <v>2570.6799999999998</v>
      </c>
      <c r="I589" s="21">
        <v>2469.14</v>
      </c>
      <c r="J589" s="21">
        <v>2524.0500000000002</v>
      </c>
      <c r="K589" s="21">
        <v>2462.48</v>
      </c>
      <c r="L589" s="21">
        <v>2428.19</v>
      </c>
      <c r="M589" s="21"/>
      <c r="N589" s="21">
        <v>2394.81</v>
      </c>
      <c r="O589" s="21">
        <v>2377.9299999999998</v>
      </c>
      <c r="P589" s="21">
        <v>2453.13</v>
      </c>
      <c r="Q589" s="21">
        <v>5628.54</v>
      </c>
      <c r="R589" s="20">
        <v>125.06</v>
      </c>
      <c r="S589" s="20">
        <v>112.37</v>
      </c>
      <c r="T589" s="21">
        <v>129.9</v>
      </c>
      <c r="V589" s="1">
        <v>118.29</v>
      </c>
      <c r="W589" s="1">
        <v>131.16999999999999</v>
      </c>
      <c r="X589" s="1">
        <v>140.44</v>
      </c>
      <c r="Y589" s="1">
        <v>128.81</v>
      </c>
      <c r="Z589" s="1">
        <v>129.12</v>
      </c>
      <c r="AA589" s="1">
        <v>125.76</v>
      </c>
      <c r="AB589" s="1">
        <v>139.35</v>
      </c>
      <c r="AE589" s="1">
        <v>147.76</v>
      </c>
      <c r="AF589" s="1">
        <v>136.16</v>
      </c>
      <c r="AG589" s="1">
        <v>119.98</v>
      </c>
      <c r="AN589" s="1">
        <v>3327.48</v>
      </c>
      <c r="AP589" s="1">
        <v>2827.5</v>
      </c>
      <c r="AQ589" s="1">
        <v>2863.52</v>
      </c>
      <c r="AR589" s="1">
        <v>2727.16</v>
      </c>
      <c r="AS589" s="1">
        <v>3030.18</v>
      </c>
      <c r="AU589" s="1">
        <v>2558.34</v>
      </c>
      <c r="AW589" s="1">
        <v>2478.63</v>
      </c>
      <c r="AX589" s="1">
        <v>125.58</v>
      </c>
      <c r="AY589" s="1">
        <v>2781.37</v>
      </c>
      <c r="BA589" s="1">
        <v>126</v>
      </c>
      <c r="BB589" s="1">
        <v>141.44999999999999</v>
      </c>
      <c r="BC589" s="1">
        <v>136.59</v>
      </c>
      <c r="BD589" s="1">
        <v>135.91999999999999</v>
      </c>
      <c r="BE589" s="1">
        <v>134.91</v>
      </c>
      <c r="BF589" s="1">
        <v>136.11000000000001</v>
      </c>
      <c r="BG589" s="1">
        <v>147.93</v>
      </c>
      <c r="BH589" s="1">
        <v>128.43</v>
      </c>
      <c r="BI589" s="1">
        <v>135.43</v>
      </c>
      <c r="BJ589" s="1">
        <v>141.08000000000001</v>
      </c>
      <c r="BK589" s="1">
        <v>122.33</v>
      </c>
      <c r="BL589" s="1">
        <v>122.33</v>
      </c>
      <c r="BN589" s="1">
        <v>118.72</v>
      </c>
    </row>
    <row r="590" spans="1:66" x14ac:dyDescent="0.3">
      <c r="A590" s="2"/>
      <c r="C590" s="14" t="str">
        <f t="shared" si="10"/>
        <v>202311</v>
      </c>
      <c r="D590" s="3">
        <v>45250</v>
      </c>
      <c r="E590" s="21">
        <v>2588.0700000000002</v>
      </c>
      <c r="F590" s="21">
        <v>2448.08</v>
      </c>
      <c r="G590" s="21">
        <v>2539.4299999999998</v>
      </c>
      <c r="H590" s="21">
        <v>2512.3000000000002</v>
      </c>
      <c r="I590" s="21">
        <v>2469.14</v>
      </c>
      <c r="J590" s="21">
        <v>2559</v>
      </c>
      <c r="K590" s="21">
        <v>2462.48</v>
      </c>
      <c r="L590" s="21">
        <v>2430.81</v>
      </c>
      <c r="M590" s="21"/>
      <c r="N590" s="21">
        <v>2395.1999999999998</v>
      </c>
      <c r="O590" s="21">
        <v>2377.9299999999998</v>
      </c>
      <c r="P590" s="21">
        <v>2453.13</v>
      </c>
      <c r="Q590" s="21">
        <v>5433.68</v>
      </c>
      <c r="R590" s="20">
        <v>124.72</v>
      </c>
      <c r="S590" s="20">
        <v>111.34</v>
      </c>
      <c r="T590" s="21">
        <v>128.81</v>
      </c>
      <c r="V590" s="1">
        <v>117.13</v>
      </c>
      <c r="W590" s="1">
        <v>129.77000000000001</v>
      </c>
      <c r="X590" s="1">
        <v>138.94999999999999</v>
      </c>
      <c r="Y590" s="1">
        <v>127.67</v>
      </c>
      <c r="Z590" s="1">
        <v>128.76</v>
      </c>
      <c r="AA590" s="1">
        <v>124.96</v>
      </c>
      <c r="AB590" s="1">
        <v>138.46</v>
      </c>
      <c r="AE590" s="1">
        <v>145.76</v>
      </c>
      <c r="AF590" s="1">
        <v>133.54</v>
      </c>
      <c r="AG590" s="1">
        <v>117.1</v>
      </c>
      <c r="AN590" s="1">
        <v>3304.2</v>
      </c>
      <c r="AP590" s="1">
        <v>2829</v>
      </c>
      <c r="AQ590" s="1">
        <v>2888.77</v>
      </c>
      <c r="AR590" s="1">
        <v>2727.16</v>
      </c>
      <c r="AS590" s="1">
        <v>3030.18</v>
      </c>
      <c r="AU590" s="1">
        <v>2556.7199999999998</v>
      </c>
      <c r="AW590" s="1">
        <v>2505.83</v>
      </c>
      <c r="AX590" s="1">
        <v>125.69</v>
      </c>
      <c r="AY590" s="1">
        <v>2781.2</v>
      </c>
      <c r="AZ590" s="1">
        <v>2967.9</v>
      </c>
      <c r="BA590" s="1">
        <v>123.19</v>
      </c>
      <c r="BB590" s="1">
        <v>139</v>
      </c>
      <c r="BC590" s="1">
        <v>135.69</v>
      </c>
      <c r="BD590" s="1">
        <v>135.99</v>
      </c>
      <c r="BE590" s="1">
        <v>133.04</v>
      </c>
      <c r="BF590" s="1">
        <v>135.04</v>
      </c>
      <c r="BG590" s="1">
        <v>147.71</v>
      </c>
      <c r="BH590" s="1">
        <v>128.43</v>
      </c>
      <c r="BI590" s="1">
        <v>134.93</v>
      </c>
      <c r="BJ590" s="1">
        <v>141.08000000000001</v>
      </c>
      <c r="BK590" s="1">
        <v>121.93</v>
      </c>
      <c r="BL590" s="1">
        <v>121.53</v>
      </c>
      <c r="BN590" s="1">
        <v>117.4</v>
      </c>
    </row>
    <row r="591" spans="1:66" x14ac:dyDescent="0.3">
      <c r="A591" s="2"/>
      <c r="C591" s="14" t="str">
        <f t="shared" si="10"/>
        <v>202311</v>
      </c>
      <c r="D591" s="3">
        <v>45247</v>
      </c>
      <c r="E591" s="21">
        <v>2597.9699999999998</v>
      </c>
      <c r="F591" s="21">
        <v>2484.08</v>
      </c>
      <c r="G591" s="21">
        <v>2564.1799999999998</v>
      </c>
      <c r="H591" s="21">
        <v>2489.9699999999998</v>
      </c>
      <c r="I591" s="21">
        <v>2449.34</v>
      </c>
      <c r="J591" s="21">
        <v>2527.0300000000002</v>
      </c>
      <c r="K591" s="21">
        <v>2445.36</v>
      </c>
      <c r="L591" s="21">
        <v>2416.25</v>
      </c>
      <c r="M591" s="21"/>
      <c r="N591" s="21">
        <v>2432.81</v>
      </c>
      <c r="O591" s="21">
        <v>2438.0700000000002</v>
      </c>
      <c r="P591" s="21">
        <v>2486.29</v>
      </c>
      <c r="Q591" s="21">
        <v>5550.19</v>
      </c>
      <c r="R591" s="20">
        <v>128.05000000000001</v>
      </c>
      <c r="S591" s="20">
        <v>112.17</v>
      </c>
      <c r="T591" s="21">
        <v>128.72999999999999</v>
      </c>
      <c r="V591" s="1">
        <v>116.71</v>
      </c>
      <c r="W591" s="1">
        <v>129.13999999999999</v>
      </c>
      <c r="X591" s="1">
        <v>138.25</v>
      </c>
      <c r="Y591" s="1">
        <v>127.75</v>
      </c>
      <c r="Z591" s="1">
        <v>128.75</v>
      </c>
      <c r="AA591" s="1">
        <v>125.09</v>
      </c>
      <c r="AB591" s="1">
        <v>138.68</v>
      </c>
      <c r="AE591" s="1">
        <v>147.26</v>
      </c>
      <c r="AF591" s="1">
        <v>132.62</v>
      </c>
      <c r="AG591" s="1">
        <v>120.02</v>
      </c>
      <c r="AN591" s="1">
        <v>3381.08</v>
      </c>
      <c r="AP591" s="1">
        <v>2829</v>
      </c>
      <c r="AQ591" s="1">
        <v>2888.77</v>
      </c>
      <c r="AR591" s="1">
        <v>2727.16</v>
      </c>
      <c r="AS591" s="1">
        <v>3030.18</v>
      </c>
      <c r="AU591" s="1">
        <v>2556.7199999999998</v>
      </c>
      <c r="AW591" s="1">
        <v>2493.4699999999998</v>
      </c>
      <c r="AX591" s="1">
        <v>126.02</v>
      </c>
      <c r="AY591" s="1">
        <v>2781.2</v>
      </c>
      <c r="AZ591" s="1">
        <v>2994.04</v>
      </c>
      <c r="BA591" s="1">
        <v>123.51</v>
      </c>
      <c r="BB591" s="1">
        <v>138.12</v>
      </c>
      <c r="BC591" s="1">
        <v>134.85</v>
      </c>
      <c r="BD591" s="1">
        <v>134.49</v>
      </c>
      <c r="BE591" s="1">
        <v>135.27000000000001</v>
      </c>
      <c r="BF591" s="1">
        <v>137.05000000000001</v>
      </c>
      <c r="BG591" s="1">
        <v>148.21</v>
      </c>
      <c r="BH591" s="1">
        <v>126.37</v>
      </c>
      <c r="BI591" s="1">
        <v>134.93</v>
      </c>
      <c r="BJ591" s="1">
        <v>142.47999999999999</v>
      </c>
      <c r="BK591" s="1">
        <v>122.7</v>
      </c>
      <c r="BL591" s="1">
        <v>121.93</v>
      </c>
      <c r="BN591" s="1">
        <v>117.4</v>
      </c>
    </row>
    <row r="592" spans="1:66" x14ac:dyDescent="0.3">
      <c r="A592" s="2"/>
      <c r="C592" s="14" t="str">
        <f t="shared" si="10"/>
        <v>202311</v>
      </c>
      <c r="D592" s="3">
        <v>45246</v>
      </c>
      <c r="E592" s="21">
        <v>2597.9699999999998</v>
      </c>
      <c r="F592" s="21">
        <v>2475.08</v>
      </c>
      <c r="G592" s="21">
        <v>2569.13</v>
      </c>
      <c r="H592" s="21">
        <v>2550.7800000000002</v>
      </c>
      <c r="I592" s="21">
        <v>2459.2399999999998</v>
      </c>
      <c r="J592" s="21">
        <v>2542.6999999999998</v>
      </c>
      <c r="K592" s="21">
        <v>2420.44</v>
      </c>
      <c r="L592" s="21">
        <v>2387.13</v>
      </c>
      <c r="M592" s="21"/>
      <c r="N592" s="21">
        <v>2429.81</v>
      </c>
      <c r="O592" s="21">
        <v>2421.7800000000002</v>
      </c>
      <c r="P592" s="21">
        <v>2486.29</v>
      </c>
      <c r="Q592" s="21">
        <v>5582.52</v>
      </c>
      <c r="R592" s="20">
        <v>128.05000000000001</v>
      </c>
      <c r="S592" s="20">
        <v>112.33</v>
      </c>
      <c r="T592" s="21">
        <v>129.62</v>
      </c>
      <c r="V592" s="1">
        <v>116.45</v>
      </c>
      <c r="W592" s="1">
        <v>130.77000000000001</v>
      </c>
      <c r="X592" s="1">
        <v>140.88</v>
      </c>
      <c r="Y592" s="1">
        <v>129.53</v>
      </c>
      <c r="Z592" s="1">
        <v>129.08000000000001</v>
      </c>
      <c r="AA592" s="1">
        <v>125.72</v>
      </c>
      <c r="AB592" s="1">
        <v>139.93</v>
      </c>
      <c r="AE592" s="1">
        <v>146.26</v>
      </c>
      <c r="AF592" s="1">
        <v>137.03</v>
      </c>
      <c r="AG592" s="1">
        <v>120.01</v>
      </c>
      <c r="AN592" s="1">
        <v>3275.96</v>
      </c>
      <c r="AP592" s="1">
        <v>2829</v>
      </c>
      <c r="AQ592" s="1">
        <v>2888.77</v>
      </c>
      <c r="AR592" s="1">
        <v>2727.16</v>
      </c>
      <c r="AS592" s="1">
        <v>3030.18</v>
      </c>
      <c r="AU592" s="1">
        <v>2556.7199999999998</v>
      </c>
      <c r="AW592" s="1">
        <v>2493.4699999999998</v>
      </c>
      <c r="AX592" s="1">
        <v>127</v>
      </c>
      <c r="AY592" s="1">
        <v>2781.2</v>
      </c>
      <c r="AZ592" s="1">
        <v>2994.04</v>
      </c>
      <c r="BA592" s="1">
        <v>123.49</v>
      </c>
      <c r="BB592" s="1">
        <v>140.18</v>
      </c>
      <c r="BC592" s="1">
        <v>136.6</v>
      </c>
      <c r="BD592" s="1">
        <v>135.88</v>
      </c>
      <c r="BE592" s="1">
        <v>136.6</v>
      </c>
      <c r="BF592" s="1">
        <v>137.04</v>
      </c>
      <c r="BG592" s="1">
        <v>148.16</v>
      </c>
      <c r="BH592" s="1">
        <v>125.77</v>
      </c>
      <c r="BI592" s="1">
        <v>135.43</v>
      </c>
      <c r="BJ592" s="1">
        <v>142.24</v>
      </c>
      <c r="BK592" s="1">
        <v>125.02</v>
      </c>
      <c r="BL592" s="1">
        <v>122.94</v>
      </c>
      <c r="BN592" s="1">
        <v>119.51</v>
      </c>
    </row>
    <row r="593" spans="1:66" x14ac:dyDescent="0.3">
      <c r="A593" s="2"/>
      <c r="C593" s="14" t="str">
        <f t="shared" si="10"/>
        <v>202311</v>
      </c>
      <c r="D593" s="3">
        <v>45244</v>
      </c>
      <c r="E593" s="21">
        <v>2596.25</v>
      </c>
      <c r="F593" s="21">
        <v>2477.5500000000002</v>
      </c>
      <c r="G593" s="21">
        <v>2556.7600000000002</v>
      </c>
      <c r="H593" s="21">
        <v>2493.69</v>
      </c>
      <c r="I593" s="21">
        <v>2439.44</v>
      </c>
      <c r="J593" s="21">
        <v>2529.2600000000002</v>
      </c>
      <c r="K593" s="21">
        <v>2420.44</v>
      </c>
      <c r="L593" s="21">
        <v>2387.13</v>
      </c>
      <c r="M593" s="21"/>
      <c r="N593" s="21">
        <v>2385.35</v>
      </c>
      <c r="O593" s="21">
        <v>2431.88</v>
      </c>
      <c r="P593" s="21">
        <v>2486.29</v>
      </c>
      <c r="Q593" s="21">
        <v>5591.29</v>
      </c>
      <c r="R593" s="20">
        <v>128.05000000000001</v>
      </c>
      <c r="S593" s="20">
        <v>112.58</v>
      </c>
      <c r="T593" s="21">
        <v>129.47999999999999</v>
      </c>
      <c r="V593" s="1">
        <v>117.3</v>
      </c>
      <c r="W593" s="1">
        <v>132.37</v>
      </c>
      <c r="X593" s="1">
        <v>140.44</v>
      </c>
      <c r="Y593" s="1">
        <v>130.37</v>
      </c>
      <c r="Z593" s="1">
        <v>130.94999999999999</v>
      </c>
      <c r="AA593" s="1">
        <v>127.24</v>
      </c>
      <c r="AB593" s="1">
        <v>139.02000000000001</v>
      </c>
      <c r="AE593" s="1">
        <v>146.11000000000001</v>
      </c>
      <c r="AF593" s="1">
        <v>137.03</v>
      </c>
      <c r="AG593" s="1">
        <v>120.83</v>
      </c>
      <c r="AI593" s="1">
        <v>7</v>
      </c>
      <c r="AN593" s="1">
        <v>3174.27</v>
      </c>
      <c r="AP593" s="1">
        <v>2829</v>
      </c>
      <c r="AQ593" s="1">
        <v>2888.77</v>
      </c>
      <c r="AR593" s="1">
        <v>2892.14</v>
      </c>
      <c r="AU593" s="1">
        <v>2556.7199999999998</v>
      </c>
      <c r="AV593" s="1">
        <v>30</v>
      </c>
      <c r="AW593" s="1">
        <v>2609.58</v>
      </c>
      <c r="AX593" s="1">
        <v>126.97</v>
      </c>
      <c r="AY593" s="1">
        <v>2781.03</v>
      </c>
      <c r="AZ593" s="1">
        <v>2994.04</v>
      </c>
      <c r="BA593" s="1">
        <v>126.43</v>
      </c>
      <c r="BB593" s="1">
        <v>140.32</v>
      </c>
      <c r="BC593" s="1">
        <v>136.76</v>
      </c>
      <c r="BD593" s="1">
        <v>136.94999999999999</v>
      </c>
      <c r="BE593" s="1">
        <v>136.56</v>
      </c>
      <c r="BF593" s="1">
        <v>137.97</v>
      </c>
      <c r="BG593" s="1">
        <v>148.16</v>
      </c>
      <c r="BH593" s="1">
        <v>126.97</v>
      </c>
      <c r="BI593" s="1">
        <v>135.43</v>
      </c>
      <c r="BJ593" s="1">
        <v>141.26</v>
      </c>
      <c r="BK593" s="1">
        <v>125.35</v>
      </c>
      <c r="BL593" s="1">
        <v>123.69</v>
      </c>
      <c r="BN593" s="1">
        <v>120</v>
      </c>
    </row>
    <row r="594" spans="1:66" x14ac:dyDescent="0.3">
      <c r="A594" s="2"/>
      <c r="C594" s="14" t="str">
        <f t="shared" si="10"/>
        <v>202311</v>
      </c>
      <c r="D594" s="3">
        <v>45243</v>
      </c>
      <c r="E594" s="21">
        <v>2567.96</v>
      </c>
      <c r="F594" s="21">
        <v>2430.08</v>
      </c>
      <c r="G594" s="21">
        <v>2507.25</v>
      </c>
      <c r="H594" s="21">
        <v>2573.4499999999998</v>
      </c>
      <c r="I594" s="21">
        <v>2395.88</v>
      </c>
      <c r="J594" s="21">
        <v>2483.14</v>
      </c>
      <c r="K594" s="21"/>
      <c r="L594" s="21">
        <v>2355.36</v>
      </c>
      <c r="M594" s="21"/>
      <c r="N594" s="21">
        <v>2353.12</v>
      </c>
      <c r="O594" s="21">
        <v>2341.08</v>
      </c>
      <c r="P594" s="21"/>
      <c r="Q594" s="21">
        <v>5521.6</v>
      </c>
      <c r="R594" s="20">
        <v>127.06</v>
      </c>
      <c r="S594" s="20">
        <v>112.12</v>
      </c>
      <c r="T594" s="21">
        <v>129.28</v>
      </c>
      <c r="V594" s="1">
        <v>117.37</v>
      </c>
      <c r="W594" s="1">
        <v>130.56</v>
      </c>
      <c r="X594" s="1">
        <v>136.79</v>
      </c>
      <c r="Y594" s="1">
        <v>128.47999999999999</v>
      </c>
      <c r="Z594" s="1">
        <v>129.81</v>
      </c>
      <c r="AA594" s="1">
        <v>124.65</v>
      </c>
      <c r="AB594" s="1">
        <v>138.02000000000001</v>
      </c>
      <c r="AE594" s="1">
        <v>144.27000000000001</v>
      </c>
      <c r="AF594" s="1">
        <v>134.01</v>
      </c>
      <c r="AG594" s="1">
        <v>120.74</v>
      </c>
      <c r="AH594" s="1">
        <v>40</v>
      </c>
      <c r="AI594" s="1">
        <v>7</v>
      </c>
      <c r="AN594" s="1">
        <v>3038.39</v>
      </c>
      <c r="AP594" s="1">
        <v>2595</v>
      </c>
      <c r="AQ594" s="1">
        <v>2755.59</v>
      </c>
      <c r="AR594" s="1">
        <v>2993.15</v>
      </c>
      <c r="AT594" s="1">
        <v>2888.77</v>
      </c>
      <c r="AU594" s="1">
        <v>2556.7199999999998</v>
      </c>
      <c r="AV594" s="1">
        <v>30</v>
      </c>
      <c r="AW594" s="1">
        <v>2788.87</v>
      </c>
      <c r="AX594" s="1">
        <v>124.36</v>
      </c>
      <c r="AZ594" s="1">
        <v>3046.34</v>
      </c>
      <c r="BA594" s="1">
        <v>123.15</v>
      </c>
      <c r="BB594" s="1">
        <v>140.93</v>
      </c>
      <c r="BC594" s="1">
        <v>137.59</v>
      </c>
      <c r="BD594" s="1">
        <v>134.22999999999999</v>
      </c>
      <c r="BE594" s="1">
        <v>134.34</v>
      </c>
      <c r="BF594" s="1">
        <v>136.71</v>
      </c>
      <c r="BG594" s="1">
        <v>147.69999999999999</v>
      </c>
      <c r="BH594" s="1">
        <v>127.57</v>
      </c>
      <c r="BI594" s="1">
        <v>134.93</v>
      </c>
      <c r="BK594" s="1">
        <v>122.7</v>
      </c>
      <c r="BL594" s="1">
        <v>119.95</v>
      </c>
      <c r="BN594" s="1">
        <v>118.02</v>
      </c>
    </row>
    <row r="595" spans="1:66" x14ac:dyDescent="0.3">
      <c r="A595" s="2"/>
      <c r="C595" s="14" t="str">
        <f t="shared" si="10"/>
        <v>202311</v>
      </c>
      <c r="D595" s="3">
        <v>45240</v>
      </c>
      <c r="E595" s="21">
        <v>2531.0700000000002</v>
      </c>
      <c r="F595" s="21">
        <v>2430.08</v>
      </c>
      <c r="G595" s="21">
        <v>2482.5</v>
      </c>
      <c r="H595" s="21">
        <v>2454.66</v>
      </c>
      <c r="I595" s="21">
        <v>2395.88</v>
      </c>
      <c r="J595" s="21">
        <v>2448.98</v>
      </c>
      <c r="K595" s="21">
        <v>2370.69</v>
      </c>
      <c r="L595" s="21">
        <v>2354.44</v>
      </c>
      <c r="M595" s="21"/>
      <c r="N595" s="21">
        <v>2320.16</v>
      </c>
      <c r="O595" s="21">
        <v>2344.6799999999998</v>
      </c>
      <c r="P595" s="21">
        <v>2400.34</v>
      </c>
      <c r="Q595" s="21">
        <v>5522.27</v>
      </c>
      <c r="R595" s="20">
        <v>126.06</v>
      </c>
      <c r="S595" s="20">
        <v>113.2</v>
      </c>
      <c r="T595" s="21">
        <v>127.88</v>
      </c>
      <c r="V595" s="1">
        <v>116.82</v>
      </c>
      <c r="W595" s="1">
        <v>129.35</v>
      </c>
      <c r="X595" s="1">
        <v>136.79</v>
      </c>
      <c r="Y595" s="1">
        <v>127.44</v>
      </c>
      <c r="Z595" s="1">
        <v>128.01</v>
      </c>
      <c r="AA595" s="1">
        <v>124.3</v>
      </c>
      <c r="AB595" s="1">
        <v>137.65</v>
      </c>
      <c r="AE595" s="1">
        <v>144.27000000000001</v>
      </c>
      <c r="AF595" s="1">
        <v>133.94</v>
      </c>
      <c r="AG595" s="1">
        <v>120.13</v>
      </c>
      <c r="AI595" s="1">
        <v>7</v>
      </c>
      <c r="AN595" s="1">
        <v>3038.39</v>
      </c>
      <c r="AP595" s="1">
        <v>2595</v>
      </c>
      <c r="AQ595" s="1">
        <v>2631.21</v>
      </c>
      <c r="AR595" s="1">
        <v>2993.15</v>
      </c>
      <c r="AS595" s="1">
        <v>2605.96</v>
      </c>
      <c r="AT595" s="1">
        <v>2888.77</v>
      </c>
      <c r="AU595" s="1">
        <v>2556.7199999999998</v>
      </c>
      <c r="AV595" s="1">
        <v>30</v>
      </c>
      <c r="AW595" s="1">
        <v>2772.18</v>
      </c>
      <c r="AX595" s="1">
        <v>124.33</v>
      </c>
      <c r="AZ595" s="1">
        <v>2903.93</v>
      </c>
      <c r="BA595" s="1">
        <v>123.09</v>
      </c>
      <c r="BB595" s="1">
        <v>139.24</v>
      </c>
      <c r="BC595" s="1">
        <v>135.41999999999999</v>
      </c>
      <c r="BD595" s="1">
        <v>134.93</v>
      </c>
      <c r="BE595" s="1">
        <v>134.86000000000001</v>
      </c>
      <c r="BF595" s="1">
        <v>135.63</v>
      </c>
      <c r="BG595" s="1">
        <v>147.16999999999999</v>
      </c>
      <c r="BH595" s="1">
        <v>126.57</v>
      </c>
      <c r="BI595" s="1">
        <v>134.93</v>
      </c>
      <c r="BL595" s="1">
        <v>119.95</v>
      </c>
      <c r="BN595" s="1">
        <v>116.74</v>
      </c>
    </row>
    <row r="596" spans="1:66" x14ac:dyDescent="0.3">
      <c r="A596" s="2"/>
      <c r="C596" s="14" t="str">
        <f t="shared" si="10"/>
        <v>202311</v>
      </c>
      <c r="D596" s="3">
        <v>45239</v>
      </c>
      <c r="E596" s="21">
        <v>2481.4499999999998</v>
      </c>
      <c r="F596" s="21">
        <v>2423.7800000000002</v>
      </c>
      <c r="G596" s="21">
        <v>2433</v>
      </c>
      <c r="H596" s="21">
        <v>2463.3200000000002</v>
      </c>
      <c r="I596" s="21">
        <v>2395.88</v>
      </c>
      <c r="J596" s="21">
        <v>2429.7199999999998</v>
      </c>
      <c r="K596" s="21">
        <v>2370.69</v>
      </c>
      <c r="L596" s="21">
        <v>2352.6</v>
      </c>
      <c r="M596" s="21"/>
      <c r="N596" s="21">
        <v>2283.66</v>
      </c>
      <c r="O596" s="21">
        <v>2363.02</v>
      </c>
      <c r="P596" s="21">
        <v>2400.34</v>
      </c>
      <c r="Q596" s="21">
        <v>5302.41</v>
      </c>
      <c r="R596" s="20">
        <v>126.06</v>
      </c>
      <c r="S596" s="20">
        <v>111.4</v>
      </c>
      <c r="T596" s="21">
        <v>127.75</v>
      </c>
      <c r="V596" s="1">
        <v>116.72</v>
      </c>
      <c r="W596" s="1">
        <v>130.46</v>
      </c>
      <c r="X596" s="1">
        <v>138.94999999999999</v>
      </c>
      <c r="Y596" s="1">
        <v>127.7</v>
      </c>
      <c r="Z596" s="1">
        <v>127.75</v>
      </c>
      <c r="AA596" s="1">
        <v>125.8</v>
      </c>
      <c r="AB596" s="1">
        <v>136.69</v>
      </c>
      <c r="AE596" s="1">
        <v>145.01</v>
      </c>
      <c r="AF596" s="1">
        <v>133.74</v>
      </c>
      <c r="AG596" s="1">
        <v>120.29</v>
      </c>
      <c r="AI596" s="1">
        <v>7</v>
      </c>
      <c r="AN596" s="1">
        <v>3038.39</v>
      </c>
      <c r="AP596" s="1">
        <v>2595</v>
      </c>
      <c r="AQ596" s="1">
        <v>2631.21</v>
      </c>
      <c r="AR596" s="1">
        <v>2993.15</v>
      </c>
      <c r="AS596" s="1">
        <v>2605.96</v>
      </c>
      <c r="AT596" s="1">
        <v>2888.77</v>
      </c>
      <c r="AU596" s="1">
        <v>2556.7199999999998</v>
      </c>
      <c r="AV596" s="1">
        <v>30</v>
      </c>
      <c r="AW596" s="1">
        <v>2772.18</v>
      </c>
      <c r="AX596" s="1">
        <v>123.86</v>
      </c>
      <c r="AY596" s="1">
        <v>2804.94</v>
      </c>
      <c r="AZ596" s="1">
        <v>2903.93</v>
      </c>
      <c r="BA596" s="1">
        <v>125.01</v>
      </c>
      <c r="BB596" s="1">
        <v>140.41999999999999</v>
      </c>
      <c r="BC596" s="1">
        <v>135.19</v>
      </c>
      <c r="BD596" s="1">
        <v>134.79</v>
      </c>
      <c r="BE596" s="1">
        <v>133.69999999999999</v>
      </c>
      <c r="BF596" s="1">
        <v>134.28</v>
      </c>
      <c r="BG596" s="1">
        <v>146.22</v>
      </c>
      <c r="BH596" s="1">
        <v>126.82</v>
      </c>
      <c r="BI596" s="1">
        <v>134.93</v>
      </c>
      <c r="BJ596" s="1">
        <v>140.97999999999999</v>
      </c>
      <c r="BL596" s="1">
        <v>119.45</v>
      </c>
      <c r="BN596" s="1">
        <v>117.4</v>
      </c>
    </row>
    <row r="597" spans="1:66" x14ac:dyDescent="0.3">
      <c r="A597" s="2"/>
      <c r="C597" s="14" t="str">
        <f t="shared" si="10"/>
        <v>202311</v>
      </c>
      <c r="D597" s="3">
        <v>45238</v>
      </c>
      <c r="E597" s="21">
        <v>2501.33</v>
      </c>
      <c r="F597" s="21">
        <v>2423.7800000000002</v>
      </c>
      <c r="G597" s="21">
        <v>2433</v>
      </c>
      <c r="H597" s="21">
        <v>2462.0700000000002</v>
      </c>
      <c r="I597" s="21">
        <v>2368.16</v>
      </c>
      <c r="J597" s="21">
        <v>2443.7399999999998</v>
      </c>
      <c r="K597" s="21">
        <v>2370.69</v>
      </c>
      <c r="L597" s="21">
        <v>2319.23</v>
      </c>
      <c r="M597" s="21"/>
      <c r="N597" s="21">
        <v>2287.3200000000002</v>
      </c>
      <c r="O597" s="21">
        <v>2427.62</v>
      </c>
      <c r="P597" s="21">
        <v>2403.66</v>
      </c>
      <c r="Q597" s="21">
        <v>5147.5600000000004</v>
      </c>
      <c r="R597" s="20">
        <v>122.65</v>
      </c>
      <c r="S597" s="20">
        <v>112.53</v>
      </c>
      <c r="T597" s="21">
        <v>128.5</v>
      </c>
      <c r="V597" s="1">
        <v>117.04</v>
      </c>
      <c r="W597" s="1">
        <v>130.72999999999999</v>
      </c>
      <c r="X597" s="1">
        <v>137.44999999999999</v>
      </c>
      <c r="Y597" s="1">
        <v>126.82</v>
      </c>
      <c r="Z597" s="1">
        <v>127.59</v>
      </c>
      <c r="AA597" s="1">
        <v>124.94</v>
      </c>
      <c r="AB597" s="1">
        <v>136.94</v>
      </c>
      <c r="AE597" s="1">
        <v>145</v>
      </c>
      <c r="AF597" s="1">
        <v>133.54</v>
      </c>
      <c r="AG597" s="1">
        <v>121.12</v>
      </c>
      <c r="AI597" s="1">
        <v>7</v>
      </c>
      <c r="AN597" s="1">
        <v>3004.42</v>
      </c>
      <c r="AP597" s="1">
        <v>2595</v>
      </c>
      <c r="AQ597" s="1">
        <v>2631.21</v>
      </c>
      <c r="AR597" s="1">
        <v>3030.18</v>
      </c>
      <c r="AS597" s="1">
        <v>2605.96</v>
      </c>
      <c r="AT597" s="1">
        <v>2888.77</v>
      </c>
      <c r="AU597" s="1">
        <v>2651.41</v>
      </c>
      <c r="AV597" s="1">
        <v>30</v>
      </c>
      <c r="AW597" s="1">
        <v>2772.18</v>
      </c>
      <c r="AX597" s="1">
        <v>121.06</v>
      </c>
      <c r="AY597" s="1">
        <v>2804.94</v>
      </c>
      <c r="AZ597" s="1">
        <v>2903.93</v>
      </c>
      <c r="BA597" s="1">
        <v>125.01</v>
      </c>
      <c r="BB597" s="1">
        <v>140.71</v>
      </c>
      <c r="BC597" s="1">
        <v>136.94</v>
      </c>
      <c r="BD597" s="1">
        <v>133.86000000000001</v>
      </c>
      <c r="BE597" s="1">
        <v>130.41</v>
      </c>
      <c r="BF597" s="1">
        <v>134.6</v>
      </c>
      <c r="BG597" s="1">
        <v>146.22</v>
      </c>
      <c r="BH597" s="1">
        <v>126.82</v>
      </c>
      <c r="BI597" s="1">
        <v>134.44</v>
      </c>
      <c r="BL597" s="1">
        <v>116.94</v>
      </c>
      <c r="BN597" s="1">
        <v>117.4</v>
      </c>
    </row>
    <row r="598" spans="1:66" x14ac:dyDescent="0.3">
      <c r="A598" s="2"/>
      <c r="C598" s="14" t="str">
        <f t="shared" si="10"/>
        <v>202311</v>
      </c>
      <c r="D598" s="3">
        <v>45237</v>
      </c>
      <c r="E598" s="21">
        <v>2475.81</v>
      </c>
      <c r="F598" s="21">
        <v>2376.08</v>
      </c>
      <c r="G598" s="21">
        <v>2396.6999999999998</v>
      </c>
      <c r="H598" s="21">
        <v>2408.56</v>
      </c>
      <c r="I598" s="21">
        <v>2364.19</v>
      </c>
      <c r="J598" s="21">
        <v>2412.56</v>
      </c>
      <c r="K598" s="21"/>
      <c r="L598" s="21">
        <v>2286.23</v>
      </c>
      <c r="M598" s="21"/>
      <c r="N598" s="21">
        <v>2281.52</v>
      </c>
      <c r="O598" s="21">
        <v>2374.27</v>
      </c>
      <c r="P598" s="21"/>
      <c r="Q598" s="21">
        <v>5206.3</v>
      </c>
      <c r="R598" s="20">
        <v>124.06</v>
      </c>
      <c r="S598" s="20">
        <v>113.87</v>
      </c>
      <c r="T598" s="21">
        <v>127.87</v>
      </c>
      <c r="V598" s="1">
        <v>116.61</v>
      </c>
      <c r="W598" s="1">
        <v>128.97</v>
      </c>
      <c r="X598" s="1">
        <v>135.41999999999999</v>
      </c>
      <c r="Y598" s="1">
        <v>125.01</v>
      </c>
      <c r="Z598" s="1">
        <v>125.84</v>
      </c>
      <c r="AA598" s="1">
        <v>124.81</v>
      </c>
      <c r="AB598" s="1">
        <v>135.80000000000001</v>
      </c>
      <c r="AE598" s="1">
        <v>143.54</v>
      </c>
      <c r="AF598" s="1">
        <v>132.86000000000001</v>
      </c>
      <c r="AG598" s="1">
        <v>121.04</v>
      </c>
      <c r="AI598" s="1">
        <v>7</v>
      </c>
      <c r="AN598" s="1">
        <v>2877.66</v>
      </c>
      <c r="AP598" s="1">
        <v>2595</v>
      </c>
      <c r="AQ598" s="1">
        <v>2566.8200000000002</v>
      </c>
      <c r="AR598" s="1">
        <v>3030.18</v>
      </c>
      <c r="AS598" s="1">
        <v>2605.96</v>
      </c>
      <c r="AT598" s="1">
        <v>2888.77</v>
      </c>
      <c r="AU598" s="1">
        <v>2545.35</v>
      </c>
      <c r="AW598" s="1">
        <v>2795.34</v>
      </c>
      <c r="AX598" s="1">
        <v>122.82</v>
      </c>
      <c r="AY598" s="1">
        <v>2804.94</v>
      </c>
      <c r="AZ598" s="1">
        <v>2903.93</v>
      </c>
      <c r="BA598" s="1">
        <v>127.23</v>
      </c>
      <c r="BB598" s="1">
        <v>141.33000000000001</v>
      </c>
      <c r="BC598" s="1">
        <v>134.62</v>
      </c>
      <c r="BD598" s="1">
        <v>133.51</v>
      </c>
      <c r="BE598" s="1">
        <v>132.94999999999999</v>
      </c>
      <c r="BF598" s="1">
        <v>135.9</v>
      </c>
      <c r="BG598" s="1">
        <v>145.51</v>
      </c>
      <c r="BH598" s="1">
        <v>126.32</v>
      </c>
      <c r="BI598" s="1">
        <v>134.1</v>
      </c>
      <c r="BL598" s="1">
        <v>116.14</v>
      </c>
      <c r="BN598" s="1">
        <v>116.08</v>
      </c>
    </row>
    <row r="599" spans="1:66" x14ac:dyDescent="0.3">
      <c r="A599" s="2"/>
      <c r="C599" s="14" t="str">
        <f t="shared" si="10"/>
        <v>202311</v>
      </c>
      <c r="D599" s="3">
        <v>45236</v>
      </c>
      <c r="E599" s="21">
        <v>2458.77</v>
      </c>
      <c r="F599" s="21">
        <v>2386.8000000000002</v>
      </c>
      <c r="G599" s="21">
        <v>2408.25</v>
      </c>
      <c r="H599" s="21">
        <v>2408.56</v>
      </c>
      <c r="I599" s="21">
        <v>2364.19</v>
      </c>
      <c r="J599" s="21">
        <v>2399.36</v>
      </c>
      <c r="K599" s="21"/>
      <c r="L599" s="21">
        <v>2286.23</v>
      </c>
      <c r="M599" s="21"/>
      <c r="N599" s="21">
        <v>2273.8000000000002</v>
      </c>
      <c r="O599" s="21">
        <v>2363.89</v>
      </c>
      <c r="P599" s="21"/>
      <c r="Q599" s="21">
        <v>5206.3</v>
      </c>
      <c r="R599" s="20">
        <v>124.06</v>
      </c>
      <c r="S599" s="20">
        <v>113.54</v>
      </c>
      <c r="T599" s="21">
        <v>126.83</v>
      </c>
      <c r="V599" s="1">
        <v>116.61</v>
      </c>
      <c r="W599" s="1">
        <v>127.17</v>
      </c>
      <c r="X599" s="1">
        <v>133.66999999999999</v>
      </c>
      <c r="Y599" s="1">
        <v>124.76</v>
      </c>
      <c r="Z599" s="1">
        <v>124.56</v>
      </c>
      <c r="AA599" s="1">
        <v>124.81</v>
      </c>
      <c r="AB599" s="1">
        <v>134.22</v>
      </c>
      <c r="AE599" s="1">
        <v>143.01</v>
      </c>
      <c r="AF599" s="1">
        <v>131.68</v>
      </c>
      <c r="AG599" s="1">
        <v>120.47</v>
      </c>
      <c r="AI599" s="1">
        <v>7</v>
      </c>
      <c r="AN599" s="1">
        <v>2784.53</v>
      </c>
      <c r="AS599" s="1">
        <v>2818.07</v>
      </c>
      <c r="AT599" s="1">
        <v>3143.81</v>
      </c>
      <c r="AU599" s="1">
        <v>2556.7199999999998</v>
      </c>
      <c r="AW599" s="1">
        <v>2722.11</v>
      </c>
      <c r="AX599" s="1">
        <v>121.04</v>
      </c>
      <c r="AY599" s="1">
        <v>2754.66</v>
      </c>
      <c r="AZ599" s="1">
        <v>2903.93</v>
      </c>
      <c r="BA599" s="1">
        <v>127.01</v>
      </c>
      <c r="BB599" s="1">
        <v>140.78</v>
      </c>
      <c r="BC599" s="1">
        <v>135.44</v>
      </c>
      <c r="BD599" s="1">
        <v>134.22</v>
      </c>
      <c r="BE599" s="1">
        <v>131.51</v>
      </c>
      <c r="BF599" s="1">
        <v>134.83000000000001</v>
      </c>
      <c r="BG599" s="1">
        <v>144.57</v>
      </c>
      <c r="BH599" s="1">
        <v>123.6</v>
      </c>
      <c r="BI599" s="1">
        <v>133.11000000000001</v>
      </c>
      <c r="BK599" s="1">
        <v>116.17</v>
      </c>
      <c r="BL599" s="1">
        <v>115.74</v>
      </c>
      <c r="BN599" s="1">
        <v>114.76</v>
      </c>
    </row>
    <row r="600" spans="1:66" x14ac:dyDescent="0.3">
      <c r="A600" s="2"/>
      <c r="C600" s="14" t="str">
        <f t="shared" si="10"/>
        <v>202311</v>
      </c>
      <c r="D600" s="3">
        <v>45233</v>
      </c>
      <c r="E600" s="21">
        <v>2460.9</v>
      </c>
      <c r="F600" s="21">
        <v>2375.15</v>
      </c>
      <c r="G600" s="21">
        <v>2410.7800000000002</v>
      </c>
      <c r="H600" s="21">
        <v>2136.11</v>
      </c>
      <c r="I600" s="21">
        <v>2347.44</v>
      </c>
      <c r="J600" s="21">
        <v>2381.08</v>
      </c>
      <c r="K600" s="21"/>
      <c r="L600" s="21">
        <v>2282.2600000000002</v>
      </c>
      <c r="M600" s="21"/>
      <c r="N600" s="21">
        <v>2262.1</v>
      </c>
      <c r="O600" s="21">
        <v>2319.66</v>
      </c>
      <c r="P600" s="21"/>
      <c r="Q600" s="21">
        <v>5185.26</v>
      </c>
      <c r="R600" s="20">
        <v>121.39</v>
      </c>
      <c r="S600" s="20">
        <v>111.52</v>
      </c>
      <c r="T600" s="21">
        <v>124.08</v>
      </c>
      <c r="V600" s="1">
        <v>115.82</v>
      </c>
      <c r="W600" s="1">
        <v>126.97</v>
      </c>
      <c r="X600" s="1">
        <v>133.19</v>
      </c>
      <c r="Y600" s="1">
        <v>123.67</v>
      </c>
      <c r="Z600" s="1">
        <v>123.95</v>
      </c>
      <c r="AA600" s="1">
        <v>122.9</v>
      </c>
      <c r="AB600" s="1">
        <v>133.44999999999999</v>
      </c>
      <c r="AE600" s="1">
        <v>142.81</v>
      </c>
      <c r="AF600" s="1">
        <v>132.82</v>
      </c>
      <c r="AG600" s="1">
        <v>119.13</v>
      </c>
      <c r="AI600" s="1">
        <v>7</v>
      </c>
      <c r="AN600" s="1">
        <v>2785.47</v>
      </c>
      <c r="AP600" s="1">
        <v>2730</v>
      </c>
      <c r="AQ600" s="1">
        <v>2667.6</v>
      </c>
      <c r="AR600" s="1">
        <v>2619.09</v>
      </c>
      <c r="AS600" s="1">
        <v>3031.36</v>
      </c>
      <c r="AT600" s="1">
        <v>3145.04</v>
      </c>
      <c r="AU600" s="1">
        <v>2557.71</v>
      </c>
      <c r="AW600" s="1">
        <v>2476.52</v>
      </c>
      <c r="AY600" s="1">
        <v>2755.73</v>
      </c>
      <c r="AZ600" s="1">
        <v>2905.05</v>
      </c>
      <c r="BA600" s="1">
        <v>125.14</v>
      </c>
      <c r="BB600" s="1">
        <v>139.35</v>
      </c>
      <c r="BC600" s="1">
        <v>134.53</v>
      </c>
      <c r="BD600" s="1">
        <v>135.12</v>
      </c>
      <c r="BE600" s="1">
        <v>130.05000000000001</v>
      </c>
      <c r="BF600" s="1">
        <v>129.84</v>
      </c>
      <c r="BG600" s="1">
        <v>144.55000000000001</v>
      </c>
      <c r="BH600" s="1">
        <v>123.08</v>
      </c>
      <c r="BI600" s="1">
        <v>131.76</v>
      </c>
      <c r="BK600" s="1">
        <v>116.38</v>
      </c>
      <c r="BL600" s="1">
        <v>115.53</v>
      </c>
      <c r="BN600" s="1">
        <v>114.73</v>
      </c>
    </row>
    <row r="601" spans="1:66" x14ac:dyDescent="0.3">
      <c r="A601" s="2"/>
      <c r="C601" s="14" t="str">
        <f t="shared" si="10"/>
        <v>202311</v>
      </c>
      <c r="D601" s="3">
        <v>45231</v>
      </c>
      <c r="E601" s="21">
        <v>2468</v>
      </c>
      <c r="F601" s="21">
        <v>2375.15</v>
      </c>
      <c r="G601" s="21">
        <v>2420.67</v>
      </c>
      <c r="H601" s="21">
        <v>2418.56</v>
      </c>
      <c r="I601" s="21">
        <v>2347.44</v>
      </c>
      <c r="J601" s="21">
        <v>2381.35</v>
      </c>
      <c r="K601" s="21"/>
      <c r="L601" s="21">
        <v>2282.52</v>
      </c>
      <c r="M601" s="21"/>
      <c r="N601" s="21">
        <v>2259.02</v>
      </c>
      <c r="O601" s="21">
        <v>2350.5700000000002</v>
      </c>
      <c r="P601" s="21"/>
      <c r="Q601" s="21">
        <v>5266.67</v>
      </c>
      <c r="R601" s="20">
        <v>123.22</v>
      </c>
      <c r="S601" s="20">
        <v>111.52</v>
      </c>
      <c r="T601" s="21">
        <v>124.88</v>
      </c>
      <c r="V601" s="1">
        <v>115.82</v>
      </c>
      <c r="W601" s="1">
        <v>127.07</v>
      </c>
      <c r="X601" s="1">
        <v>133.41999999999999</v>
      </c>
      <c r="Y601" s="1">
        <v>123.81</v>
      </c>
      <c r="Z601" s="1">
        <v>123.94</v>
      </c>
      <c r="AA601" s="1">
        <v>123.67</v>
      </c>
      <c r="AB601" s="1">
        <v>133.52000000000001</v>
      </c>
      <c r="AE601" s="1">
        <v>142.47999999999999</v>
      </c>
      <c r="AF601" s="1">
        <v>130.94</v>
      </c>
      <c r="AG601" s="1">
        <v>119.07</v>
      </c>
      <c r="AI601" s="1">
        <v>7</v>
      </c>
      <c r="AN601" s="1">
        <v>2867.43</v>
      </c>
      <c r="AP601" s="1">
        <v>2730</v>
      </c>
      <c r="AQ601" s="1">
        <v>2667.6</v>
      </c>
      <c r="AR601" s="1">
        <v>2619.09</v>
      </c>
      <c r="AS601" s="1">
        <v>3074.3</v>
      </c>
      <c r="AT601" s="1">
        <v>3084.75</v>
      </c>
      <c r="AU601" s="1">
        <v>2597.88</v>
      </c>
      <c r="AW601" s="1">
        <v>2476.52</v>
      </c>
      <c r="AY601" s="1">
        <v>2771.67</v>
      </c>
      <c r="AZ601" s="1">
        <v>2905.05</v>
      </c>
      <c r="BA601" s="1">
        <v>125.06</v>
      </c>
      <c r="BB601" s="1">
        <v>138.97</v>
      </c>
      <c r="BC601" s="1">
        <v>134.80000000000001</v>
      </c>
      <c r="BD601" s="1">
        <v>133.24</v>
      </c>
      <c r="BE601" s="1">
        <v>131.94999999999999</v>
      </c>
      <c r="BF601" s="1">
        <v>132.15</v>
      </c>
      <c r="BG601" s="1">
        <v>144.35</v>
      </c>
      <c r="BH601" s="1">
        <v>123.08</v>
      </c>
      <c r="BI601" s="1">
        <v>133.26</v>
      </c>
      <c r="BK601" s="1">
        <v>117.04</v>
      </c>
      <c r="BL601" s="1">
        <v>115.53</v>
      </c>
      <c r="BN601" s="1">
        <v>114.73</v>
      </c>
    </row>
    <row r="602" spans="1:66" x14ac:dyDescent="0.3">
      <c r="A602" s="2"/>
      <c r="C602" s="14" t="str">
        <f t="shared" si="10"/>
        <v>202310</v>
      </c>
      <c r="D602" s="3">
        <v>45230</v>
      </c>
      <c r="E602" s="21">
        <v>2463.73</v>
      </c>
      <c r="F602" s="21">
        <v>2375.15</v>
      </c>
      <c r="G602" s="21">
        <v>2420.67</v>
      </c>
      <c r="H602" s="21">
        <v>2334.7800000000002</v>
      </c>
      <c r="I602" s="21">
        <v>2347.44</v>
      </c>
      <c r="J602" s="21">
        <v>2381.08</v>
      </c>
      <c r="K602" s="21"/>
      <c r="L602" s="21">
        <v>2288.86</v>
      </c>
      <c r="M602" s="21"/>
      <c r="N602" s="21">
        <v>2255.5300000000002</v>
      </c>
      <c r="O602" s="21">
        <v>2342.48</v>
      </c>
      <c r="P602" s="21"/>
      <c r="Q602" s="21">
        <v>5279.17</v>
      </c>
      <c r="R602" s="20">
        <v>124.88</v>
      </c>
      <c r="S602" s="20">
        <v>111.92</v>
      </c>
      <c r="T602" s="21">
        <v>125.48</v>
      </c>
      <c r="V602" s="1">
        <v>114.71</v>
      </c>
      <c r="W602" s="1">
        <v>127.17</v>
      </c>
      <c r="X602" s="1">
        <v>133.9</v>
      </c>
      <c r="Y602" s="1">
        <v>124.15</v>
      </c>
      <c r="Z602" s="1">
        <v>124.6</v>
      </c>
      <c r="AA602" s="1">
        <v>123.93</v>
      </c>
      <c r="AB602" s="1">
        <v>133.52000000000001</v>
      </c>
      <c r="AE602" s="1">
        <v>142.46</v>
      </c>
      <c r="AF602" s="1">
        <v>132.54</v>
      </c>
      <c r="AG602" s="1">
        <v>119.33</v>
      </c>
      <c r="AI602" s="1">
        <v>7</v>
      </c>
      <c r="AN602" s="1">
        <v>3115.38</v>
      </c>
      <c r="AP602" s="1">
        <v>2730</v>
      </c>
      <c r="AQ602" s="1">
        <v>2667.6</v>
      </c>
      <c r="AR602" s="1">
        <v>2619.09</v>
      </c>
      <c r="AS602" s="1">
        <v>3074.3</v>
      </c>
      <c r="AT602" s="1">
        <v>3084.75</v>
      </c>
      <c r="AU602" s="1">
        <v>2597.88</v>
      </c>
      <c r="AW602" s="1">
        <v>2516.81</v>
      </c>
      <c r="AY602" s="1">
        <v>2771.67</v>
      </c>
      <c r="AZ602" s="1">
        <v>2905.05</v>
      </c>
      <c r="BA602" s="1">
        <v>125.13</v>
      </c>
      <c r="BB602" s="1">
        <v>139.97</v>
      </c>
      <c r="BC602" s="1">
        <v>135.13999999999999</v>
      </c>
      <c r="BD602" s="1">
        <v>134.44</v>
      </c>
      <c r="BE602" s="1">
        <v>131.65</v>
      </c>
      <c r="BF602" s="1">
        <v>131.59</v>
      </c>
      <c r="BG602" s="1">
        <v>143</v>
      </c>
      <c r="BH602" s="1">
        <v>123.08</v>
      </c>
      <c r="BI602" s="1">
        <v>132.93</v>
      </c>
      <c r="BK602" s="1">
        <v>119.03</v>
      </c>
      <c r="BL602" s="1">
        <v>115.53</v>
      </c>
      <c r="BN602" s="1">
        <v>114.73</v>
      </c>
    </row>
    <row r="603" spans="1:66" x14ac:dyDescent="0.3">
      <c r="A603" s="2"/>
      <c r="C603" s="14" t="str">
        <f t="shared" si="10"/>
        <v>202310</v>
      </c>
      <c r="D603" s="3">
        <v>45229</v>
      </c>
      <c r="E603" s="21">
        <v>2473.67</v>
      </c>
      <c r="F603" s="21">
        <v>2375.15</v>
      </c>
      <c r="G603" s="21">
        <v>2420.67</v>
      </c>
      <c r="H603" s="21">
        <v>2334.7800000000002</v>
      </c>
      <c r="I603" s="21">
        <v>2347.44</v>
      </c>
      <c r="J603" s="21">
        <v>2381.89</v>
      </c>
      <c r="K603" s="21"/>
      <c r="L603" s="21">
        <v>2288.86</v>
      </c>
      <c r="M603" s="21"/>
      <c r="N603" s="21">
        <v>2281.54</v>
      </c>
      <c r="O603" s="21">
        <v>2344.17</v>
      </c>
      <c r="P603" s="21"/>
      <c r="Q603" s="21">
        <v>5266.8</v>
      </c>
      <c r="R603" s="20">
        <v>122.72</v>
      </c>
      <c r="S603" s="20">
        <v>110.83</v>
      </c>
      <c r="T603" s="21">
        <v>124.83</v>
      </c>
      <c r="V603" s="1">
        <v>114.71</v>
      </c>
      <c r="W603" s="1">
        <v>127</v>
      </c>
      <c r="X603" s="1">
        <v>133.41999999999999</v>
      </c>
      <c r="Y603" s="1">
        <v>123.82</v>
      </c>
      <c r="Z603" s="1">
        <v>124.06</v>
      </c>
      <c r="AA603" s="1">
        <v>123.33</v>
      </c>
      <c r="AB603" s="1">
        <v>133.52000000000001</v>
      </c>
      <c r="AE603" s="1">
        <v>142.44</v>
      </c>
      <c r="AF603" s="1">
        <v>131.19</v>
      </c>
      <c r="AG603" s="1">
        <v>117.8</v>
      </c>
      <c r="AN603" s="1">
        <v>3031.36</v>
      </c>
      <c r="AP603" s="1">
        <v>2730</v>
      </c>
      <c r="AQ603" s="1">
        <v>2728.22</v>
      </c>
      <c r="AR603" s="1">
        <v>2619.09</v>
      </c>
      <c r="AS603" s="1">
        <v>3088.62</v>
      </c>
      <c r="AT603" s="1">
        <v>3063.45</v>
      </c>
      <c r="AU603" s="1">
        <v>2557.71</v>
      </c>
      <c r="AW603" s="1">
        <v>2532.88</v>
      </c>
      <c r="AX603" s="1">
        <v>123.61</v>
      </c>
      <c r="AY603" s="1">
        <v>2824.22</v>
      </c>
      <c r="AZ603" s="1">
        <v>2667.6</v>
      </c>
      <c r="BA603" s="1">
        <v>125.09</v>
      </c>
      <c r="BB603" s="1">
        <v>140.30000000000001</v>
      </c>
      <c r="BC603" s="1">
        <v>134.91</v>
      </c>
      <c r="BD603" s="1">
        <v>133.96</v>
      </c>
      <c r="BE603" s="1">
        <v>131.46</v>
      </c>
      <c r="BF603" s="1">
        <v>132.21</v>
      </c>
      <c r="BG603" s="1">
        <v>142.34</v>
      </c>
      <c r="BH603" s="1">
        <v>123.08</v>
      </c>
      <c r="BI603" s="1">
        <v>132.43</v>
      </c>
      <c r="BK603" s="1">
        <v>119.03</v>
      </c>
      <c r="BL603" s="1">
        <v>115.33</v>
      </c>
      <c r="BN603" s="1">
        <v>114.73</v>
      </c>
    </row>
    <row r="604" spans="1:66" x14ac:dyDescent="0.3">
      <c r="A604" s="2"/>
      <c r="C604" s="14" t="str">
        <f t="shared" si="10"/>
        <v>202310</v>
      </c>
      <c r="D604" s="3">
        <v>45226</v>
      </c>
      <c r="E604" s="21">
        <v>2474.31</v>
      </c>
      <c r="F604" s="21">
        <v>2375.15</v>
      </c>
      <c r="G604" s="21">
        <v>2394.94</v>
      </c>
      <c r="H604" s="21">
        <v>2421.6999999999998</v>
      </c>
      <c r="I604" s="21">
        <v>2355.36</v>
      </c>
      <c r="J604" s="21">
        <v>2396.94</v>
      </c>
      <c r="K604" s="21">
        <v>2241.37</v>
      </c>
      <c r="L604" s="21">
        <v>2292.16</v>
      </c>
      <c r="M604" s="21"/>
      <c r="N604" s="21">
        <v>2356.6999999999998</v>
      </c>
      <c r="O604" s="21">
        <v>2368.8000000000002</v>
      </c>
      <c r="P604" s="21">
        <v>2386.9699999999998</v>
      </c>
      <c r="Q604" s="21">
        <v>5204.3</v>
      </c>
      <c r="R604" s="20">
        <v>121.14</v>
      </c>
      <c r="S604" s="20">
        <v>110.83</v>
      </c>
      <c r="T604" s="21">
        <v>124.64</v>
      </c>
      <c r="V604" s="1">
        <v>115.59</v>
      </c>
      <c r="W604" s="1">
        <v>127.2</v>
      </c>
      <c r="X604" s="1">
        <v>133.54</v>
      </c>
      <c r="Y604" s="1">
        <v>124.1</v>
      </c>
      <c r="Z604" s="1">
        <v>124.14</v>
      </c>
      <c r="AA604" s="1">
        <v>122.82</v>
      </c>
      <c r="AB604" s="1">
        <v>133.52000000000001</v>
      </c>
      <c r="AE604" s="1">
        <v>141.54</v>
      </c>
      <c r="AF604" s="1">
        <v>130.52000000000001</v>
      </c>
      <c r="AG604" s="1">
        <v>118</v>
      </c>
      <c r="AN604" s="1">
        <v>3031.36</v>
      </c>
      <c r="AQ604" s="1">
        <v>2788.85</v>
      </c>
      <c r="AS604" s="1">
        <v>2990.94</v>
      </c>
      <c r="AT604" s="1">
        <v>3063.45</v>
      </c>
      <c r="AU604" s="1">
        <v>2557.71</v>
      </c>
      <c r="AW604" s="1">
        <v>2701.95</v>
      </c>
      <c r="AX604" s="1">
        <v>123.44</v>
      </c>
      <c r="AY604" s="1">
        <v>2824.22</v>
      </c>
      <c r="AZ604" s="1">
        <v>2667.6</v>
      </c>
      <c r="BA604" s="1">
        <v>125.04</v>
      </c>
      <c r="BB604" s="1">
        <v>139.47</v>
      </c>
      <c r="BC604" s="1">
        <v>133.75</v>
      </c>
      <c r="BD604" s="1">
        <v>132.28</v>
      </c>
      <c r="BE604" s="1">
        <v>129.47999999999999</v>
      </c>
      <c r="BF604" s="1">
        <v>131.53</v>
      </c>
      <c r="BG604" s="1">
        <v>142.16999999999999</v>
      </c>
      <c r="BH604" s="1">
        <v>123.08</v>
      </c>
      <c r="BI604" s="1">
        <v>132.43</v>
      </c>
      <c r="BK604" s="1">
        <v>119.03</v>
      </c>
      <c r="BL604" s="1">
        <v>115.33</v>
      </c>
      <c r="BN604" s="1">
        <v>114.73</v>
      </c>
    </row>
    <row r="605" spans="1:66" x14ac:dyDescent="0.3">
      <c r="A605" s="2"/>
      <c r="C605" s="14" t="str">
        <f t="shared" si="10"/>
        <v>202310</v>
      </c>
      <c r="D605" s="3">
        <v>45225</v>
      </c>
      <c r="E605" s="21">
        <v>2452.4499999999998</v>
      </c>
      <c r="F605" s="21">
        <v>2378.12</v>
      </c>
      <c r="G605" s="21">
        <v>2394.94</v>
      </c>
      <c r="H605" s="21">
        <v>2401.89</v>
      </c>
      <c r="I605" s="21">
        <v>2345.46</v>
      </c>
      <c r="J605" s="21">
        <v>2395.73</v>
      </c>
      <c r="K605" s="21">
        <v>2254.86</v>
      </c>
      <c r="L605" s="21">
        <v>2232.0700000000002</v>
      </c>
      <c r="M605" s="21"/>
      <c r="N605" s="21">
        <v>2381.44</v>
      </c>
      <c r="O605" s="21">
        <v>2358.75</v>
      </c>
      <c r="P605" s="21">
        <v>2389.7399999999998</v>
      </c>
      <c r="Q605" s="21">
        <v>5229.04</v>
      </c>
      <c r="R605" s="20">
        <v>121.14</v>
      </c>
      <c r="S605" s="20">
        <v>110.83</v>
      </c>
      <c r="T605" s="21">
        <v>124.51</v>
      </c>
      <c r="V605" s="1">
        <v>115.67</v>
      </c>
      <c r="W605" s="1">
        <v>127.31</v>
      </c>
      <c r="X605" s="1">
        <v>133.41999999999999</v>
      </c>
      <c r="Y605" s="1">
        <v>124.37</v>
      </c>
      <c r="Z605" s="1">
        <v>124.59</v>
      </c>
      <c r="AA605" s="1">
        <v>123.11</v>
      </c>
      <c r="AB605" s="1">
        <v>133.52000000000001</v>
      </c>
      <c r="AE605" s="1">
        <v>141.88999999999999</v>
      </c>
      <c r="AF605" s="1">
        <v>130.28</v>
      </c>
      <c r="AG605" s="1">
        <v>117.98</v>
      </c>
      <c r="AN605" s="1">
        <v>3031.36</v>
      </c>
      <c r="AQ605" s="1">
        <v>2788.85</v>
      </c>
      <c r="AS605" s="1">
        <v>2990.94</v>
      </c>
      <c r="AT605" s="1">
        <v>3229.7</v>
      </c>
      <c r="AU605" s="1">
        <v>2557.71</v>
      </c>
      <c r="AW605" s="1">
        <v>2701.95</v>
      </c>
      <c r="AX605" s="1">
        <v>122.95</v>
      </c>
      <c r="AY605" s="1">
        <v>2835.16</v>
      </c>
      <c r="AZ605" s="1">
        <v>2667.6</v>
      </c>
      <c r="BA605" s="1">
        <v>125.69</v>
      </c>
      <c r="BB605" s="1">
        <v>139.37</v>
      </c>
      <c r="BC605" s="1">
        <v>134.25</v>
      </c>
      <c r="BD605" s="1">
        <v>132.46</v>
      </c>
      <c r="BE605" s="1">
        <v>129.26</v>
      </c>
      <c r="BF605" s="1">
        <v>131.52000000000001</v>
      </c>
      <c r="BG605" s="1">
        <v>142.01</v>
      </c>
      <c r="BH605" s="1">
        <v>123.83</v>
      </c>
      <c r="BI605" s="1">
        <v>132.93</v>
      </c>
      <c r="BK605" s="1">
        <v>118.7</v>
      </c>
      <c r="BL605" s="1">
        <v>115.73</v>
      </c>
      <c r="BN605" s="1">
        <v>115.06</v>
      </c>
    </row>
    <row r="606" spans="1:66" x14ac:dyDescent="0.3">
      <c r="A606" s="2"/>
      <c r="C606" s="14" t="str">
        <f t="shared" si="10"/>
        <v>202310</v>
      </c>
      <c r="D606" s="3">
        <v>45224</v>
      </c>
      <c r="E606" s="21">
        <v>2446.0100000000002</v>
      </c>
      <c r="F606" s="21">
        <v>2344.63</v>
      </c>
      <c r="G606" s="21">
        <v>2394.94</v>
      </c>
      <c r="H606" s="21">
        <v>2327.5</v>
      </c>
      <c r="I606" s="21">
        <v>2345.46</v>
      </c>
      <c r="J606" s="21">
        <v>2395.73</v>
      </c>
      <c r="K606" s="21">
        <v>2295.3200000000002</v>
      </c>
      <c r="L606" s="21">
        <v>2232.0700000000002</v>
      </c>
      <c r="M606" s="21">
        <v>2193.61</v>
      </c>
      <c r="N606" s="21">
        <v>2276.08</v>
      </c>
      <c r="O606" s="21">
        <v>2338.6999999999998</v>
      </c>
      <c r="P606" s="21">
        <v>2374.33</v>
      </c>
      <c r="Q606" s="21">
        <v>5191.93</v>
      </c>
      <c r="R606" s="20">
        <v>120.64</v>
      </c>
      <c r="S606" s="20">
        <v>110.72</v>
      </c>
      <c r="T606" s="21">
        <v>124.49</v>
      </c>
      <c r="V606" s="1">
        <v>113.93</v>
      </c>
      <c r="W606" s="1">
        <v>127.46</v>
      </c>
      <c r="X606" s="1">
        <v>133.77000000000001</v>
      </c>
      <c r="Y606" s="1">
        <v>123.81</v>
      </c>
      <c r="Z606" s="1">
        <v>123.95</v>
      </c>
      <c r="AA606" s="1">
        <v>122.61</v>
      </c>
      <c r="AB606" s="1">
        <v>133.52000000000001</v>
      </c>
      <c r="AE606" s="1">
        <v>142.94</v>
      </c>
      <c r="AF606" s="1">
        <v>130.08000000000001</v>
      </c>
      <c r="AG606" s="1">
        <v>116.51</v>
      </c>
      <c r="AN606" s="1">
        <v>3152.61</v>
      </c>
      <c r="AP606" s="1">
        <v>2920</v>
      </c>
      <c r="AQ606" s="1">
        <v>2788.85</v>
      </c>
      <c r="AS606" s="1">
        <v>2887.37</v>
      </c>
      <c r="AT606" s="1">
        <v>3282.8</v>
      </c>
      <c r="AU606" s="1">
        <v>2557.71</v>
      </c>
      <c r="AW606" s="1">
        <v>2701.95</v>
      </c>
      <c r="AX606" s="1">
        <v>121.46</v>
      </c>
      <c r="AY606" s="1">
        <v>2838.81</v>
      </c>
      <c r="AZ606" s="1">
        <v>2667.6</v>
      </c>
      <c r="BA606" s="1">
        <v>126.19</v>
      </c>
      <c r="BB606" s="1">
        <v>139.57</v>
      </c>
      <c r="BC606" s="1">
        <v>133.31</v>
      </c>
      <c r="BD606" s="1">
        <v>131.43</v>
      </c>
      <c r="BE606" s="1">
        <v>129.63</v>
      </c>
      <c r="BF606" s="1">
        <v>128.47</v>
      </c>
      <c r="BG606" s="1">
        <v>142.16</v>
      </c>
      <c r="BH606" s="1">
        <v>123.83</v>
      </c>
      <c r="BI606" s="1">
        <v>136.11000000000001</v>
      </c>
      <c r="BK606" s="1">
        <v>118.7</v>
      </c>
      <c r="BL606" s="1">
        <v>116.95</v>
      </c>
      <c r="BN606" s="1">
        <v>115.06</v>
      </c>
    </row>
    <row r="607" spans="1:66" x14ac:dyDescent="0.3">
      <c r="A607" s="2"/>
      <c r="C607" s="14" t="str">
        <f t="shared" si="10"/>
        <v>202310</v>
      </c>
      <c r="D607" s="3">
        <v>45223</v>
      </c>
      <c r="E607" s="21">
        <v>2436.0700000000002</v>
      </c>
      <c r="F607" s="21">
        <v>2321.17</v>
      </c>
      <c r="G607" s="21">
        <v>2394.94</v>
      </c>
      <c r="H607" s="21">
        <v>2350.2399999999998</v>
      </c>
      <c r="I607" s="21">
        <v>2340.5100000000002</v>
      </c>
      <c r="J607" s="21">
        <v>2391.94</v>
      </c>
      <c r="K607" s="21">
        <v>2298.6</v>
      </c>
      <c r="L607" s="21">
        <v>2258.38</v>
      </c>
      <c r="M607" s="21">
        <v>2183.71</v>
      </c>
      <c r="N607" s="21">
        <v>2245.9499999999998</v>
      </c>
      <c r="O607" s="21">
        <v>2346.6799999999998</v>
      </c>
      <c r="P607" s="21">
        <v>2343.5100000000002</v>
      </c>
      <c r="Q607" s="21">
        <v>5266.93</v>
      </c>
      <c r="R607" s="20">
        <v>120.64</v>
      </c>
      <c r="S607" s="20">
        <v>111.5</v>
      </c>
      <c r="T607" s="21">
        <v>125.07</v>
      </c>
      <c r="V607" s="1">
        <v>116.67</v>
      </c>
      <c r="W607" s="1">
        <v>127.8</v>
      </c>
      <c r="X607" s="1">
        <v>132.54</v>
      </c>
      <c r="Y607" s="1">
        <v>123.81</v>
      </c>
      <c r="Z607" s="1">
        <v>124.58</v>
      </c>
      <c r="AA607" s="1">
        <v>122.1</v>
      </c>
      <c r="AB607" s="1">
        <v>132.69</v>
      </c>
      <c r="AE607" s="1">
        <v>142.56</v>
      </c>
      <c r="AF607" s="1">
        <v>129.55000000000001</v>
      </c>
      <c r="AG607" s="1">
        <v>118.11</v>
      </c>
      <c r="AN607" s="1">
        <v>3152.61</v>
      </c>
      <c r="AP607" s="1">
        <v>2920</v>
      </c>
      <c r="AQ607" s="1">
        <v>2896.63</v>
      </c>
      <c r="AR607" s="1">
        <v>2975.78</v>
      </c>
      <c r="AS607" s="1">
        <v>2887.37</v>
      </c>
      <c r="AT607" s="1">
        <v>3282.8</v>
      </c>
      <c r="AU607" s="1">
        <v>2561.5</v>
      </c>
      <c r="AW607" s="1">
        <v>2645.37</v>
      </c>
      <c r="AX607" s="1">
        <v>121.46</v>
      </c>
      <c r="AY607" s="1">
        <v>2838.81</v>
      </c>
      <c r="AZ607" s="1">
        <v>2667.6</v>
      </c>
      <c r="BA607" s="1">
        <v>126.59</v>
      </c>
      <c r="BB607" s="1">
        <v>138.61000000000001</v>
      </c>
      <c r="BC607" s="1">
        <v>133.47999999999999</v>
      </c>
      <c r="BD607" s="1">
        <v>131.69999999999999</v>
      </c>
      <c r="BE607" s="1">
        <v>129.6</v>
      </c>
      <c r="BF607" s="1">
        <v>131.49</v>
      </c>
      <c r="BG607" s="1">
        <v>142.65</v>
      </c>
      <c r="BH607" s="1">
        <v>125.33</v>
      </c>
      <c r="BI607" s="1">
        <v>132.93</v>
      </c>
      <c r="BK607" s="1">
        <v>118.7</v>
      </c>
      <c r="BL607" s="1">
        <v>117.53</v>
      </c>
      <c r="BN607" s="1">
        <v>115.06</v>
      </c>
    </row>
    <row r="608" spans="1:66" x14ac:dyDescent="0.3">
      <c r="A608" s="2"/>
      <c r="C608" s="14" t="str">
        <f t="shared" si="10"/>
        <v>202310</v>
      </c>
      <c r="D608" s="3">
        <v>45222</v>
      </c>
      <c r="E608" s="21">
        <v>2448.85</v>
      </c>
      <c r="F608" s="21">
        <v>2331.16</v>
      </c>
      <c r="G608" s="21">
        <v>2394.94</v>
      </c>
      <c r="H608" s="21">
        <v>2332.0300000000002</v>
      </c>
      <c r="I608" s="21">
        <v>2340.5100000000002</v>
      </c>
      <c r="J608" s="21">
        <v>2328.3000000000002</v>
      </c>
      <c r="K608" s="21">
        <v>2298.6</v>
      </c>
      <c r="L608" s="21">
        <v>2246.44</v>
      </c>
      <c r="M608" s="21">
        <v>2134.09</v>
      </c>
      <c r="N608" s="21">
        <v>2232.6799999999998</v>
      </c>
      <c r="O608" s="21">
        <v>2286.36</v>
      </c>
      <c r="P608" s="21">
        <v>2343.5100000000002</v>
      </c>
      <c r="Q608" s="21">
        <v>5208.9399999999996</v>
      </c>
      <c r="R608" s="20">
        <v>123.72</v>
      </c>
      <c r="S608" s="20">
        <v>112.99</v>
      </c>
      <c r="T608" s="21">
        <v>126.24</v>
      </c>
      <c r="V608" s="1">
        <v>115.67</v>
      </c>
      <c r="W608" s="1">
        <v>128.37</v>
      </c>
      <c r="X608" s="1">
        <v>133.54</v>
      </c>
      <c r="Y608" s="1">
        <v>124.8</v>
      </c>
      <c r="Z608" s="1">
        <v>126.15</v>
      </c>
      <c r="AA608" s="1">
        <v>123.89</v>
      </c>
      <c r="AB608" s="1">
        <v>133.24</v>
      </c>
      <c r="AE608" s="1">
        <v>143.85</v>
      </c>
      <c r="AF608" s="1">
        <v>130.46</v>
      </c>
      <c r="AG608" s="1">
        <v>118.87</v>
      </c>
      <c r="AN608" s="1">
        <v>3152.61</v>
      </c>
      <c r="AP608" s="1">
        <v>2920</v>
      </c>
      <c r="AQ608" s="1">
        <v>2950.52</v>
      </c>
      <c r="AR608" s="1">
        <v>2975.78</v>
      </c>
      <c r="AS608" s="1">
        <v>2887.37</v>
      </c>
      <c r="AT608" s="1">
        <v>3428.47</v>
      </c>
      <c r="AU608" s="1">
        <v>2758.54</v>
      </c>
      <c r="AW608" s="1">
        <v>2753.49</v>
      </c>
      <c r="AX608" s="1">
        <v>121.16</v>
      </c>
      <c r="AY608" s="1">
        <v>2967.36</v>
      </c>
      <c r="AZ608" s="1">
        <v>2953.68</v>
      </c>
      <c r="BA608" s="1">
        <v>126.67</v>
      </c>
      <c r="BB608" s="1">
        <v>138.97999999999999</v>
      </c>
      <c r="BC608" s="1">
        <v>133.77000000000001</v>
      </c>
      <c r="BD608" s="1">
        <v>132.96</v>
      </c>
      <c r="BE608" s="1">
        <v>129.38</v>
      </c>
      <c r="BF608" s="1">
        <v>130.28</v>
      </c>
      <c r="BG608" s="1">
        <v>143.36000000000001</v>
      </c>
      <c r="BH608" s="1">
        <v>125.1</v>
      </c>
      <c r="BI608" s="1">
        <v>133.43</v>
      </c>
      <c r="BJ608" s="1">
        <v>140.54</v>
      </c>
      <c r="BK608" s="1">
        <v>119.03</v>
      </c>
      <c r="BL608" s="1">
        <v>117.92</v>
      </c>
      <c r="BN608" s="1">
        <v>115.72</v>
      </c>
    </row>
    <row r="609" spans="1:66" x14ac:dyDescent="0.3">
      <c r="A609" s="2"/>
      <c r="C609" s="14" t="str">
        <f t="shared" si="10"/>
        <v>202310</v>
      </c>
      <c r="D609" s="3">
        <v>45219</v>
      </c>
      <c r="E609" s="21">
        <v>2446.5300000000002</v>
      </c>
      <c r="F609" s="21">
        <v>2311.65</v>
      </c>
      <c r="G609" s="21">
        <v>2394.94</v>
      </c>
      <c r="H609" s="21">
        <v>2338.9</v>
      </c>
      <c r="I609" s="21">
        <v>2307.52</v>
      </c>
      <c r="J609" s="21">
        <v>2322.16</v>
      </c>
      <c r="K609" s="21">
        <v>2298.6</v>
      </c>
      <c r="L609" s="21">
        <v>2272.29</v>
      </c>
      <c r="M609" s="21">
        <v>2139.4499999999998</v>
      </c>
      <c r="N609" s="21">
        <v>2235.46</v>
      </c>
      <c r="O609" s="21">
        <v>2325.41</v>
      </c>
      <c r="P609" s="21">
        <v>2343.5100000000002</v>
      </c>
      <c r="Q609" s="21">
        <v>5251.58</v>
      </c>
      <c r="R609" s="20">
        <v>123.55</v>
      </c>
      <c r="S609" s="20">
        <v>113.16</v>
      </c>
      <c r="T609" s="21">
        <v>126.41</v>
      </c>
      <c r="V609" s="1">
        <v>117.17</v>
      </c>
      <c r="W609" s="1">
        <v>128.78</v>
      </c>
      <c r="X609" s="1">
        <v>134.66</v>
      </c>
      <c r="Y609" s="1">
        <v>126.62</v>
      </c>
      <c r="Z609" s="1">
        <v>127.09</v>
      </c>
      <c r="AA609" s="1">
        <v>124.11</v>
      </c>
      <c r="AB609" s="1">
        <v>133.79</v>
      </c>
      <c r="AE609" s="1">
        <v>143.61000000000001</v>
      </c>
      <c r="AF609" s="1">
        <v>131.65</v>
      </c>
      <c r="AG609" s="1">
        <v>119.84</v>
      </c>
      <c r="AN609" s="1">
        <v>3152.61</v>
      </c>
      <c r="AP609" s="1">
        <v>2920</v>
      </c>
      <c r="AQ609" s="1">
        <v>2950.52</v>
      </c>
      <c r="AR609" s="1">
        <v>2975.78</v>
      </c>
      <c r="AS609" s="1">
        <v>3004.41</v>
      </c>
      <c r="AT609" s="1">
        <v>3428.47</v>
      </c>
      <c r="AU609" s="1">
        <v>2758.54</v>
      </c>
      <c r="AW609" s="1">
        <v>2753.49</v>
      </c>
      <c r="AX609" s="1">
        <v>121.12</v>
      </c>
      <c r="AY609" s="1">
        <v>2953.28</v>
      </c>
      <c r="AZ609" s="1">
        <v>2953.68</v>
      </c>
      <c r="BA609" s="1">
        <v>126.67</v>
      </c>
      <c r="BB609" s="1">
        <v>141.06</v>
      </c>
      <c r="BC609" s="1">
        <v>135.02000000000001</v>
      </c>
      <c r="BD609" s="1">
        <v>133.69999999999999</v>
      </c>
      <c r="BE609" s="1">
        <v>129.88999999999999</v>
      </c>
      <c r="BF609" s="1">
        <v>131.71</v>
      </c>
      <c r="BG609" s="1">
        <v>143.78</v>
      </c>
      <c r="BH609" s="1">
        <v>126.1</v>
      </c>
      <c r="BI609" s="1">
        <v>134.41999999999999</v>
      </c>
      <c r="BJ609" s="1">
        <v>140.59</v>
      </c>
      <c r="BK609" s="1">
        <v>121.02</v>
      </c>
      <c r="BL609" s="1">
        <v>119.53</v>
      </c>
      <c r="BN609" s="1">
        <v>117.7</v>
      </c>
    </row>
    <row r="610" spans="1:66" x14ac:dyDescent="0.3">
      <c r="A610" s="2"/>
      <c r="C610" s="14" t="str">
        <f t="shared" si="10"/>
        <v>202310</v>
      </c>
      <c r="D610" s="3">
        <v>45218</v>
      </c>
      <c r="E610" s="21">
        <v>2446.5300000000002</v>
      </c>
      <c r="F610" s="21">
        <v>2311.65</v>
      </c>
      <c r="G610" s="21">
        <v>2357.83</v>
      </c>
      <c r="H610" s="21">
        <v>2317.5</v>
      </c>
      <c r="I610" s="21">
        <v>2299.2800000000002</v>
      </c>
      <c r="J610" s="21">
        <v>2284.04</v>
      </c>
      <c r="K610" s="21">
        <v>2246.33</v>
      </c>
      <c r="L610" s="21">
        <v>2124.5300000000002</v>
      </c>
      <c r="M610" s="21">
        <v>2139.4499999999998</v>
      </c>
      <c r="N610" s="21">
        <v>2237.9</v>
      </c>
      <c r="O610" s="21">
        <v>2323.98</v>
      </c>
      <c r="P610" s="21">
        <v>2310.35</v>
      </c>
      <c r="Q610" s="21">
        <v>5353.23</v>
      </c>
      <c r="R610" s="20">
        <v>123.55</v>
      </c>
      <c r="S610" s="20">
        <v>113.46</v>
      </c>
      <c r="T610" s="21">
        <v>126.47</v>
      </c>
      <c r="V610" s="1">
        <v>117.04</v>
      </c>
      <c r="W610" s="1">
        <v>127.83</v>
      </c>
      <c r="X610" s="1">
        <v>134.41</v>
      </c>
      <c r="Y610" s="1">
        <v>126.74</v>
      </c>
      <c r="Z610" s="1">
        <v>126.82</v>
      </c>
      <c r="AA610" s="1">
        <v>124.17</v>
      </c>
      <c r="AB610" s="1">
        <v>133.79</v>
      </c>
      <c r="AE610" s="1">
        <v>142.55000000000001</v>
      </c>
      <c r="AF610" s="1">
        <v>132.47999999999999</v>
      </c>
      <c r="AG610" s="1">
        <v>118.83</v>
      </c>
      <c r="AN610" s="1">
        <v>2894.95</v>
      </c>
      <c r="AP610" s="1">
        <v>2920</v>
      </c>
      <c r="AQ610" s="1">
        <v>2950.52</v>
      </c>
      <c r="AR610" s="1">
        <v>2975.78</v>
      </c>
      <c r="AS610" s="1">
        <v>3004.41</v>
      </c>
      <c r="AU610" s="1">
        <v>2610.7600000000002</v>
      </c>
      <c r="AW610" s="1">
        <v>2896.21</v>
      </c>
      <c r="AX610" s="1">
        <v>121.12</v>
      </c>
      <c r="AY610" s="1">
        <v>3008.26</v>
      </c>
      <c r="AZ610" s="1">
        <v>2953.68</v>
      </c>
      <c r="BA610" s="1">
        <v>127.37</v>
      </c>
      <c r="BB610" s="1">
        <v>140.66</v>
      </c>
      <c r="BC610" s="1">
        <v>134.91999999999999</v>
      </c>
      <c r="BD610" s="1">
        <v>134.97</v>
      </c>
      <c r="BE610" s="1">
        <v>129.87</v>
      </c>
      <c r="BF610" s="1">
        <v>125.75</v>
      </c>
      <c r="BG610" s="1">
        <v>143.5</v>
      </c>
      <c r="BH610" s="1">
        <v>125.85</v>
      </c>
      <c r="BI610" s="1">
        <v>133.91999999999999</v>
      </c>
      <c r="BJ610" s="1">
        <v>140.79</v>
      </c>
      <c r="BK610" s="1">
        <v>120.69</v>
      </c>
      <c r="BL610" s="1">
        <v>119.13</v>
      </c>
      <c r="BN610" s="1">
        <v>117.75</v>
      </c>
    </row>
    <row r="611" spans="1:66" x14ac:dyDescent="0.3">
      <c r="A611" s="2"/>
      <c r="C611" s="14" t="str">
        <f t="shared" si="10"/>
        <v>202310</v>
      </c>
      <c r="D611" s="3">
        <v>45217</v>
      </c>
      <c r="E611" s="21">
        <v>2399</v>
      </c>
      <c r="F611" s="21">
        <v>2283.11</v>
      </c>
      <c r="G611" s="21">
        <v>2325.67</v>
      </c>
      <c r="H611" s="21">
        <v>2301.73</v>
      </c>
      <c r="I611" s="21">
        <v>2276.1799999999998</v>
      </c>
      <c r="J611" s="21">
        <v>2279.64</v>
      </c>
      <c r="K611" s="21">
        <v>2185.41</v>
      </c>
      <c r="L611" s="21">
        <v>2099.79</v>
      </c>
      <c r="M611" s="21">
        <v>2139.4499999999998</v>
      </c>
      <c r="N611" s="21">
        <v>2259.31</v>
      </c>
      <c r="O611" s="21">
        <v>2307.56</v>
      </c>
      <c r="P611" s="21">
        <v>2274.71</v>
      </c>
      <c r="Q611" s="21">
        <v>5366.54</v>
      </c>
      <c r="R611" s="20">
        <v>120.39</v>
      </c>
      <c r="S611" s="20">
        <v>112.06</v>
      </c>
      <c r="T611" s="21">
        <v>126.08</v>
      </c>
      <c r="V611" s="1">
        <v>117.04</v>
      </c>
      <c r="W611" s="1">
        <v>127.46</v>
      </c>
      <c r="X611" s="1">
        <v>133.02000000000001</v>
      </c>
      <c r="Y611" s="1">
        <v>125.8</v>
      </c>
      <c r="Z611" s="1">
        <v>125.93</v>
      </c>
      <c r="AA611" s="1">
        <v>122.01</v>
      </c>
      <c r="AB611" s="1">
        <v>132.03</v>
      </c>
      <c r="AE611" s="1">
        <v>141.34</v>
      </c>
      <c r="AF611" s="1">
        <v>131.88999999999999</v>
      </c>
      <c r="AG611" s="1">
        <v>116.52</v>
      </c>
      <c r="AQ611" s="1">
        <v>2950.52</v>
      </c>
      <c r="AR611" s="1">
        <v>3283.97</v>
      </c>
      <c r="AS611" s="1">
        <v>3152.61</v>
      </c>
      <c r="AU611" s="1">
        <v>2561.5</v>
      </c>
      <c r="AW611" s="1">
        <v>2896.21</v>
      </c>
      <c r="AX611" s="1">
        <v>121.12</v>
      </c>
      <c r="AY611" s="1">
        <v>3008.26</v>
      </c>
      <c r="AZ611" s="1">
        <v>2953.68</v>
      </c>
      <c r="BA611" s="1">
        <v>126.86</v>
      </c>
      <c r="BB611" s="1">
        <v>140.54</v>
      </c>
      <c r="BC611" s="1">
        <v>134.79</v>
      </c>
      <c r="BD611" s="1">
        <v>133.54</v>
      </c>
      <c r="BE611" s="1">
        <v>129.63999999999999</v>
      </c>
      <c r="BF611" s="1">
        <v>126.2</v>
      </c>
      <c r="BG611" s="1">
        <v>142.01</v>
      </c>
      <c r="BH611" s="1">
        <v>125.85</v>
      </c>
      <c r="BI611" s="1">
        <v>133.01</v>
      </c>
      <c r="BJ611" s="1">
        <v>141.56</v>
      </c>
      <c r="BK611" s="1">
        <v>120.36</v>
      </c>
      <c r="BL611" s="1">
        <v>118.41</v>
      </c>
      <c r="BN611" s="1">
        <v>117.25</v>
      </c>
    </row>
    <row r="612" spans="1:66" x14ac:dyDescent="0.3">
      <c r="A612" s="2"/>
      <c r="C612" s="14" t="str">
        <f t="shared" si="10"/>
        <v>202310</v>
      </c>
      <c r="D612" s="3">
        <v>45216</v>
      </c>
      <c r="E612" s="21">
        <v>2379.17</v>
      </c>
      <c r="F612" s="21">
        <v>2233</v>
      </c>
      <c r="G612" s="21">
        <v>2293.5</v>
      </c>
      <c r="H612" s="21">
        <v>2279.14</v>
      </c>
      <c r="I612" s="21">
        <v>2264.64</v>
      </c>
      <c r="J612" s="21">
        <v>2267.4499999999998</v>
      </c>
      <c r="K612" s="21">
        <v>2196.58</v>
      </c>
      <c r="L612" s="21">
        <v>2099.79</v>
      </c>
      <c r="M612" s="21">
        <v>2093.4899999999998</v>
      </c>
      <c r="N612" s="21">
        <v>2155.34</v>
      </c>
      <c r="O612" s="21">
        <v>2262.9899999999998</v>
      </c>
      <c r="P612" s="21">
        <v>2244.0300000000002</v>
      </c>
      <c r="Q612" s="21">
        <v>5188.72</v>
      </c>
      <c r="R612" s="20">
        <v>121.55</v>
      </c>
      <c r="S612" s="20">
        <v>112.06</v>
      </c>
      <c r="T612" s="21">
        <v>125.52</v>
      </c>
      <c r="V612" s="1">
        <v>115.05</v>
      </c>
      <c r="W612" s="1">
        <v>127.33</v>
      </c>
      <c r="X612" s="1">
        <v>130.66999999999999</v>
      </c>
      <c r="Y612" s="1">
        <v>124.61</v>
      </c>
      <c r="Z612" s="1">
        <v>125.01</v>
      </c>
      <c r="AA612" s="1">
        <v>122.14</v>
      </c>
      <c r="AB612" s="1">
        <v>130.51</v>
      </c>
      <c r="AE612" s="1">
        <v>140.31</v>
      </c>
      <c r="AF612" s="1">
        <v>130.82</v>
      </c>
      <c r="AG612" s="1">
        <v>116.5</v>
      </c>
      <c r="AP612" s="1">
        <v>2860</v>
      </c>
      <c r="AS612" s="1">
        <v>3238.5</v>
      </c>
      <c r="AT612" s="1">
        <v>3415.33</v>
      </c>
      <c r="AU612" s="1">
        <v>2561.5</v>
      </c>
      <c r="AW612" s="1">
        <v>2896.21</v>
      </c>
      <c r="AX612" s="1">
        <v>120.89</v>
      </c>
      <c r="AY612" s="1">
        <v>3008.26</v>
      </c>
      <c r="AZ612" s="1">
        <v>2953.68</v>
      </c>
      <c r="BA612" s="1">
        <v>127.33</v>
      </c>
      <c r="BB612" s="1">
        <v>138.83000000000001</v>
      </c>
      <c r="BC612" s="1">
        <v>133.27000000000001</v>
      </c>
      <c r="BD612" s="1">
        <v>132.69</v>
      </c>
      <c r="BE612" s="1">
        <v>129.55000000000001</v>
      </c>
      <c r="BF612" s="1">
        <v>127.65</v>
      </c>
      <c r="BG612" s="1">
        <v>141.37</v>
      </c>
      <c r="BH612" s="1">
        <v>123.13</v>
      </c>
      <c r="BI612" s="1">
        <v>132.76</v>
      </c>
      <c r="BJ612" s="1">
        <v>140.04</v>
      </c>
      <c r="BK612" s="1">
        <v>119.03</v>
      </c>
      <c r="BL612" s="1">
        <v>117.16</v>
      </c>
      <c r="BN612" s="1">
        <v>116.76</v>
      </c>
    </row>
    <row r="613" spans="1:66" x14ac:dyDescent="0.3">
      <c r="A613" s="2"/>
      <c r="C613" s="14" t="str">
        <f t="shared" si="10"/>
        <v>202310</v>
      </c>
      <c r="D613" s="3">
        <v>45215</v>
      </c>
      <c r="E613" s="21">
        <v>2314.7800000000002</v>
      </c>
      <c r="F613" s="21">
        <v>2233</v>
      </c>
      <c r="G613" s="21">
        <v>2298.4499999999998</v>
      </c>
      <c r="H613" s="21">
        <v>2279.14</v>
      </c>
      <c r="I613" s="21">
        <v>2264.64</v>
      </c>
      <c r="J613" s="21">
        <v>2235.9</v>
      </c>
      <c r="K613" s="21">
        <v>2196.58</v>
      </c>
      <c r="L613" s="21">
        <v>2037.32</v>
      </c>
      <c r="M613" s="21">
        <v>2066.2800000000002</v>
      </c>
      <c r="N613" s="21">
        <v>2039.67</v>
      </c>
      <c r="O613" s="21">
        <v>2251.75</v>
      </c>
      <c r="P613" s="21">
        <v>2217.4299999999998</v>
      </c>
      <c r="Q613" s="21">
        <v>5354.04</v>
      </c>
      <c r="R613" s="20">
        <v>121.06</v>
      </c>
      <c r="S613" s="20">
        <v>110.32</v>
      </c>
      <c r="T613" s="21">
        <v>125.1</v>
      </c>
      <c r="V613" s="1">
        <v>115.04</v>
      </c>
      <c r="W613" s="1">
        <v>127.39</v>
      </c>
      <c r="X613" s="1">
        <v>130.66999999999999</v>
      </c>
      <c r="Y613" s="1">
        <v>124.67</v>
      </c>
      <c r="Z613" s="1">
        <v>125.31</v>
      </c>
      <c r="AA613" s="1">
        <v>121.64</v>
      </c>
      <c r="AB613" s="1">
        <v>130.13</v>
      </c>
      <c r="AE613" s="1">
        <v>139.69</v>
      </c>
      <c r="AF613" s="1">
        <v>130.03</v>
      </c>
      <c r="AG613" s="1">
        <v>116.46</v>
      </c>
      <c r="AN613" s="1">
        <v>3174.84</v>
      </c>
      <c r="AP613" s="1">
        <v>2860</v>
      </c>
      <c r="AS613" s="1">
        <v>3238.5</v>
      </c>
      <c r="AT613" s="1">
        <v>3415.33</v>
      </c>
      <c r="AU613" s="1">
        <v>2597.88</v>
      </c>
      <c r="AW613" s="1">
        <v>2728.22</v>
      </c>
      <c r="AX613" s="1">
        <v>121.16</v>
      </c>
      <c r="AY613" s="1">
        <v>2877.9</v>
      </c>
      <c r="AZ613" s="1">
        <v>3031.36</v>
      </c>
      <c r="BA613" s="1">
        <v>126.89</v>
      </c>
      <c r="BB613" s="1">
        <v>139</v>
      </c>
      <c r="BC613" s="1">
        <v>132.61000000000001</v>
      </c>
      <c r="BD613" s="1">
        <v>132.80000000000001</v>
      </c>
      <c r="BE613" s="1">
        <v>129.33000000000001</v>
      </c>
      <c r="BF613" s="1">
        <v>127.56</v>
      </c>
      <c r="BG613" s="1">
        <v>140.94</v>
      </c>
      <c r="BH613" s="1">
        <v>123.13</v>
      </c>
      <c r="BI613" s="1">
        <v>132.76</v>
      </c>
      <c r="BJ613" s="1">
        <v>141.56</v>
      </c>
      <c r="BK613" s="1">
        <v>118.69</v>
      </c>
      <c r="BL613" s="1">
        <v>116.73</v>
      </c>
      <c r="BN613" s="1">
        <v>116.39</v>
      </c>
    </row>
    <row r="614" spans="1:66" x14ac:dyDescent="0.3">
      <c r="A614" s="2"/>
      <c r="C614" s="14" t="str">
        <f t="shared" si="10"/>
        <v>202310</v>
      </c>
      <c r="D614" s="3">
        <v>45212</v>
      </c>
      <c r="E614" s="21">
        <v>2311.23</v>
      </c>
      <c r="F614" s="21">
        <v>2233</v>
      </c>
      <c r="G614" s="21">
        <v>2293.5</v>
      </c>
      <c r="H614" s="21">
        <v>2259.56</v>
      </c>
      <c r="I614" s="21">
        <v>2266.29</v>
      </c>
      <c r="J614" s="21">
        <v>2231.3000000000002</v>
      </c>
      <c r="K614" s="21">
        <v>2189.11</v>
      </c>
      <c r="L614" s="21">
        <v>2130.02</v>
      </c>
      <c r="M614" s="21">
        <v>2066.2800000000002</v>
      </c>
      <c r="N614" s="21">
        <v>2035.14</v>
      </c>
      <c r="O614" s="21">
        <v>2258.4</v>
      </c>
      <c r="P614" s="21">
        <v>2217.4299999999998</v>
      </c>
      <c r="Q614" s="21">
        <v>5276.8</v>
      </c>
      <c r="R614" s="20">
        <v>121.06</v>
      </c>
      <c r="S614" s="20">
        <v>109.92</v>
      </c>
      <c r="T614" s="21">
        <v>125.34</v>
      </c>
      <c r="V614" s="1">
        <v>113.64</v>
      </c>
      <c r="W614" s="1">
        <v>127.17</v>
      </c>
      <c r="X614" s="1">
        <v>130.66999999999999</v>
      </c>
      <c r="Y614" s="1">
        <v>124.54</v>
      </c>
      <c r="Z614" s="1">
        <v>125.32</v>
      </c>
      <c r="AA614" s="1">
        <v>121.46</v>
      </c>
      <c r="AB614" s="1">
        <v>130.36000000000001</v>
      </c>
      <c r="AE614" s="1">
        <v>140.33000000000001</v>
      </c>
      <c r="AF614" s="1">
        <v>130.22</v>
      </c>
      <c r="AG614" s="1">
        <v>115.9</v>
      </c>
      <c r="AN614" s="1">
        <v>3174.84</v>
      </c>
      <c r="AP614" s="1">
        <v>2860</v>
      </c>
      <c r="AQ614" s="1">
        <v>2849.48</v>
      </c>
      <c r="AS614" s="1">
        <v>3324.39</v>
      </c>
      <c r="AT614" s="1">
        <v>3415.33</v>
      </c>
      <c r="AU614" s="1">
        <v>2597.88</v>
      </c>
      <c r="AW614" s="1">
        <v>2728.22</v>
      </c>
      <c r="AX614" s="1">
        <v>122.22</v>
      </c>
      <c r="AY614" s="1">
        <v>2896.97</v>
      </c>
      <c r="AZ614" s="1">
        <v>3031.36</v>
      </c>
      <c r="BA614" s="1">
        <v>126.39</v>
      </c>
      <c r="BB614" s="1">
        <v>137.88999999999999</v>
      </c>
      <c r="BC614" s="1">
        <v>133.46</v>
      </c>
      <c r="BD614" s="1">
        <v>132.47</v>
      </c>
      <c r="BE614" s="1">
        <v>129.33000000000001</v>
      </c>
      <c r="BF614" s="1">
        <v>127.56</v>
      </c>
      <c r="BG614" s="1">
        <v>141.56</v>
      </c>
      <c r="BH614" s="1">
        <v>119.5</v>
      </c>
      <c r="BI614" s="1">
        <v>132.76</v>
      </c>
      <c r="BJ614" s="1">
        <v>141.56</v>
      </c>
      <c r="BK614" s="1">
        <v>118.69</v>
      </c>
      <c r="BL614" s="1">
        <v>116.73</v>
      </c>
      <c r="BN614" s="1">
        <v>116.39</v>
      </c>
    </row>
    <row r="615" spans="1:66" x14ac:dyDescent="0.3">
      <c r="A615" s="2"/>
      <c r="C615" s="14" t="str">
        <f t="shared" si="10"/>
        <v>202310</v>
      </c>
      <c r="D615" s="3">
        <v>45210</v>
      </c>
      <c r="E615" s="21">
        <v>2285.6799999999998</v>
      </c>
      <c r="F615" s="21">
        <v>2224</v>
      </c>
      <c r="G615" s="21">
        <v>2273.71</v>
      </c>
      <c r="H615" s="21">
        <v>2193.75</v>
      </c>
      <c r="I615" s="21">
        <v>2266.29</v>
      </c>
      <c r="J615" s="21">
        <v>2225.92</v>
      </c>
      <c r="K615" s="21">
        <v>2179.16</v>
      </c>
      <c r="L615" s="21">
        <v>2079.88</v>
      </c>
      <c r="M615" s="21">
        <v>2013.75</v>
      </c>
      <c r="N615" s="21">
        <v>2022.92</v>
      </c>
      <c r="O615" s="21">
        <v>2270.52</v>
      </c>
      <c r="P615" s="21">
        <v>2204.17</v>
      </c>
      <c r="Q615" s="21">
        <v>5422.4</v>
      </c>
      <c r="R615" s="20">
        <v>120.22</v>
      </c>
      <c r="S615" s="20">
        <v>109.92</v>
      </c>
      <c r="T615" s="21">
        <v>123.67</v>
      </c>
      <c r="V615" s="1">
        <v>112.29</v>
      </c>
      <c r="W615" s="1">
        <v>126.32</v>
      </c>
      <c r="X615" s="1">
        <v>131.25</v>
      </c>
      <c r="Y615" s="1">
        <v>121.44</v>
      </c>
      <c r="Z615" s="1">
        <v>122.59</v>
      </c>
      <c r="AA615" s="1">
        <v>120.05</v>
      </c>
      <c r="AB615" s="1">
        <v>131.58000000000001</v>
      </c>
      <c r="AE615" s="1">
        <v>139.72</v>
      </c>
      <c r="AF615" s="1">
        <v>130.06</v>
      </c>
      <c r="AG615" s="1">
        <v>119.22</v>
      </c>
      <c r="AN615" s="1">
        <v>3174.84</v>
      </c>
      <c r="AP615" s="1">
        <v>2860</v>
      </c>
      <c r="AQ615" s="1">
        <v>2794.91</v>
      </c>
      <c r="AS615" s="1">
        <v>3324.39</v>
      </c>
      <c r="AT615" s="1">
        <v>3415.33</v>
      </c>
      <c r="AU615" s="1">
        <v>2652.44</v>
      </c>
      <c r="AX615" s="1">
        <v>123.63</v>
      </c>
      <c r="AY615" s="1">
        <v>2896.97</v>
      </c>
      <c r="AZ615" s="1">
        <v>3031.36</v>
      </c>
      <c r="BA615" s="1">
        <v>126.39</v>
      </c>
      <c r="BB615" s="1">
        <v>136.08000000000001</v>
      </c>
      <c r="BC615" s="1">
        <v>131.88999999999999</v>
      </c>
      <c r="BD615" s="1">
        <v>131.02000000000001</v>
      </c>
      <c r="BE615" s="1">
        <v>129.38</v>
      </c>
      <c r="BF615" s="1">
        <v>130.69</v>
      </c>
      <c r="BG615" s="1">
        <v>142.88999999999999</v>
      </c>
      <c r="BH615" s="1">
        <v>123.37</v>
      </c>
      <c r="BI615" s="1">
        <v>132.76</v>
      </c>
      <c r="BJ615" s="1">
        <v>141.56</v>
      </c>
      <c r="BK615" s="1">
        <v>117.71</v>
      </c>
      <c r="BL615" s="1">
        <v>114.7</v>
      </c>
      <c r="BN615" s="1">
        <v>113.78</v>
      </c>
    </row>
    <row r="616" spans="1:66" x14ac:dyDescent="0.3">
      <c r="A616" s="2"/>
      <c r="C616" s="14" t="str">
        <f t="shared" si="10"/>
        <v>202310</v>
      </c>
      <c r="D616" s="3">
        <v>45209</v>
      </c>
      <c r="E616" s="21">
        <v>2294.1999999999998</v>
      </c>
      <c r="F616" s="21">
        <v>2224</v>
      </c>
      <c r="G616" s="21">
        <v>2273.71</v>
      </c>
      <c r="H616" s="21">
        <v>2201.2600000000002</v>
      </c>
      <c r="I616" s="21">
        <v>2276.1799999999998</v>
      </c>
      <c r="J616" s="21">
        <v>2235.92</v>
      </c>
      <c r="K616" s="21">
        <v>2176.67</v>
      </c>
      <c r="L616" s="21">
        <v>2044.91</v>
      </c>
      <c r="M616" s="21">
        <v>2013.75</v>
      </c>
      <c r="N616" s="21">
        <v>2013.33</v>
      </c>
      <c r="O616" s="21">
        <v>2266.0700000000002</v>
      </c>
      <c r="P616" s="21">
        <v>2204.17</v>
      </c>
      <c r="Q616" s="21">
        <v>5351.8</v>
      </c>
      <c r="R616" s="20">
        <v>120.56</v>
      </c>
      <c r="S616" s="20">
        <v>110.92</v>
      </c>
      <c r="T616" s="21">
        <v>124.85</v>
      </c>
      <c r="V616" s="1">
        <v>114.77</v>
      </c>
      <c r="W616" s="1">
        <v>126.25</v>
      </c>
      <c r="X616" s="1">
        <v>132.54</v>
      </c>
      <c r="Y616" s="1">
        <v>121.76</v>
      </c>
      <c r="Z616" s="1">
        <v>122.42</v>
      </c>
      <c r="AA616" s="1">
        <v>119.86</v>
      </c>
      <c r="AB616" s="1">
        <v>132.91</v>
      </c>
      <c r="AE616" s="1">
        <v>140.49</v>
      </c>
      <c r="AF616" s="1">
        <v>129.65</v>
      </c>
      <c r="AG616" s="1">
        <v>119.59</v>
      </c>
      <c r="AN616" s="1">
        <v>2934.36</v>
      </c>
      <c r="AQ616" s="1">
        <v>2794.91</v>
      </c>
      <c r="AU616" s="1">
        <v>2652.44</v>
      </c>
      <c r="AX616" s="1">
        <v>126.22</v>
      </c>
      <c r="AY616" s="1">
        <v>2802.32</v>
      </c>
      <c r="AZ616" s="1">
        <v>3031.36</v>
      </c>
      <c r="BA616" s="1">
        <v>127.39</v>
      </c>
      <c r="BB616" s="1">
        <v>136.86000000000001</v>
      </c>
      <c r="BC616" s="1">
        <v>132.09</v>
      </c>
      <c r="BD616" s="1">
        <v>131.93</v>
      </c>
      <c r="BE616" s="1">
        <v>128.87</v>
      </c>
      <c r="BF616" s="1">
        <v>130.68</v>
      </c>
      <c r="BG616" s="1">
        <v>141.72</v>
      </c>
      <c r="BH616" s="1">
        <v>124.37</v>
      </c>
      <c r="BI616" s="1">
        <v>132.76</v>
      </c>
      <c r="BJ616" s="1">
        <v>141.56</v>
      </c>
      <c r="BK616" s="1">
        <v>117.71</v>
      </c>
      <c r="BL616" s="1">
        <v>114.7</v>
      </c>
      <c r="BN616" s="1">
        <v>113.78</v>
      </c>
    </row>
    <row r="617" spans="1:66" x14ac:dyDescent="0.3">
      <c r="A617" s="2"/>
      <c r="C617" s="14" t="str">
        <f t="shared" si="10"/>
        <v>202310</v>
      </c>
      <c r="D617" s="3">
        <v>45208</v>
      </c>
      <c r="E617" s="21">
        <v>2294.1999999999998</v>
      </c>
      <c r="F617" s="21">
        <v>2224</v>
      </c>
      <c r="G617" s="21">
        <v>2281.13</v>
      </c>
      <c r="H617" s="21">
        <v>2219.3200000000002</v>
      </c>
      <c r="I617" s="21">
        <v>2276.1799999999998</v>
      </c>
      <c r="J617" s="21">
        <v>2237.06</v>
      </c>
      <c r="K617" s="21">
        <v>2186.62</v>
      </c>
      <c r="L617" s="21">
        <v>2044.91</v>
      </c>
      <c r="M617" s="21">
        <v>1990.77</v>
      </c>
      <c r="N617" s="21">
        <v>2013.33</v>
      </c>
      <c r="O617" s="21">
        <v>2256.1799999999998</v>
      </c>
      <c r="P617" s="21">
        <v>2217.4299999999998</v>
      </c>
      <c r="Q617" s="21">
        <v>5302.75</v>
      </c>
      <c r="R617" s="20">
        <v>121.89</v>
      </c>
      <c r="S617" s="20">
        <v>112.52</v>
      </c>
      <c r="T617" s="21">
        <v>125.19</v>
      </c>
      <c r="V617" s="1">
        <v>116.36</v>
      </c>
      <c r="W617" s="1">
        <v>126.38</v>
      </c>
      <c r="X617" s="1">
        <v>134.41</v>
      </c>
      <c r="Y617" s="1">
        <v>123.45</v>
      </c>
      <c r="Z617" s="1">
        <v>123.67</v>
      </c>
      <c r="AA617" s="1">
        <v>121.38</v>
      </c>
      <c r="AB617" s="1">
        <v>134.18</v>
      </c>
      <c r="AE617" s="1">
        <v>141.49</v>
      </c>
      <c r="AF617" s="1">
        <v>132.34</v>
      </c>
      <c r="AG617" s="1">
        <v>120.62</v>
      </c>
      <c r="AI617" s="1">
        <v>7</v>
      </c>
      <c r="AN617" s="1">
        <v>2786.12</v>
      </c>
      <c r="AQ617" s="1">
        <v>2794.91</v>
      </c>
      <c r="AU617" s="1">
        <v>2455.4</v>
      </c>
      <c r="AX617" s="1">
        <v>128</v>
      </c>
      <c r="AY617" s="1">
        <v>2725.19</v>
      </c>
      <c r="BA617" s="1">
        <v>127.55</v>
      </c>
      <c r="BB617" s="1">
        <v>137.52000000000001</v>
      </c>
      <c r="BC617" s="1">
        <v>134.44999999999999</v>
      </c>
      <c r="BD617" s="1">
        <v>132.22999999999999</v>
      </c>
      <c r="BE617" s="1">
        <v>130.72</v>
      </c>
      <c r="BF617" s="1">
        <v>131.66999999999999</v>
      </c>
      <c r="BG617" s="1">
        <v>141.94</v>
      </c>
      <c r="BH617" s="1">
        <v>125.51</v>
      </c>
      <c r="BI617" s="1">
        <v>133.26</v>
      </c>
      <c r="BJ617" s="1">
        <v>139.16</v>
      </c>
      <c r="BK617" s="1">
        <v>119.03</v>
      </c>
      <c r="BL617" s="1">
        <v>118.33</v>
      </c>
      <c r="BN617" s="1">
        <v>116.13</v>
      </c>
    </row>
    <row r="618" spans="1:66" x14ac:dyDescent="0.3">
      <c r="A618" s="2"/>
      <c r="C618" s="14" t="str">
        <f t="shared" si="10"/>
        <v>202310</v>
      </c>
      <c r="D618" s="3">
        <v>45205</v>
      </c>
      <c r="E618" s="21">
        <v>2288.5300000000002</v>
      </c>
      <c r="F618" s="21">
        <v>2224</v>
      </c>
      <c r="G618" s="21">
        <v>2281.13</v>
      </c>
      <c r="H618" s="21">
        <v>2176.38</v>
      </c>
      <c r="I618" s="21">
        <v>2276.1799999999998</v>
      </c>
      <c r="J618" s="21">
        <v>2219.34</v>
      </c>
      <c r="K618" s="21">
        <v>2191.6</v>
      </c>
      <c r="L618" s="21">
        <v>2093.7800000000002</v>
      </c>
      <c r="M618" s="21">
        <v>1990.77</v>
      </c>
      <c r="N618" s="21">
        <v>2018.12</v>
      </c>
      <c r="O618" s="21">
        <v>2242.36</v>
      </c>
      <c r="P618" s="21">
        <v>2217.4299999999998</v>
      </c>
      <c r="Q618" s="21">
        <v>5379.04</v>
      </c>
      <c r="R618" s="20">
        <v>121.72</v>
      </c>
      <c r="S618" s="20">
        <v>113.25</v>
      </c>
      <c r="T618" s="21">
        <v>124.82</v>
      </c>
      <c r="V618" s="1">
        <v>116.44</v>
      </c>
      <c r="W618" s="1">
        <v>126.34</v>
      </c>
      <c r="X618" s="1">
        <v>134.16</v>
      </c>
      <c r="Y618" s="1">
        <v>124.16</v>
      </c>
      <c r="Z618" s="1">
        <v>124.04</v>
      </c>
      <c r="AA618" s="1">
        <v>122.2</v>
      </c>
      <c r="AB618" s="1">
        <v>134.35</v>
      </c>
      <c r="AE618" s="1">
        <v>142.01</v>
      </c>
      <c r="AF618" s="1">
        <v>131.47</v>
      </c>
      <c r="AG618" s="1">
        <v>119.48</v>
      </c>
      <c r="AI618" s="1">
        <v>7</v>
      </c>
      <c r="AN618" s="1">
        <v>2786.12</v>
      </c>
      <c r="AQ618" s="1">
        <v>2758.54</v>
      </c>
      <c r="AU618" s="1">
        <v>2455.4</v>
      </c>
      <c r="AX618" s="1">
        <v>127</v>
      </c>
      <c r="AY618" s="1">
        <v>2684.02</v>
      </c>
      <c r="BA618" s="1">
        <v>128.12</v>
      </c>
      <c r="BB618" s="1">
        <v>139.24</v>
      </c>
      <c r="BC618" s="1">
        <v>135.93</v>
      </c>
      <c r="BD618" s="1">
        <v>133.84</v>
      </c>
      <c r="BE618" s="1">
        <v>130.41999999999999</v>
      </c>
      <c r="BF618" s="1">
        <v>132.63</v>
      </c>
      <c r="BG618" s="1">
        <v>144.22</v>
      </c>
      <c r="BI618" s="1">
        <v>134.4</v>
      </c>
      <c r="BJ618" s="1">
        <v>138.04</v>
      </c>
      <c r="BK618" s="1">
        <v>119.36</v>
      </c>
      <c r="BL618" s="1">
        <v>118.13</v>
      </c>
      <c r="BN618" s="1">
        <v>116.13</v>
      </c>
    </row>
    <row r="619" spans="1:66" x14ac:dyDescent="0.3">
      <c r="A619" s="2"/>
      <c r="C619" s="14" t="str">
        <f t="shared" si="10"/>
        <v>202310</v>
      </c>
      <c r="D619" s="3">
        <v>45204</v>
      </c>
      <c r="E619" s="21">
        <v>2297.0100000000002</v>
      </c>
      <c r="F619" s="21">
        <v>2226.6999999999998</v>
      </c>
      <c r="G619" s="21">
        <v>2291.0300000000002</v>
      </c>
      <c r="H619" s="21">
        <v>2205.4</v>
      </c>
      <c r="I619" s="21">
        <v>2276.1799999999998</v>
      </c>
      <c r="J619" s="21">
        <v>2233.62</v>
      </c>
      <c r="K619" s="21">
        <v>2186.62</v>
      </c>
      <c r="L619" s="21">
        <v>2083.81</v>
      </c>
      <c r="M619" s="21">
        <v>1996.82</v>
      </c>
      <c r="N619" s="21">
        <v>2021.68</v>
      </c>
      <c r="O619" s="21">
        <v>2242.06</v>
      </c>
      <c r="P619" s="21">
        <v>2217.4299999999998</v>
      </c>
      <c r="Q619" s="21">
        <v>5298.77</v>
      </c>
      <c r="R619" s="20">
        <v>121.72</v>
      </c>
      <c r="S619" s="20">
        <v>112.42</v>
      </c>
      <c r="T619" s="21">
        <v>125.38</v>
      </c>
      <c r="V619" s="1">
        <v>116.09</v>
      </c>
      <c r="W619" s="1">
        <v>126.96</v>
      </c>
      <c r="X619" s="1">
        <v>133.29</v>
      </c>
      <c r="Y619" s="1">
        <v>123.46</v>
      </c>
      <c r="Z619" s="1">
        <v>124.34</v>
      </c>
      <c r="AA619" s="1">
        <v>121.73</v>
      </c>
      <c r="AB619" s="1">
        <v>133.30000000000001</v>
      </c>
      <c r="AE619" s="1">
        <v>141.01</v>
      </c>
      <c r="AF619" s="1">
        <v>131.77000000000001</v>
      </c>
      <c r="AG619" s="1">
        <v>118.7</v>
      </c>
      <c r="AI619" s="1">
        <v>7</v>
      </c>
      <c r="AN619" s="1">
        <v>2786.12</v>
      </c>
      <c r="AT619" s="1">
        <v>2747.94</v>
      </c>
      <c r="AU619" s="1">
        <v>2455.4</v>
      </c>
      <c r="AX619" s="1">
        <v>122.64</v>
      </c>
      <c r="AY619" s="1">
        <v>2684.02</v>
      </c>
      <c r="BA619" s="1">
        <v>127.97</v>
      </c>
      <c r="BB619" s="1">
        <v>139.41999999999999</v>
      </c>
      <c r="BC619" s="1">
        <v>134</v>
      </c>
      <c r="BD619" s="1">
        <v>133.91999999999999</v>
      </c>
      <c r="BE619" s="1">
        <v>130.15</v>
      </c>
      <c r="BF619" s="1">
        <v>130.62</v>
      </c>
      <c r="BG619" s="1">
        <v>142.93</v>
      </c>
      <c r="BH619" s="1">
        <v>120.83</v>
      </c>
      <c r="BI619" s="1">
        <v>134</v>
      </c>
      <c r="BJ619" s="1">
        <v>138.04</v>
      </c>
      <c r="BK619" s="1">
        <v>119.36</v>
      </c>
      <c r="BL619" s="1">
        <v>117.73</v>
      </c>
      <c r="BN619" s="1">
        <v>116.13</v>
      </c>
    </row>
    <row r="620" spans="1:66" x14ac:dyDescent="0.3">
      <c r="A620" s="2"/>
      <c r="C620" s="14" t="str">
        <f t="shared" si="10"/>
        <v>202310</v>
      </c>
      <c r="D620" s="3">
        <v>45203</v>
      </c>
      <c r="E620" s="21">
        <v>2297.0100000000002</v>
      </c>
      <c r="F620" s="21">
        <v>2262.16</v>
      </c>
      <c r="G620" s="21">
        <v>2283.61</v>
      </c>
      <c r="H620" s="21">
        <v>2205.4</v>
      </c>
      <c r="I620" s="21">
        <v>2276.1799999999998</v>
      </c>
      <c r="J620" s="21">
        <v>2250.65</v>
      </c>
      <c r="K620" s="21">
        <v>2186.62</v>
      </c>
      <c r="L620" s="21">
        <v>2083.81</v>
      </c>
      <c r="M620" s="21">
        <v>1973.84</v>
      </c>
      <c r="N620" s="21">
        <v>2017.3</v>
      </c>
      <c r="O620" s="21">
        <v>2244.5500000000002</v>
      </c>
      <c r="P620" s="21">
        <v>2227.41</v>
      </c>
      <c r="Q620" s="21">
        <v>5205.5600000000004</v>
      </c>
      <c r="R620" s="20">
        <v>121.89</v>
      </c>
      <c r="S620" s="20">
        <v>111.75</v>
      </c>
      <c r="T620" s="21">
        <v>125.24</v>
      </c>
      <c r="V620" s="1">
        <v>115.42</v>
      </c>
      <c r="W620" s="1">
        <v>126.83</v>
      </c>
      <c r="X620" s="1">
        <v>133.29</v>
      </c>
      <c r="Y620" s="1">
        <v>123.75</v>
      </c>
      <c r="Z620" s="1">
        <v>124.31</v>
      </c>
      <c r="AA620" s="1">
        <v>121.73</v>
      </c>
      <c r="AB620" s="1">
        <v>133.02000000000001</v>
      </c>
      <c r="AE620" s="1">
        <v>140.22</v>
      </c>
      <c r="AF620" s="1">
        <v>131.27000000000001</v>
      </c>
      <c r="AG620" s="1">
        <v>118.22</v>
      </c>
      <c r="AI620" s="1">
        <v>7</v>
      </c>
      <c r="AN620" s="1">
        <v>2786.12</v>
      </c>
      <c r="AT620" s="1">
        <v>2747.94</v>
      </c>
      <c r="AU620" s="1">
        <v>2455.4</v>
      </c>
      <c r="AX620" s="1">
        <v>122.7</v>
      </c>
      <c r="AY620" s="1">
        <v>2684.02</v>
      </c>
      <c r="BA620" s="1">
        <v>127.97</v>
      </c>
      <c r="BB620" s="1">
        <v>138.94999999999999</v>
      </c>
      <c r="BC620" s="1">
        <v>133.76</v>
      </c>
      <c r="BD620" s="1">
        <v>135.36000000000001</v>
      </c>
      <c r="BE620" s="1">
        <v>130.13999999999999</v>
      </c>
      <c r="BF620" s="1">
        <v>130.61000000000001</v>
      </c>
      <c r="BG620" s="1">
        <v>141.4</v>
      </c>
      <c r="BH620" s="1">
        <v>120.83</v>
      </c>
      <c r="BI620" s="1">
        <v>133.80000000000001</v>
      </c>
      <c r="BJ620" s="1">
        <v>138.04</v>
      </c>
      <c r="BK620" s="1">
        <v>119.36</v>
      </c>
      <c r="BL620" s="1">
        <v>116.7</v>
      </c>
      <c r="BN620" s="1">
        <v>116.13</v>
      </c>
    </row>
    <row r="621" spans="1:66" x14ac:dyDescent="0.3">
      <c r="A621" s="2"/>
      <c r="C621" s="14" t="str">
        <f t="shared" si="10"/>
        <v>202310</v>
      </c>
      <c r="D621" s="3">
        <v>45202</v>
      </c>
      <c r="E621" s="21">
        <v>2298.41</v>
      </c>
      <c r="F621" s="21">
        <v>2262.16</v>
      </c>
      <c r="G621" s="21">
        <v>2283.61</v>
      </c>
      <c r="H621" s="21">
        <v>2221.83</v>
      </c>
      <c r="I621" s="21">
        <v>2272.23</v>
      </c>
      <c r="J621" s="21">
        <v>2262.44</v>
      </c>
      <c r="K621" s="21">
        <v>2186.62</v>
      </c>
      <c r="L621" s="21">
        <v>2113.4899999999998</v>
      </c>
      <c r="M621" s="21">
        <v>1973.84</v>
      </c>
      <c r="N621" s="21">
        <v>1992.26</v>
      </c>
      <c r="O621" s="21">
        <v>2239.52</v>
      </c>
      <c r="P621" s="21">
        <v>2227.41</v>
      </c>
      <c r="Q621" s="21">
        <v>5292.57</v>
      </c>
      <c r="R621" s="20">
        <v>121.39</v>
      </c>
      <c r="S621" s="20">
        <v>110.72</v>
      </c>
      <c r="T621" s="21">
        <v>122.51</v>
      </c>
      <c r="V621" s="1">
        <v>115.43</v>
      </c>
      <c r="W621" s="1">
        <v>125.34</v>
      </c>
      <c r="X621" s="1">
        <v>132.80000000000001</v>
      </c>
      <c r="Y621" s="1">
        <v>121.94</v>
      </c>
      <c r="Z621" s="1">
        <v>123.09</v>
      </c>
      <c r="AA621" s="1">
        <v>121.35</v>
      </c>
      <c r="AB621" s="1">
        <v>132.52000000000001</v>
      </c>
      <c r="AE621" s="1">
        <v>139.54</v>
      </c>
      <c r="AF621" s="1">
        <v>130.9</v>
      </c>
      <c r="AG621" s="1">
        <v>115.88</v>
      </c>
      <c r="AI621" s="1">
        <v>7</v>
      </c>
      <c r="AN621" s="1">
        <v>2786.12</v>
      </c>
      <c r="AT621" s="1">
        <v>2747.94</v>
      </c>
      <c r="AU621" s="1">
        <v>2455.4</v>
      </c>
      <c r="AW621" s="1">
        <v>2804.01</v>
      </c>
      <c r="AX621" s="1">
        <v>122.85</v>
      </c>
      <c r="BA621" s="1">
        <v>127.66</v>
      </c>
      <c r="BB621" s="1">
        <v>138.37</v>
      </c>
      <c r="BC621" s="1">
        <v>132.44</v>
      </c>
      <c r="BD621" s="1">
        <v>133.91999999999999</v>
      </c>
      <c r="BE621" s="1">
        <v>129.38</v>
      </c>
      <c r="BF621" s="1">
        <v>130.02000000000001</v>
      </c>
      <c r="BG621" s="1">
        <v>141.25</v>
      </c>
      <c r="BH621" s="1">
        <v>120.83</v>
      </c>
      <c r="BI621" s="1">
        <v>133.19999999999999</v>
      </c>
      <c r="BJ621" s="1">
        <v>137.30000000000001</v>
      </c>
      <c r="BK621" s="1">
        <v>118.37</v>
      </c>
      <c r="BL621" s="1">
        <v>115.2</v>
      </c>
      <c r="BN621" s="1">
        <v>115.13</v>
      </c>
    </row>
    <row r="622" spans="1:66" x14ac:dyDescent="0.3">
      <c r="A622" s="2"/>
      <c r="C622" s="14" t="str">
        <f t="shared" si="10"/>
        <v>202310</v>
      </c>
      <c r="D622" s="3">
        <v>45201</v>
      </c>
      <c r="E622" s="21">
        <v>2301.2800000000002</v>
      </c>
      <c r="F622" s="21">
        <v>2262.16</v>
      </c>
      <c r="G622" s="21">
        <v>2295.98</v>
      </c>
      <c r="H622" s="21">
        <v>2266.66</v>
      </c>
      <c r="I622" s="21">
        <v>2282.12</v>
      </c>
      <c r="J622" s="21">
        <v>2219.94</v>
      </c>
      <c r="K622" s="21">
        <v>2194.09</v>
      </c>
      <c r="L622" s="21">
        <v>2121.98</v>
      </c>
      <c r="M622" s="21">
        <v>2065.2399999999998</v>
      </c>
      <c r="N622" s="21">
        <v>2014.06</v>
      </c>
      <c r="O622" s="21">
        <v>2244.4499999999998</v>
      </c>
      <c r="P622" s="21">
        <v>2227.41</v>
      </c>
      <c r="Q622" s="21">
        <v>5222.0200000000004</v>
      </c>
      <c r="R622" s="20">
        <v>121.05</v>
      </c>
      <c r="S622" s="20">
        <v>111.52</v>
      </c>
      <c r="T622" s="21">
        <v>123.6</v>
      </c>
      <c r="V622" s="1">
        <v>116.67</v>
      </c>
      <c r="W622" s="1">
        <v>126</v>
      </c>
      <c r="X622" s="1">
        <v>132.25</v>
      </c>
      <c r="Y622" s="1">
        <v>121.9</v>
      </c>
      <c r="Z622" s="1">
        <v>122.76</v>
      </c>
      <c r="AA622" s="1">
        <v>121.35</v>
      </c>
      <c r="AB622" s="1">
        <v>132.58000000000001</v>
      </c>
      <c r="AE622" s="1">
        <v>139.66</v>
      </c>
      <c r="AF622" s="1">
        <v>130.61000000000001</v>
      </c>
      <c r="AG622" s="1">
        <v>116.65</v>
      </c>
      <c r="AT622" s="1">
        <v>2747.94</v>
      </c>
      <c r="AW622" s="1">
        <v>2633.49</v>
      </c>
      <c r="AX622" s="1">
        <v>122.52</v>
      </c>
      <c r="BA622" s="1">
        <v>127.5</v>
      </c>
      <c r="BB622" s="1">
        <v>138.26</v>
      </c>
      <c r="BC622" s="1">
        <v>132.86000000000001</v>
      </c>
      <c r="BD622" s="1">
        <v>134.13</v>
      </c>
      <c r="BE622" s="1">
        <v>129.01</v>
      </c>
      <c r="BF622" s="1">
        <v>130.5</v>
      </c>
      <c r="BG622" s="1">
        <v>141.49</v>
      </c>
      <c r="BH622" s="1">
        <v>123.51</v>
      </c>
      <c r="BI622" s="1">
        <v>133.19999999999999</v>
      </c>
      <c r="BJ622" s="1">
        <v>137.80000000000001</v>
      </c>
      <c r="BK622" s="1">
        <v>117.84</v>
      </c>
      <c r="BL622" s="1">
        <v>115.2</v>
      </c>
      <c r="BN622" s="1">
        <v>114.47</v>
      </c>
    </row>
    <row r="623" spans="1:66" x14ac:dyDescent="0.3">
      <c r="A623" s="2"/>
      <c r="C623" s="14" t="str">
        <f t="shared" si="10"/>
        <v>20239</v>
      </c>
      <c r="D623" s="3">
        <v>45198</v>
      </c>
      <c r="E623" s="21">
        <v>2327.67</v>
      </c>
      <c r="F623" s="21">
        <v>2263.25</v>
      </c>
      <c r="G623" s="21">
        <v>2309.46</v>
      </c>
      <c r="H623" s="21">
        <v>2285.58</v>
      </c>
      <c r="I623" s="21">
        <v>2283.2199999999998</v>
      </c>
      <c r="J623" s="21">
        <v>2235.9899999999998</v>
      </c>
      <c r="K623" s="21">
        <v>2194.71</v>
      </c>
      <c r="L623" s="21">
        <v>2127.5</v>
      </c>
      <c r="M623" s="21">
        <v>2065.87</v>
      </c>
      <c r="N623" s="21">
        <v>2045.23</v>
      </c>
      <c r="O623" s="21">
        <v>2243.66</v>
      </c>
      <c r="P623" s="21">
        <v>2227.85</v>
      </c>
      <c r="Q623" s="21">
        <v>5113.97</v>
      </c>
      <c r="R623" s="20">
        <v>121.07</v>
      </c>
      <c r="S623" s="20">
        <v>112.75</v>
      </c>
      <c r="T623" s="21">
        <v>123.31</v>
      </c>
      <c r="V623" s="1">
        <v>117.21</v>
      </c>
      <c r="W623" s="1">
        <v>127.28</v>
      </c>
      <c r="X623" s="1">
        <v>133.66999999999999</v>
      </c>
      <c r="Y623" s="1">
        <v>124.14</v>
      </c>
      <c r="Z623" s="1">
        <v>124.42</v>
      </c>
      <c r="AA623" s="1">
        <v>121.57</v>
      </c>
      <c r="AB623" s="1">
        <v>133.36000000000001</v>
      </c>
      <c r="AE623" s="1">
        <v>141.43</v>
      </c>
      <c r="AF623" s="1">
        <v>132.46</v>
      </c>
      <c r="AG623" s="1">
        <v>117.34</v>
      </c>
      <c r="AI623" s="1">
        <v>7</v>
      </c>
      <c r="AN623" s="1">
        <v>2811.63</v>
      </c>
      <c r="AW623" s="1">
        <v>2632.25</v>
      </c>
      <c r="AX623" s="1">
        <v>124.61</v>
      </c>
      <c r="BA623" s="1">
        <v>128.43</v>
      </c>
      <c r="BB623" s="1">
        <v>138.93</v>
      </c>
      <c r="BC623" s="1">
        <v>134.19999999999999</v>
      </c>
      <c r="BD623" s="1">
        <v>134.74</v>
      </c>
      <c r="BE623" s="1">
        <v>130.82</v>
      </c>
      <c r="BF623" s="1">
        <v>130.9</v>
      </c>
      <c r="BG623" s="1">
        <v>143.54</v>
      </c>
      <c r="BH623" s="1">
        <v>123.53</v>
      </c>
      <c r="BI623" s="1">
        <v>134.41999999999999</v>
      </c>
      <c r="BJ623" s="1">
        <v>138.59</v>
      </c>
      <c r="BK623" s="1">
        <v>118.18</v>
      </c>
      <c r="BL623" s="1">
        <v>116.71</v>
      </c>
      <c r="BN623" s="1">
        <v>115.17</v>
      </c>
    </row>
    <row r="624" spans="1:66" x14ac:dyDescent="0.3">
      <c r="A624" s="2"/>
      <c r="C624" s="14" t="str">
        <f t="shared" si="10"/>
        <v>20239</v>
      </c>
      <c r="D624" s="3">
        <v>45197</v>
      </c>
      <c r="E624" s="21">
        <v>2360.1999999999998</v>
      </c>
      <c r="F624" s="21">
        <v>2263.25</v>
      </c>
      <c r="G624" s="21">
        <v>2299.56</v>
      </c>
      <c r="H624" s="21">
        <v>2291.37</v>
      </c>
      <c r="I624" s="21">
        <v>2283.2199999999998</v>
      </c>
      <c r="J624" s="21">
        <v>2242.9299999999998</v>
      </c>
      <c r="K624" s="21">
        <v>2199.69</v>
      </c>
      <c r="L624" s="21">
        <v>2127.5</v>
      </c>
      <c r="M624" s="21">
        <v>2065.87</v>
      </c>
      <c r="N624" s="21">
        <v>2130.42</v>
      </c>
      <c r="O624" s="21">
        <v>2255.7399999999998</v>
      </c>
      <c r="P624" s="21">
        <v>2227.85</v>
      </c>
      <c r="Q624" s="21">
        <v>5093.97</v>
      </c>
      <c r="R624" s="20">
        <v>124.06</v>
      </c>
      <c r="S624" s="20">
        <v>112.42</v>
      </c>
      <c r="T624" s="21">
        <v>125.06</v>
      </c>
      <c r="V624" s="1">
        <v>118.88</v>
      </c>
      <c r="W624" s="1">
        <v>127.9</v>
      </c>
      <c r="X624" s="1">
        <v>134.30000000000001</v>
      </c>
      <c r="Y624" s="1">
        <v>124.7</v>
      </c>
      <c r="Z624" s="1">
        <v>124.95</v>
      </c>
      <c r="AA624" s="1">
        <v>123.61</v>
      </c>
      <c r="AB624" s="1">
        <v>134.08000000000001</v>
      </c>
      <c r="AE624" s="1">
        <v>142.03</v>
      </c>
      <c r="AF624" s="1">
        <v>132.25</v>
      </c>
      <c r="AG624" s="1">
        <v>117.39</v>
      </c>
      <c r="AI624" s="1">
        <v>7</v>
      </c>
      <c r="AN624" s="1">
        <v>2811.63</v>
      </c>
      <c r="AW624" s="1">
        <v>2632.25</v>
      </c>
      <c r="AX624" s="1">
        <v>123.21</v>
      </c>
      <c r="BA624" s="1">
        <v>129.19999999999999</v>
      </c>
      <c r="BB624" s="1">
        <v>140.13999999999999</v>
      </c>
      <c r="BC624" s="1">
        <v>134.54</v>
      </c>
      <c r="BD624" s="1">
        <v>136.04</v>
      </c>
      <c r="BE624" s="1">
        <v>133.80000000000001</v>
      </c>
      <c r="BF624" s="1">
        <v>134.74</v>
      </c>
      <c r="BG624" s="1">
        <v>144.25</v>
      </c>
      <c r="BH624" s="1">
        <v>123.53</v>
      </c>
      <c r="BI624" s="1">
        <v>135.21</v>
      </c>
      <c r="BJ624" s="1">
        <v>138.84</v>
      </c>
      <c r="BK624" s="1">
        <v>118.84</v>
      </c>
      <c r="BL624" s="1">
        <v>117.21</v>
      </c>
      <c r="BN624" s="1">
        <v>116.49</v>
      </c>
    </row>
    <row r="625" spans="1:66" x14ac:dyDescent="0.3">
      <c r="A625" s="2"/>
      <c r="C625" s="14" t="str">
        <f t="shared" si="10"/>
        <v>20239</v>
      </c>
      <c r="D625" s="3">
        <v>45196</v>
      </c>
      <c r="E625" s="21">
        <v>2355.27</v>
      </c>
      <c r="F625" s="21">
        <v>2246.75</v>
      </c>
      <c r="G625" s="21">
        <v>2279.75</v>
      </c>
      <c r="H625" s="21">
        <v>2296.63</v>
      </c>
      <c r="I625" s="21">
        <v>2283.2199999999998</v>
      </c>
      <c r="J625" s="21">
        <v>2249.96</v>
      </c>
      <c r="K625" s="21">
        <v>2199.69</v>
      </c>
      <c r="L625" s="21">
        <v>2107.65</v>
      </c>
      <c r="M625" s="21">
        <v>2046.17</v>
      </c>
      <c r="N625" s="21">
        <v>2097.41</v>
      </c>
      <c r="O625" s="21">
        <v>2251.4</v>
      </c>
      <c r="P625" s="21">
        <v>2254.4499999999998</v>
      </c>
      <c r="Q625" s="21">
        <v>5114.91</v>
      </c>
      <c r="R625" s="20">
        <v>123.4</v>
      </c>
      <c r="S625" s="20">
        <v>112.25</v>
      </c>
      <c r="T625" s="21">
        <v>125.69</v>
      </c>
      <c r="V625" s="1">
        <v>116.56</v>
      </c>
      <c r="W625" s="1">
        <v>126.63</v>
      </c>
      <c r="X625" s="1">
        <v>132.74</v>
      </c>
      <c r="Y625" s="1">
        <v>124.38</v>
      </c>
      <c r="Z625" s="1">
        <v>124.84</v>
      </c>
      <c r="AA625" s="1">
        <v>122.94</v>
      </c>
      <c r="AB625" s="1">
        <v>132.84</v>
      </c>
      <c r="AE625" s="1">
        <v>141.28</v>
      </c>
      <c r="AF625" s="1">
        <v>131.9</v>
      </c>
      <c r="AG625" s="1">
        <v>117.37</v>
      </c>
      <c r="AI625" s="1">
        <v>7</v>
      </c>
      <c r="AN625" s="1">
        <v>2811.63</v>
      </c>
      <c r="AW625" s="1">
        <v>2632.25</v>
      </c>
      <c r="AX625" s="1">
        <v>123.21</v>
      </c>
      <c r="AZ625" s="1">
        <v>2666.34</v>
      </c>
      <c r="BA625" s="1">
        <v>128.94999999999999</v>
      </c>
      <c r="BB625" s="1">
        <v>139.44</v>
      </c>
      <c r="BC625" s="1">
        <v>135.22</v>
      </c>
      <c r="BD625" s="1">
        <v>135.88999999999999</v>
      </c>
      <c r="BE625" s="1">
        <v>133.78</v>
      </c>
      <c r="BF625" s="1">
        <v>132.87</v>
      </c>
      <c r="BG625" s="1">
        <v>142.88</v>
      </c>
      <c r="BH625" s="1">
        <v>121.75</v>
      </c>
      <c r="BI625" s="1">
        <v>134.81</v>
      </c>
      <c r="BJ625" s="1">
        <v>138.84</v>
      </c>
      <c r="BK625" s="1">
        <v>116.77</v>
      </c>
      <c r="BL625" s="1">
        <v>117.21</v>
      </c>
      <c r="BN625" s="1">
        <v>116.49</v>
      </c>
    </row>
    <row r="626" spans="1:66" x14ac:dyDescent="0.3">
      <c r="A626" s="2"/>
      <c r="C626" s="14" t="str">
        <f t="shared" si="10"/>
        <v>20239</v>
      </c>
      <c r="D626" s="3">
        <v>45195</v>
      </c>
      <c r="E626" s="21">
        <v>2335.39</v>
      </c>
      <c r="F626" s="21">
        <v>2242.62</v>
      </c>
      <c r="G626" s="21">
        <v>2279.75</v>
      </c>
      <c r="H626" s="21">
        <v>2259.9</v>
      </c>
      <c r="I626" s="21">
        <v>2272.33</v>
      </c>
      <c r="J626" s="21">
        <v>2232.7600000000002</v>
      </c>
      <c r="K626" s="21">
        <v>2199.69</v>
      </c>
      <c r="L626" s="21">
        <v>2107.65</v>
      </c>
      <c r="M626" s="21">
        <v>2040.12</v>
      </c>
      <c r="N626" s="21">
        <v>2064.15</v>
      </c>
      <c r="O626" s="21">
        <v>2237.0300000000002</v>
      </c>
      <c r="P626" s="21">
        <v>2254.4499999999998</v>
      </c>
      <c r="Q626" s="21">
        <v>5180.2</v>
      </c>
      <c r="R626" s="20">
        <v>121.07</v>
      </c>
      <c r="S626" s="20">
        <v>111.84</v>
      </c>
      <c r="T626" s="21">
        <v>124.64</v>
      </c>
      <c r="V626" s="1">
        <v>114.68</v>
      </c>
      <c r="W626" s="1">
        <v>126.4</v>
      </c>
      <c r="X626" s="1">
        <v>132.18</v>
      </c>
      <c r="Y626" s="1">
        <v>123.46</v>
      </c>
      <c r="Z626" s="1">
        <v>124.34</v>
      </c>
      <c r="AA626" s="1">
        <v>121.2</v>
      </c>
      <c r="AB626" s="1">
        <v>132.25</v>
      </c>
      <c r="AE626" s="1">
        <v>140.54</v>
      </c>
      <c r="AF626" s="1">
        <v>129.91999999999999</v>
      </c>
      <c r="AG626" s="1">
        <v>116.74</v>
      </c>
      <c r="AI626" s="1">
        <v>7</v>
      </c>
      <c r="AN626" s="1">
        <v>2811.63</v>
      </c>
      <c r="AW626" s="1">
        <v>2461.8200000000002</v>
      </c>
      <c r="AX626" s="1">
        <v>119.41</v>
      </c>
      <c r="AZ626" s="1">
        <v>2666.34</v>
      </c>
      <c r="BA626" s="1">
        <v>127.06</v>
      </c>
      <c r="BB626" s="1">
        <v>139.16999999999999</v>
      </c>
      <c r="BC626" s="1">
        <v>134.09</v>
      </c>
      <c r="BD626" s="1">
        <v>134.93</v>
      </c>
      <c r="BE626" s="1">
        <v>130.15</v>
      </c>
      <c r="BF626" s="1">
        <v>129.86000000000001</v>
      </c>
      <c r="BG626" s="1">
        <v>142.84</v>
      </c>
      <c r="BH626" s="1">
        <v>123.78</v>
      </c>
      <c r="BI626" s="1">
        <v>133.41999999999999</v>
      </c>
      <c r="BJ626" s="1">
        <v>138.09</v>
      </c>
      <c r="BK626" s="1">
        <v>119.18</v>
      </c>
      <c r="BL626" s="1">
        <v>116.46</v>
      </c>
      <c r="BN626" s="1">
        <v>116.09</v>
      </c>
    </row>
    <row r="627" spans="1:66" x14ac:dyDescent="0.3">
      <c r="A627" s="2"/>
      <c r="C627" s="14" t="str">
        <f t="shared" si="10"/>
        <v>20239</v>
      </c>
      <c r="D627" s="3">
        <v>45194</v>
      </c>
      <c r="E627" s="21">
        <v>2287.1799999999998</v>
      </c>
      <c r="F627" s="21">
        <v>2242.62</v>
      </c>
      <c r="G627" s="21">
        <v>2269.85</v>
      </c>
      <c r="H627" s="21">
        <v>2259.9</v>
      </c>
      <c r="I627" s="21">
        <v>2289.16</v>
      </c>
      <c r="J627" s="21">
        <v>2223.66</v>
      </c>
      <c r="K627" s="21">
        <v>2199.69</v>
      </c>
      <c r="L627" s="21">
        <v>2107.65</v>
      </c>
      <c r="M627" s="21">
        <v>1987.58</v>
      </c>
      <c r="N627" s="21">
        <v>2055.5300000000002</v>
      </c>
      <c r="O627" s="21">
        <v>2240.9299999999998</v>
      </c>
      <c r="P627" s="21">
        <v>2254.4499999999998</v>
      </c>
      <c r="Q627" s="21">
        <v>5304.9</v>
      </c>
      <c r="R627" s="20">
        <v>121.07</v>
      </c>
      <c r="S627" s="20">
        <v>111.67</v>
      </c>
      <c r="T627" s="21">
        <v>124.36</v>
      </c>
      <c r="V627" s="1">
        <v>114.7</v>
      </c>
      <c r="W627" s="1">
        <v>126.69</v>
      </c>
      <c r="X627" s="1">
        <v>131.55000000000001</v>
      </c>
      <c r="Y627" s="1">
        <v>122.86</v>
      </c>
      <c r="Z627" s="1">
        <v>123.68</v>
      </c>
      <c r="AA627" s="1">
        <v>120.7</v>
      </c>
      <c r="AB627" s="1">
        <v>132.13999999999999</v>
      </c>
      <c r="AE627" s="1">
        <v>140.04</v>
      </c>
      <c r="AF627" s="1">
        <v>128.97</v>
      </c>
      <c r="AG627" s="1">
        <v>116.73</v>
      </c>
      <c r="AI627" s="1">
        <v>7</v>
      </c>
      <c r="AN627" s="1">
        <v>2811.63</v>
      </c>
      <c r="AX627" s="1">
        <v>119.66</v>
      </c>
      <c r="AZ627" s="1">
        <v>2666.34</v>
      </c>
      <c r="BA627" s="1">
        <v>126.45</v>
      </c>
      <c r="BB627" s="1">
        <v>138.15</v>
      </c>
      <c r="BC627" s="1">
        <v>132.56</v>
      </c>
      <c r="BD627" s="1">
        <v>133.77000000000001</v>
      </c>
      <c r="BE627" s="1">
        <v>129.85</v>
      </c>
      <c r="BF627" s="1">
        <v>129.51</v>
      </c>
      <c r="BG627" s="1">
        <v>143.46</v>
      </c>
      <c r="BH627" s="1">
        <v>122.29</v>
      </c>
      <c r="BI627" s="1">
        <v>133.41999999999999</v>
      </c>
      <c r="BJ627" s="1">
        <v>138.09</v>
      </c>
      <c r="BK627" s="1">
        <v>118.85</v>
      </c>
      <c r="BL627" s="1">
        <v>115.71</v>
      </c>
      <c r="BN627" s="1">
        <v>115.6</v>
      </c>
    </row>
    <row r="628" spans="1:66" x14ac:dyDescent="0.3">
      <c r="A628" s="2"/>
      <c r="C628" s="14" t="str">
        <f t="shared" si="10"/>
        <v>20239</v>
      </c>
      <c r="D628" s="3">
        <v>45191</v>
      </c>
      <c r="E628" s="21">
        <v>2326.4499999999998</v>
      </c>
      <c r="F628" s="21">
        <v>2235.1999999999998</v>
      </c>
      <c r="G628" s="21">
        <v>2287.1799999999998</v>
      </c>
      <c r="H628" s="21">
        <v>2221.79</v>
      </c>
      <c r="I628" s="21">
        <v>2279.2600000000002</v>
      </c>
      <c r="J628" s="21">
        <v>2221.6799999999998</v>
      </c>
      <c r="K628" s="21">
        <v>2199.69</v>
      </c>
      <c r="L628" s="21">
        <v>2106.65</v>
      </c>
      <c r="M628" s="21">
        <v>1987.58</v>
      </c>
      <c r="N628" s="21">
        <v>2054.9699999999998</v>
      </c>
      <c r="O628" s="21">
        <v>2242.1799999999998</v>
      </c>
      <c r="P628" s="21">
        <v>2254.4499999999998</v>
      </c>
      <c r="Q628" s="21">
        <v>5332.4</v>
      </c>
      <c r="R628" s="20">
        <v>120.73</v>
      </c>
      <c r="S628" s="20">
        <v>110.92</v>
      </c>
      <c r="T628" s="21">
        <v>124.06</v>
      </c>
      <c r="V628" s="1">
        <v>114.35</v>
      </c>
      <c r="W628" s="1">
        <v>126.99</v>
      </c>
      <c r="X628" s="1">
        <v>131.03</v>
      </c>
      <c r="Y628" s="1">
        <v>123.51</v>
      </c>
      <c r="Z628" s="1">
        <v>122.96</v>
      </c>
      <c r="AA628" s="1">
        <v>121.01</v>
      </c>
      <c r="AB628" s="1">
        <v>132.07</v>
      </c>
      <c r="AE628" s="1">
        <v>139.79</v>
      </c>
      <c r="AF628" s="1">
        <v>128.93</v>
      </c>
      <c r="AG628" s="1">
        <v>118.18</v>
      </c>
      <c r="AX628" s="1">
        <v>120.85</v>
      </c>
      <c r="AZ628" s="1">
        <v>2666.34</v>
      </c>
      <c r="BA628" s="1">
        <v>124.57</v>
      </c>
      <c r="BB628" s="1">
        <v>137.9</v>
      </c>
      <c r="BC628" s="1">
        <v>132.38</v>
      </c>
      <c r="BD628" s="1">
        <v>133.12</v>
      </c>
      <c r="BE628" s="1">
        <v>129.51</v>
      </c>
      <c r="BF628" s="1">
        <v>130.05000000000001</v>
      </c>
      <c r="BG628" s="1">
        <v>143.69999999999999</v>
      </c>
      <c r="BH628" s="1">
        <v>121.29</v>
      </c>
      <c r="BI628" s="1">
        <v>133.41999999999999</v>
      </c>
      <c r="BJ628" s="1">
        <v>139.16999999999999</v>
      </c>
      <c r="BK628" s="1">
        <v>118.45</v>
      </c>
      <c r="BL628" s="1">
        <v>115.75</v>
      </c>
      <c r="BN628" s="1">
        <v>115.17</v>
      </c>
    </row>
    <row r="629" spans="1:66" x14ac:dyDescent="0.3">
      <c r="A629" s="2"/>
      <c r="C629" s="14" t="str">
        <f t="shared" si="10"/>
        <v>20239</v>
      </c>
      <c r="D629" s="3">
        <v>45190</v>
      </c>
      <c r="E629" s="21">
        <v>2325.7399999999998</v>
      </c>
      <c r="F629" s="21">
        <v>2234.39</v>
      </c>
      <c r="G629" s="21">
        <v>2269.04</v>
      </c>
      <c r="H629" s="21">
        <v>2175</v>
      </c>
      <c r="I629" s="21">
        <v>2288.34</v>
      </c>
      <c r="J629" s="21">
        <v>2207.31</v>
      </c>
      <c r="K629" s="21">
        <v>2191.7600000000002</v>
      </c>
      <c r="L629" s="21">
        <v>2094.4499999999998</v>
      </c>
      <c r="M629" s="21">
        <v>1987.13</v>
      </c>
      <c r="N629" s="21">
        <v>2082.1799999999998</v>
      </c>
      <c r="O629" s="21">
        <v>2248.8200000000002</v>
      </c>
      <c r="P629" s="21">
        <v>2254.12</v>
      </c>
      <c r="Q629" s="21">
        <v>5286.95</v>
      </c>
      <c r="R629" s="20">
        <v>119.15</v>
      </c>
      <c r="S629" s="20">
        <v>111.25</v>
      </c>
      <c r="T629" s="21">
        <v>124.95</v>
      </c>
      <c r="V629" s="1">
        <v>114.78</v>
      </c>
      <c r="W629" s="1">
        <v>126.08</v>
      </c>
      <c r="X629" s="1">
        <v>132.25</v>
      </c>
      <c r="Y629" s="1">
        <v>122.11</v>
      </c>
      <c r="Z629" s="1">
        <v>122.76</v>
      </c>
      <c r="AA629" s="1">
        <v>120.43</v>
      </c>
      <c r="AB629" s="1">
        <v>132.4</v>
      </c>
      <c r="AE629" s="1">
        <v>140.52000000000001</v>
      </c>
      <c r="AF629" s="1">
        <v>128.57</v>
      </c>
      <c r="AG629" s="1">
        <v>118.33</v>
      </c>
      <c r="AX629" s="1">
        <v>119.82</v>
      </c>
      <c r="AZ629" s="1">
        <v>2667.32</v>
      </c>
      <c r="BA629" s="1">
        <v>125.4</v>
      </c>
      <c r="BB629" s="1">
        <v>137.63</v>
      </c>
      <c r="BC629" s="1">
        <v>132.19999999999999</v>
      </c>
      <c r="BD629" s="1">
        <v>132.66999999999999</v>
      </c>
      <c r="BE629" s="1">
        <v>129.33000000000001</v>
      </c>
      <c r="BF629" s="1">
        <v>130.08000000000001</v>
      </c>
      <c r="BG629" s="1">
        <v>144.84</v>
      </c>
      <c r="BH629" s="1">
        <v>123.52</v>
      </c>
      <c r="BI629" s="1">
        <v>133.41</v>
      </c>
      <c r="BJ629" s="1">
        <v>138.30000000000001</v>
      </c>
      <c r="BK629" s="1">
        <v>118.34</v>
      </c>
      <c r="BL629" s="1">
        <v>115.42</v>
      </c>
      <c r="BN629" s="1">
        <v>115.14</v>
      </c>
    </row>
    <row r="630" spans="1:66" x14ac:dyDescent="0.3">
      <c r="A630" s="2"/>
      <c r="C630" s="14" t="str">
        <f t="shared" si="10"/>
        <v>20239</v>
      </c>
      <c r="D630" s="3">
        <v>45189</v>
      </c>
      <c r="E630" s="21">
        <v>2295.12</v>
      </c>
      <c r="F630" s="21">
        <v>2234.39</v>
      </c>
      <c r="G630" s="21">
        <v>2272.87</v>
      </c>
      <c r="H630" s="21">
        <v>2214.73</v>
      </c>
      <c r="I630" s="21">
        <v>2292.3000000000002</v>
      </c>
      <c r="J630" s="21">
        <v>2213.9499999999998</v>
      </c>
      <c r="K630" s="21">
        <v>2191.7600000000002</v>
      </c>
      <c r="L630" s="21">
        <v>2090.59</v>
      </c>
      <c r="M630" s="21">
        <v>1987.13</v>
      </c>
      <c r="N630" s="21">
        <v>2020.79</v>
      </c>
      <c r="O630" s="21">
        <v>2225.86</v>
      </c>
      <c r="P630" s="21">
        <v>2254.12</v>
      </c>
      <c r="Q630" s="21">
        <v>5286.95</v>
      </c>
      <c r="R630" s="20">
        <v>119.65</v>
      </c>
      <c r="S630" s="20">
        <v>111.08</v>
      </c>
      <c r="T630" s="21">
        <v>124.93</v>
      </c>
      <c r="V630" s="1">
        <v>114.75</v>
      </c>
      <c r="W630" s="1">
        <v>126.08</v>
      </c>
      <c r="X630" s="1">
        <v>133.47</v>
      </c>
      <c r="Y630" s="1">
        <v>122.7</v>
      </c>
      <c r="Z630" s="1">
        <v>123.93</v>
      </c>
      <c r="AA630" s="1">
        <v>120.88</v>
      </c>
      <c r="AB630" s="1">
        <v>133.69</v>
      </c>
      <c r="AE630" s="1">
        <v>141.52000000000001</v>
      </c>
      <c r="AF630" s="1">
        <v>128.85</v>
      </c>
      <c r="AG630" s="1">
        <v>118.96</v>
      </c>
      <c r="AX630" s="1">
        <v>119.85</v>
      </c>
      <c r="BA630" s="1">
        <v>125.31</v>
      </c>
      <c r="BB630" s="1">
        <v>138.59</v>
      </c>
      <c r="BC630" s="1">
        <v>132.44999999999999</v>
      </c>
      <c r="BD630" s="1">
        <v>132.91999999999999</v>
      </c>
      <c r="BE630" s="1">
        <v>129.30000000000001</v>
      </c>
      <c r="BF630" s="1">
        <v>130.63999999999999</v>
      </c>
      <c r="BG630" s="1">
        <v>144.71</v>
      </c>
      <c r="BH630" s="1">
        <v>123.27</v>
      </c>
      <c r="BI630" s="1">
        <v>134.34</v>
      </c>
      <c r="BJ630" s="1">
        <v>138.30000000000001</v>
      </c>
      <c r="BK630" s="1">
        <v>118.5</v>
      </c>
      <c r="BL630" s="1">
        <v>115.42</v>
      </c>
      <c r="BN630" s="1">
        <v>115.14</v>
      </c>
    </row>
    <row r="631" spans="1:66" x14ac:dyDescent="0.3">
      <c r="A631" s="2"/>
      <c r="C631" s="14" t="str">
        <f t="shared" si="10"/>
        <v>20239</v>
      </c>
      <c r="D631" s="3">
        <v>45188</v>
      </c>
      <c r="E631" s="21">
        <v>2295.12</v>
      </c>
      <c r="F631" s="21">
        <v>2234.39</v>
      </c>
      <c r="G631" s="21">
        <v>2276.83</v>
      </c>
      <c r="H631" s="21">
        <v>2228.12</v>
      </c>
      <c r="I631" s="21">
        <v>2292.3000000000002</v>
      </c>
      <c r="J631" s="21">
        <v>2213.9499999999998</v>
      </c>
      <c r="K631" s="21">
        <v>2191.7600000000002</v>
      </c>
      <c r="L631" s="21">
        <v>2090.59</v>
      </c>
      <c r="M631" s="21">
        <v>2019.96</v>
      </c>
      <c r="N631" s="21">
        <v>2026.68</v>
      </c>
      <c r="O631" s="21">
        <v>2252.52</v>
      </c>
      <c r="P631" s="21">
        <v>2254.12</v>
      </c>
      <c r="Q631" s="21">
        <v>5416.67</v>
      </c>
      <c r="R631" s="20">
        <v>119.9</v>
      </c>
      <c r="S631" s="20">
        <v>111.12</v>
      </c>
      <c r="T631" s="21">
        <v>125.31</v>
      </c>
      <c r="V631" s="1">
        <v>115.47</v>
      </c>
      <c r="W631" s="1">
        <v>127.08</v>
      </c>
      <c r="X631" s="1">
        <v>133.80000000000001</v>
      </c>
      <c r="Y631" s="1">
        <v>121.99</v>
      </c>
      <c r="Z631" s="1">
        <v>124.26</v>
      </c>
      <c r="AA631" s="1">
        <v>120.86</v>
      </c>
      <c r="AB631" s="1">
        <v>133.59</v>
      </c>
      <c r="AE631" s="1">
        <v>141.80000000000001</v>
      </c>
      <c r="AF631" s="1">
        <v>128.84</v>
      </c>
      <c r="AG631" s="1">
        <v>119.56</v>
      </c>
      <c r="AL631" s="1">
        <v>30</v>
      </c>
      <c r="AX631" s="1">
        <v>123.6</v>
      </c>
      <c r="AZ631" s="1">
        <v>2970</v>
      </c>
      <c r="BA631" s="1">
        <v>125.29</v>
      </c>
      <c r="BB631" s="1">
        <v>138.83000000000001</v>
      </c>
      <c r="BC631" s="1">
        <v>131.97999999999999</v>
      </c>
      <c r="BD631" s="1">
        <v>131.83000000000001</v>
      </c>
      <c r="BE631" s="1">
        <v>129.55000000000001</v>
      </c>
      <c r="BF631" s="1">
        <v>130.80000000000001</v>
      </c>
      <c r="BG631" s="1">
        <v>144.71</v>
      </c>
      <c r="BH631" s="1">
        <v>123.95</v>
      </c>
      <c r="BI631" s="1">
        <v>134.6</v>
      </c>
      <c r="BJ631" s="1">
        <v>141.04</v>
      </c>
      <c r="BK631" s="1">
        <v>119.6</v>
      </c>
      <c r="BL631" s="1">
        <v>116.42</v>
      </c>
      <c r="BN631" s="1">
        <v>116.48</v>
      </c>
    </row>
    <row r="632" spans="1:66" x14ac:dyDescent="0.3">
      <c r="A632" s="2"/>
      <c r="C632" s="14" t="str">
        <f t="shared" si="10"/>
        <v>20239</v>
      </c>
      <c r="D632" s="3">
        <v>45187</v>
      </c>
      <c r="E632" s="21">
        <v>2306.4499999999998</v>
      </c>
      <c r="F632" s="21">
        <v>2263.2600000000002</v>
      </c>
      <c r="G632" s="21">
        <v>2286.73</v>
      </c>
      <c r="H632" s="21">
        <v>2230</v>
      </c>
      <c r="I632" s="21">
        <v>2292.3000000000002</v>
      </c>
      <c r="J632" s="21">
        <v>2249.1999999999998</v>
      </c>
      <c r="K632" s="21">
        <v>2191.7600000000002</v>
      </c>
      <c r="L632" s="21">
        <v>2090.59</v>
      </c>
      <c r="M632" s="21">
        <v>2044.15</v>
      </c>
      <c r="N632" s="21">
        <v>2073.13</v>
      </c>
      <c r="O632" s="21">
        <v>2213.56</v>
      </c>
      <c r="P632" s="21">
        <v>2254.12</v>
      </c>
      <c r="Q632" s="21">
        <v>5228.1400000000003</v>
      </c>
      <c r="R632" s="20">
        <v>119.9</v>
      </c>
      <c r="S632" s="20">
        <v>111.72</v>
      </c>
      <c r="T632" s="21">
        <v>126.24</v>
      </c>
      <c r="V632" s="1">
        <v>115.9</v>
      </c>
      <c r="W632" s="1">
        <v>130.07</v>
      </c>
      <c r="X632" s="1">
        <v>135.41999999999999</v>
      </c>
      <c r="Y632" s="1">
        <v>124.62</v>
      </c>
      <c r="Z632" s="1">
        <v>125.53</v>
      </c>
      <c r="AA632" s="1">
        <v>121.12</v>
      </c>
      <c r="AB632" s="1">
        <v>134.59</v>
      </c>
      <c r="AE632" s="1">
        <v>143.02000000000001</v>
      </c>
      <c r="AF632" s="1">
        <v>131.12</v>
      </c>
      <c r="AG632" s="1">
        <v>119.75</v>
      </c>
      <c r="AL632" s="1">
        <v>30</v>
      </c>
      <c r="AX632" s="1">
        <v>123.6</v>
      </c>
      <c r="AZ632" s="1">
        <v>2970</v>
      </c>
      <c r="BA632" s="1">
        <v>125.29</v>
      </c>
      <c r="BB632" s="1">
        <v>139.77000000000001</v>
      </c>
      <c r="BC632" s="1">
        <v>135.66999999999999</v>
      </c>
      <c r="BD632" s="1">
        <v>133.04</v>
      </c>
      <c r="BE632" s="1">
        <v>130.13</v>
      </c>
      <c r="BF632" s="1">
        <v>130.57</v>
      </c>
      <c r="BG632" s="1">
        <v>145.1</v>
      </c>
      <c r="BH632" s="1">
        <v>123.78</v>
      </c>
      <c r="BI632" s="1">
        <v>134.61000000000001</v>
      </c>
      <c r="BJ632" s="1">
        <v>141.25</v>
      </c>
      <c r="BK632" s="1">
        <v>119.93</v>
      </c>
      <c r="BL632" s="1">
        <v>117.93</v>
      </c>
      <c r="BN632" s="1">
        <v>117.13</v>
      </c>
    </row>
    <row r="633" spans="1:66" x14ac:dyDescent="0.3">
      <c r="A633" s="2"/>
      <c r="C633" s="14" t="str">
        <f t="shared" si="10"/>
        <v>20239</v>
      </c>
      <c r="D633" s="3">
        <v>45184</v>
      </c>
      <c r="E633" s="21">
        <v>2337.65</v>
      </c>
      <c r="F633" s="21">
        <v>2254.86</v>
      </c>
      <c r="G633" s="21">
        <v>2300.58</v>
      </c>
      <c r="H633" s="21">
        <v>2250.33</v>
      </c>
      <c r="I633" s="21">
        <v>2288.34</v>
      </c>
      <c r="J633" s="21">
        <v>2250.4499999999998</v>
      </c>
      <c r="K633" s="21">
        <v>2219.12</v>
      </c>
      <c r="L633" s="21">
        <v>2140.96</v>
      </c>
      <c r="M633" s="21">
        <v>2044.15</v>
      </c>
      <c r="N633" s="21">
        <v>2080.13</v>
      </c>
      <c r="O633" s="21">
        <v>2280.91</v>
      </c>
      <c r="P633" s="21">
        <v>2287.2800000000002</v>
      </c>
      <c r="Q633" s="21">
        <v>5289.8</v>
      </c>
      <c r="R633" s="20">
        <v>121.64</v>
      </c>
      <c r="S633" s="20">
        <v>113.32</v>
      </c>
      <c r="T633" s="21">
        <v>127.08</v>
      </c>
      <c r="V633" s="1">
        <v>118.96</v>
      </c>
      <c r="W633" s="1">
        <v>130.29</v>
      </c>
      <c r="X633" s="1">
        <v>138.58000000000001</v>
      </c>
      <c r="Y633" s="1">
        <v>126.63</v>
      </c>
      <c r="Z633" s="1">
        <v>127.18</v>
      </c>
      <c r="AA633" s="1">
        <v>123.38</v>
      </c>
      <c r="AB633" s="1">
        <v>139.12</v>
      </c>
      <c r="AE633" s="1">
        <v>145.94999999999999</v>
      </c>
      <c r="AF633" s="1">
        <v>133.36000000000001</v>
      </c>
      <c r="AG633" s="1">
        <v>121.41</v>
      </c>
      <c r="AL633" s="1">
        <v>30</v>
      </c>
      <c r="AX633" s="1">
        <v>123.09</v>
      </c>
      <c r="AZ633" s="1">
        <v>2970</v>
      </c>
      <c r="BA633" s="1">
        <v>126.23</v>
      </c>
      <c r="BB633" s="1">
        <v>139.19</v>
      </c>
      <c r="BC633" s="1">
        <v>135.94</v>
      </c>
      <c r="BD633" s="1">
        <v>133.65</v>
      </c>
      <c r="BE633" s="1">
        <v>132.38999999999999</v>
      </c>
      <c r="BF633" s="1">
        <v>131.85</v>
      </c>
      <c r="BG633" s="1">
        <v>148.19999999999999</v>
      </c>
      <c r="BH633" s="1">
        <v>125.94</v>
      </c>
      <c r="BI633" s="1">
        <v>136.19999999999999</v>
      </c>
      <c r="BJ633" s="1">
        <v>145</v>
      </c>
      <c r="BK633" s="1">
        <v>120.93</v>
      </c>
      <c r="BL633" s="1">
        <v>118.93</v>
      </c>
      <c r="BN633" s="1">
        <v>118.45</v>
      </c>
    </row>
    <row r="634" spans="1:66" x14ac:dyDescent="0.3">
      <c r="A634" s="2"/>
      <c r="C634" s="14" t="str">
        <f t="shared" si="10"/>
        <v>20239</v>
      </c>
      <c r="D634" s="3">
        <v>45183</v>
      </c>
      <c r="E634" s="21">
        <v>2337.65</v>
      </c>
      <c r="F634" s="21">
        <v>2263.86</v>
      </c>
      <c r="G634" s="21">
        <v>2314.4899999999998</v>
      </c>
      <c r="H634" s="21">
        <v>2250.3200000000002</v>
      </c>
      <c r="I634" s="21">
        <v>2288.34</v>
      </c>
      <c r="J634" s="21">
        <v>2270.48</v>
      </c>
      <c r="K634" s="21">
        <v>2219.12</v>
      </c>
      <c r="L634" s="21">
        <v>2153.9299999999998</v>
      </c>
      <c r="M634" s="21">
        <v>2044.15</v>
      </c>
      <c r="N634" s="21">
        <v>2084.7399999999998</v>
      </c>
      <c r="O634" s="21">
        <v>2276.13</v>
      </c>
      <c r="P634" s="21">
        <v>2287.2800000000002</v>
      </c>
      <c r="Q634" s="21">
        <v>5239.63</v>
      </c>
      <c r="R634" s="20">
        <v>121.64</v>
      </c>
      <c r="S634" s="20">
        <v>112.72</v>
      </c>
      <c r="T634" s="21">
        <v>127.4</v>
      </c>
      <c r="V634" s="1">
        <v>118.95</v>
      </c>
      <c r="W634" s="1">
        <v>135.69999999999999</v>
      </c>
      <c r="X634" s="1">
        <v>138.68</v>
      </c>
      <c r="Y634" s="1">
        <v>127.62</v>
      </c>
      <c r="Z634" s="1">
        <v>127.77</v>
      </c>
      <c r="AA634" s="1">
        <v>123.98</v>
      </c>
      <c r="AB634" s="1">
        <v>139.46</v>
      </c>
      <c r="AE634" s="1">
        <v>145.94</v>
      </c>
      <c r="AF634" s="1">
        <v>134.07</v>
      </c>
      <c r="AG634" s="1">
        <v>121</v>
      </c>
      <c r="AL634" s="1">
        <v>30</v>
      </c>
      <c r="AX634" s="1">
        <v>124.07</v>
      </c>
      <c r="AZ634" s="1">
        <v>2970</v>
      </c>
      <c r="BA634" s="1">
        <v>127.53</v>
      </c>
      <c r="BB634" s="1">
        <v>140.54</v>
      </c>
      <c r="BC634" s="1">
        <v>137.56</v>
      </c>
      <c r="BD634" s="1">
        <v>134.21</v>
      </c>
      <c r="BE634" s="1">
        <v>132.86000000000001</v>
      </c>
      <c r="BF634" s="1">
        <v>131.83000000000001</v>
      </c>
      <c r="BG634" s="1">
        <v>148.49</v>
      </c>
      <c r="BH634" s="1">
        <v>125.69</v>
      </c>
      <c r="BI634" s="1">
        <v>136.19999999999999</v>
      </c>
      <c r="BJ634" s="1">
        <v>143.79</v>
      </c>
      <c r="BK634" s="1">
        <v>120.38</v>
      </c>
      <c r="BL634" s="1">
        <v>120.17</v>
      </c>
      <c r="BN634" s="1">
        <v>119.77</v>
      </c>
    </row>
    <row r="635" spans="1:66" x14ac:dyDescent="0.3">
      <c r="A635" s="2"/>
      <c r="C635" s="14" t="str">
        <f t="shared" si="10"/>
        <v>20239</v>
      </c>
      <c r="D635" s="3">
        <v>45182</v>
      </c>
      <c r="E635" s="21">
        <v>2333.4</v>
      </c>
      <c r="F635" s="21">
        <v>2263.86</v>
      </c>
      <c r="G635" s="21">
        <v>2324.39</v>
      </c>
      <c r="H635" s="21">
        <v>2276.8000000000002</v>
      </c>
      <c r="I635" s="21">
        <v>2296.25</v>
      </c>
      <c r="J635" s="21">
        <v>2245.59</v>
      </c>
      <c r="K635" s="21">
        <v>2233</v>
      </c>
      <c r="L635" s="21">
        <v>2160.08</v>
      </c>
      <c r="M635" s="21">
        <v>2109.81</v>
      </c>
      <c r="N635" s="21">
        <v>2053.44</v>
      </c>
      <c r="O635" s="21">
        <v>2249.2199999999998</v>
      </c>
      <c r="P635" s="21">
        <v>2287.2800000000002</v>
      </c>
      <c r="Q635" s="21">
        <v>5283.93</v>
      </c>
      <c r="R635" s="20">
        <v>121.4</v>
      </c>
      <c r="S635" s="20">
        <v>112.72</v>
      </c>
      <c r="T635" s="21">
        <v>127.38</v>
      </c>
      <c r="V635" s="1">
        <v>118.95</v>
      </c>
      <c r="W635" s="1">
        <v>131.81</v>
      </c>
      <c r="X635" s="1">
        <v>139.49</v>
      </c>
      <c r="Y635" s="1">
        <v>127.45</v>
      </c>
      <c r="Z635" s="1">
        <v>127.67</v>
      </c>
      <c r="AA635" s="1">
        <v>123.85</v>
      </c>
      <c r="AB635" s="1">
        <v>140.29</v>
      </c>
      <c r="AE635" s="1">
        <v>147.12</v>
      </c>
      <c r="AF635" s="1">
        <v>131.41999999999999</v>
      </c>
      <c r="AG635" s="1">
        <v>120.98</v>
      </c>
      <c r="AL635" s="1">
        <v>30</v>
      </c>
      <c r="AX635" s="1">
        <v>126.61</v>
      </c>
      <c r="AZ635" s="1">
        <v>2970</v>
      </c>
      <c r="BA635" s="1">
        <v>128.97999999999999</v>
      </c>
      <c r="BB635" s="1">
        <v>140.43</v>
      </c>
      <c r="BC635" s="1">
        <v>136.66</v>
      </c>
      <c r="BD635" s="1">
        <v>134.32</v>
      </c>
      <c r="BE635" s="1">
        <v>130.69</v>
      </c>
      <c r="BF635" s="1">
        <v>132.31</v>
      </c>
      <c r="BG635" s="1">
        <v>148.84</v>
      </c>
      <c r="BH635" s="1">
        <v>128.19</v>
      </c>
      <c r="BI635" s="1">
        <v>136.16</v>
      </c>
      <c r="BJ635" s="1">
        <v>145</v>
      </c>
      <c r="BK635" s="1">
        <v>121.59</v>
      </c>
      <c r="BL635" s="1">
        <v>119.92</v>
      </c>
      <c r="BN635" s="1">
        <v>119.11</v>
      </c>
    </row>
    <row r="636" spans="1:66" x14ac:dyDescent="0.3">
      <c r="A636" s="2"/>
      <c r="C636" s="14" t="str">
        <f t="shared" si="10"/>
        <v>20239</v>
      </c>
      <c r="D636" s="3">
        <v>45181</v>
      </c>
      <c r="E636" s="21">
        <v>2371.37</v>
      </c>
      <c r="F636" s="21">
        <v>2263.86</v>
      </c>
      <c r="G636" s="21">
        <v>2330.33</v>
      </c>
      <c r="H636" s="21">
        <v>2292.34</v>
      </c>
      <c r="I636" s="21">
        <v>2298.23</v>
      </c>
      <c r="J636" s="21">
        <v>2255.9299999999998</v>
      </c>
      <c r="K636" s="21">
        <v>2249.61</v>
      </c>
      <c r="L636" s="21">
        <v>2166.6799999999998</v>
      </c>
      <c r="M636" s="21">
        <v>2094.69</v>
      </c>
      <c r="N636" s="21">
        <v>2135.04</v>
      </c>
      <c r="O636" s="21">
        <v>2252</v>
      </c>
      <c r="P636" s="21">
        <v>2287.2800000000002</v>
      </c>
      <c r="Q636" s="21">
        <v>5175.46</v>
      </c>
      <c r="R636" s="20">
        <v>121.4</v>
      </c>
      <c r="S636" s="20">
        <v>114</v>
      </c>
      <c r="T636" s="21">
        <v>128.94</v>
      </c>
      <c r="V636" s="1">
        <v>119.76</v>
      </c>
      <c r="W636" s="1">
        <v>131.9</v>
      </c>
      <c r="X636" s="1">
        <v>140.38</v>
      </c>
      <c r="Y636" s="1">
        <v>128.38999999999999</v>
      </c>
      <c r="Z636" s="1">
        <v>129.07</v>
      </c>
      <c r="AA636" s="1">
        <v>124.38</v>
      </c>
      <c r="AB636" s="1">
        <v>141.16999999999999</v>
      </c>
      <c r="AE636" s="1">
        <v>148.31</v>
      </c>
      <c r="AF636" s="1">
        <v>132.38999999999999</v>
      </c>
      <c r="AG636" s="1">
        <v>122.2</v>
      </c>
      <c r="AX636" s="1">
        <v>127.04</v>
      </c>
      <c r="BA636" s="1">
        <v>129.28</v>
      </c>
      <c r="BB636" s="1">
        <v>140.87</v>
      </c>
      <c r="BC636" s="1">
        <v>139.04</v>
      </c>
      <c r="BD636" s="1">
        <v>135.07</v>
      </c>
      <c r="BE636" s="1">
        <v>132.18</v>
      </c>
      <c r="BF636" s="1">
        <v>132.28</v>
      </c>
      <c r="BG636" s="1">
        <v>149.4</v>
      </c>
      <c r="BH636" s="1">
        <v>129.19</v>
      </c>
      <c r="BI636" s="1">
        <v>138.41</v>
      </c>
      <c r="BJ636" s="1">
        <v>145.97999999999999</v>
      </c>
      <c r="BK636" s="1">
        <v>121.92</v>
      </c>
      <c r="BL636" s="1">
        <v>121.59</v>
      </c>
      <c r="BN636" s="1">
        <v>120.77</v>
      </c>
    </row>
    <row r="637" spans="1:66" x14ac:dyDescent="0.3">
      <c r="A637" s="2"/>
      <c r="C637" s="14" t="str">
        <f t="shared" si="10"/>
        <v>20239</v>
      </c>
      <c r="D637" s="3">
        <v>45180</v>
      </c>
      <c r="E637" s="21">
        <v>2383.2600000000002</v>
      </c>
      <c r="F637" s="21">
        <v>2268.36</v>
      </c>
      <c r="G637" s="21">
        <v>2340.79</v>
      </c>
      <c r="H637" s="21">
        <v>2290.5</v>
      </c>
      <c r="I637" s="21">
        <v>2298.23</v>
      </c>
      <c r="J637" s="21">
        <v>2238.1999999999998</v>
      </c>
      <c r="K637" s="21">
        <v>2256.4499999999998</v>
      </c>
      <c r="L637" s="21">
        <v>2166.6799999999998</v>
      </c>
      <c r="M637" s="21">
        <v>2055.29</v>
      </c>
      <c r="N637" s="21">
        <v>2155.94</v>
      </c>
      <c r="O637" s="21">
        <v>2260.89</v>
      </c>
      <c r="P637" s="21">
        <v>2327.1</v>
      </c>
      <c r="Q637" s="21">
        <v>5269.32</v>
      </c>
      <c r="R637" s="20">
        <v>123.64</v>
      </c>
      <c r="S637" s="20">
        <v>114.32</v>
      </c>
      <c r="T637" s="21">
        <v>130.66999999999999</v>
      </c>
      <c r="V637" s="1">
        <v>120.34</v>
      </c>
      <c r="W637" s="1">
        <v>134.31</v>
      </c>
      <c r="X637" s="1">
        <v>142.57</v>
      </c>
      <c r="Y637" s="1">
        <v>129.68</v>
      </c>
      <c r="Z637" s="1">
        <v>129.66999999999999</v>
      </c>
      <c r="AA637" s="1">
        <v>125.61</v>
      </c>
      <c r="AB637" s="1">
        <v>142.01</v>
      </c>
      <c r="AE637" s="1">
        <v>147.77000000000001</v>
      </c>
      <c r="AF637" s="1">
        <v>134.03</v>
      </c>
      <c r="AG637" s="1">
        <v>124.12</v>
      </c>
      <c r="AX637" s="1">
        <v>126.36</v>
      </c>
      <c r="BA637" s="1">
        <v>129.16</v>
      </c>
      <c r="BB637" s="1">
        <v>141.6</v>
      </c>
      <c r="BC637" s="1">
        <v>139.43</v>
      </c>
      <c r="BD637" s="1">
        <v>135.56</v>
      </c>
      <c r="BE637" s="1">
        <v>133.96</v>
      </c>
      <c r="BF637" s="1">
        <v>135.58000000000001</v>
      </c>
      <c r="BG637" s="1">
        <v>149.72999999999999</v>
      </c>
      <c r="BH637" s="1">
        <v>129.69999999999999</v>
      </c>
      <c r="BI637" s="1">
        <v>137.80000000000001</v>
      </c>
      <c r="BJ637" s="1">
        <v>146.22999999999999</v>
      </c>
      <c r="BK637" s="1">
        <v>122.25</v>
      </c>
      <c r="BL637" s="1">
        <v>122.25</v>
      </c>
      <c r="BN637" s="1">
        <v>121.43</v>
      </c>
    </row>
    <row r="638" spans="1:66" x14ac:dyDescent="0.3">
      <c r="A638" s="2"/>
      <c r="C638" s="14" t="str">
        <f t="shared" si="10"/>
        <v>20239</v>
      </c>
      <c r="D638" s="3">
        <v>45177</v>
      </c>
      <c r="E638" s="21">
        <v>2358.94</v>
      </c>
      <c r="F638" s="21">
        <v>2268.36</v>
      </c>
      <c r="G638" s="21">
        <v>2340.79</v>
      </c>
      <c r="H638" s="21">
        <v>2297.94</v>
      </c>
      <c r="I638" s="21">
        <v>2292.3000000000002</v>
      </c>
      <c r="J638" s="21">
        <v>2287.2800000000002</v>
      </c>
      <c r="K638" s="21">
        <v>2256.4499999999998</v>
      </c>
      <c r="L638" s="21">
        <v>2173.2800000000002</v>
      </c>
      <c r="M638" s="21">
        <v>2055.29</v>
      </c>
      <c r="N638" s="21">
        <v>2105.56</v>
      </c>
      <c r="O638" s="21">
        <v>2266.89</v>
      </c>
      <c r="P638" s="21">
        <v>2327.1</v>
      </c>
      <c r="Q638" s="21">
        <v>5381.82</v>
      </c>
      <c r="R638" s="20">
        <v>123.39</v>
      </c>
      <c r="S638" s="20">
        <v>113.96</v>
      </c>
      <c r="T638" s="21">
        <v>131.34</v>
      </c>
      <c r="V638" s="1">
        <v>121.41</v>
      </c>
      <c r="W638" s="1">
        <v>134.72999999999999</v>
      </c>
      <c r="X638" s="1">
        <v>142.68</v>
      </c>
      <c r="Y638" s="1">
        <v>130.55000000000001</v>
      </c>
      <c r="Z638" s="1">
        <v>130.57</v>
      </c>
      <c r="AA638" s="1">
        <v>126.09</v>
      </c>
      <c r="AB638" s="1">
        <v>142.01</v>
      </c>
      <c r="AE638" s="1">
        <v>147.84</v>
      </c>
      <c r="AF638" s="1">
        <v>134.03</v>
      </c>
      <c r="AG638" s="1">
        <v>120.27</v>
      </c>
      <c r="AX638" s="1">
        <v>128.38</v>
      </c>
      <c r="AY638" s="1">
        <v>2889.6</v>
      </c>
      <c r="BA638" s="1">
        <v>130.19999999999999</v>
      </c>
      <c r="BB638" s="1">
        <v>141.86000000000001</v>
      </c>
      <c r="BC638" s="1">
        <v>141.04</v>
      </c>
      <c r="BD638" s="1">
        <v>137.09</v>
      </c>
      <c r="BE638" s="1">
        <v>133.96</v>
      </c>
      <c r="BG638" s="1">
        <v>150.01</v>
      </c>
      <c r="BH638" s="1">
        <v>130</v>
      </c>
      <c r="BI638" s="1">
        <v>137.80000000000001</v>
      </c>
      <c r="BJ638" s="1">
        <v>146.22999999999999</v>
      </c>
      <c r="BK638" s="1">
        <v>123.53</v>
      </c>
      <c r="BL638" s="1">
        <v>122.91</v>
      </c>
      <c r="BN638" s="1">
        <v>122.09</v>
      </c>
    </row>
    <row r="639" spans="1:66" x14ac:dyDescent="0.3">
      <c r="A639" s="2"/>
      <c r="C639" s="14" t="str">
        <f t="shared" si="10"/>
        <v>20239</v>
      </c>
      <c r="D639" s="3">
        <v>45175</v>
      </c>
      <c r="E639" s="21">
        <v>2358.94</v>
      </c>
      <c r="F639" s="21">
        <v>2274.2600000000002</v>
      </c>
      <c r="G639" s="21">
        <v>2340.79</v>
      </c>
      <c r="H639" s="21">
        <v>2297.11</v>
      </c>
      <c r="I639" s="21">
        <v>2266.56</v>
      </c>
      <c r="J639" s="21">
        <v>2268.25</v>
      </c>
      <c r="K639" s="21">
        <v>2281.3200000000002</v>
      </c>
      <c r="L639" s="21">
        <v>2166.6799999999998</v>
      </c>
      <c r="M639" s="21">
        <v>2042.16</v>
      </c>
      <c r="N639" s="21">
        <v>2093.12</v>
      </c>
      <c r="O639" s="21">
        <v>2266.89</v>
      </c>
      <c r="P639" s="21">
        <v>2360.2600000000002</v>
      </c>
      <c r="Q639" s="21">
        <v>5331.82</v>
      </c>
      <c r="R639" s="20">
        <v>124.14</v>
      </c>
      <c r="S639" s="20">
        <v>113.72</v>
      </c>
      <c r="T639" s="21">
        <v>131.34</v>
      </c>
      <c r="V639" s="1">
        <v>121.33</v>
      </c>
      <c r="W639" s="1">
        <v>135.22999999999999</v>
      </c>
      <c r="X639" s="1">
        <v>143.35</v>
      </c>
      <c r="Y639" s="1">
        <v>131.74</v>
      </c>
      <c r="Z639" s="1">
        <v>131.91999999999999</v>
      </c>
      <c r="AA639" s="1">
        <v>126.9</v>
      </c>
      <c r="AB639" s="1">
        <v>143.26</v>
      </c>
      <c r="AE639" s="1">
        <v>150.72999999999999</v>
      </c>
      <c r="AF639" s="1">
        <v>134.82</v>
      </c>
      <c r="AG639" s="1">
        <v>119.9</v>
      </c>
      <c r="AT639" s="1">
        <v>2808.77</v>
      </c>
      <c r="AW639" s="1">
        <v>2424.84</v>
      </c>
      <c r="AX639" s="1">
        <v>127.02</v>
      </c>
      <c r="AY639" s="1">
        <v>2889.6</v>
      </c>
      <c r="BA639" s="1">
        <v>130.58000000000001</v>
      </c>
      <c r="BB639" s="1">
        <v>144.04</v>
      </c>
      <c r="BC639" s="1">
        <v>141.84</v>
      </c>
      <c r="BD639" s="1">
        <v>139.75</v>
      </c>
      <c r="BE639" s="1">
        <v>134.80000000000001</v>
      </c>
      <c r="BG639" s="1">
        <v>152.47</v>
      </c>
      <c r="BH639" s="1">
        <v>130.16999999999999</v>
      </c>
      <c r="BI639" s="1">
        <v>137.80000000000001</v>
      </c>
      <c r="BJ639" s="1">
        <v>146.22999999999999</v>
      </c>
      <c r="BK639" s="1">
        <v>123.78</v>
      </c>
      <c r="BL639" s="1">
        <v>123.58</v>
      </c>
      <c r="BN639" s="1">
        <v>122.75</v>
      </c>
    </row>
    <row r="640" spans="1:66" x14ac:dyDescent="0.3">
      <c r="A640" s="2"/>
      <c r="C640" s="14" t="str">
        <f t="shared" si="10"/>
        <v>20239</v>
      </c>
      <c r="D640" s="3">
        <v>45174</v>
      </c>
      <c r="E640" s="21">
        <v>2358.94</v>
      </c>
      <c r="F640" s="21">
        <v>2272.86</v>
      </c>
      <c r="G640" s="21">
        <v>2335.85</v>
      </c>
      <c r="H640" s="21">
        <v>2261.62</v>
      </c>
      <c r="I640" s="21">
        <v>2282.4</v>
      </c>
      <c r="J640" s="21">
        <v>2266.81</v>
      </c>
      <c r="K640" s="21">
        <v>2256.4499999999998</v>
      </c>
      <c r="L640" s="21">
        <v>2183.23</v>
      </c>
      <c r="M640" s="21">
        <v>2042.16</v>
      </c>
      <c r="N640" s="21">
        <v>2059.4299999999998</v>
      </c>
      <c r="O640" s="21">
        <v>2267.08</v>
      </c>
      <c r="P640" s="21">
        <v>2327.1</v>
      </c>
      <c r="Q640" s="21">
        <v>5336.59</v>
      </c>
      <c r="R640" s="20">
        <v>123.64</v>
      </c>
      <c r="S640" s="20">
        <v>113.12</v>
      </c>
      <c r="T640" s="21">
        <v>131.09</v>
      </c>
      <c r="V640" s="1">
        <v>120.79</v>
      </c>
      <c r="W640" s="1">
        <v>134.37</v>
      </c>
      <c r="X640" s="1">
        <v>142.57</v>
      </c>
      <c r="Y640" s="1">
        <v>130.85</v>
      </c>
      <c r="Z640" s="1">
        <v>131.15</v>
      </c>
      <c r="AA640" s="1">
        <v>125.77</v>
      </c>
      <c r="AB640" s="1">
        <v>142.38</v>
      </c>
      <c r="AE640" s="1">
        <v>150.24</v>
      </c>
      <c r="AF640" s="1">
        <v>134.82</v>
      </c>
      <c r="AG640" s="1">
        <v>120.39</v>
      </c>
      <c r="AN640" s="1">
        <v>2424.84</v>
      </c>
      <c r="AT640" s="1">
        <v>2808.77</v>
      </c>
      <c r="AW640" s="1">
        <v>2596.9699999999998</v>
      </c>
      <c r="AX640" s="1">
        <v>126.33</v>
      </c>
      <c r="AY640" s="1">
        <v>2889.6</v>
      </c>
      <c r="BA640" s="1">
        <v>129.68</v>
      </c>
      <c r="BB640" s="1">
        <v>143.44</v>
      </c>
      <c r="BC640" s="1">
        <v>140.36000000000001</v>
      </c>
      <c r="BD640" s="1">
        <v>139.25</v>
      </c>
      <c r="BE640" s="1">
        <v>134.47</v>
      </c>
      <c r="BG640" s="1">
        <v>152.31</v>
      </c>
      <c r="BH640" s="1">
        <v>129.44999999999999</v>
      </c>
      <c r="BI640" s="1">
        <v>137.80000000000001</v>
      </c>
      <c r="BJ640" s="1">
        <v>146.22999999999999</v>
      </c>
      <c r="BK640" s="1">
        <v>122.24</v>
      </c>
      <c r="BL640" s="1">
        <v>123.24</v>
      </c>
      <c r="BN640" s="1">
        <v>122.75</v>
      </c>
    </row>
    <row r="641" spans="1:66" x14ac:dyDescent="0.3">
      <c r="A641" s="2"/>
      <c r="C641" s="14" t="str">
        <f t="shared" si="10"/>
        <v>20239</v>
      </c>
      <c r="D641" s="3">
        <v>45173</v>
      </c>
      <c r="E641" s="21">
        <v>2335.85</v>
      </c>
      <c r="F641" s="21">
        <v>2268.36</v>
      </c>
      <c r="G641" s="21">
        <v>2333.37</v>
      </c>
      <c r="H641" s="21">
        <v>2224.21</v>
      </c>
      <c r="I641" s="21">
        <v>2282.4</v>
      </c>
      <c r="J641" s="21">
        <v>2261.8200000000002</v>
      </c>
      <c r="K641" s="21">
        <v>2256.4499999999998</v>
      </c>
      <c r="L641" s="21">
        <v>2193.13</v>
      </c>
      <c r="M641" s="21">
        <v>2051.75</v>
      </c>
      <c r="N641" s="21">
        <v>2143.04</v>
      </c>
      <c r="O641" s="21">
        <v>2268.75</v>
      </c>
      <c r="P641" s="21">
        <v>2327.1</v>
      </c>
      <c r="Q641" s="21">
        <v>5184.34</v>
      </c>
      <c r="R641" s="20">
        <v>123.89</v>
      </c>
      <c r="S641" s="20">
        <v>112.72</v>
      </c>
      <c r="T641" s="21">
        <v>131.03</v>
      </c>
      <c r="V641" s="1">
        <v>119.42</v>
      </c>
      <c r="W641" s="1">
        <v>134.77000000000001</v>
      </c>
      <c r="X641" s="1">
        <v>142.52000000000001</v>
      </c>
      <c r="Y641" s="1">
        <v>131.68</v>
      </c>
      <c r="Z641" s="1">
        <v>131.49</v>
      </c>
      <c r="AA641" s="1">
        <v>124.91</v>
      </c>
      <c r="AB641" s="1">
        <v>142.38</v>
      </c>
      <c r="AE641" s="1">
        <v>149.03</v>
      </c>
      <c r="AF641" s="1">
        <v>134.37</v>
      </c>
      <c r="AG641" s="1">
        <v>120.11</v>
      </c>
      <c r="AN641" s="1">
        <v>2424.84</v>
      </c>
      <c r="AT641" s="1">
        <v>2808.77</v>
      </c>
      <c r="AW641" s="1">
        <v>2596.9699999999998</v>
      </c>
      <c r="AX641" s="1">
        <v>122.98</v>
      </c>
      <c r="AY641" s="1">
        <v>2889.6</v>
      </c>
      <c r="BA641" s="1">
        <v>130.30000000000001</v>
      </c>
      <c r="BB641" s="1">
        <v>142.4</v>
      </c>
      <c r="BC641" s="1">
        <v>141.13999999999999</v>
      </c>
      <c r="BD641" s="1">
        <v>138.66999999999999</v>
      </c>
      <c r="BE641" s="1">
        <v>136.04</v>
      </c>
      <c r="BF641" s="1">
        <v>130.99</v>
      </c>
      <c r="BG641" s="1">
        <v>152.31</v>
      </c>
      <c r="BH641" s="1">
        <v>129</v>
      </c>
      <c r="BI641" s="1">
        <v>138.4</v>
      </c>
      <c r="BK641" s="1">
        <v>122.24</v>
      </c>
      <c r="BL641" s="1">
        <v>123.58</v>
      </c>
      <c r="BN641" s="1">
        <v>122.75</v>
      </c>
    </row>
    <row r="642" spans="1:66" x14ac:dyDescent="0.3">
      <c r="A642" s="2"/>
      <c r="C642" s="14" t="str">
        <f t="shared" si="10"/>
        <v>20239</v>
      </c>
      <c r="D642" s="3">
        <v>45170</v>
      </c>
      <c r="E642" s="21">
        <v>2352.34</v>
      </c>
      <c r="F642" s="21">
        <v>2290.86</v>
      </c>
      <c r="G642" s="21">
        <v>2358.11</v>
      </c>
      <c r="H642" s="21">
        <v>2233.61</v>
      </c>
      <c r="I642" s="21">
        <v>2282.4</v>
      </c>
      <c r="J642" s="21">
        <v>2264.27</v>
      </c>
      <c r="K642" s="21">
        <v>2256.4499999999998</v>
      </c>
      <c r="L642" s="21">
        <v>2193.13</v>
      </c>
      <c r="M642" s="21">
        <v>2051.75</v>
      </c>
      <c r="N642" s="21">
        <v>2123.08</v>
      </c>
      <c r="O642" s="21">
        <v>2250.4299999999998</v>
      </c>
      <c r="P642" s="21">
        <v>2327.1</v>
      </c>
      <c r="Q642" s="21">
        <v>5087.0200000000004</v>
      </c>
      <c r="R642" s="20">
        <v>123.89</v>
      </c>
      <c r="S642" s="20">
        <v>112.72</v>
      </c>
      <c r="T642" s="21">
        <v>130.75</v>
      </c>
      <c r="V642" s="1">
        <v>119.44</v>
      </c>
      <c r="W642" s="1">
        <v>135.09</v>
      </c>
      <c r="X642" s="1">
        <v>142.13</v>
      </c>
      <c r="Y642" s="1">
        <v>132.74</v>
      </c>
      <c r="Z642" s="1">
        <v>132.08000000000001</v>
      </c>
      <c r="AA642" s="1">
        <v>124.91</v>
      </c>
      <c r="AB642" s="1">
        <v>141.68</v>
      </c>
      <c r="AE642" s="1">
        <v>149</v>
      </c>
      <c r="AF642" s="1">
        <v>134.37</v>
      </c>
      <c r="AG642" s="1">
        <v>120.05</v>
      </c>
      <c r="AN642" s="1">
        <v>2424.84</v>
      </c>
      <c r="AT642" s="1">
        <v>2566.29</v>
      </c>
      <c r="AW642" s="1">
        <v>2596.9699999999998</v>
      </c>
      <c r="AX642" s="1">
        <v>126.52</v>
      </c>
      <c r="BA642" s="1">
        <v>130.27000000000001</v>
      </c>
      <c r="BB642" s="1">
        <v>142.44</v>
      </c>
      <c r="BC642" s="1">
        <v>141.76</v>
      </c>
      <c r="BD642" s="1">
        <v>137.75</v>
      </c>
      <c r="BE642" s="1">
        <v>135.96</v>
      </c>
      <c r="BF642" s="1">
        <v>131.30000000000001</v>
      </c>
      <c r="BG642" s="1">
        <v>151.46</v>
      </c>
      <c r="BH642" s="1">
        <v>129</v>
      </c>
      <c r="BI642" s="1">
        <v>138.79</v>
      </c>
      <c r="BJ642" s="1">
        <v>143.87</v>
      </c>
      <c r="BK642" s="1">
        <v>122.91</v>
      </c>
      <c r="BL642" s="1">
        <v>123.25</v>
      </c>
      <c r="BN642" s="1">
        <v>122.09</v>
      </c>
    </row>
    <row r="643" spans="1:66" x14ac:dyDescent="0.3">
      <c r="A643" s="2"/>
      <c r="C643" s="14" t="str">
        <f t="shared" si="10"/>
        <v>20238</v>
      </c>
      <c r="D643" s="3">
        <v>45169</v>
      </c>
      <c r="E643" s="21">
        <v>2350.0100000000002</v>
      </c>
      <c r="F643" s="21">
        <v>2288.59</v>
      </c>
      <c r="G643" s="21">
        <v>2332.15</v>
      </c>
      <c r="H643" s="21">
        <v>2274.96</v>
      </c>
      <c r="I643" s="21">
        <v>2280.14</v>
      </c>
      <c r="J643" s="21">
        <v>2262.9499999999998</v>
      </c>
      <c r="K643" s="21">
        <v>2281.7600000000002</v>
      </c>
      <c r="L643" s="21">
        <v>2191.5100000000002</v>
      </c>
      <c r="M643" s="21">
        <v>2037.33</v>
      </c>
      <c r="N643" s="21">
        <v>2161.3200000000002</v>
      </c>
      <c r="O643" s="21">
        <v>2252.6</v>
      </c>
      <c r="P643" s="21">
        <v>2326.15</v>
      </c>
      <c r="Q643" s="21">
        <v>5234.38</v>
      </c>
      <c r="R643" s="20">
        <v>124.6</v>
      </c>
      <c r="S643" s="20">
        <v>112.73</v>
      </c>
      <c r="T643" s="21">
        <v>131.53</v>
      </c>
      <c r="V643" s="1">
        <v>119.73</v>
      </c>
      <c r="W643" s="1">
        <v>134.97</v>
      </c>
      <c r="X643" s="1">
        <v>141.25</v>
      </c>
      <c r="Y643" s="1">
        <v>131.15</v>
      </c>
      <c r="Z643" s="1">
        <v>132.30000000000001</v>
      </c>
      <c r="AA643" s="1">
        <v>124.4</v>
      </c>
      <c r="AB643" s="1">
        <v>141.86000000000001</v>
      </c>
      <c r="AE643" s="1">
        <v>148.94</v>
      </c>
      <c r="AF643" s="1">
        <v>134.16</v>
      </c>
      <c r="AG643" s="1">
        <v>118.86</v>
      </c>
      <c r="AN643" s="1">
        <v>2427.2199999999998</v>
      </c>
      <c r="AT643" s="1">
        <v>2568.8000000000002</v>
      </c>
      <c r="AW643" s="1">
        <v>2599.52</v>
      </c>
      <c r="AX643" s="1">
        <v>126</v>
      </c>
      <c r="BA643" s="1">
        <v>130.77000000000001</v>
      </c>
      <c r="BB643" s="1">
        <v>142.16</v>
      </c>
      <c r="BC643" s="1">
        <v>140.19</v>
      </c>
      <c r="BD643" s="1">
        <v>136.72</v>
      </c>
      <c r="BE643" s="1">
        <v>135.83000000000001</v>
      </c>
      <c r="BF643" s="1">
        <v>132.52000000000001</v>
      </c>
      <c r="BG643" s="1">
        <v>152.4</v>
      </c>
      <c r="BH643" s="1">
        <v>130.93</v>
      </c>
      <c r="BI643" s="1">
        <v>138.37</v>
      </c>
      <c r="BJ643" s="1">
        <v>143.87</v>
      </c>
      <c r="BK643" s="1">
        <v>122.87</v>
      </c>
      <c r="BL643" s="1">
        <v>122.87</v>
      </c>
      <c r="BN643" s="1">
        <v>122.01</v>
      </c>
    </row>
    <row r="644" spans="1:66" x14ac:dyDescent="0.3">
      <c r="A644" s="2"/>
      <c r="C644" s="14" t="str">
        <f t="shared" si="10"/>
        <v>20238</v>
      </c>
      <c r="D644" s="3">
        <v>45168</v>
      </c>
      <c r="E644" s="21">
        <v>2350.0100000000002</v>
      </c>
      <c r="F644" s="21">
        <v>2288.59</v>
      </c>
      <c r="G644" s="21">
        <v>2342.04</v>
      </c>
      <c r="H644" s="21">
        <v>2261.7800000000002</v>
      </c>
      <c r="I644" s="21">
        <v>2280.14</v>
      </c>
      <c r="J644" s="21">
        <v>2262.9499999999998</v>
      </c>
      <c r="K644" s="21">
        <v>2270.0500000000002</v>
      </c>
      <c r="L644" s="21">
        <v>2191.5100000000002</v>
      </c>
      <c r="M644" s="21">
        <v>2037.33</v>
      </c>
      <c r="N644" s="21">
        <v>2121.9899999999998</v>
      </c>
      <c r="O644" s="21">
        <v>2248.98</v>
      </c>
      <c r="P644" s="21">
        <v>2359.29</v>
      </c>
      <c r="Q644" s="21">
        <v>5234.38</v>
      </c>
      <c r="R644" s="20">
        <v>124.1</v>
      </c>
      <c r="S644" s="20">
        <v>113.05</v>
      </c>
      <c r="T644" s="21">
        <v>131.86000000000001</v>
      </c>
      <c r="V644" s="1">
        <v>120.65</v>
      </c>
      <c r="W644" s="1">
        <v>135.31</v>
      </c>
      <c r="X644" s="1">
        <v>140.86000000000001</v>
      </c>
      <c r="Y644" s="1">
        <v>130.47</v>
      </c>
      <c r="Z644" s="1">
        <v>131.30000000000001</v>
      </c>
      <c r="AA644" s="1">
        <v>124.69</v>
      </c>
      <c r="AB644" s="1">
        <v>141.86000000000001</v>
      </c>
      <c r="AE644" s="1">
        <v>149.19</v>
      </c>
      <c r="AF644" s="1">
        <v>134.53</v>
      </c>
      <c r="AG644" s="1">
        <v>120.86</v>
      </c>
      <c r="AN644" s="1">
        <v>2427.2199999999998</v>
      </c>
      <c r="AT644" s="1">
        <v>2326.08</v>
      </c>
      <c r="AW644" s="1">
        <v>2633.98</v>
      </c>
      <c r="AX644" s="1">
        <v>125.8</v>
      </c>
      <c r="BA644" s="1">
        <v>130.47</v>
      </c>
      <c r="BB644" s="1">
        <v>141.58000000000001</v>
      </c>
      <c r="BC644" s="1">
        <v>140.52000000000001</v>
      </c>
      <c r="BD644" s="1">
        <v>136.96</v>
      </c>
      <c r="BE644" s="1">
        <v>136.47</v>
      </c>
      <c r="BF644" s="1">
        <v>136.53</v>
      </c>
      <c r="BG644" s="1">
        <v>152.24</v>
      </c>
      <c r="BH644" s="1">
        <v>129.44999999999999</v>
      </c>
      <c r="BI644" s="1">
        <v>137.16999999999999</v>
      </c>
      <c r="BJ644" s="1">
        <v>143.88999999999999</v>
      </c>
      <c r="BK644" s="1">
        <v>122.27</v>
      </c>
      <c r="BL644" s="1">
        <v>122.87</v>
      </c>
      <c r="BN644" s="1">
        <v>122.01</v>
      </c>
    </row>
    <row r="645" spans="1:66" x14ac:dyDescent="0.3">
      <c r="A645" s="2"/>
      <c r="C645" s="14" t="str">
        <f t="shared" si="10"/>
        <v>20238</v>
      </c>
      <c r="D645" s="3">
        <v>45167</v>
      </c>
      <c r="E645" s="21">
        <v>2384.19</v>
      </c>
      <c r="F645" s="21">
        <v>2283.19</v>
      </c>
      <c r="G645" s="21">
        <v>2342.04</v>
      </c>
      <c r="H645" s="21">
        <v>2313.65</v>
      </c>
      <c r="I645" s="21">
        <v>2260.36</v>
      </c>
      <c r="J645" s="21">
        <v>2291.6999999999998</v>
      </c>
      <c r="K645" s="21">
        <v>2292.46</v>
      </c>
      <c r="L645" s="21">
        <v>2191.5100000000002</v>
      </c>
      <c r="M645" s="21">
        <v>2043.89</v>
      </c>
      <c r="N645" s="21">
        <v>2118.44</v>
      </c>
      <c r="O645" s="21">
        <v>2266.1999999999998</v>
      </c>
      <c r="P645" s="21">
        <v>2359.29</v>
      </c>
      <c r="Q645" s="21">
        <v>5381.48</v>
      </c>
      <c r="R645" s="20">
        <v>124.1</v>
      </c>
      <c r="S645" s="20">
        <v>113.55</v>
      </c>
      <c r="T645" s="21">
        <v>130.91</v>
      </c>
      <c r="V645" s="1">
        <v>120.65</v>
      </c>
      <c r="W645" s="1">
        <v>135.81</v>
      </c>
      <c r="X645" s="1">
        <v>141.63</v>
      </c>
      <c r="Y645" s="1">
        <v>132.52000000000001</v>
      </c>
      <c r="Z645" s="1">
        <v>132.66999999999999</v>
      </c>
      <c r="AA645" s="1">
        <v>124.69</v>
      </c>
      <c r="AB645" s="1">
        <v>142.47999999999999</v>
      </c>
      <c r="AE645" s="1">
        <v>149.53</v>
      </c>
      <c r="AF645" s="1">
        <v>135.30000000000001</v>
      </c>
      <c r="AG645" s="1">
        <v>121.34</v>
      </c>
      <c r="AT645" s="1">
        <v>2326.08</v>
      </c>
      <c r="AX645" s="1">
        <v>126.51</v>
      </c>
      <c r="BA645" s="1">
        <v>131.06</v>
      </c>
      <c r="BB645" s="1">
        <v>143</v>
      </c>
      <c r="BC645" s="1">
        <v>141.72</v>
      </c>
      <c r="BD645" s="1">
        <v>137.56</v>
      </c>
      <c r="BE645" s="1">
        <v>136.44999999999999</v>
      </c>
      <c r="BF645" s="1">
        <v>136.51</v>
      </c>
      <c r="BG645" s="1">
        <v>152.62</v>
      </c>
      <c r="BH645" s="1">
        <v>129.32</v>
      </c>
      <c r="BI645" s="1">
        <v>136.54</v>
      </c>
      <c r="BJ645" s="1">
        <v>144</v>
      </c>
      <c r="BK645" s="1">
        <v>124.2</v>
      </c>
      <c r="BL645" s="1">
        <v>124.2</v>
      </c>
      <c r="BN645" s="1">
        <v>123.33</v>
      </c>
    </row>
    <row r="646" spans="1:66" x14ac:dyDescent="0.3">
      <c r="A646" s="2"/>
      <c r="C646" s="14" t="str">
        <f t="shared" ref="C646:C709" si="11">YEAR(D646)&amp;MONTH(D646)</f>
        <v>20238</v>
      </c>
      <c r="D646" s="3">
        <v>45166</v>
      </c>
      <c r="E646" s="21">
        <v>2384.19</v>
      </c>
      <c r="F646" s="21">
        <v>2283.19</v>
      </c>
      <c r="G646" s="21">
        <v>2342.04</v>
      </c>
      <c r="H646" s="21">
        <v>2318.15</v>
      </c>
      <c r="I646" s="21">
        <v>2260.36</v>
      </c>
      <c r="J646" s="21">
        <v>2293.65</v>
      </c>
      <c r="K646" s="21">
        <v>2223.37</v>
      </c>
      <c r="L646" s="21">
        <v>2198.1</v>
      </c>
      <c r="M646" s="21">
        <v>2043.89</v>
      </c>
      <c r="N646" s="21">
        <v>2112.5</v>
      </c>
      <c r="O646" s="21">
        <v>2270.02</v>
      </c>
      <c r="P646" s="21">
        <v>2322.39</v>
      </c>
      <c r="Q646" s="21">
        <v>5286.92</v>
      </c>
      <c r="R646" s="20">
        <v>124.02</v>
      </c>
      <c r="S646" s="20">
        <v>112.72</v>
      </c>
      <c r="T646" s="21">
        <v>130.16</v>
      </c>
      <c r="V646" s="1">
        <v>119.79</v>
      </c>
      <c r="W646" s="1">
        <v>134.36000000000001</v>
      </c>
      <c r="X646" s="1">
        <v>140.75</v>
      </c>
      <c r="Y646" s="1">
        <v>132.79</v>
      </c>
      <c r="Z646" s="1">
        <v>131.66</v>
      </c>
      <c r="AA646" s="1">
        <v>124.48</v>
      </c>
      <c r="AB646" s="1">
        <v>141.47999999999999</v>
      </c>
      <c r="AE646" s="1">
        <v>148.66</v>
      </c>
      <c r="AF646" s="1">
        <v>135.30000000000001</v>
      </c>
      <c r="AG646" s="1">
        <v>119.95</v>
      </c>
      <c r="AT646" s="1">
        <v>2326.08</v>
      </c>
      <c r="AX646" s="1">
        <v>126.56</v>
      </c>
      <c r="BA646" s="1">
        <v>131.05000000000001</v>
      </c>
      <c r="BB646" s="1">
        <v>143.46</v>
      </c>
      <c r="BC646" s="1">
        <v>141.47999999999999</v>
      </c>
      <c r="BD646" s="1">
        <v>137.21</v>
      </c>
      <c r="BE646" s="1">
        <v>134.07</v>
      </c>
      <c r="BF646" s="1">
        <v>136.08000000000001</v>
      </c>
      <c r="BG646" s="1">
        <v>150.61000000000001</v>
      </c>
      <c r="BH646" s="1">
        <v>129.32</v>
      </c>
      <c r="BI646" s="1">
        <v>136.54</v>
      </c>
      <c r="BJ646" s="1">
        <v>144.78</v>
      </c>
      <c r="BK646" s="1">
        <v>124.53</v>
      </c>
      <c r="BL646" s="1">
        <v>124.53</v>
      </c>
      <c r="BN646" s="1">
        <v>123.99</v>
      </c>
    </row>
    <row r="647" spans="1:66" x14ac:dyDescent="0.3">
      <c r="A647" s="2"/>
      <c r="C647" s="14" t="str">
        <f t="shared" si="11"/>
        <v>20238</v>
      </c>
      <c r="D647" s="3">
        <v>45163</v>
      </c>
      <c r="E647" s="21">
        <v>2384.19</v>
      </c>
      <c r="F647" s="21">
        <v>2276.6799999999998</v>
      </c>
      <c r="G647" s="21">
        <v>2342.04</v>
      </c>
      <c r="H647" s="21">
        <v>2344.27</v>
      </c>
      <c r="I647" s="21">
        <v>2250.48</v>
      </c>
      <c r="J647" s="21">
        <v>2258.1</v>
      </c>
      <c r="K647" s="21">
        <v>2183.59</v>
      </c>
      <c r="L647" s="21">
        <v>2194.81</v>
      </c>
      <c r="M647" s="21">
        <v>2057.0100000000002</v>
      </c>
      <c r="N647" s="21">
        <v>2081.89</v>
      </c>
      <c r="O647" s="21">
        <v>2270.02</v>
      </c>
      <c r="P647" s="21">
        <v>2256.1</v>
      </c>
      <c r="Q647" s="21">
        <v>5220.07</v>
      </c>
      <c r="R647" s="20">
        <v>123.03</v>
      </c>
      <c r="S647" s="20">
        <v>112.32</v>
      </c>
      <c r="T647" s="21">
        <v>129.44999999999999</v>
      </c>
      <c r="V647" s="1">
        <v>117.31</v>
      </c>
      <c r="W647" s="1">
        <v>133.37</v>
      </c>
      <c r="X647" s="1">
        <v>137.69999999999999</v>
      </c>
      <c r="Y647" s="1">
        <v>131.59</v>
      </c>
      <c r="Z647" s="1">
        <v>131.07</v>
      </c>
      <c r="AA647" s="1">
        <v>123.63</v>
      </c>
      <c r="AB647" s="1">
        <v>140.27000000000001</v>
      </c>
      <c r="AE647" s="1">
        <v>146.85</v>
      </c>
      <c r="AF647" s="1">
        <v>134.88</v>
      </c>
      <c r="AG647" s="1">
        <v>118.76</v>
      </c>
      <c r="AX647" s="1">
        <v>126.68</v>
      </c>
      <c r="BA647" s="1">
        <v>129.36000000000001</v>
      </c>
      <c r="BB647" s="1">
        <v>142.44999999999999</v>
      </c>
      <c r="BC647" s="1">
        <v>140.1</v>
      </c>
      <c r="BD647" s="1">
        <v>133.05000000000001</v>
      </c>
      <c r="BE647" s="1">
        <v>134.19999999999999</v>
      </c>
      <c r="BF647" s="1">
        <v>135.55000000000001</v>
      </c>
      <c r="BG647" s="1">
        <v>149.41</v>
      </c>
      <c r="BH647" s="1">
        <v>128.58000000000001</v>
      </c>
      <c r="BI647" s="1">
        <v>135.94</v>
      </c>
      <c r="BJ647" s="1">
        <v>144.72999999999999</v>
      </c>
      <c r="BK647" s="1">
        <v>121.87</v>
      </c>
      <c r="BL647" s="1">
        <v>122.54</v>
      </c>
      <c r="BN647" s="1">
        <v>122.01</v>
      </c>
    </row>
    <row r="648" spans="1:66" x14ac:dyDescent="0.3">
      <c r="A648" s="2"/>
      <c r="C648" s="14" t="str">
        <f t="shared" si="11"/>
        <v>20238</v>
      </c>
      <c r="D648" s="3">
        <v>45162</v>
      </c>
      <c r="E648" s="21"/>
      <c r="F648" s="21">
        <v>2274.21</v>
      </c>
      <c r="G648" s="21"/>
      <c r="H648" s="21"/>
      <c r="I648" s="21">
        <v>2234.65</v>
      </c>
      <c r="J648" s="21"/>
      <c r="K648" s="21">
        <v>2233.1799999999998</v>
      </c>
      <c r="L648" s="21"/>
      <c r="M648" s="21"/>
      <c r="N648" s="21"/>
      <c r="O648" s="21"/>
      <c r="P648" s="21"/>
      <c r="Q648" s="21">
        <v>5195.07</v>
      </c>
      <c r="R648" s="20">
        <v>122.03</v>
      </c>
      <c r="S648" s="20">
        <v>110.92</v>
      </c>
      <c r="T648" s="21">
        <v>128.19</v>
      </c>
      <c r="V648" s="1">
        <v>116.33</v>
      </c>
      <c r="W648" s="1">
        <v>132.77000000000001</v>
      </c>
      <c r="X648" s="1">
        <v>136.91999999999999</v>
      </c>
      <c r="Y648" s="1">
        <v>130.33000000000001</v>
      </c>
      <c r="Z648" s="1">
        <v>130.66</v>
      </c>
      <c r="AA648" s="1">
        <v>123.04</v>
      </c>
      <c r="AB648" s="1">
        <v>139.66</v>
      </c>
      <c r="AE648" s="1">
        <v>146.04</v>
      </c>
      <c r="AF648" s="1">
        <v>134.55000000000001</v>
      </c>
      <c r="AG648" s="1">
        <v>118.63</v>
      </c>
      <c r="AX648" s="1">
        <v>125.53</v>
      </c>
      <c r="BA648" s="1">
        <v>129.83000000000001</v>
      </c>
      <c r="BB648" s="1">
        <v>140.6</v>
      </c>
      <c r="BC648" s="1">
        <v>139.41999999999999</v>
      </c>
      <c r="BD648" s="1">
        <v>133.19999999999999</v>
      </c>
      <c r="BE648" s="1">
        <v>134.11000000000001</v>
      </c>
      <c r="BF648" s="1">
        <v>135.29</v>
      </c>
      <c r="BG648" s="1">
        <v>148.55000000000001</v>
      </c>
      <c r="BH648" s="1">
        <v>127.51</v>
      </c>
      <c r="BI648" s="1">
        <v>135.34</v>
      </c>
      <c r="BJ648" s="1">
        <v>144.94</v>
      </c>
      <c r="BK648" s="1">
        <v>121.87</v>
      </c>
      <c r="BL648" s="1">
        <v>122.54</v>
      </c>
      <c r="BN648" s="1">
        <v>122.01</v>
      </c>
    </row>
    <row r="649" spans="1:66" x14ac:dyDescent="0.3">
      <c r="A649" s="2"/>
      <c r="C649" s="14" t="str">
        <f t="shared" si="11"/>
        <v>20238</v>
      </c>
      <c r="D649" s="3">
        <v>45161</v>
      </c>
      <c r="E649" s="21">
        <v>2361.7600000000002</v>
      </c>
      <c r="F649" s="21">
        <v>2242.7399999999998</v>
      </c>
      <c r="G649" s="21">
        <v>2322.2600000000002</v>
      </c>
      <c r="H649" s="21">
        <v>2318.02</v>
      </c>
      <c r="I649" s="21">
        <v>2250.48</v>
      </c>
      <c r="J649" s="21">
        <v>2263.54</v>
      </c>
      <c r="K649" s="21">
        <v>2308</v>
      </c>
      <c r="L649" s="21">
        <v>2148.61</v>
      </c>
      <c r="M649" s="21">
        <v>2037.33</v>
      </c>
      <c r="N649" s="21">
        <v>2089.12</v>
      </c>
      <c r="O649" s="21">
        <v>2240.75</v>
      </c>
      <c r="P649" s="21">
        <v>2269.4</v>
      </c>
      <c r="Q649" s="21">
        <v>5377.92</v>
      </c>
      <c r="R649" s="20">
        <v>121.11</v>
      </c>
      <c r="S649" s="20">
        <v>110.92</v>
      </c>
      <c r="T649" s="21">
        <v>127.97</v>
      </c>
      <c r="V649" s="1">
        <v>117.36</v>
      </c>
      <c r="W649" s="1">
        <v>132</v>
      </c>
      <c r="X649" s="1">
        <v>136.63999999999999</v>
      </c>
      <c r="Y649" s="1">
        <v>129.32</v>
      </c>
      <c r="Z649" s="1">
        <v>130.58000000000001</v>
      </c>
      <c r="AA649" s="1">
        <v>124.13</v>
      </c>
      <c r="AB649" s="1">
        <v>139.38</v>
      </c>
      <c r="AE649" s="1">
        <v>145.84</v>
      </c>
      <c r="AF649" s="1">
        <v>134.44999999999999</v>
      </c>
      <c r="AG649" s="1">
        <v>118.6</v>
      </c>
      <c r="AX649" s="1">
        <v>128.43</v>
      </c>
      <c r="BA649" s="1">
        <v>129.82</v>
      </c>
      <c r="BB649" s="1">
        <v>139.19</v>
      </c>
      <c r="BC649" s="1">
        <v>138.94999999999999</v>
      </c>
      <c r="BD649" s="1">
        <v>134.04</v>
      </c>
      <c r="BE649" s="1">
        <v>134.16</v>
      </c>
      <c r="BF649" s="1">
        <v>135.75</v>
      </c>
      <c r="BG649" s="1">
        <v>148.41</v>
      </c>
      <c r="BH649" s="1">
        <v>127.51</v>
      </c>
      <c r="BI649" s="1">
        <v>136.13999999999999</v>
      </c>
      <c r="BJ649" s="1">
        <v>144.91</v>
      </c>
      <c r="BK649" s="1">
        <v>121.87</v>
      </c>
      <c r="BL649" s="1">
        <v>122.21</v>
      </c>
      <c r="BN649" s="1">
        <v>122.01</v>
      </c>
    </row>
    <row r="650" spans="1:66" x14ac:dyDescent="0.3">
      <c r="A650" s="2"/>
      <c r="C650" s="14" t="str">
        <f t="shared" si="11"/>
        <v>20238</v>
      </c>
      <c r="D650" s="3">
        <v>45160</v>
      </c>
      <c r="E650" s="21">
        <v>2359.77</v>
      </c>
      <c r="F650" s="21">
        <v>2242.7399999999998</v>
      </c>
      <c r="G650" s="21">
        <v>2312.37</v>
      </c>
      <c r="H650" s="21">
        <v>2238.48</v>
      </c>
      <c r="I650" s="21">
        <v>2250.48</v>
      </c>
      <c r="J650" s="21">
        <v>2211.83</v>
      </c>
      <c r="K650" s="21">
        <v>2308</v>
      </c>
      <c r="L650" s="21">
        <v>2130.66</v>
      </c>
      <c r="M650" s="21">
        <v>1898.3</v>
      </c>
      <c r="N650" s="21">
        <v>2082.02</v>
      </c>
      <c r="O650" s="21">
        <v>2236.7199999999998</v>
      </c>
      <c r="P650" s="21">
        <v>2269.4</v>
      </c>
      <c r="Q650" s="21">
        <v>5452.92</v>
      </c>
      <c r="R650" s="20">
        <v>120.61</v>
      </c>
      <c r="S650" s="20">
        <v>112.02</v>
      </c>
      <c r="T650" s="21">
        <v>130.22</v>
      </c>
      <c r="V650" s="1">
        <v>117.83</v>
      </c>
      <c r="W650" s="1">
        <v>134.37</v>
      </c>
      <c r="X650" s="1">
        <v>139.58000000000001</v>
      </c>
      <c r="Y650" s="1">
        <v>130.94</v>
      </c>
      <c r="Z650" s="1">
        <v>131.25</v>
      </c>
      <c r="AA650" s="1">
        <v>123.98</v>
      </c>
      <c r="AB650" s="1">
        <v>141.32</v>
      </c>
      <c r="AE650" s="1">
        <v>147.41999999999999</v>
      </c>
      <c r="AF650" s="1">
        <v>134.27000000000001</v>
      </c>
      <c r="AG650" s="1">
        <v>119.17</v>
      </c>
      <c r="AX650" s="1">
        <v>124.53</v>
      </c>
      <c r="BA650" s="1">
        <v>128.96</v>
      </c>
      <c r="BB650" s="1">
        <v>142.09</v>
      </c>
      <c r="BC650" s="1">
        <v>138.9</v>
      </c>
      <c r="BD650" s="1">
        <v>134.19999999999999</v>
      </c>
      <c r="BE650" s="1">
        <v>133.76</v>
      </c>
      <c r="BF650" s="1">
        <v>135.72999999999999</v>
      </c>
      <c r="BG650" s="1">
        <v>149.94</v>
      </c>
      <c r="BH650" s="1">
        <v>127.51</v>
      </c>
      <c r="BI650" s="1">
        <v>136.54</v>
      </c>
      <c r="BJ650" s="1">
        <v>144.88999999999999</v>
      </c>
      <c r="BK650" s="1">
        <v>123.21</v>
      </c>
      <c r="BL650" s="1">
        <v>123.21</v>
      </c>
      <c r="BN650" s="1">
        <v>122.01</v>
      </c>
    </row>
    <row r="651" spans="1:66" x14ac:dyDescent="0.3">
      <c r="A651" s="2"/>
      <c r="C651" s="14" t="str">
        <f t="shared" si="11"/>
        <v>20238</v>
      </c>
      <c r="D651" s="3">
        <v>45159</v>
      </c>
      <c r="E651" s="21">
        <v>2355.8000000000002</v>
      </c>
      <c r="F651" s="21">
        <v>2242.7399999999998</v>
      </c>
      <c r="G651" s="21">
        <v>2312.37</v>
      </c>
      <c r="H651" s="21">
        <v>2219.37</v>
      </c>
      <c r="I651" s="21">
        <v>2250.48</v>
      </c>
      <c r="J651" s="21">
        <v>2209.06</v>
      </c>
      <c r="K651" s="21">
        <v>2169.4</v>
      </c>
      <c r="L651" s="21">
        <v>2145.31</v>
      </c>
      <c r="M651" s="21">
        <v>1938.47</v>
      </c>
      <c r="N651" s="21">
        <v>2056.81</v>
      </c>
      <c r="O651" s="21">
        <v>2233.89</v>
      </c>
      <c r="P651" s="21">
        <v>2269.4</v>
      </c>
      <c r="Q651" s="21">
        <v>5477.64</v>
      </c>
      <c r="R651" s="20">
        <v>122.36</v>
      </c>
      <c r="S651" s="20">
        <v>112.82</v>
      </c>
      <c r="T651" s="21">
        <v>130.1</v>
      </c>
      <c r="V651" s="1">
        <v>119.43</v>
      </c>
      <c r="W651" s="1">
        <v>133.57</v>
      </c>
      <c r="X651" s="1">
        <v>139.66</v>
      </c>
      <c r="Y651" s="1">
        <v>132.34</v>
      </c>
      <c r="Z651" s="1">
        <v>131.75</v>
      </c>
      <c r="AA651" s="1">
        <v>124.91</v>
      </c>
      <c r="AB651" s="1">
        <v>139.66</v>
      </c>
      <c r="AE651" s="1">
        <v>147.79</v>
      </c>
      <c r="AF651" s="1">
        <v>135.31</v>
      </c>
      <c r="AG651" s="1">
        <v>119.43</v>
      </c>
      <c r="AW651" s="1">
        <v>3074.47</v>
      </c>
      <c r="AX651" s="1">
        <v>125.1</v>
      </c>
      <c r="BA651" s="1">
        <v>128.21</v>
      </c>
      <c r="BB651" s="1">
        <v>143.43</v>
      </c>
      <c r="BC651" s="1">
        <v>140.44</v>
      </c>
      <c r="BD651" s="1">
        <v>137.1</v>
      </c>
      <c r="BE651" s="1">
        <v>134.22999999999999</v>
      </c>
      <c r="BF651" s="1">
        <v>136.05000000000001</v>
      </c>
      <c r="BG651" s="1">
        <v>150.1</v>
      </c>
      <c r="BH651" s="1">
        <v>126.76</v>
      </c>
      <c r="BI651" s="1">
        <v>137.13999999999999</v>
      </c>
      <c r="BJ651" s="1">
        <v>142.43</v>
      </c>
      <c r="BK651" s="1">
        <v>123.87</v>
      </c>
      <c r="BL651" s="1">
        <v>124.2</v>
      </c>
      <c r="BN651" s="1">
        <v>123.33</v>
      </c>
    </row>
    <row r="652" spans="1:66" x14ac:dyDescent="0.3">
      <c r="A652" s="2"/>
      <c r="C652" s="14" t="str">
        <f t="shared" si="11"/>
        <v>20238</v>
      </c>
      <c r="D652" s="3">
        <v>45156</v>
      </c>
      <c r="E652" s="21">
        <v>2302.1999999999998</v>
      </c>
      <c r="F652" s="21">
        <v>2220.27</v>
      </c>
      <c r="G652" s="21">
        <v>2298.5300000000002</v>
      </c>
      <c r="H652" s="21">
        <v>2219.79</v>
      </c>
      <c r="I652" s="21">
        <v>2240.59</v>
      </c>
      <c r="J652" s="21">
        <v>2212.21</v>
      </c>
      <c r="K652" s="21">
        <v>2169.4</v>
      </c>
      <c r="L652" s="21">
        <v>2145.31</v>
      </c>
      <c r="M652" s="21">
        <v>1938.47</v>
      </c>
      <c r="N652" s="21">
        <v>2031.85</v>
      </c>
      <c r="O652" s="21">
        <v>2232.7199999999998</v>
      </c>
      <c r="P652" s="21">
        <v>2269.4</v>
      </c>
      <c r="Q652" s="21">
        <v>5365.7</v>
      </c>
      <c r="R652" s="20">
        <v>120.61</v>
      </c>
      <c r="S652" s="20">
        <v>110.41</v>
      </c>
      <c r="T652" s="21">
        <v>128.62</v>
      </c>
      <c r="V652" s="1">
        <v>117.59</v>
      </c>
      <c r="W652" s="1">
        <v>133.37</v>
      </c>
      <c r="X652" s="1">
        <v>137.75</v>
      </c>
      <c r="Y652" s="1">
        <v>129.97</v>
      </c>
      <c r="Z652" s="1">
        <v>130.16</v>
      </c>
      <c r="AA652" s="1">
        <v>122.93</v>
      </c>
      <c r="AB652" s="1">
        <v>138.27000000000001</v>
      </c>
      <c r="AE652" s="1">
        <v>145.77000000000001</v>
      </c>
      <c r="AF652" s="1">
        <v>134.82</v>
      </c>
      <c r="AG652" s="1">
        <v>117.5</v>
      </c>
      <c r="AW652" s="1">
        <v>3074.47</v>
      </c>
      <c r="AX652" s="1">
        <v>124.1</v>
      </c>
      <c r="AY652" s="1">
        <v>2870.52</v>
      </c>
      <c r="BA652" s="1">
        <v>126.28</v>
      </c>
      <c r="BB652" s="1">
        <v>142.36000000000001</v>
      </c>
      <c r="BC652" s="1">
        <v>140.34</v>
      </c>
      <c r="BD652" s="1">
        <v>135.75</v>
      </c>
      <c r="BE652" s="1">
        <v>133.66</v>
      </c>
      <c r="BF652" s="1">
        <v>134.13</v>
      </c>
      <c r="BG652" s="1">
        <v>148.62</v>
      </c>
      <c r="BH652" s="1">
        <v>126.76</v>
      </c>
      <c r="BI652" s="1">
        <v>138.33000000000001</v>
      </c>
      <c r="BJ652" s="1">
        <v>142.43</v>
      </c>
      <c r="BK652" s="1">
        <v>122.87</v>
      </c>
      <c r="BL652" s="1">
        <v>122.87</v>
      </c>
      <c r="BN652" s="1">
        <v>122.67</v>
      </c>
    </row>
    <row r="653" spans="1:66" x14ac:dyDescent="0.3">
      <c r="A653" s="2"/>
      <c r="C653" s="14" t="str">
        <f t="shared" si="11"/>
        <v>20238</v>
      </c>
      <c r="D653" s="3">
        <v>45155</v>
      </c>
      <c r="E653" s="21">
        <v>2302.1999999999998</v>
      </c>
      <c r="F653" s="21">
        <v>2220.27</v>
      </c>
      <c r="G653" s="21">
        <v>2298.5300000000002</v>
      </c>
      <c r="H653" s="21">
        <v>2252.13</v>
      </c>
      <c r="I653" s="21">
        <v>2238.61</v>
      </c>
      <c r="J653" s="21">
        <v>2258.33</v>
      </c>
      <c r="K653" s="21">
        <v>2175.37</v>
      </c>
      <c r="L653" s="21">
        <v>2151.9</v>
      </c>
      <c r="M653" s="21">
        <v>1968.68</v>
      </c>
      <c r="N653" s="21">
        <v>2081.3000000000002</v>
      </c>
      <c r="O653" s="21">
        <v>2227.7199999999998</v>
      </c>
      <c r="P653" s="21">
        <v>2269.4</v>
      </c>
      <c r="Q653" s="21">
        <v>5010.8</v>
      </c>
      <c r="R653" s="20">
        <v>121.11</v>
      </c>
      <c r="S653" s="20">
        <v>110.24</v>
      </c>
      <c r="T653" s="21">
        <v>128</v>
      </c>
      <c r="V653" s="1">
        <v>116.19</v>
      </c>
      <c r="W653" s="1">
        <v>133.47</v>
      </c>
      <c r="X653" s="1">
        <v>136.31</v>
      </c>
      <c r="Y653" s="1">
        <v>128.80000000000001</v>
      </c>
      <c r="Z653" s="1">
        <v>128.94</v>
      </c>
      <c r="AA653" s="1">
        <v>121.8</v>
      </c>
      <c r="AB653" s="1">
        <v>137</v>
      </c>
      <c r="AE653" s="1">
        <v>145.69999999999999</v>
      </c>
      <c r="AF653" s="1">
        <v>134.82</v>
      </c>
      <c r="AG653" s="1">
        <v>117.48</v>
      </c>
      <c r="AW653" s="1">
        <v>3074.47</v>
      </c>
      <c r="AX653" s="1">
        <v>122.36</v>
      </c>
      <c r="AY653" s="1">
        <v>2870.52</v>
      </c>
      <c r="BA653" s="1">
        <v>126.78</v>
      </c>
      <c r="BB653" s="1">
        <v>141.35</v>
      </c>
      <c r="BC653" s="1">
        <v>138.37</v>
      </c>
      <c r="BD653" s="1">
        <v>134.74</v>
      </c>
      <c r="BE653" s="1">
        <v>133.63999999999999</v>
      </c>
      <c r="BF653" s="1">
        <v>134.11000000000001</v>
      </c>
      <c r="BG653" s="1">
        <v>148.29</v>
      </c>
      <c r="BH653" s="1">
        <v>126.51</v>
      </c>
      <c r="BI653" s="1">
        <v>138.13</v>
      </c>
      <c r="BJ653" s="1">
        <v>140.41999999999999</v>
      </c>
      <c r="BK653" s="1">
        <v>122.21</v>
      </c>
      <c r="BL653" s="1">
        <v>121.88</v>
      </c>
      <c r="BN653" s="1">
        <v>121.35</v>
      </c>
    </row>
    <row r="654" spans="1:66" x14ac:dyDescent="0.3">
      <c r="A654" s="2"/>
      <c r="C654" s="14" t="str">
        <f t="shared" si="11"/>
        <v>20238</v>
      </c>
      <c r="D654" s="3">
        <v>45154</v>
      </c>
      <c r="E654" s="21">
        <v>2319.15</v>
      </c>
      <c r="F654" s="21">
        <v>2220.27</v>
      </c>
      <c r="G654" s="21">
        <v>2298.5300000000002</v>
      </c>
      <c r="H654" s="21">
        <v>2253.92</v>
      </c>
      <c r="I654" s="21">
        <v>2246.52</v>
      </c>
      <c r="J654" s="21">
        <v>2240.87</v>
      </c>
      <c r="K654" s="21">
        <v>2179.36</v>
      </c>
      <c r="L654" s="21">
        <v>2211.4299999999998</v>
      </c>
      <c r="M654" s="21">
        <v>1975.13</v>
      </c>
      <c r="N654" s="21">
        <v>2058.0300000000002</v>
      </c>
      <c r="O654" s="21">
        <v>2213.27</v>
      </c>
      <c r="P654" s="21">
        <v>2269.4</v>
      </c>
      <c r="Q654" s="21">
        <v>5004</v>
      </c>
      <c r="R654" s="20">
        <v>119.62</v>
      </c>
      <c r="S654" s="20">
        <v>110.58</v>
      </c>
      <c r="T654" s="21">
        <v>128.11000000000001</v>
      </c>
      <c r="V654" s="1">
        <v>115.62</v>
      </c>
      <c r="W654" s="1">
        <v>133.37</v>
      </c>
      <c r="X654" s="1">
        <v>136.53</v>
      </c>
      <c r="Y654" s="1">
        <v>128.80000000000001</v>
      </c>
      <c r="Z654" s="1">
        <v>128.94999999999999</v>
      </c>
      <c r="AA654" s="1">
        <v>121.74</v>
      </c>
      <c r="AB654" s="1">
        <v>136.66</v>
      </c>
      <c r="AE654" s="1">
        <v>144.66999999999999</v>
      </c>
      <c r="AF654" s="1">
        <v>134.82</v>
      </c>
      <c r="AG654" s="1">
        <v>117.54</v>
      </c>
      <c r="AW654" s="1">
        <v>3074.47</v>
      </c>
      <c r="AX654" s="1">
        <v>124.04</v>
      </c>
      <c r="AY654" s="1">
        <v>2870.52</v>
      </c>
      <c r="BA654" s="1">
        <v>126.5</v>
      </c>
      <c r="BB654" s="1">
        <v>141.03</v>
      </c>
      <c r="BC654" s="1">
        <v>138.37</v>
      </c>
      <c r="BD654" s="1">
        <v>134.38</v>
      </c>
      <c r="BE654" s="1">
        <v>132.12</v>
      </c>
      <c r="BF654" s="1">
        <v>132.65</v>
      </c>
      <c r="BG654" s="1">
        <v>146.97999999999999</v>
      </c>
      <c r="BH654" s="1">
        <v>126.76</v>
      </c>
      <c r="BI654" s="1">
        <v>138.13</v>
      </c>
      <c r="BJ654" s="1">
        <v>141.19999999999999</v>
      </c>
      <c r="BK654" s="1">
        <v>121.08</v>
      </c>
      <c r="BL654" s="1">
        <v>121.88</v>
      </c>
      <c r="BN654" s="1">
        <v>121.35</v>
      </c>
    </row>
    <row r="655" spans="1:66" x14ac:dyDescent="0.3">
      <c r="A655" s="2"/>
      <c r="C655" s="14" t="str">
        <f t="shared" si="11"/>
        <v>20238</v>
      </c>
      <c r="D655" s="3">
        <v>45153</v>
      </c>
      <c r="E655" s="21">
        <v>2321.98</v>
      </c>
      <c r="F655" s="21">
        <v>2224.77</v>
      </c>
      <c r="G655" s="21">
        <v>2306.34</v>
      </c>
      <c r="H655" s="21">
        <v>2235.15</v>
      </c>
      <c r="I655" s="21">
        <v>2250.48</v>
      </c>
      <c r="J655" s="21">
        <v>2235.0500000000002</v>
      </c>
      <c r="K655" s="21">
        <v>2247.73</v>
      </c>
      <c r="L655" s="21">
        <v>2198.1</v>
      </c>
      <c r="M655" s="21">
        <v>2001.49</v>
      </c>
      <c r="N655" s="21">
        <v>2055.8200000000002</v>
      </c>
      <c r="O655" s="21">
        <v>2180.79</v>
      </c>
      <c r="P655" s="21">
        <v>2269.4</v>
      </c>
      <c r="Q655" s="21">
        <v>5075.3500000000004</v>
      </c>
      <c r="R655" s="20">
        <v>119.87</v>
      </c>
      <c r="S655" s="20">
        <v>110.74</v>
      </c>
      <c r="T655" s="21">
        <v>128.38</v>
      </c>
      <c r="V655" s="1">
        <v>115.45</v>
      </c>
      <c r="W655" s="1">
        <v>132.97</v>
      </c>
      <c r="X655" s="1">
        <v>137.46</v>
      </c>
      <c r="Y655" s="1">
        <v>129.06</v>
      </c>
      <c r="Z655" s="1">
        <v>129.41999999999999</v>
      </c>
      <c r="AA655" s="1">
        <v>121.04</v>
      </c>
      <c r="AB655" s="1">
        <v>137.44999999999999</v>
      </c>
      <c r="AE655" s="1">
        <v>146.65</v>
      </c>
      <c r="AF655" s="1">
        <v>134.57</v>
      </c>
      <c r="AG655" s="1">
        <v>117.53</v>
      </c>
      <c r="AT655" s="1">
        <v>3016.07</v>
      </c>
      <c r="AW655" s="1">
        <v>3074.47</v>
      </c>
      <c r="AX655" s="1">
        <v>121.3</v>
      </c>
      <c r="AY655" s="1">
        <v>2870.52</v>
      </c>
      <c r="BA655" s="1">
        <v>126.47</v>
      </c>
      <c r="BB655" s="1">
        <v>140.44999999999999</v>
      </c>
      <c r="BC655" s="1">
        <v>138.47</v>
      </c>
      <c r="BD655" s="1">
        <v>134.47</v>
      </c>
      <c r="BE655" s="1">
        <v>131.6</v>
      </c>
      <c r="BF655" s="1">
        <v>130.52000000000001</v>
      </c>
      <c r="BG655" s="1">
        <v>147.76</v>
      </c>
      <c r="BH655" s="1">
        <v>126.76</v>
      </c>
      <c r="BI655" s="1">
        <v>135.34</v>
      </c>
      <c r="BJ655" s="1">
        <v>142.87</v>
      </c>
      <c r="BK655" s="1">
        <v>121.12</v>
      </c>
      <c r="BL655" s="1">
        <v>122.21</v>
      </c>
      <c r="BN655" s="1">
        <v>121.35</v>
      </c>
    </row>
    <row r="656" spans="1:66" x14ac:dyDescent="0.3">
      <c r="A656" s="2"/>
      <c r="C656" s="14" t="str">
        <f t="shared" si="11"/>
        <v>20238</v>
      </c>
      <c r="D656" s="3">
        <v>45152</v>
      </c>
      <c r="E656" s="21">
        <v>2308.96</v>
      </c>
      <c r="F656" s="21">
        <v>2251.73</v>
      </c>
      <c r="G656" s="21">
        <v>2322.3200000000002</v>
      </c>
      <c r="H656" s="21">
        <v>2235.15</v>
      </c>
      <c r="I656" s="21">
        <v>2250.48</v>
      </c>
      <c r="J656" s="21">
        <v>2249.04</v>
      </c>
      <c r="K656" s="21">
        <v>2134.16</v>
      </c>
      <c r="L656" s="21">
        <v>2198.1</v>
      </c>
      <c r="M656" s="21">
        <v>2007.53</v>
      </c>
      <c r="N656" s="21">
        <v>2068.11</v>
      </c>
      <c r="O656" s="21">
        <v>2191.4699999999998</v>
      </c>
      <c r="P656" s="21"/>
      <c r="Q656" s="21">
        <v>5108.2</v>
      </c>
      <c r="R656" s="20">
        <v>120.86</v>
      </c>
      <c r="S656" s="20">
        <v>111.72</v>
      </c>
      <c r="T656" s="21">
        <v>129.74</v>
      </c>
      <c r="V656" s="1">
        <v>115.71</v>
      </c>
      <c r="W656" s="1">
        <v>132.59</v>
      </c>
      <c r="X656" s="1">
        <v>136.19999999999999</v>
      </c>
      <c r="Y656" s="1">
        <v>128.83000000000001</v>
      </c>
      <c r="Z656" s="1">
        <v>129.84</v>
      </c>
      <c r="AA656" s="1">
        <v>122.11</v>
      </c>
      <c r="AB656" s="1">
        <v>137.12</v>
      </c>
      <c r="AE656" s="1">
        <v>145.24</v>
      </c>
      <c r="AF656" s="1">
        <v>135.82</v>
      </c>
      <c r="AG656" s="1">
        <v>118.71</v>
      </c>
      <c r="AT656" s="1">
        <v>3016.07</v>
      </c>
      <c r="AX656" s="1">
        <v>121.44</v>
      </c>
      <c r="AY656" s="1">
        <v>2870.52</v>
      </c>
      <c r="BA656" s="1">
        <v>125.5</v>
      </c>
      <c r="BB656" s="1">
        <v>140.21</v>
      </c>
      <c r="BC656" s="1">
        <v>137.97</v>
      </c>
      <c r="BD656" s="1">
        <v>134.59</v>
      </c>
      <c r="BE656" s="1">
        <v>130.29</v>
      </c>
      <c r="BF656" s="1">
        <v>131.49</v>
      </c>
      <c r="BG656" s="1">
        <v>148.75</v>
      </c>
      <c r="BH656" s="1">
        <v>126.53</v>
      </c>
      <c r="BI656" s="1">
        <v>135.34</v>
      </c>
      <c r="BJ656" s="1">
        <v>142.85</v>
      </c>
      <c r="BK656" s="1">
        <v>121.12</v>
      </c>
      <c r="BL656" s="1">
        <v>121.88</v>
      </c>
      <c r="BN656" s="1">
        <v>121.35</v>
      </c>
    </row>
    <row r="657" spans="1:66" x14ac:dyDescent="0.3">
      <c r="A657" s="2"/>
      <c r="C657" s="14" t="str">
        <f t="shared" si="11"/>
        <v>20238</v>
      </c>
      <c r="D657" s="3">
        <v>45149</v>
      </c>
      <c r="E657" s="21">
        <v>2334.73</v>
      </c>
      <c r="F657" s="21">
        <v>2251.73</v>
      </c>
      <c r="G657" s="21">
        <v>2322.3200000000002</v>
      </c>
      <c r="H657" s="21">
        <v>2285.58</v>
      </c>
      <c r="I657" s="21">
        <v>2250.48</v>
      </c>
      <c r="J657" s="21">
        <v>2202.58</v>
      </c>
      <c r="K657" s="21">
        <v>2134.16</v>
      </c>
      <c r="L657" s="21">
        <v>2198.1</v>
      </c>
      <c r="M657" s="21">
        <v>2007.53</v>
      </c>
      <c r="N657" s="21">
        <v>2060.73</v>
      </c>
      <c r="O657" s="21">
        <v>2191.4699999999998</v>
      </c>
      <c r="P657" s="21"/>
      <c r="Q657" s="21">
        <v>5108.2</v>
      </c>
      <c r="R657" s="20">
        <v>119.53</v>
      </c>
      <c r="S657" s="20">
        <v>111.32</v>
      </c>
      <c r="T657" s="21">
        <v>127.86</v>
      </c>
      <c r="V657" s="1">
        <v>114.74</v>
      </c>
      <c r="W657" s="1">
        <v>132.16999999999999</v>
      </c>
      <c r="X657" s="1">
        <v>136.31</v>
      </c>
      <c r="Y657" s="1">
        <v>128.80000000000001</v>
      </c>
      <c r="Z657" s="1">
        <v>128.57</v>
      </c>
      <c r="AA657" s="1">
        <v>120.73</v>
      </c>
      <c r="AB657" s="1">
        <v>137.16999999999999</v>
      </c>
      <c r="AE657" s="1">
        <v>145.41999999999999</v>
      </c>
      <c r="AG657" s="1">
        <v>116.16</v>
      </c>
      <c r="AN657" s="1">
        <v>3075.36</v>
      </c>
      <c r="AT657" s="1">
        <v>3016.07</v>
      </c>
      <c r="AW657" s="1">
        <v>2990.15</v>
      </c>
      <c r="AX657" s="1">
        <v>120.51</v>
      </c>
      <c r="BA657" s="1">
        <v>124.94</v>
      </c>
      <c r="BB657" s="1">
        <v>138.85</v>
      </c>
      <c r="BC657" s="1">
        <v>137.47999999999999</v>
      </c>
      <c r="BD657" s="1">
        <v>134.35</v>
      </c>
      <c r="BE657" s="1">
        <v>128.69</v>
      </c>
      <c r="BF657" s="1">
        <v>128.43</v>
      </c>
      <c r="BG657" s="1">
        <v>148.09</v>
      </c>
      <c r="BH657" s="1">
        <v>122.29</v>
      </c>
      <c r="BI657" s="1">
        <v>135.34</v>
      </c>
      <c r="BJ657" s="1">
        <v>142.81</v>
      </c>
      <c r="BK657" s="1">
        <v>121.12</v>
      </c>
      <c r="BL657" s="1">
        <v>121.88</v>
      </c>
      <c r="BN657" s="1">
        <v>121.35</v>
      </c>
    </row>
    <row r="658" spans="1:66" x14ac:dyDescent="0.3">
      <c r="A658" s="2"/>
      <c r="C658" s="14" t="str">
        <f t="shared" si="11"/>
        <v>20238</v>
      </c>
      <c r="D658" s="3">
        <v>45148</v>
      </c>
      <c r="E658" s="21">
        <v>2329.0500000000002</v>
      </c>
      <c r="F658" s="21">
        <v>2284.92</v>
      </c>
      <c r="G658" s="21">
        <v>2332.21</v>
      </c>
      <c r="H658" s="21">
        <v>2150.63</v>
      </c>
      <c r="I658" s="21">
        <v>2250.48</v>
      </c>
      <c r="J658" s="21">
        <v>2203.5700000000002</v>
      </c>
      <c r="K658" s="21">
        <v>2147.44</v>
      </c>
      <c r="L658" s="21">
        <v>2188.1</v>
      </c>
      <c r="M658" s="21">
        <v>2007.53</v>
      </c>
      <c r="N658" s="21">
        <v>2045.9</v>
      </c>
      <c r="O658" s="21">
        <v>2200.69</v>
      </c>
      <c r="P658" s="21"/>
      <c r="Q658" s="21">
        <v>5187.92</v>
      </c>
      <c r="R658" s="20">
        <v>119.04</v>
      </c>
      <c r="S658" s="20">
        <v>110.52</v>
      </c>
      <c r="T658" s="21">
        <v>127.84</v>
      </c>
      <c r="V658" s="1">
        <v>115.65</v>
      </c>
      <c r="W658" s="1">
        <v>132.53</v>
      </c>
      <c r="X658" s="1">
        <v>136.97999999999999</v>
      </c>
      <c r="Y658" s="1">
        <v>128.69</v>
      </c>
      <c r="Z658" s="1">
        <v>129.37</v>
      </c>
      <c r="AA658" s="1">
        <v>120.52</v>
      </c>
      <c r="AB658" s="1">
        <v>137.66999999999999</v>
      </c>
      <c r="AE658" s="1">
        <v>146.11000000000001</v>
      </c>
      <c r="AG658" s="1">
        <v>115.44</v>
      </c>
      <c r="AN658" s="1">
        <v>3075.36</v>
      </c>
      <c r="AT658" s="1">
        <v>3016.07</v>
      </c>
      <c r="AW658" s="1">
        <v>2990.15</v>
      </c>
      <c r="AX658" s="1">
        <v>122.89</v>
      </c>
      <c r="BA658" s="1">
        <v>124.94</v>
      </c>
      <c r="BB658" s="1">
        <v>139.08000000000001</v>
      </c>
      <c r="BC658" s="1">
        <v>137.19999999999999</v>
      </c>
      <c r="BD658" s="1">
        <v>135.13999999999999</v>
      </c>
      <c r="BE658" s="1">
        <v>128.66</v>
      </c>
      <c r="BF658" s="1">
        <v>129.19999999999999</v>
      </c>
      <c r="BG658" s="1">
        <v>148.34</v>
      </c>
      <c r="BH658" s="1">
        <v>125.04</v>
      </c>
      <c r="BI658" s="1">
        <v>135.34</v>
      </c>
      <c r="BJ658" s="1">
        <v>142.79</v>
      </c>
      <c r="BK658" s="1">
        <v>119.44</v>
      </c>
      <c r="BL658" s="1">
        <v>121.88</v>
      </c>
      <c r="BN658" s="1">
        <v>120.7</v>
      </c>
    </row>
    <row r="659" spans="1:66" x14ac:dyDescent="0.3">
      <c r="A659" s="2"/>
      <c r="C659" s="14" t="str">
        <f t="shared" si="11"/>
        <v>20238</v>
      </c>
      <c r="D659" s="3">
        <v>45147</v>
      </c>
      <c r="E659" s="21">
        <v>2343.21</v>
      </c>
      <c r="F659" s="21">
        <v>2292.1799999999998</v>
      </c>
      <c r="G659" s="21">
        <v>2342.09</v>
      </c>
      <c r="H659" s="21">
        <v>2291.9299999999998</v>
      </c>
      <c r="I659" s="21">
        <v>2266.3000000000002</v>
      </c>
      <c r="J659" s="21">
        <v>2246.62</v>
      </c>
      <c r="K659" s="21">
        <v>2147.44</v>
      </c>
      <c r="L659" s="21">
        <v>2188.1</v>
      </c>
      <c r="M659" s="21">
        <v>2020.66</v>
      </c>
      <c r="N659" s="21">
        <v>2046.15</v>
      </c>
      <c r="O659" s="21">
        <v>2208.4499999999998</v>
      </c>
      <c r="P659" s="21"/>
      <c r="Q659" s="21">
        <v>5187.92</v>
      </c>
      <c r="R659" s="20">
        <v>119.04</v>
      </c>
      <c r="S659" s="20">
        <v>110.32</v>
      </c>
      <c r="T659" s="21">
        <v>127.15</v>
      </c>
      <c r="V659" s="1">
        <v>112.77</v>
      </c>
      <c r="W659" s="1">
        <v>132.19999999999999</v>
      </c>
      <c r="X659" s="1">
        <v>136.96</v>
      </c>
      <c r="Y659" s="1">
        <v>128.84</v>
      </c>
      <c r="Z659" s="1">
        <v>128.46</v>
      </c>
      <c r="AA659" s="1">
        <v>120.73</v>
      </c>
      <c r="AB659" s="1">
        <v>137.79</v>
      </c>
      <c r="AE659" s="1">
        <v>145.80000000000001</v>
      </c>
      <c r="AG659" s="1">
        <v>115.42</v>
      </c>
      <c r="AN659" s="1">
        <v>3075.36</v>
      </c>
      <c r="AP659" s="1">
        <v>3056.5</v>
      </c>
      <c r="AT659" s="1">
        <v>3016.07</v>
      </c>
      <c r="AW659" s="1">
        <v>2990.15</v>
      </c>
      <c r="AX659" s="1">
        <v>123.58</v>
      </c>
      <c r="BA659" s="1">
        <v>124.93</v>
      </c>
      <c r="BB659" s="1">
        <v>139.01</v>
      </c>
      <c r="BC659" s="1">
        <v>138.18</v>
      </c>
      <c r="BD659" s="1">
        <v>135.05000000000001</v>
      </c>
      <c r="BE659" s="1">
        <v>129.37</v>
      </c>
      <c r="BF659" s="1">
        <v>129.18</v>
      </c>
      <c r="BG659" s="1">
        <v>148.26</v>
      </c>
      <c r="BH659" s="1">
        <v>126.4</v>
      </c>
      <c r="BI659" s="1">
        <v>134.55000000000001</v>
      </c>
      <c r="BJ659" s="1">
        <v>142.04</v>
      </c>
      <c r="BK659" s="1">
        <v>119.87</v>
      </c>
      <c r="BL659" s="1">
        <v>121.55</v>
      </c>
      <c r="BN659" s="1">
        <v>120.7</v>
      </c>
    </row>
    <row r="660" spans="1:66" x14ac:dyDescent="0.3">
      <c r="A660" s="2"/>
      <c r="C660" s="14" t="str">
        <f t="shared" si="11"/>
        <v>20238</v>
      </c>
      <c r="D660" s="3">
        <v>45146</v>
      </c>
      <c r="E660" s="21">
        <v>2341.79</v>
      </c>
      <c r="F660" s="21">
        <v>2292.1799999999998</v>
      </c>
      <c r="G660" s="21">
        <v>2342.09</v>
      </c>
      <c r="H660" s="21">
        <v>2280.13</v>
      </c>
      <c r="I660" s="21">
        <v>2266.3000000000002</v>
      </c>
      <c r="J660" s="21">
        <v>2244.15</v>
      </c>
      <c r="K660" s="21">
        <v>2140.8000000000002</v>
      </c>
      <c r="L660" s="21">
        <v>2197.9899999999998</v>
      </c>
      <c r="M660" s="21">
        <v>2020.66</v>
      </c>
      <c r="N660" s="21">
        <v>2075.5300000000002</v>
      </c>
      <c r="O660" s="21">
        <v>2204</v>
      </c>
      <c r="P660" s="21"/>
      <c r="Q660" s="21">
        <v>5308.96</v>
      </c>
      <c r="R660" s="20">
        <v>118.7</v>
      </c>
      <c r="S660" s="20">
        <v>109.92</v>
      </c>
      <c r="T660" s="21">
        <v>126.78</v>
      </c>
      <c r="V660" s="1">
        <v>113.13</v>
      </c>
      <c r="W660" s="1">
        <v>132.53</v>
      </c>
      <c r="X660" s="1">
        <v>135.31</v>
      </c>
      <c r="Y660" s="1">
        <v>127.2</v>
      </c>
      <c r="Z660" s="1">
        <v>127.74</v>
      </c>
      <c r="AA660" s="1">
        <v>119.77</v>
      </c>
      <c r="AB660" s="1">
        <v>136.12</v>
      </c>
      <c r="AE660" s="1">
        <v>145.35</v>
      </c>
      <c r="AG660" s="1">
        <v>115.62</v>
      </c>
      <c r="AN660" s="1">
        <v>3075.36</v>
      </c>
      <c r="AP660" s="1">
        <v>3056.5</v>
      </c>
      <c r="AW660" s="1">
        <v>2990.15</v>
      </c>
      <c r="AX660" s="1">
        <v>121.81</v>
      </c>
      <c r="BA660" s="1">
        <v>124.52</v>
      </c>
      <c r="BB660" s="1">
        <v>138.96</v>
      </c>
      <c r="BC660" s="1">
        <v>137.19</v>
      </c>
      <c r="BD660" s="1">
        <v>133.96</v>
      </c>
      <c r="BE660" s="1">
        <v>127.85</v>
      </c>
      <c r="BF660" s="1">
        <v>128.37</v>
      </c>
      <c r="BG660" s="1">
        <v>148.38999999999999</v>
      </c>
      <c r="BH660" s="1">
        <v>125.22</v>
      </c>
      <c r="BI660" s="1">
        <v>134.55000000000001</v>
      </c>
      <c r="BJ660" s="1">
        <v>142.02000000000001</v>
      </c>
      <c r="BK660" s="1">
        <v>119.2</v>
      </c>
      <c r="BL660" s="1">
        <v>120.21</v>
      </c>
      <c r="BN660" s="1">
        <v>120.03</v>
      </c>
    </row>
    <row r="661" spans="1:66" x14ac:dyDescent="0.3">
      <c r="A661" s="2"/>
      <c r="C661" s="14" t="str">
        <f t="shared" si="11"/>
        <v>20238</v>
      </c>
      <c r="D661" s="3">
        <v>45145</v>
      </c>
      <c r="E661" s="21">
        <v>2334.6999999999998</v>
      </c>
      <c r="F661" s="21">
        <v>2292.1799999999998</v>
      </c>
      <c r="G661" s="21">
        <v>2342.09</v>
      </c>
      <c r="H661" s="21">
        <v>2221.65</v>
      </c>
      <c r="I661" s="21">
        <v>2266.3000000000002</v>
      </c>
      <c r="J661" s="21">
        <v>2290.35</v>
      </c>
      <c r="K661" s="21">
        <v>2107.59</v>
      </c>
      <c r="L661" s="21">
        <v>2197.9899999999998</v>
      </c>
      <c r="M661" s="21">
        <v>2057.96</v>
      </c>
      <c r="N661" s="21">
        <v>2070.2800000000002</v>
      </c>
      <c r="O661" s="21">
        <v>2179.46</v>
      </c>
      <c r="P661" s="21"/>
      <c r="Q661" s="21">
        <v>5308.96</v>
      </c>
      <c r="R661" s="20">
        <v>118.37</v>
      </c>
      <c r="S661" s="20">
        <v>109.92</v>
      </c>
      <c r="T661" s="21">
        <v>126.75</v>
      </c>
      <c r="V661" s="1">
        <v>113.52</v>
      </c>
      <c r="W661" s="1">
        <v>132.53</v>
      </c>
      <c r="X661" s="1">
        <v>135.53</v>
      </c>
      <c r="Y661" s="1">
        <v>128.46</v>
      </c>
      <c r="Z661" s="1">
        <v>128.38</v>
      </c>
      <c r="AA661" s="1">
        <v>118.53</v>
      </c>
      <c r="AB661" s="1">
        <v>136.25</v>
      </c>
      <c r="AE661" s="1">
        <v>145.16999999999999</v>
      </c>
      <c r="AG661" s="1">
        <v>116.29</v>
      </c>
      <c r="AN661" s="1">
        <v>3075.36</v>
      </c>
      <c r="AP661" s="1">
        <v>3056.5</v>
      </c>
      <c r="AW661" s="1">
        <v>3043.91</v>
      </c>
      <c r="AX661" s="1">
        <v>121.37</v>
      </c>
      <c r="BA661" s="1">
        <v>124.26</v>
      </c>
      <c r="BB661" s="1">
        <v>140.51</v>
      </c>
      <c r="BC661" s="1">
        <v>135.78</v>
      </c>
      <c r="BD661" s="1">
        <v>135.30000000000001</v>
      </c>
      <c r="BE661" s="1">
        <v>127.81</v>
      </c>
      <c r="BF661" s="1">
        <v>128.35</v>
      </c>
      <c r="BG661" s="1">
        <v>147.91999999999999</v>
      </c>
      <c r="BH661" s="1">
        <v>125.22</v>
      </c>
      <c r="BI661" s="1">
        <v>135.13999999999999</v>
      </c>
      <c r="BJ661" s="1">
        <v>145.72</v>
      </c>
      <c r="BK661" s="1">
        <v>120.35</v>
      </c>
      <c r="BL661" s="1">
        <v>121.21</v>
      </c>
      <c r="BN661" s="1">
        <v>120.36</v>
      </c>
    </row>
    <row r="662" spans="1:66" x14ac:dyDescent="0.3">
      <c r="A662" s="2"/>
      <c r="C662" s="14" t="str">
        <f t="shared" si="11"/>
        <v>20238</v>
      </c>
      <c r="D662" s="3">
        <v>45142</v>
      </c>
      <c r="E662" s="21">
        <v>2360.2199999999998</v>
      </c>
      <c r="F662" s="21">
        <v>2314.66</v>
      </c>
      <c r="G662" s="21">
        <v>2361.9299999999998</v>
      </c>
      <c r="H662" s="21">
        <v>2255.23</v>
      </c>
      <c r="I662" s="21">
        <v>2238.61</v>
      </c>
      <c r="J662" s="21">
        <v>2295.84</v>
      </c>
      <c r="K662" s="21">
        <v>2107.59</v>
      </c>
      <c r="L662" s="21">
        <v>2197.9899999999998</v>
      </c>
      <c r="M662" s="21">
        <v>2057.96</v>
      </c>
      <c r="N662" s="21">
        <v>2096.61</v>
      </c>
      <c r="O662" s="21">
        <v>2223.7199999999998</v>
      </c>
      <c r="P662" s="21"/>
      <c r="Q662" s="21">
        <v>5030.13</v>
      </c>
      <c r="R662" s="20">
        <v>118.37</v>
      </c>
      <c r="S662" s="20">
        <v>107.75</v>
      </c>
      <c r="T662" s="21">
        <v>127.05</v>
      </c>
      <c r="V662" s="1">
        <v>114.78</v>
      </c>
      <c r="W662" s="1">
        <v>133.19999999999999</v>
      </c>
      <c r="X662" s="1">
        <v>137.09</v>
      </c>
      <c r="Y662" s="1">
        <v>130.9</v>
      </c>
      <c r="Z662" s="1">
        <v>130.31</v>
      </c>
      <c r="AA662" s="1">
        <v>119.39</v>
      </c>
      <c r="AB662" s="1">
        <v>137.37</v>
      </c>
      <c r="AE662" s="1">
        <v>146.53</v>
      </c>
      <c r="AG662" s="1">
        <v>117.84</v>
      </c>
      <c r="AP662" s="1">
        <v>3056.5</v>
      </c>
      <c r="AW662" s="1">
        <v>3214.09</v>
      </c>
      <c r="AX662" s="1">
        <v>123.88</v>
      </c>
      <c r="BA662" s="1">
        <v>123.98</v>
      </c>
      <c r="BB662" s="1">
        <v>141.63999999999999</v>
      </c>
      <c r="BC662" s="1">
        <v>135.94</v>
      </c>
      <c r="BD662" s="1">
        <v>136.32</v>
      </c>
      <c r="BE662" s="1">
        <v>127.71</v>
      </c>
      <c r="BF662" s="1">
        <v>128.28</v>
      </c>
      <c r="BG662" s="1">
        <v>148.59</v>
      </c>
      <c r="BH662" s="1">
        <v>125.72</v>
      </c>
      <c r="BI662" s="1">
        <v>135.13999999999999</v>
      </c>
      <c r="BJ662" s="1">
        <v>143.19</v>
      </c>
      <c r="BK662" s="1">
        <v>120.1</v>
      </c>
      <c r="BL662" s="1">
        <v>123.54</v>
      </c>
      <c r="BN662" s="1">
        <v>122.68</v>
      </c>
    </row>
    <row r="663" spans="1:66" x14ac:dyDescent="0.3">
      <c r="A663" s="2"/>
      <c r="C663" s="14" t="str">
        <f t="shared" si="11"/>
        <v>20238</v>
      </c>
      <c r="D663" s="3">
        <v>45141</v>
      </c>
      <c r="E663" s="21">
        <v>2383.66</v>
      </c>
      <c r="F663" s="21">
        <v>2313.75</v>
      </c>
      <c r="G663" s="21">
        <v>2361.1</v>
      </c>
      <c r="H663" s="21">
        <v>2206.9899999999998</v>
      </c>
      <c r="I663" s="21">
        <v>2237.7399999999998</v>
      </c>
      <c r="J663" s="21">
        <v>2298.64</v>
      </c>
      <c r="K663" s="21">
        <v>2107.04</v>
      </c>
      <c r="L663" s="21">
        <v>2197.35</v>
      </c>
      <c r="M663" s="21">
        <v>2057.44</v>
      </c>
      <c r="N663" s="21">
        <v>2068.4499999999998</v>
      </c>
      <c r="O663" s="21">
        <v>2228.15</v>
      </c>
      <c r="P663" s="21">
        <v>2373.5300000000002</v>
      </c>
      <c r="Q663" s="21">
        <v>4998.28</v>
      </c>
      <c r="R663" s="20">
        <v>118.36</v>
      </c>
      <c r="S663" s="20">
        <v>107.58</v>
      </c>
      <c r="T663" s="21">
        <v>126.77</v>
      </c>
      <c r="V663" s="1">
        <v>114.31</v>
      </c>
      <c r="W663" s="1">
        <v>132.36000000000001</v>
      </c>
      <c r="X663" s="1">
        <v>136.13999999999999</v>
      </c>
      <c r="Y663" s="1">
        <v>130.02000000000001</v>
      </c>
      <c r="Z663" s="1">
        <v>129.63999999999999</v>
      </c>
      <c r="AA663" s="1">
        <v>119.4</v>
      </c>
      <c r="AB663" s="1">
        <v>135.49</v>
      </c>
      <c r="AE663" s="1">
        <v>145.1</v>
      </c>
      <c r="AF663" s="1">
        <v>129.69</v>
      </c>
      <c r="AG663" s="1">
        <v>116.14</v>
      </c>
      <c r="AP663" s="1">
        <v>3056.5</v>
      </c>
      <c r="AW663" s="1">
        <v>3215.38</v>
      </c>
      <c r="AX663" s="1">
        <v>122.52</v>
      </c>
      <c r="BA663" s="1">
        <v>122.74</v>
      </c>
      <c r="BB663" s="1">
        <v>140.56</v>
      </c>
      <c r="BC663" s="1">
        <v>135.74</v>
      </c>
      <c r="BD663" s="1">
        <v>134.12</v>
      </c>
      <c r="BE663" s="1">
        <v>127.64</v>
      </c>
      <c r="BF663" s="1">
        <v>126.11</v>
      </c>
      <c r="BG663" s="1">
        <v>146.08000000000001</v>
      </c>
      <c r="BH663" s="1">
        <v>125.7</v>
      </c>
      <c r="BI663" s="1">
        <v>135.13</v>
      </c>
      <c r="BJ663" s="1">
        <v>142.65</v>
      </c>
      <c r="BK663" s="1">
        <v>120.08</v>
      </c>
      <c r="BL663" s="1">
        <v>123.52</v>
      </c>
      <c r="BN663" s="1">
        <v>122.65</v>
      </c>
    </row>
    <row r="664" spans="1:66" x14ac:dyDescent="0.3">
      <c r="A664" s="2"/>
      <c r="C664" s="14" t="str">
        <f t="shared" si="11"/>
        <v>20238</v>
      </c>
      <c r="D664" s="3">
        <v>45140</v>
      </c>
      <c r="E664" s="21">
        <v>2359.54</v>
      </c>
      <c r="F664" s="21">
        <v>2313.75</v>
      </c>
      <c r="G664" s="21">
        <v>2361.1</v>
      </c>
      <c r="H664" s="21">
        <v>2202.09</v>
      </c>
      <c r="I664" s="21">
        <v>2237.7399999999998</v>
      </c>
      <c r="J664" s="21">
        <v>2268.2399999999998</v>
      </c>
      <c r="K664" s="21">
        <v>2107.04</v>
      </c>
      <c r="L664" s="21">
        <v>2197.35</v>
      </c>
      <c r="M664" s="21">
        <v>2070.56</v>
      </c>
      <c r="N664" s="21">
        <v>2115.1799999999998</v>
      </c>
      <c r="O664" s="21">
        <v>2215.69</v>
      </c>
      <c r="P664" s="21">
        <v>2372.5300000000002</v>
      </c>
      <c r="Q664" s="21">
        <v>5120.1899999999996</v>
      </c>
      <c r="R664" s="20">
        <v>118.36</v>
      </c>
      <c r="S664" s="20">
        <v>108.52</v>
      </c>
      <c r="T664" s="21">
        <v>126.5</v>
      </c>
      <c r="V664" s="1">
        <v>113.74</v>
      </c>
      <c r="W664" s="1">
        <v>131.77000000000001</v>
      </c>
      <c r="X664" s="1">
        <v>134.19</v>
      </c>
      <c r="Y664" s="1">
        <v>129.27000000000001</v>
      </c>
      <c r="Z664" s="1">
        <v>129.16999999999999</v>
      </c>
      <c r="AA664" s="1">
        <v>118.4</v>
      </c>
      <c r="AB664" s="1">
        <v>133.74</v>
      </c>
      <c r="AE664" s="1">
        <v>144.05000000000001</v>
      </c>
      <c r="AF664" s="1">
        <v>129.71</v>
      </c>
      <c r="AG664" s="1">
        <v>114.83</v>
      </c>
      <c r="AW664" s="1">
        <v>3215.38</v>
      </c>
      <c r="AX664" s="1">
        <v>121.22</v>
      </c>
      <c r="BA664" s="1">
        <v>122.83</v>
      </c>
      <c r="BB664" s="1">
        <v>138.03</v>
      </c>
      <c r="BC664" s="1">
        <v>136.07</v>
      </c>
      <c r="BD664" s="1">
        <v>134.1</v>
      </c>
      <c r="BE664" s="1">
        <v>128.6</v>
      </c>
      <c r="BF664" s="1">
        <v>126.09</v>
      </c>
      <c r="BG664" s="1">
        <v>145.38</v>
      </c>
      <c r="BH664" s="1">
        <v>121.96</v>
      </c>
      <c r="BI664" s="1">
        <v>134.53</v>
      </c>
      <c r="BJ664" s="1">
        <v>143.61000000000001</v>
      </c>
      <c r="BK664" s="1">
        <v>119.31</v>
      </c>
      <c r="BL664" s="1">
        <v>122.52</v>
      </c>
      <c r="BN664" s="1">
        <v>122.65</v>
      </c>
    </row>
    <row r="665" spans="1:66" x14ac:dyDescent="0.3">
      <c r="A665" s="2"/>
      <c r="C665" s="14" t="str">
        <f t="shared" si="11"/>
        <v>20238</v>
      </c>
      <c r="D665" s="3">
        <v>45139</v>
      </c>
      <c r="E665" s="21">
        <v>2375.16</v>
      </c>
      <c r="F665" s="21">
        <v>2314.6999999999998</v>
      </c>
      <c r="G665" s="21">
        <v>2361.1</v>
      </c>
      <c r="H665" s="21">
        <v>2202.09</v>
      </c>
      <c r="I665" s="21">
        <v>2247.62</v>
      </c>
      <c r="J665" s="21">
        <v>2299.3200000000002</v>
      </c>
      <c r="K665" s="21">
        <v>2107.04</v>
      </c>
      <c r="L665" s="21">
        <v>2197.35</v>
      </c>
      <c r="M665" s="21">
        <v>2070.56</v>
      </c>
      <c r="N665" s="21">
        <v>2107.83</v>
      </c>
      <c r="O665" s="21">
        <v>2236.58</v>
      </c>
      <c r="P665" s="21">
        <v>2370.54</v>
      </c>
      <c r="Q665" s="21">
        <v>5116.1899999999996</v>
      </c>
      <c r="R665" s="20">
        <v>118.36</v>
      </c>
      <c r="S665" s="20">
        <v>108.52</v>
      </c>
      <c r="T665" s="21">
        <v>126</v>
      </c>
      <c r="V665" s="1">
        <v>114.79</v>
      </c>
      <c r="W665" s="1">
        <v>131.16999999999999</v>
      </c>
      <c r="X665" s="1">
        <v>133.08000000000001</v>
      </c>
      <c r="Y665" s="1">
        <v>128.63999999999999</v>
      </c>
      <c r="Z665" s="1">
        <v>128</v>
      </c>
      <c r="AA665" s="1">
        <v>119.22</v>
      </c>
      <c r="AB665" s="1">
        <v>133.24</v>
      </c>
      <c r="AC665" s="1">
        <v>121</v>
      </c>
      <c r="AE665" s="1">
        <v>143.57</v>
      </c>
      <c r="AF665" s="1">
        <v>129.78</v>
      </c>
      <c r="AG665" s="1">
        <v>114.81</v>
      </c>
      <c r="AW665" s="1">
        <v>3215.38</v>
      </c>
      <c r="AX665" s="1">
        <v>121.08</v>
      </c>
      <c r="AZ665" s="1">
        <v>2832.89</v>
      </c>
      <c r="BA665" s="1">
        <v>122.82</v>
      </c>
      <c r="BB665" s="1">
        <v>136.83000000000001</v>
      </c>
      <c r="BC665" s="1">
        <v>135.74</v>
      </c>
      <c r="BD665" s="1">
        <v>132.15</v>
      </c>
      <c r="BE665" s="1">
        <v>128.56</v>
      </c>
      <c r="BF665" s="1">
        <v>126.08</v>
      </c>
      <c r="BG665" s="1">
        <v>145.22</v>
      </c>
      <c r="BH665" s="1">
        <v>122.36</v>
      </c>
      <c r="BI665" s="1">
        <v>134.93</v>
      </c>
      <c r="BJ665" s="1">
        <v>142.33000000000001</v>
      </c>
      <c r="BK665" s="1">
        <v>119.06</v>
      </c>
      <c r="BL665" s="1">
        <v>122.19</v>
      </c>
      <c r="BN665" s="1">
        <v>121.99</v>
      </c>
    </row>
    <row r="666" spans="1:66" x14ac:dyDescent="0.3">
      <c r="A666" s="2"/>
      <c r="C666" s="14" t="str">
        <f t="shared" si="11"/>
        <v>20237</v>
      </c>
      <c r="D666" s="3">
        <v>45138</v>
      </c>
      <c r="E666" s="21">
        <v>2375.52</v>
      </c>
      <c r="F666" s="21">
        <v>2316.12</v>
      </c>
      <c r="G666" s="21">
        <v>2373.16</v>
      </c>
      <c r="H666" s="21">
        <v>2281.92</v>
      </c>
      <c r="I666" s="21">
        <v>2249.91</v>
      </c>
      <c r="J666" s="21">
        <v>2319.0500000000002</v>
      </c>
      <c r="K666" s="21">
        <v>2210.0100000000002</v>
      </c>
      <c r="L666" s="21">
        <v>2202.33</v>
      </c>
      <c r="M666" s="21">
        <v>2126.4299999999998</v>
      </c>
      <c r="N666" s="21">
        <v>2112.44</v>
      </c>
      <c r="O666" s="21">
        <v>2231.3200000000002</v>
      </c>
      <c r="P666" s="21">
        <v>2366.56</v>
      </c>
      <c r="Q666" s="21">
        <v>5281.93</v>
      </c>
      <c r="R666" s="20">
        <v>118.55</v>
      </c>
      <c r="S666" s="20">
        <v>107.87</v>
      </c>
      <c r="T666" s="21">
        <v>127.62</v>
      </c>
      <c r="V666" s="1">
        <v>115.88</v>
      </c>
      <c r="W666" s="1">
        <v>135.13999999999999</v>
      </c>
      <c r="X666" s="1">
        <v>135.33000000000001</v>
      </c>
      <c r="Y666" s="1">
        <v>129.69999999999999</v>
      </c>
      <c r="Z666" s="1">
        <v>130.36000000000001</v>
      </c>
      <c r="AA666" s="1">
        <v>119.67</v>
      </c>
      <c r="AB666" s="1">
        <v>137.01</v>
      </c>
      <c r="AE666" s="1">
        <v>144.63</v>
      </c>
      <c r="AF666" s="1">
        <v>133.93</v>
      </c>
      <c r="AG666" s="1">
        <v>113.59</v>
      </c>
      <c r="AW666" s="1">
        <v>3274.73</v>
      </c>
      <c r="AX666" s="1">
        <v>120.88</v>
      </c>
      <c r="AZ666" s="1">
        <v>2830.02</v>
      </c>
      <c r="BA666" s="1">
        <v>123.91</v>
      </c>
      <c r="BB666" s="1">
        <v>141.59</v>
      </c>
      <c r="BC666" s="1">
        <v>137.03</v>
      </c>
      <c r="BD666" s="1">
        <v>134.52000000000001</v>
      </c>
      <c r="BE666" s="1">
        <v>129.31</v>
      </c>
      <c r="BF666" s="1">
        <v>125.24</v>
      </c>
      <c r="BG666" s="1">
        <v>146.87</v>
      </c>
      <c r="BH666" s="1">
        <v>123.58</v>
      </c>
      <c r="BI666" s="1">
        <v>137.36000000000001</v>
      </c>
      <c r="BJ666" s="1">
        <v>144.44999999999999</v>
      </c>
      <c r="BK666" s="1">
        <v>120.67</v>
      </c>
      <c r="BL666" s="1">
        <v>123.24</v>
      </c>
      <c r="BN666" s="1">
        <v>123.19</v>
      </c>
    </row>
    <row r="667" spans="1:66" x14ac:dyDescent="0.3">
      <c r="A667" s="2"/>
      <c r="C667" s="14" t="str">
        <f t="shared" si="11"/>
        <v>20237</v>
      </c>
      <c r="D667" s="3">
        <v>45135</v>
      </c>
      <c r="E667" s="21">
        <v>2398.25</v>
      </c>
      <c r="F667" s="21">
        <v>2327.58</v>
      </c>
      <c r="G667" s="21">
        <v>2373.16</v>
      </c>
      <c r="H667" s="21">
        <v>2301.92</v>
      </c>
      <c r="I667" s="21">
        <v>2271.6799999999998</v>
      </c>
      <c r="J667" s="21">
        <v>2319.0500000000002</v>
      </c>
      <c r="K667" s="21">
        <v>2210.0100000000002</v>
      </c>
      <c r="L667" s="21">
        <v>2208.9499999999998</v>
      </c>
      <c r="M667" s="21">
        <v>2126.4299999999998</v>
      </c>
      <c r="N667" s="21">
        <v>2129.65</v>
      </c>
      <c r="O667" s="21">
        <v>2240.21</v>
      </c>
      <c r="P667" s="21">
        <v>2366.56</v>
      </c>
      <c r="Q667" s="21">
        <v>5309.55</v>
      </c>
      <c r="R667" s="20">
        <v>119.55</v>
      </c>
      <c r="S667" s="20">
        <v>115.91</v>
      </c>
      <c r="T667" s="21">
        <v>129.65</v>
      </c>
      <c r="V667" s="1">
        <v>116.61</v>
      </c>
      <c r="W667" s="1">
        <v>136.38999999999999</v>
      </c>
      <c r="X667" s="1">
        <v>138.1</v>
      </c>
      <c r="Y667" s="1">
        <v>131.16999999999999</v>
      </c>
      <c r="Z667" s="1">
        <v>132.06</v>
      </c>
      <c r="AA667" s="1">
        <v>120.53</v>
      </c>
      <c r="AB667" s="1">
        <v>138.56</v>
      </c>
      <c r="AE667" s="1">
        <v>148.21</v>
      </c>
      <c r="AF667" s="1">
        <v>132.85</v>
      </c>
      <c r="AG667" s="1">
        <v>120.81</v>
      </c>
      <c r="AX667" s="1">
        <v>122.09</v>
      </c>
      <c r="AZ667" s="1">
        <v>2830.02</v>
      </c>
      <c r="BA667" s="1">
        <v>126.36</v>
      </c>
      <c r="BB667" s="1">
        <v>144.66</v>
      </c>
      <c r="BC667" s="1">
        <v>138.69</v>
      </c>
      <c r="BD667" s="1">
        <v>135.99</v>
      </c>
      <c r="BE667" s="1">
        <v>129.26</v>
      </c>
      <c r="BF667" s="1">
        <v>131.15</v>
      </c>
      <c r="BG667" s="1">
        <v>148.25</v>
      </c>
      <c r="BH667" s="1">
        <v>127.02</v>
      </c>
      <c r="BI667" s="1">
        <v>137.56</v>
      </c>
      <c r="BJ667" s="1">
        <v>145.44</v>
      </c>
      <c r="BK667" s="1">
        <v>124.21</v>
      </c>
      <c r="BL667" s="1">
        <v>124.23</v>
      </c>
      <c r="BN667" s="1">
        <v>124.64</v>
      </c>
    </row>
    <row r="668" spans="1:66" x14ac:dyDescent="0.3">
      <c r="A668" s="2"/>
      <c r="C668" s="14" t="str">
        <f t="shared" si="11"/>
        <v>20237</v>
      </c>
      <c r="D668" s="3">
        <v>45134</v>
      </c>
      <c r="E668" s="21">
        <v>2415.2800000000002</v>
      </c>
      <c r="F668" s="21">
        <v>2327.58</v>
      </c>
      <c r="G668" s="21">
        <v>2373.16</v>
      </c>
      <c r="H668" s="21">
        <v>2321.88</v>
      </c>
      <c r="I668" s="21">
        <v>2279.6</v>
      </c>
      <c r="J668" s="21">
        <v>2308.54</v>
      </c>
      <c r="K668" s="21">
        <v>2210.0100000000002</v>
      </c>
      <c r="L668" s="21">
        <v>2208.9499999999998</v>
      </c>
      <c r="M668" s="21">
        <v>2141.54</v>
      </c>
      <c r="N668" s="21">
        <v>2129.9299999999998</v>
      </c>
      <c r="O668" s="21">
        <v>2272.94</v>
      </c>
      <c r="P668" s="21">
        <v>2366.56</v>
      </c>
      <c r="Q668" s="21">
        <v>5276.39</v>
      </c>
      <c r="R668" s="20">
        <v>120.05</v>
      </c>
      <c r="S668" s="20">
        <v>122.29</v>
      </c>
      <c r="T668" s="21">
        <v>130.34</v>
      </c>
      <c r="V668" s="1">
        <v>116.83</v>
      </c>
      <c r="W668" s="1">
        <v>135.81</v>
      </c>
      <c r="X668" s="1">
        <v>139.87</v>
      </c>
      <c r="Y668" s="1">
        <v>132.08000000000001</v>
      </c>
      <c r="Z668" s="1">
        <v>131.41</v>
      </c>
      <c r="AA668" s="1">
        <v>122.36</v>
      </c>
      <c r="AB668" s="1">
        <v>141.56</v>
      </c>
      <c r="AE668" s="1">
        <v>148.4</v>
      </c>
      <c r="AF668" s="1">
        <v>135.16999999999999</v>
      </c>
      <c r="AG668" s="1">
        <v>123.33</v>
      </c>
      <c r="AS668" s="1">
        <v>2496.48</v>
      </c>
      <c r="AX668" s="1">
        <v>124.56</v>
      </c>
      <c r="AZ668" s="1">
        <v>2830.02</v>
      </c>
      <c r="BA668" s="1">
        <v>128.15</v>
      </c>
      <c r="BB668" s="1">
        <v>144.56</v>
      </c>
      <c r="BC668" s="1">
        <v>138.75</v>
      </c>
      <c r="BD668" s="1">
        <v>136.11000000000001</v>
      </c>
      <c r="BE668" s="1">
        <v>131.09</v>
      </c>
      <c r="BF668" s="1">
        <v>131.62</v>
      </c>
      <c r="BG668" s="1">
        <v>146.66</v>
      </c>
      <c r="BH668" s="1">
        <v>127.36</v>
      </c>
      <c r="BI668" s="1">
        <v>137.76</v>
      </c>
      <c r="BJ668" s="1">
        <v>145.25</v>
      </c>
      <c r="BK668" s="1">
        <v>124.21</v>
      </c>
      <c r="BL668" s="1">
        <v>123.23</v>
      </c>
      <c r="BN668" s="1">
        <v>124.63</v>
      </c>
    </row>
    <row r="669" spans="1:66" x14ac:dyDescent="0.3">
      <c r="A669" s="2"/>
      <c r="C669" s="14" t="str">
        <f t="shared" si="11"/>
        <v>20237</v>
      </c>
      <c r="D669" s="3">
        <v>45133</v>
      </c>
      <c r="E669" s="21">
        <v>2405.34</v>
      </c>
      <c r="F669" s="21">
        <v>2323.13</v>
      </c>
      <c r="G669" s="21">
        <v>2373.16</v>
      </c>
      <c r="H669" s="21">
        <v>2321.88</v>
      </c>
      <c r="I669" s="21">
        <v>2255.85</v>
      </c>
      <c r="J669" s="21">
        <v>2300.7600000000002</v>
      </c>
      <c r="K669" s="21">
        <v>2108.4899999999998</v>
      </c>
      <c r="L669" s="21">
        <v>2208.9499999999998</v>
      </c>
      <c r="M669" s="21">
        <v>2115.2800000000002</v>
      </c>
      <c r="N669" s="21">
        <v>2127.1999999999998</v>
      </c>
      <c r="O669" s="21">
        <v>2219.71</v>
      </c>
      <c r="P669" s="21">
        <v>2324.37</v>
      </c>
      <c r="Q669" s="21">
        <v>5322.41</v>
      </c>
      <c r="R669" s="20">
        <v>119.13</v>
      </c>
      <c r="S669" s="20">
        <v>114.37</v>
      </c>
      <c r="T669" s="21">
        <v>129.81</v>
      </c>
      <c r="V669" s="1">
        <v>116.93</v>
      </c>
      <c r="W669" s="1">
        <v>132.97</v>
      </c>
      <c r="X669" s="1">
        <v>138.1</v>
      </c>
      <c r="Y669" s="1">
        <v>130.81</v>
      </c>
      <c r="Z669" s="1">
        <v>130.85</v>
      </c>
      <c r="AA669" s="1">
        <v>121.31</v>
      </c>
      <c r="AB669" s="1">
        <v>138.88</v>
      </c>
      <c r="AE669" s="1">
        <v>147.33000000000001</v>
      </c>
      <c r="AF669" s="1">
        <v>131.30000000000001</v>
      </c>
      <c r="AG669" s="1">
        <v>122.47</v>
      </c>
      <c r="AS669" s="1">
        <v>2496.48</v>
      </c>
      <c r="AV669" s="1">
        <v>30</v>
      </c>
      <c r="AW669" s="1">
        <v>2569.59</v>
      </c>
      <c r="AX669" s="1">
        <v>124.56</v>
      </c>
      <c r="AZ669" s="1">
        <v>2830.02</v>
      </c>
      <c r="BA669" s="1">
        <v>128.15</v>
      </c>
      <c r="BB669" s="1">
        <v>143.79</v>
      </c>
      <c r="BC669" s="1">
        <v>138.19</v>
      </c>
      <c r="BD669" s="1">
        <v>135.57</v>
      </c>
      <c r="BE669" s="1">
        <v>130.69</v>
      </c>
      <c r="BF669" s="1">
        <v>130.11000000000001</v>
      </c>
      <c r="BG669" s="1">
        <v>150.11000000000001</v>
      </c>
      <c r="BH669" s="1">
        <v>127.36</v>
      </c>
      <c r="BI669" s="1">
        <v>137.16</v>
      </c>
      <c r="BJ669" s="1">
        <v>144.09</v>
      </c>
      <c r="BK669" s="1">
        <v>123.66</v>
      </c>
      <c r="BL669" s="1">
        <v>123.56</v>
      </c>
      <c r="BN669" s="1">
        <v>124.05</v>
      </c>
    </row>
    <row r="670" spans="1:66" x14ac:dyDescent="0.3">
      <c r="A670" s="2"/>
      <c r="C670" s="14" t="str">
        <f t="shared" si="11"/>
        <v>20237</v>
      </c>
      <c r="D670" s="3">
        <v>45132</v>
      </c>
      <c r="E670" s="21">
        <v>2408.63</v>
      </c>
      <c r="F670" s="21">
        <v>2307.12</v>
      </c>
      <c r="G670" s="21">
        <v>2383.1</v>
      </c>
      <c r="H670" s="21">
        <v>2250.7399999999998</v>
      </c>
      <c r="I670" s="21">
        <v>2255.85</v>
      </c>
      <c r="J670" s="21">
        <v>2298.48</v>
      </c>
      <c r="K670" s="21">
        <v>2170.2199999999998</v>
      </c>
      <c r="L670" s="21">
        <v>2160.3000000000002</v>
      </c>
      <c r="M670" s="21">
        <v>2054.8200000000002</v>
      </c>
      <c r="N670" s="21">
        <v>2124.6999999999998</v>
      </c>
      <c r="O670" s="21">
        <v>2209.71</v>
      </c>
      <c r="P670" s="21">
        <v>2293.59</v>
      </c>
      <c r="Q670" s="21">
        <v>5325.62</v>
      </c>
      <c r="R670" s="20">
        <v>120.47</v>
      </c>
      <c r="S670" s="20">
        <v>114.37</v>
      </c>
      <c r="T670" s="21">
        <v>130.29</v>
      </c>
      <c r="V670" s="1">
        <v>116.37</v>
      </c>
      <c r="W670" s="1">
        <v>133.97</v>
      </c>
      <c r="X670" s="1">
        <v>136.93</v>
      </c>
      <c r="Y670" s="1">
        <v>128.80000000000001</v>
      </c>
      <c r="Z670" s="1">
        <v>130.72999999999999</v>
      </c>
      <c r="AA670" s="1">
        <v>122.22</v>
      </c>
      <c r="AB670" s="1">
        <v>138.01</v>
      </c>
      <c r="AE670" s="1">
        <v>146.58000000000001</v>
      </c>
      <c r="AF670" s="1">
        <v>129.54</v>
      </c>
      <c r="AG670" s="1">
        <v>122.44</v>
      </c>
      <c r="AS670" s="1">
        <v>2496.48</v>
      </c>
      <c r="AX670" s="1">
        <v>124.32</v>
      </c>
      <c r="BA670" s="1">
        <v>128.15</v>
      </c>
      <c r="BB670" s="1">
        <v>142.49</v>
      </c>
      <c r="BC670" s="1">
        <v>137.68</v>
      </c>
      <c r="BD670" s="1">
        <v>132.77000000000001</v>
      </c>
      <c r="BE670" s="1">
        <v>129.66</v>
      </c>
      <c r="BF670" s="1">
        <v>130.08000000000001</v>
      </c>
      <c r="BG670" s="1">
        <v>148.66999999999999</v>
      </c>
      <c r="BH670" s="1">
        <v>126.86</v>
      </c>
      <c r="BI670" s="1">
        <v>136.76</v>
      </c>
      <c r="BJ670" s="1">
        <v>145.96</v>
      </c>
      <c r="BK670" s="1">
        <v>121</v>
      </c>
      <c r="BL670" s="1">
        <v>120.9</v>
      </c>
      <c r="BN670" s="1">
        <v>120.73</v>
      </c>
    </row>
    <row r="671" spans="1:66" x14ac:dyDescent="0.3">
      <c r="A671" s="2"/>
      <c r="C671" s="14" t="str">
        <f t="shared" si="11"/>
        <v>20237</v>
      </c>
      <c r="D671" s="3">
        <v>45131</v>
      </c>
      <c r="E671" s="21">
        <v>2394.7199999999998</v>
      </c>
      <c r="F671" s="21">
        <v>2307.12</v>
      </c>
      <c r="G671" s="21">
        <v>2383.1</v>
      </c>
      <c r="H671" s="21">
        <v>2232.23</v>
      </c>
      <c r="I671" s="21">
        <v>2255.85</v>
      </c>
      <c r="J671" s="21">
        <v>2258.9</v>
      </c>
      <c r="K671" s="21">
        <v>2170.2199999999998</v>
      </c>
      <c r="L671" s="21">
        <v>2189.13</v>
      </c>
      <c r="M671" s="21">
        <v>2087.64</v>
      </c>
      <c r="N671" s="21">
        <v>2125.02</v>
      </c>
      <c r="O671" s="21">
        <v>2204.7600000000002</v>
      </c>
      <c r="P671" s="21">
        <v>2293.59</v>
      </c>
      <c r="Q671" s="21">
        <v>5210.53</v>
      </c>
      <c r="R671" s="20">
        <v>120.88</v>
      </c>
      <c r="S671" s="20">
        <v>114.37</v>
      </c>
      <c r="T671" s="21">
        <v>130</v>
      </c>
      <c r="V671" s="1">
        <v>115.81</v>
      </c>
      <c r="W671" s="1">
        <v>132.77000000000001</v>
      </c>
      <c r="X671" s="1">
        <v>136.93</v>
      </c>
      <c r="Y671" s="1">
        <v>130.25</v>
      </c>
      <c r="Z671" s="1">
        <v>130.41999999999999</v>
      </c>
      <c r="AA671" s="1">
        <v>122.5</v>
      </c>
      <c r="AB671" s="1">
        <v>138.01</v>
      </c>
      <c r="AE671" s="1">
        <v>145.79</v>
      </c>
      <c r="AF671" s="1">
        <v>130.38999999999999</v>
      </c>
      <c r="AG671" s="1">
        <v>123.05</v>
      </c>
      <c r="AS671" s="1">
        <v>2496.48</v>
      </c>
      <c r="AX671" s="1">
        <v>124.31</v>
      </c>
      <c r="BA671" s="1">
        <v>127.47</v>
      </c>
      <c r="BB671" s="1">
        <v>144.13</v>
      </c>
      <c r="BC671" s="1">
        <v>139.66</v>
      </c>
      <c r="BD671" s="1">
        <v>132.84</v>
      </c>
      <c r="BE671" s="1">
        <v>129.63</v>
      </c>
      <c r="BF671" s="1">
        <v>130.56</v>
      </c>
      <c r="BG671" s="1">
        <v>148.66999999999999</v>
      </c>
      <c r="BH671" s="1">
        <v>127.22</v>
      </c>
      <c r="BI671" s="1">
        <v>136.16</v>
      </c>
      <c r="BJ671" s="1">
        <v>144.04</v>
      </c>
      <c r="BK671" s="1">
        <v>121.33</v>
      </c>
      <c r="BL671" s="1">
        <v>121.9</v>
      </c>
      <c r="BN671" s="1">
        <v>121.39</v>
      </c>
    </row>
    <row r="672" spans="1:66" x14ac:dyDescent="0.3">
      <c r="A672" s="2"/>
      <c r="C672" s="14" t="str">
        <f t="shared" si="11"/>
        <v>20237</v>
      </c>
      <c r="D672" s="3">
        <v>45128</v>
      </c>
      <c r="E672" s="21">
        <v>2363.0100000000002</v>
      </c>
      <c r="F672" s="21">
        <v>2262.15</v>
      </c>
      <c r="G672" s="21">
        <v>2363.3200000000002</v>
      </c>
      <c r="H672" s="21">
        <v>2212.1999999999998</v>
      </c>
      <c r="I672" s="21">
        <v>2238.04</v>
      </c>
      <c r="J672" s="21">
        <v>2280.36</v>
      </c>
      <c r="K672" s="21">
        <v>2168.23</v>
      </c>
      <c r="L672" s="21">
        <v>2175.94</v>
      </c>
      <c r="M672" s="21">
        <v>2087.64</v>
      </c>
      <c r="N672" s="21">
        <v>2095.1799999999998</v>
      </c>
      <c r="O672" s="21">
        <v>2194.7600000000002</v>
      </c>
      <c r="P672" s="21">
        <v>2293.59</v>
      </c>
      <c r="Q672" s="21">
        <v>5010.6499999999996</v>
      </c>
      <c r="R672" s="20">
        <v>117.39</v>
      </c>
      <c r="S672" s="20">
        <v>111.62</v>
      </c>
      <c r="T672" s="21">
        <v>129.47999999999999</v>
      </c>
      <c r="V672" s="1">
        <v>115.8</v>
      </c>
      <c r="W672" s="1">
        <v>133.16999999999999</v>
      </c>
      <c r="X672" s="1">
        <v>136.88</v>
      </c>
      <c r="Y672" s="1">
        <v>128.59</v>
      </c>
      <c r="Z672" s="1">
        <v>129.47999999999999</v>
      </c>
      <c r="AA672" s="1">
        <v>120.55</v>
      </c>
      <c r="AB672" s="1">
        <v>136.66999999999999</v>
      </c>
      <c r="AE672" s="1">
        <v>146.05000000000001</v>
      </c>
      <c r="AF672" s="1">
        <v>132.93</v>
      </c>
      <c r="AG672" s="1">
        <v>118.55</v>
      </c>
      <c r="AS672" s="1">
        <v>2496.48</v>
      </c>
      <c r="AX672" s="1">
        <v>122.49</v>
      </c>
      <c r="BA672" s="1">
        <v>125</v>
      </c>
      <c r="BB672" s="1">
        <v>141.04</v>
      </c>
      <c r="BC672" s="1">
        <v>138.57</v>
      </c>
      <c r="BD672" s="1">
        <v>132.99</v>
      </c>
      <c r="BE672" s="1">
        <v>128.75</v>
      </c>
      <c r="BF672" s="1">
        <v>129</v>
      </c>
      <c r="BG672" s="1">
        <v>147.02000000000001</v>
      </c>
      <c r="BH672" s="1">
        <v>123.76</v>
      </c>
      <c r="BI672" s="1">
        <v>135.56</v>
      </c>
      <c r="BJ672" s="1">
        <v>145.88</v>
      </c>
      <c r="BK672" s="1">
        <v>120.67</v>
      </c>
      <c r="BL672" s="1">
        <v>120.9</v>
      </c>
      <c r="BN672" s="1">
        <v>121.53</v>
      </c>
    </row>
    <row r="673" spans="1:66" x14ac:dyDescent="0.3">
      <c r="A673" s="2"/>
      <c r="C673" s="14" t="str">
        <f t="shared" si="11"/>
        <v>20237</v>
      </c>
      <c r="D673" s="3">
        <v>45127</v>
      </c>
      <c r="E673" s="21">
        <v>2406.65</v>
      </c>
      <c r="F673" s="21">
        <v>2286.36</v>
      </c>
      <c r="G673" s="21">
        <v>2383.1</v>
      </c>
      <c r="H673" s="21">
        <v>2268.7199999999998</v>
      </c>
      <c r="I673" s="21">
        <v>2245.96</v>
      </c>
      <c r="J673" s="21">
        <v>2280.4699999999998</v>
      </c>
      <c r="K673" s="21">
        <v>2168.23</v>
      </c>
      <c r="L673" s="21">
        <v>2169.35</v>
      </c>
      <c r="M673" s="21">
        <v>2087.64</v>
      </c>
      <c r="N673" s="21">
        <v>2136.62</v>
      </c>
      <c r="O673" s="21">
        <v>2189.84</v>
      </c>
      <c r="P673" s="21">
        <v>2293.59</v>
      </c>
      <c r="Q673" s="21">
        <v>4929.22</v>
      </c>
      <c r="R673" s="20">
        <v>120.05</v>
      </c>
      <c r="S673" s="20">
        <v>112.62</v>
      </c>
      <c r="T673" s="21">
        <v>128.69</v>
      </c>
      <c r="V673" s="1">
        <v>116.36</v>
      </c>
      <c r="W673" s="1">
        <v>133.57</v>
      </c>
      <c r="X673" s="1">
        <v>136.12</v>
      </c>
      <c r="Y673" s="1">
        <v>129.81</v>
      </c>
      <c r="Z673" s="1">
        <v>130.13999999999999</v>
      </c>
      <c r="AA673" s="1">
        <v>122.31</v>
      </c>
      <c r="AB673" s="1">
        <v>136.51</v>
      </c>
      <c r="AE673" s="1">
        <v>142.71</v>
      </c>
      <c r="AF673" s="1">
        <v>130.28</v>
      </c>
      <c r="AG673" s="1">
        <v>119.03</v>
      </c>
      <c r="AP673" s="1">
        <v>3067.75</v>
      </c>
      <c r="AX673" s="1">
        <v>123.08</v>
      </c>
      <c r="BA673" s="1">
        <v>123.7</v>
      </c>
      <c r="BB673" s="1">
        <v>141.33000000000001</v>
      </c>
      <c r="BC673" s="1">
        <v>138.88999999999999</v>
      </c>
      <c r="BD673" s="1">
        <v>133.26</v>
      </c>
      <c r="BE673" s="1">
        <v>130.71</v>
      </c>
      <c r="BF673" s="1">
        <v>129.96</v>
      </c>
      <c r="BG673" s="1">
        <v>146.47</v>
      </c>
      <c r="BH673" s="1">
        <v>124.73</v>
      </c>
      <c r="BI673" s="1">
        <v>135.56</v>
      </c>
      <c r="BJ673" s="1">
        <v>142.49</v>
      </c>
      <c r="BK673" s="1">
        <v>120.67</v>
      </c>
      <c r="BL673" s="1">
        <v>121.23</v>
      </c>
      <c r="BN673" s="1">
        <v>122.03</v>
      </c>
    </row>
    <row r="674" spans="1:66" x14ac:dyDescent="0.3">
      <c r="A674" s="2"/>
      <c r="C674" s="14" t="str">
        <f t="shared" si="11"/>
        <v>20237</v>
      </c>
      <c r="D674" s="3">
        <v>45126</v>
      </c>
      <c r="E674" s="21">
        <v>2406.65</v>
      </c>
      <c r="F674" s="21">
        <v>2286.36</v>
      </c>
      <c r="G674" s="21">
        <v>2383.1</v>
      </c>
      <c r="H674" s="21">
        <v>2268.7199999999998</v>
      </c>
      <c r="I674" s="21">
        <v>2245.96</v>
      </c>
      <c r="J674" s="21">
        <v>2321.94</v>
      </c>
      <c r="K674" s="21">
        <v>2213.65</v>
      </c>
      <c r="L674" s="21">
        <v>2169.35</v>
      </c>
      <c r="M674" s="21">
        <v>2087.64</v>
      </c>
      <c r="N674" s="21">
        <v>2125.85</v>
      </c>
      <c r="O674" s="21">
        <v>2189.84</v>
      </c>
      <c r="P674" s="21">
        <v>2260.34</v>
      </c>
      <c r="Q674" s="21">
        <v>4900.95</v>
      </c>
      <c r="R674" s="20">
        <v>120.05</v>
      </c>
      <c r="S674" s="20">
        <v>111.87</v>
      </c>
      <c r="T674" s="21">
        <v>128.08000000000001</v>
      </c>
      <c r="V674" s="1">
        <v>115.59</v>
      </c>
      <c r="W674" s="1">
        <v>129.75</v>
      </c>
      <c r="X674" s="1">
        <v>136.35</v>
      </c>
      <c r="Y674" s="1">
        <v>129.65</v>
      </c>
      <c r="Z674" s="1">
        <v>129.22</v>
      </c>
      <c r="AA674" s="1">
        <v>122.19</v>
      </c>
      <c r="AB674" s="1">
        <v>136.34</v>
      </c>
      <c r="AE674" s="1">
        <v>144.69</v>
      </c>
      <c r="AF674" s="1">
        <v>130.74</v>
      </c>
      <c r="AG674" s="1">
        <v>119.1</v>
      </c>
      <c r="AP674" s="1">
        <v>3067.75</v>
      </c>
      <c r="AS674" s="1">
        <v>2804.75</v>
      </c>
      <c r="AT674" s="1">
        <v>3618.38</v>
      </c>
      <c r="AX674" s="1">
        <v>123.07</v>
      </c>
      <c r="BA674" s="1">
        <v>123.7</v>
      </c>
      <c r="BB674" s="1">
        <v>140.36000000000001</v>
      </c>
      <c r="BC674" s="1">
        <v>136.52000000000001</v>
      </c>
      <c r="BD674" s="1">
        <v>133.91999999999999</v>
      </c>
      <c r="BE674" s="1">
        <v>129.09</v>
      </c>
      <c r="BF674" s="1">
        <v>129.94</v>
      </c>
      <c r="BG674" s="1">
        <v>146.58000000000001</v>
      </c>
      <c r="BH674" s="1">
        <v>123.23</v>
      </c>
      <c r="BI674" s="1">
        <v>135.56</v>
      </c>
      <c r="BJ674" s="1">
        <v>141.68</v>
      </c>
      <c r="BK674" s="1">
        <v>120.33</v>
      </c>
      <c r="BL674" s="1">
        <v>120.57</v>
      </c>
      <c r="BN674" s="1">
        <v>122.03</v>
      </c>
    </row>
    <row r="675" spans="1:66" x14ac:dyDescent="0.3">
      <c r="A675" s="2"/>
      <c r="C675" s="14" t="str">
        <f t="shared" si="11"/>
        <v>20237</v>
      </c>
      <c r="D675" s="3">
        <v>45125</v>
      </c>
      <c r="E675" s="21">
        <v>2396.75</v>
      </c>
      <c r="F675" s="21">
        <v>2253.15</v>
      </c>
      <c r="G675" s="21">
        <v>2383.1</v>
      </c>
      <c r="H675" s="21">
        <v>2245.25</v>
      </c>
      <c r="I675" s="21">
        <v>2242</v>
      </c>
      <c r="J675" s="21">
        <v>2264.94</v>
      </c>
      <c r="K675" s="21">
        <v>2213.65</v>
      </c>
      <c r="L675" s="21">
        <v>2116.41</v>
      </c>
      <c r="M675" s="21">
        <v>2087.64</v>
      </c>
      <c r="N675" s="21">
        <v>2115.09</v>
      </c>
      <c r="O675" s="21">
        <v>2162.34</v>
      </c>
      <c r="P675" s="21">
        <v>2249.56</v>
      </c>
      <c r="Q675" s="21">
        <v>4979.51</v>
      </c>
      <c r="R675" s="20">
        <v>117.89</v>
      </c>
      <c r="S675" s="20">
        <v>109.54</v>
      </c>
      <c r="T675" s="21">
        <v>127.13</v>
      </c>
      <c r="V675" s="1">
        <v>115.46</v>
      </c>
      <c r="W675" s="1">
        <v>129.25</v>
      </c>
      <c r="X675" s="1">
        <v>134.93</v>
      </c>
      <c r="Y675" s="1">
        <v>127.67</v>
      </c>
      <c r="Z675" s="1">
        <v>127.76</v>
      </c>
      <c r="AA675" s="1">
        <v>120.72</v>
      </c>
      <c r="AB675" s="1">
        <v>135.22999999999999</v>
      </c>
      <c r="AE675" s="1">
        <v>143.27000000000001</v>
      </c>
      <c r="AF675" s="1">
        <v>129.41999999999999</v>
      </c>
      <c r="AG675" s="1">
        <v>118.75</v>
      </c>
      <c r="AP675" s="1">
        <v>3067.75</v>
      </c>
      <c r="AS675" s="1">
        <v>2804.75</v>
      </c>
      <c r="AT675" s="1">
        <v>3618.38</v>
      </c>
      <c r="AX675" s="1">
        <v>120.07</v>
      </c>
      <c r="BB675" s="1">
        <v>138.32</v>
      </c>
      <c r="BC675" s="1">
        <v>137.46</v>
      </c>
      <c r="BD675" s="1">
        <v>132.58000000000001</v>
      </c>
      <c r="BE675" s="1">
        <v>129.12</v>
      </c>
      <c r="BF675" s="1">
        <v>130.38</v>
      </c>
      <c r="BG675" s="1">
        <v>146.02000000000001</v>
      </c>
      <c r="BH675" s="1">
        <v>122.98</v>
      </c>
      <c r="BI675" s="1">
        <v>133.16999999999999</v>
      </c>
      <c r="BJ675" s="1">
        <v>136.57</v>
      </c>
      <c r="BK675" s="1">
        <v>119.67</v>
      </c>
      <c r="BL675" s="1">
        <v>119.57</v>
      </c>
      <c r="BN675" s="1">
        <v>119.41</v>
      </c>
    </row>
    <row r="676" spans="1:66" x14ac:dyDescent="0.3">
      <c r="A676" s="2"/>
      <c r="C676" s="14" t="str">
        <f t="shared" si="11"/>
        <v>20237</v>
      </c>
      <c r="D676" s="3">
        <v>45124</v>
      </c>
      <c r="E676" s="21">
        <v>2371</v>
      </c>
      <c r="F676" s="21">
        <v>2266.64</v>
      </c>
      <c r="G676" s="21">
        <v>2333.5300000000002</v>
      </c>
      <c r="H676" s="21">
        <v>2265.2800000000002</v>
      </c>
      <c r="I676" s="21">
        <v>2238.04</v>
      </c>
      <c r="J676" s="21">
        <v>2247.69</v>
      </c>
      <c r="K676" s="21">
        <v>2193.75</v>
      </c>
      <c r="L676" s="21">
        <v>2116.41</v>
      </c>
      <c r="M676" s="21">
        <v>2048.25</v>
      </c>
      <c r="N676" s="21">
        <v>2100.88</v>
      </c>
      <c r="O676" s="21">
        <v>2144.84</v>
      </c>
      <c r="P676" s="21">
        <v>2217.21</v>
      </c>
      <c r="Q676" s="21">
        <v>4920.21</v>
      </c>
      <c r="R676" s="20">
        <v>117.22</v>
      </c>
      <c r="S676" s="20">
        <v>108.2</v>
      </c>
      <c r="T676" s="21">
        <v>127.07</v>
      </c>
      <c r="V676" s="1">
        <v>114.46</v>
      </c>
      <c r="W676" s="1">
        <v>129.38</v>
      </c>
      <c r="X676" s="1">
        <v>133.83000000000001</v>
      </c>
      <c r="Y676" s="1">
        <v>126.81</v>
      </c>
      <c r="Z676" s="1">
        <v>126.76</v>
      </c>
      <c r="AA676" s="1">
        <v>120.14</v>
      </c>
      <c r="AB676" s="1">
        <v>134.46</v>
      </c>
      <c r="AE676" s="1">
        <v>141.66999999999999</v>
      </c>
      <c r="AF676" s="1">
        <v>132.01</v>
      </c>
      <c r="AG676" s="1">
        <v>114.95</v>
      </c>
      <c r="AP676" s="1">
        <v>3067.75</v>
      </c>
      <c r="AS676" s="1">
        <v>2804.75</v>
      </c>
      <c r="AT676" s="1">
        <v>3618.38</v>
      </c>
      <c r="AU676" s="1">
        <v>2666.62</v>
      </c>
      <c r="AX676" s="1">
        <v>120.24</v>
      </c>
      <c r="BB676" s="1">
        <v>138.9</v>
      </c>
      <c r="BC676" s="1">
        <v>136.79</v>
      </c>
      <c r="BD676" s="1">
        <v>132.1</v>
      </c>
      <c r="BE676" s="1">
        <v>129.83000000000001</v>
      </c>
      <c r="BF676" s="1">
        <v>128.86000000000001</v>
      </c>
      <c r="BG676" s="1">
        <v>144.44999999999999</v>
      </c>
      <c r="BH676" s="1">
        <v>122.98</v>
      </c>
      <c r="BI676" s="1">
        <v>131.97</v>
      </c>
      <c r="BJ676" s="1">
        <v>136.66999999999999</v>
      </c>
      <c r="BK676" s="1">
        <v>119.34</v>
      </c>
      <c r="BL676" s="1">
        <v>119.24</v>
      </c>
      <c r="BN676" s="1">
        <v>118.75</v>
      </c>
    </row>
    <row r="677" spans="1:66" x14ac:dyDescent="0.3">
      <c r="A677" s="2"/>
      <c r="C677" s="14" t="str">
        <f t="shared" si="11"/>
        <v>20237</v>
      </c>
      <c r="D677" s="3">
        <v>45121</v>
      </c>
      <c r="E677" s="21">
        <v>2355.1</v>
      </c>
      <c r="F677" s="21">
        <v>2266.64</v>
      </c>
      <c r="G677" s="21">
        <v>2333.5300000000002</v>
      </c>
      <c r="H677" s="21">
        <v>2173.54</v>
      </c>
      <c r="I677" s="21">
        <v>2230.13</v>
      </c>
      <c r="J677" s="21">
        <v>2206.37</v>
      </c>
      <c r="K677" s="21">
        <v>2193.75</v>
      </c>
      <c r="L677" s="21">
        <v>2099.92</v>
      </c>
      <c r="M677" s="21">
        <v>2021.05</v>
      </c>
      <c r="N677" s="21">
        <v>2079.87</v>
      </c>
      <c r="O677" s="21">
        <v>2144.84</v>
      </c>
      <c r="P677" s="21">
        <v>2217.21</v>
      </c>
      <c r="Q677" s="21">
        <v>4985.13</v>
      </c>
      <c r="R677" s="20">
        <v>117.22</v>
      </c>
      <c r="S677" s="20">
        <v>107.54</v>
      </c>
      <c r="T677" s="21">
        <v>126.86</v>
      </c>
      <c r="V677" s="1">
        <v>114.59</v>
      </c>
      <c r="W677" s="1">
        <v>130.84</v>
      </c>
      <c r="X677" s="1">
        <v>133.83000000000001</v>
      </c>
      <c r="Y677" s="1">
        <v>126.61</v>
      </c>
      <c r="Z677" s="1">
        <v>126.39</v>
      </c>
      <c r="AA677" s="1">
        <v>119.79</v>
      </c>
      <c r="AB677" s="1">
        <v>134.22999999999999</v>
      </c>
      <c r="AE677" s="1">
        <v>141.44</v>
      </c>
      <c r="AF677" s="1">
        <v>129.81</v>
      </c>
      <c r="AG677" s="1">
        <v>116.5</v>
      </c>
      <c r="AP677" s="1">
        <v>3067.75</v>
      </c>
      <c r="AS677" s="1">
        <v>2804.75</v>
      </c>
      <c r="AT677" s="1">
        <v>3618.38</v>
      </c>
      <c r="AU677" s="1">
        <v>2689.36</v>
      </c>
      <c r="AV677" s="1">
        <v>30</v>
      </c>
      <c r="AW677" s="1">
        <v>3004.42</v>
      </c>
      <c r="AX677" s="1">
        <v>121.01</v>
      </c>
      <c r="BB677" s="1">
        <v>137.27000000000001</v>
      </c>
      <c r="BC677" s="1">
        <v>134.21</v>
      </c>
      <c r="BD677" s="1">
        <v>131.12</v>
      </c>
      <c r="BE677" s="1">
        <v>128.91</v>
      </c>
      <c r="BF677" s="1">
        <v>128.30000000000001</v>
      </c>
      <c r="BG677" s="1">
        <v>143.66</v>
      </c>
      <c r="BH677" s="1">
        <v>121.98</v>
      </c>
      <c r="BI677" s="1">
        <v>131.57</v>
      </c>
      <c r="BJ677" s="1">
        <v>137.05000000000001</v>
      </c>
      <c r="BK677" s="1">
        <v>117.01</v>
      </c>
      <c r="BL677" s="1">
        <v>118.91</v>
      </c>
      <c r="BN677" s="1">
        <v>118.49</v>
      </c>
    </row>
    <row r="678" spans="1:66" x14ac:dyDescent="0.3">
      <c r="A678" s="2"/>
      <c r="C678" s="14" t="str">
        <f t="shared" si="11"/>
        <v>20237</v>
      </c>
      <c r="D678" s="3">
        <v>45120</v>
      </c>
      <c r="E678" s="21">
        <v>2343.1799999999998</v>
      </c>
      <c r="F678" s="21">
        <v>2266.64</v>
      </c>
      <c r="G678" s="21">
        <v>2333.5300000000002</v>
      </c>
      <c r="H678" s="21">
        <v>2163</v>
      </c>
      <c r="I678" s="21">
        <v>2230.13</v>
      </c>
      <c r="J678" s="21">
        <v>2168.6</v>
      </c>
      <c r="K678" s="21">
        <v>2193.75</v>
      </c>
      <c r="L678" s="21">
        <v>2103.2199999999998</v>
      </c>
      <c r="M678" s="21">
        <v>1994.79</v>
      </c>
      <c r="N678" s="21">
        <v>2082.79</v>
      </c>
      <c r="O678" s="21">
        <v>2146.96</v>
      </c>
      <c r="P678" s="21">
        <v>2213.35</v>
      </c>
      <c r="Q678" s="21">
        <v>4992.99</v>
      </c>
      <c r="R678" s="20">
        <v>117.89</v>
      </c>
      <c r="S678" s="20">
        <v>102.92</v>
      </c>
      <c r="T678" s="21">
        <v>126.25</v>
      </c>
      <c r="V678" s="1">
        <v>113.74</v>
      </c>
      <c r="W678" s="1">
        <v>129.53</v>
      </c>
      <c r="X678" s="1">
        <v>132.97999999999999</v>
      </c>
      <c r="Y678" s="1">
        <v>126.8</v>
      </c>
      <c r="Z678" s="1">
        <v>126.75</v>
      </c>
      <c r="AA678" s="1">
        <v>120.31</v>
      </c>
      <c r="AB678" s="1">
        <v>133.38999999999999</v>
      </c>
      <c r="AE678" s="1">
        <v>139.96</v>
      </c>
      <c r="AF678" s="1">
        <v>129.81</v>
      </c>
      <c r="AG678" s="1">
        <v>112.28</v>
      </c>
      <c r="AS678" s="1">
        <v>2804.75</v>
      </c>
      <c r="AT678" s="1">
        <v>3082.7</v>
      </c>
      <c r="AU678" s="1">
        <v>2689.36</v>
      </c>
      <c r="AV678" s="1">
        <v>30</v>
      </c>
      <c r="AW678" s="1">
        <v>3023.92</v>
      </c>
      <c r="AX678" s="1">
        <v>115.79</v>
      </c>
      <c r="BA678" s="1">
        <v>118.96</v>
      </c>
      <c r="BB678" s="1">
        <v>136.72999999999999</v>
      </c>
      <c r="BC678" s="1">
        <v>134.6</v>
      </c>
      <c r="BD678" s="1">
        <v>131.80000000000001</v>
      </c>
      <c r="BE678" s="1">
        <v>128.88</v>
      </c>
      <c r="BF678" s="1">
        <v>128.27000000000001</v>
      </c>
      <c r="BG678" s="1">
        <v>143.16999999999999</v>
      </c>
      <c r="BH678" s="1">
        <v>121.61</v>
      </c>
      <c r="BI678" s="1">
        <v>131.57</v>
      </c>
      <c r="BJ678" s="1">
        <v>138.57</v>
      </c>
      <c r="BK678" s="1">
        <v>117.01</v>
      </c>
      <c r="BL678" s="1">
        <v>118.91</v>
      </c>
      <c r="BN678" s="1">
        <v>118.49</v>
      </c>
    </row>
    <row r="679" spans="1:66" x14ac:dyDescent="0.3">
      <c r="A679" s="2"/>
      <c r="C679" s="14" t="str">
        <f t="shared" si="11"/>
        <v>20237</v>
      </c>
      <c r="D679" s="3">
        <v>45119</v>
      </c>
      <c r="E679" s="21">
        <v>2343.1799999999998</v>
      </c>
      <c r="F679" s="21">
        <v>2266.64</v>
      </c>
      <c r="G679" s="21">
        <v>2323.63</v>
      </c>
      <c r="H679" s="21">
        <v>2221.3200000000002</v>
      </c>
      <c r="I679" s="21">
        <v>2230.13</v>
      </c>
      <c r="J679" s="21">
        <v>2200.5700000000002</v>
      </c>
      <c r="K679" s="21">
        <v>2193.75</v>
      </c>
      <c r="L679" s="21">
        <v>2103.2199999999998</v>
      </c>
      <c r="M679" s="21">
        <v>1994.79</v>
      </c>
      <c r="N679" s="21">
        <v>2096.37</v>
      </c>
      <c r="O679" s="21">
        <v>2141.09</v>
      </c>
      <c r="P679" s="21">
        <v>2213.89</v>
      </c>
      <c r="Q679" s="21">
        <v>4976.12</v>
      </c>
      <c r="R679" s="20">
        <v>118.47</v>
      </c>
      <c r="S679" s="20">
        <v>104.52</v>
      </c>
      <c r="T679" s="21">
        <v>124.19</v>
      </c>
      <c r="V679" s="1">
        <v>113.35</v>
      </c>
      <c r="W679" s="1">
        <v>128.87</v>
      </c>
      <c r="X679" s="1">
        <v>135.38</v>
      </c>
      <c r="Y679" s="1">
        <v>127.54</v>
      </c>
      <c r="Z679" s="1">
        <v>127.22</v>
      </c>
      <c r="AA679" s="1">
        <v>119.91</v>
      </c>
      <c r="AB679" s="1">
        <v>134.22999999999999</v>
      </c>
      <c r="AE679" s="1">
        <v>140.91</v>
      </c>
      <c r="AF679" s="1">
        <v>127.63</v>
      </c>
      <c r="AG679" s="1">
        <v>115.76</v>
      </c>
      <c r="AT679" s="1">
        <v>3082.7</v>
      </c>
      <c r="AU679" s="1">
        <v>2689.36</v>
      </c>
      <c r="AW679" s="1">
        <v>2871.91</v>
      </c>
      <c r="AX679" s="1">
        <v>115.78</v>
      </c>
      <c r="BA679" s="1">
        <v>119.85</v>
      </c>
      <c r="BB679" s="1">
        <v>136.44999999999999</v>
      </c>
      <c r="BC679" s="1">
        <v>133.86000000000001</v>
      </c>
      <c r="BD679" s="1">
        <v>129.51</v>
      </c>
      <c r="BE679" s="1">
        <v>129.25</v>
      </c>
      <c r="BF679" s="1">
        <v>130.12</v>
      </c>
      <c r="BG679" s="1">
        <v>143.13999999999999</v>
      </c>
      <c r="BH679" s="1">
        <v>121.61</v>
      </c>
      <c r="BI679" s="1">
        <v>132.47</v>
      </c>
      <c r="BJ679" s="1">
        <v>136.91999999999999</v>
      </c>
      <c r="BK679" s="1">
        <v>117.25</v>
      </c>
      <c r="BL679" s="1">
        <v>119.66</v>
      </c>
      <c r="BN679" s="1">
        <v>118.09</v>
      </c>
    </row>
    <row r="680" spans="1:66" x14ac:dyDescent="0.3">
      <c r="A680" s="2"/>
      <c r="C680" s="14" t="str">
        <f t="shared" si="11"/>
        <v>20237</v>
      </c>
      <c r="D680" s="3">
        <v>45118</v>
      </c>
      <c r="E680" s="21">
        <v>2339.1999999999998</v>
      </c>
      <c r="F680" s="21">
        <v>2266.64</v>
      </c>
      <c r="G680" s="21">
        <v>2323.63</v>
      </c>
      <c r="H680" s="21">
        <v>2218.61</v>
      </c>
      <c r="I680" s="21">
        <v>2214.3000000000002</v>
      </c>
      <c r="J680" s="21">
        <v>2187.79</v>
      </c>
      <c r="K680" s="21">
        <v>2193.75</v>
      </c>
      <c r="L680" s="21">
        <v>2090</v>
      </c>
      <c r="M680" s="21">
        <v>1994.79</v>
      </c>
      <c r="N680" s="21">
        <v>2075.15</v>
      </c>
      <c r="O680" s="21">
        <v>2143.71</v>
      </c>
      <c r="P680" s="21">
        <v>2213.89</v>
      </c>
      <c r="Q680" s="21">
        <v>5018.7299999999996</v>
      </c>
      <c r="R680" s="20">
        <v>118.47</v>
      </c>
      <c r="S680" s="20">
        <v>104.52</v>
      </c>
      <c r="T680" s="21">
        <v>126.01</v>
      </c>
      <c r="V680" s="1">
        <v>113.66</v>
      </c>
      <c r="W680" s="1">
        <v>129.97</v>
      </c>
      <c r="X680" s="1">
        <v>132.16</v>
      </c>
      <c r="Y680" s="1">
        <v>127.81</v>
      </c>
      <c r="Z680" s="1">
        <v>127.98</v>
      </c>
      <c r="AA680" s="1">
        <v>121.02</v>
      </c>
      <c r="AB680" s="1">
        <v>133.07</v>
      </c>
      <c r="AC680" s="1">
        <v>120.85</v>
      </c>
      <c r="AE680" s="1">
        <v>139.27000000000001</v>
      </c>
      <c r="AF680" s="1">
        <v>128.94999999999999</v>
      </c>
      <c r="AG680" s="1">
        <v>115.32</v>
      </c>
      <c r="AT680" s="1">
        <v>3082.7</v>
      </c>
      <c r="AU680" s="1">
        <v>2689.36</v>
      </c>
      <c r="AW680" s="1">
        <v>2871.91</v>
      </c>
      <c r="AX680" s="1">
        <v>117.05</v>
      </c>
      <c r="BA680" s="1">
        <v>119.2</v>
      </c>
      <c r="BB680" s="1">
        <v>137.6</v>
      </c>
      <c r="BC680" s="1">
        <v>135.66999999999999</v>
      </c>
      <c r="BD680" s="1">
        <v>130.77000000000001</v>
      </c>
      <c r="BE680" s="1">
        <v>129.82</v>
      </c>
      <c r="BF680" s="1">
        <v>130.11000000000001</v>
      </c>
      <c r="BG680" s="1">
        <v>144.65</v>
      </c>
      <c r="BH680" s="1">
        <v>122.48</v>
      </c>
      <c r="BI680" s="1">
        <v>130.87</v>
      </c>
      <c r="BJ680" s="1">
        <v>138.06</v>
      </c>
      <c r="BK680" s="1">
        <v>119.01</v>
      </c>
      <c r="BL680" s="1">
        <v>120.24</v>
      </c>
      <c r="BN680" s="1">
        <v>119.75</v>
      </c>
    </row>
    <row r="681" spans="1:66" x14ac:dyDescent="0.3">
      <c r="A681" s="2"/>
      <c r="C681" s="14" t="str">
        <f t="shared" si="11"/>
        <v>20237</v>
      </c>
      <c r="D681" s="3">
        <v>45117</v>
      </c>
      <c r="E681" s="21">
        <v>2339.1999999999998</v>
      </c>
      <c r="F681" s="21">
        <v>2266.64</v>
      </c>
      <c r="G681" s="21">
        <v>2323.63</v>
      </c>
      <c r="H681" s="21">
        <v>2182.4899999999998</v>
      </c>
      <c r="I681" s="21">
        <v>2210.34</v>
      </c>
      <c r="J681" s="21">
        <v>2186.9699999999998</v>
      </c>
      <c r="K681" s="21">
        <v>2171.87</v>
      </c>
      <c r="L681" s="21">
        <v>2090</v>
      </c>
      <c r="M681" s="21">
        <v>2014.48</v>
      </c>
      <c r="N681" s="21">
        <v>2055.73</v>
      </c>
      <c r="O681" s="21">
        <v>2133.34</v>
      </c>
      <c r="P681" s="21">
        <v>2180.73</v>
      </c>
      <c r="Q681" s="21">
        <v>5083.75</v>
      </c>
      <c r="R681" s="20">
        <v>117.81</v>
      </c>
      <c r="S681" s="20">
        <v>102.53</v>
      </c>
      <c r="T681" s="21">
        <v>124.91</v>
      </c>
      <c r="V681" s="1">
        <v>112.28</v>
      </c>
      <c r="W681" s="1">
        <v>127.97</v>
      </c>
      <c r="X681" s="1">
        <v>130.5</v>
      </c>
      <c r="Y681" s="1">
        <v>125.97</v>
      </c>
      <c r="Z681" s="1">
        <v>125.94</v>
      </c>
      <c r="AA681" s="1">
        <v>119.68</v>
      </c>
      <c r="AB681" s="1">
        <v>130.31</v>
      </c>
      <c r="AC681" s="1">
        <v>120.04</v>
      </c>
      <c r="AE681" s="1">
        <v>138.41999999999999</v>
      </c>
      <c r="AF681" s="1">
        <v>128.76</v>
      </c>
      <c r="AG681" s="1">
        <v>111.04</v>
      </c>
      <c r="AT681" s="1">
        <v>3082.7</v>
      </c>
      <c r="AU681" s="1">
        <v>2712.1</v>
      </c>
      <c r="AW681" s="1">
        <v>2908.62</v>
      </c>
      <c r="AX681" s="1">
        <v>114.92</v>
      </c>
      <c r="BA681" s="1">
        <v>116.58</v>
      </c>
      <c r="BB681" s="1">
        <v>136.71</v>
      </c>
      <c r="BC681" s="1">
        <v>131.74</v>
      </c>
      <c r="BD681" s="1">
        <v>130.12</v>
      </c>
      <c r="BE681" s="1">
        <v>127.8</v>
      </c>
      <c r="BF681" s="1">
        <v>125.21</v>
      </c>
      <c r="BG681" s="1">
        <v>141.26</v>
      </c>
      <c r="BH681" s="1">
        <v>122.03</v>
      </c>
      <c r="BI681" s="1">
        <v>130.87</v>
      </c>
      <c r="BJ681" s="1">
        <v>138.05000000000001</v>
      </c>
      <c r="BK681" s="1">
        <v>118.01</v>
      </c>
      <c r="BL681" s="1">
        <v>119.24</v>
      </c>
      <c r="BN681" s="1">
        <v>119.09</v>
      </c>
    </row>
    <row r="682" spans="1:66" x14ac:dyDescent="0.3">
      <c r="A682" s="2"/>
      <c r="C682" s="14" t="str">
        <f t="shared" si="11"/>
        <v>20237</v>
      </c>
      <c r="D682" s="3">
        <v>45114</v>
      </c>
      <c r="E682" s="21">
        <v>2276.87</v>
      </c>
      <c r="F682" s="21">
        <v>2278.11</v>
      </c>
      <c r="G682" s="21">
        <v>2333.5300000000002</v>
      </c>
      <c r="H682" s="21">
        <v>2167.0700000000002</v>
      </c>
      <c r="I682" s="21">
        <v>2210.34</v>
      </c>
      <c r="J682" s="21">
        <v>2177.87</v>
      </c>
      <c r="K682" s="21">
        <v>2171.87</v>
      </c>
      <c r="L682" s="21">
        <v>2109.8200000000002</v>
      </c>
      <c r="M682" s="21">
        <v>2014.48</v>
      </c>
      <c r="N682" s="21">
        <v>1980.26</v>
      </c>
      <c r="O682" s="21">
        <v>2135.42</v>
      </c>
      <c r="P682" s="21">
        <v>2180.73</v>
      </c>
      <c r="Q682" s="21">
        <v>5003.88</v>
      </c>
      <c r="R682" s="20">
        <v>120.05</v>
      </c>
      <c r="S682" s="20">
        <v>102.53</v>
      </c>
      <c r="T682" s="21">
        <v>124.09</v>
      </c>
      <c r="V682" s="1">
        <v>111.58</v>
      </c>
      <c r="W682" s="1">
        <v>127.77</v>
      </c>
      <c r="X682" s="1">
        <v>131.33000000000001</v>
      </c>
      <c r="Y682" s="1">
        <v>124.62</v>
      </c>
      <c r="Z682" s="1">
        <v>124.6</v>
      </c>
      <c r="AA682" s="1">
        <v>119.63</v>
      </c>
      <c r="AB682" s="1">
        <v>132.13</v>
      </c>
      <c r="AC682" s="1">
        <v>118.42</v>
      </c>
      <c r="AE682" s="1">
        <v>139.07</v>
      </c>
      <c r="AF682" s="1">
        <v>125.98</v>
      </c>
      <c r="AG682" s="1">
        <v>111.03</v>
      </c>
      <c r="AT682" s="1">
        <v>3082.7</v>
      </c>
      <c r="AW682" s="1">
        <v>2902.06</v>
      </c>
      <c r="AX682" s="1">
        <v>115.63</v>
      </c>
      <c r="BA682" s="1">
        <v>116.55</v>
      </c>
      <c r="BB682" s="1">
        <v>135.38</v>
      </c>
      <c r="BC682" s="1">
        <v>130.44999999999999</v>
      </c>
      <c r="BD682" s="1">
        <v>128.34</v>
      </c>
      <c r="BE682" s="1">
        <v>125.14</v>
      </c>
      <c r="BF682" s="1">
        <v>125.65</v>
      </c>
      <c r="BG682" s="1">
        <v>143.62</v>
      </c>
      <c r="BH682" s="1">
        <v>120.28</v>
      </c>
      <c r="BI682" s="1">
        <v>130.27000000000001</v>
      </c>
      <c r="BJ682" s="1">
        <v>138.01</v>
      </c>
      <c r="BK682" s="1">
        <v>116.35</v>
      </c>
      <c r="BL682" s="1">
        <v>117.16</v>
      </c>
      <c r="BN682" s="1">
        <v>116.77</v>
      </c>
    </row>
    <row r="683" spans="1:66" x14ac:dyDescent="0.3">
      <c r="A683" s="2"/>
      <c r="C683" s="14" t="str">
        <f t="shared" si="11"/>
        <v>20237</v>
      </c>
      <c r="D683" s="3">
        <v>45113</v>
      </c>
      <c r="E683" s="21">
        <v>2305.2800000000002</v>
      </c>
      <c r="F683" s="21">
        <v>2278.11</v>
      </c>
      <c r="G683" s="21">
        <v>2333.5300000000002</v>
      </c>
      <c r="H683" s="21">
        <v>2087.66</v>
      </c>
      <c r="I683" s="21">
        <v>2210.34</v>
      </c>
      <c r="J683" s="21">
        <v>2181.56</v>
      </c>
      <c r="K683" s="21">
        <v>2189.77</v>
      </c>
      <c r="L683" s="21">
        <v>2119.71</v>
      </c>
      <c r="M683" s="21">
        <v>2014.48</v>
      </c>
      <c r="N683" s="21">
        <v>2000.59</v>
      </c>
      <c r="O683" s="21">
        <v>2136.67</v>
      </c>
      <c r="P683" s="21">
        <v>2213.89</v>
      </c>
      <c r="Q683" s="21">
        <v>4996.0200000000004</v>
      </c>
      <c r="R683" s="20">
        <v>115.65</v>
      </c>
      <c r="S683" s="20">
        <v>102.09</v>
      </c>
      <c r="T683" s="21">
        <v>123.65</v>
      </c>
      <c r="V683" s="1">
        <v>112.4</v>
      </c>
      <c r="W683" s="1">
        <v>126.77</v>
      </c>
      <c r="X683" s="1">
        <v>131.66999999999999</v>
      </c>
      <c r="Y683" s="1">
        <v>123.68</v>
      </c>
      <c r="Z683" s="1">
        <v>124.02</v>
      </c>
      <c r="AA683" s="1">
        <v>118.88</v>
      </c>
      <c r="AB683" s="1">
        <v>132.29</v>
      </c>
      <c r="AC683" s="1">
        <v>119.57</v>
      </c>
      <c r="AE683" s="1">
        <v>139.33000000000001</v>
      </c>
      <c r="AF683" s="1">
        <v>126.31</v>
      </c>
      <c r="AG683" s="1">
        <v>111.19</v>
      </c>
      <c r="AW683" s="1">
        <v>3030.95</v>
      </c>
      <c r="AX683" s="1">
        <v>116.65</v>
      </c>
      <c r="AY683" s="1">
        <v>2956.36</v>
      </c>
      <c r="BA683" s="1">
        <v>117.61</v>
      </c>
      <c r="BB683" s="1">
        <v>135.19</v>
      </c>
      <c r="BC683" s="1">
        <v>131.19999999999999</v>
      </c>
      <c r="BD683" s="1">
        <v>129.49</v>
      </c>
      <c r="BE683" s="1">
        <v>125.11</v>
      </c>
      <c r="BF683" s="1">
        <v>125.63</v>
      </c>
      <c r="BG683" s="1">
        <v>143.12</v>
      </c>
      <c r="BH683" s="1">
        <v>120.38</v>
      </c>
      <c r="BI683" s="1">
        <v>130.27000000000001</v>
      </c>
      <c r="BJ683" s="1">
        <v>138</v>
      </c>
      <c r="BK683" s="1">
        <v>116.02</v>
      </c>
      <c r="BL683" s="1">
        <v>116.66</v>
      </c>
      <c r="BN683" s="1">
        <v>116.11</v>
      </c>
    </row>
    <row r="684" spans="1:66" x14ac:dyDescent="0.3">
      <c r="A684" s="2"/>
      <c r="C684" s="14" t="str">
        <f t="shared" si="11"/>
        <v>20237</v>
      </c>
      <c r="D684" s="3">
        <v>45112</v>
      </c>
      <c r="E684" s="21">
        <v>2299.6</v>
      </c>
      <c r="F684" s="21">
        <v>2278.11</v>
      </c>
      <c r="G684" s="21">
        <v>2333.5300000000002</v>
      </c>
      <c r="H684" s="21">
        <v>2087.66</v>
      </c>
      <c r="I684" s="21">
        <v>2210.34</v>
      </c>
      <c r="J684" s="21">
        <v>2183.37</v>
      </c>
      <c r="K684" s="21">
        <v>2189.77</v>
      </c>
      <c r="L684" s="21">
        <v>2119.71</v>
      </c>
      <c r="M684" s="21">
        <v>1978.38</v>
      </c>
      <c r="N684" s="21">
        <v>1985.31</v>
      </c>
      <c r="O684" s="21">
        <v>2134.7600000000002</v>
      </c>
      <c r="P684" s="21">
        <v>2197.2600000000002</v>
      </c>
      <c r="Q684" s="21">
        <v>5116.7700000000004</v>
      </c>
      <c r="R684" s="20">
        <v>116.97</v>
      </c>
      <c r="S684" s="20">
        <v>101.01</v>
      </c>
      <c r="T684" s="21">
        <v>122.94</v>
      </c>
      <c r="V684" s="1">
        <v>113.31</v>
      </c>
      <c r="W684" s="1">
        <v>126.77</v>
      </c>
      <c r="X684" s="1">
        <v>130.66999999999999</v>
      </c>
      <c r="Y684" s="1">
        <v>123.02</v>
      </c>
      <c r="Z684" s="1">
        <v>123.93</v>
      </c>
      <c r="AA684" s="1">
        <v>119.31</v>
      </c>
      <c r="AB684" s="1">
        <v>131.91</v>
      </c>
      <c r="AC684" s="1">
        <v>120.13</v>
      </c>
      <c r="AE684" s="1">
        <v>136.93</v>
      </c>
      <c r="AF684" s="1">
        <v>125.08</v>
      </c>
      <c r="AG684" s="1">
        <v>110.11</v>
      </c>
      <c r="AN684" s="1">
        <v>2890.66</v>
      </c>
      <c r="AW684" s="1">
        <v>3030.95</v>
      </c>
      <c r="AX684" s="1">
        <v>116.63</v>
      </c>
      <c r="AY684" s="1">
        <v>2956.36</v>
      </c>
      <c r="BA684" s="1">
        <v>116.48</v>
      </c>
      <c r="BB684" s="1">
        <v>134.4</v>
      </c>
      <c r="BC684" s="1">
        <v>131.83000000000001</v>
      </c>
      <c r="BD684" s="1">
        <v>129.35</v>
      </c>
      <c r="BE684" s="1">
        <v>124.2</v>
      </c>
      <c r="BF684" s="1">
        <v>125.59</v>
      </c>
      <c r="BG684" s="1">
        <v>141.84</v>
      </c>
      <c r="BH684" s="1">
        <v>121.42</v>
      </c>
      <c r="BI684" s="1">
        <v>127.28</v>
      </c>
      <c r="BJ684" s="1">
        <v>137.97999999999999</v>
      </c>
      <c r="BK684" s="1">
        <v>115.36</v>
      </c>
      <c r="BL684" s="1">
        <v>116.41</v>
      </c>
      <c r="BN684" s="1">
        <v>116.11</v>
      </c>
    </row>
    <row r="685" spans="1:66" x14ac:dyDescent="0.3">
      <c r="A685" s="2"/>
      <c r="C685" s="14" t="str">
        <f t="shared" si="11"/>
        <v>20237</v>
      </c>
      <c r="D685" s="3">
        <v>45111</v>
      </c>
      <c r="E685" s="21">
        <v>2347.11</v>
      </c>
      <c r="F685" s="21">
        <v>2278.11</v>
      </c>
      <c r="G685" s="21">
        <v>2333.5300000000002</v>
      </c>
      <c r="H685" s="21">
        <v>2132.52</v>
      </c>
      <c r="I685" s="21">
        <v>2210.34</v>
      </c>
      <c r="J685" s="21">
        <v>2204.33</v>
      </c>
      <c r="K685" s="21">
        <v>2189.73</v>
      </c>
      <c r="L685" s="21"/>
      <c r="M685" s="21">
        <v>1978.38</v>
      </c>
      <c r="N685" s="21">
        <v>2051.83</v>
      </c>
      <c r="O685" s="21">
        <v>2133.59</v>
      </c>
      <c r="P685" s="21">
        <v>2230.42</v>
      </c>
      <c r="Q685" s="21">
        <v>5176.03</v>
      </c>
      <c r="R685" s="20">
        <v>116.47</v>
      </c>
      <c r="S685" s="20">
        <v>100.77</v>
      </c>
      <c r="T685" s="21">
        <v>122.79</v>
      </c>
      <c r="V685" s="1">
        <v>111.65</v>
      </c>
      <c r="W685" s="1">
        <v>125.97</v>
      </c>
      <c r="X685" s="1">
        <v>131.57</v>
      </c>
      <c r="Y685" s="1">
        <v>122.75</v>
      </c>
      <c r="Z685" s="1">
        <v>123.25</v>
      </c>
      <c r="AA685" s="1">
        <v>118.45</v>
      </c>
      <c r="AB685" s="1">
        <v>130.57</v>
      </c>
      <c r="AC685" s="1">
        <v>119.47</v>
      </c>
      <c r="AE685" s="1">
        <v>136.58000000000001</v>
      </c>
      <c r="AF685" s="1">
        <v>124.93</v>
      </c>
      <c r="AG685" s="1">
        <v>110.22</v>
      </c>
      <c r="AN685" s="1">
        <v>2890.66</v>
      </c>
      <c r="AW685" s="1">
        <v>3038.51</v>
      </c>
      <c r="AX685" s="1">
        <v>115.35</v>
      </c>
      <c r="AY685" s="1">
        <v>2956.36</v>
      </c>
      <c r="BA685" s="1">
        <v>116.3</v>
      </c>
      <c r="BB685" s="1">
        <v>132.43</v>
      </c>
      <c r="BC685" s="1">
        <v>131.02000000000001</v>
      </c>
      <c r="BD685" s="1">
        <v>126.27</v>
      </c>
      <c r="BE685" s="1">
        <v>123.47</v>
      </c>
      <c r="BF685" s="1">
        <v>124.23</v>
      </c>
      <c r="BG685" s="1">
        <v>139.72</v>
      </c>
      <c r="BH685" s="1">
        <v>121.25</v>
      </c>
      <c r="BI685" s="1">
        <v>127.28</v>
      </c>
      <c r="BJ685" s="1">
        <v>132.13999999999999</v>
      </c>
      <c r="BK685" s="1">
        <v>114.02</v>
      </c>
      <c r="BL685" s="1">
        <v>114.59</v>
      </c>
      <c r="BN685" s="1">
        <v>114.11</v>
      </c>
    </row>
    <row r="686" spans="1:66" x14ac:dyDescent="0.3">
      <c r="A686" s="2"/>
      <c r="C686" s="14" t="str">
        <f t="shared" si="11"/>
        <v>20237</v>
      </c>
      <c r="D686" s="3">
        <v>45110</v>
      </c>
      <c r="E686" s="21">
        <v>2347.11</v>
      </c>
      <c r="F686" s="21">
        <v>2283.06</v>
      </c>
      <c r="G686" s="21">
        <v>2333.5300000000002</v>
      </c>
      <c r="H686" s="21">
        <v>2118.86</v>
      </c>
      <c r="I686" s="21">
        <v>2210.34</v>
      </c>
      <c r="J686" s="21">
        <v>2186.13</v>
      </c>
      <c r="K686" s="21">
        <v>2189.73</v>
      </c>
      <c r="L686" s="21"/>
      <c r="M686" s="21">
        <v>1935.71</v>
      </c>
      <c r="N686" s="21">
        <v>2049.5300000000002</v>
      </c>
      <c r="O686" s="21">
        <v>2131.09</v>
      </c>
      <c r="P686" s="21">
        <v>2230.42</v>
      </c>
      <c r="Q686" s="21">
        <v>5106.7700000000004</v>
      </c>
      <c r="R686" s="20">
        <v>116.47</v>
      </c>
      <c r="S686" s="20">
        <v>101.94</v>
      </c>
      <c r="T686" s="21">
        <v>122.55</v>
      </c>
      <c r="V686" s="1">
        <v>111.78</v>
      </c>
      <c r="W686" s="1">
        <v>125.97</v>
      </c>
      <c r="X686" s="1">
        <v>131.46</v>
      </c>
      <c r="Y686" s="1">
        <v>123.37</v>
      </c>
      <c r="Z686" s="1">
        <v>124</v>
      </c>
      <c r="AA686" s="1">
        <v>118.45</v>
      </c>
      <c r="AB686" s="1">
        <v>130.41</v>
      </c>
      <c r="AC686" s="1">
        <v>119.47</v>
      </c>
      <c r="AE686" s="1">
        <v>136.57</v>
      </c>
      <c r="AF686" s="1">
        <v>127.24</v>
      </c>
      <c r="AG686" s="1">
        <v>110.44</v>
      </c>
      <c r="AN686" s="1">
        <v>2890.66</v>
      </c>
      <c r="AW686" s="1">
        <v>3049.85</v>
      </c>
      <c r="AX686" s="1">
        <v>115.33</v>
      </c>
      <c r="AY686" s="1">
        <v>2956.36</v>
      </c>
      <c r="BA686" s="1">
        <v>116.3</v>
      </c>
      <c r="BB686" s="1">
        <v>133.01</v>
      </c>
      <c r="BC686" s="1">
        <v>131.37</v>
      </c>
      <c r="BD686" s="1">
        <v>128.55000000000001</v>
      </c>
      <c r="BE686" s="1">
        <v>123.44</v>
      </c>
      <c r="BF686" s="1">
        <v>122.57</v>
      </c>
      <c r="BG686" s="1">
        <v>139.72</v>
      </c>
      <c r="BH686" s="1">
        <v>121.25</v>
      </c>
      <c r="BI686" s="1">
        <v>126.49</v>
      </c>
      <c r="BJ686" s="1">
        <v>132.1</v>
      </c>
      <c r="BK686" s="1">
        <v>114.02</v>
      </c>
      <c r="BL686" s="1">
        <v>114.59</v>
      </c>
      <c r="BN686" s="1">
        <v>115.56</v>
      </c>
    </row>
    <row r="687" spans="1:66" x14ac:dyDescent="0.3">
      <c r="A687" s="2"/>
      <c r="C687" s="14" t="str">
        <f t="shared" si="11"/>
        <v>20236</v>
      </c>
      <c r="D687" s="3">
        <v>45107</v>
      </c>
      <c r="E687" s="21">
        <v>2322.36</v>
      </c>
      <c r="F687" s="21">
        <v>2211.5500000000002</v>
      </c>
      <c r="G687" s="21">
        <v>2282.9</v>
      </c>
      <c r="H687" s="21">
        <v>2069.77</v>
      </c>
      <c r="I687" s="21">
        <v>2187.9499999999998</v>
      </c>
      <c r="J687" s="21">
        <v>2184.48</v>
      </c>
      <c r="K687" s="21">
        <v>2140.2600000000002</v>
      </c>
      <c r="L687" s="21"/>
      <c r="M687" s="21">
        <v>1935.07</v>
      </c>
      <c r="N687" s="21">
        <v>1977.37</v>
      </c>
      <c r="O687" s="21">
        <v>2110.9699999999998</v>
      </c>
      <c r="P687" s="21">
        <v>2177.4499999999998</v>
      </c>
      <c r="Q687" s="21">
        <v>5017.93</v>
      </c>
      <c r="R687" s="20">
        <v>114.72</v>
      </c>
      <c r="S687" s="20">
        <v>101.18</v>
      </c>
      <c r="T687" s="21">
        <v>121.79</v>
      </c>
      <c r="V687" s="1">
        <v>109.47</v>
      </c>
      <c r="W687" s="1">
        <v>122.93</v>
      </c>
      <c r="X687" s="1">
        <v>125.83</v>
      </c>
      <c r="Y687" s="1">
        <v>122.03</v>
      </c>
      <c r="Z687" s="1">
        <v>122.01</v>
      </c>
      <c r="AA687" s="1">
        <v>117.11</v>
      </c>
      <c r="AB687" s="1">
        <v>125.96</v>
      </c>
      <c r="AC687" s="1">
        <v>118.13</v>
      </c>
      <c r="AE687" s="1">
        <v>132.69</v>
      </c>
      <c r="AF687" s="1">
        <v>127.17</v>
      </c>
      <c r="AG687" s="1">
        <v>109.43</v>
      </c>
      <c r="AN687" s="1">
        <v>2892.13</v>
      </c>
      <c r="AT687" s="1">
        <v>3043.81</v>
      </c>
      <c r="AW687" s="1">
        <v>3002.52</v>
      </c>
      <c r="AX687" s="1">
        <v>115.35</v>
      </c>
      <c r="AY687" s="1">
        <v>2957.86</v>
      </c>
      <c r="BA687" s="1">
        <v>114.77</v>
      </c>
      <c r="BB687" s="1">
        <v>131.79</v>
      </c>
      <c r="BC687" s="1">
        <v>128.26</v>
      </c>
      <c r="BD687" s="1">
        <v>127.64</v>
      </c>
      <c r="BE687" s="1">
        <v>115.31</v>
      </c>
      <c r="BF687" s="1">
        <v>123.86</v>
      </c>
      <c r="BG687" s="1">
        <v>136.41999999999999</v>
      </c>
      <c r="BH687" s="1">
        <v>120.4</v>
      </c>
      <c r="BI687" s="1">
        <v>125.37</v>
      </c>
      <c r="BJ687" s="1">
        <v>135.05000000000001</v>
      </c>
      <c r="BK687" s="1">
        <v>113.58</v>
      </c>
      <c r="BL687" s="1">
        <v>114.1</v>
      </c>
      <c r="BN687" s="1">
        <v>116.45</v>
      </c>
    </row>
    <row r="688" spans="1:66" x14ac:dyDescent="0.3">
      <c r="A688" s="2"/>
      <c r="C688" s="14" t="str">
        <f t="shared" si="11"/>
        <v>20236</v>
      </c>
      <c r="D688" s="3">
        <v>45106</v>
      </c>
      <c r="E688" s="21">
        <v>2290.61</v>
      </c>
      <c r="F688" s="21">
        <v>2189.0700000000002</v>
      </c>
      <c r="G688" s="21">
        <v>2267.08</v>
      </c>
      <c r="H688" s="21">
        <v>2052.46</v>
      </c>
      <c r="I688" s="21">
        <v>2193.39</v>
      </c>
      <c r="J688" s="21">
        <v>2183.1</v>
      </c>
      <c r="K688" s="21">
        <v>2140.2600000000002</v>
      </c>
      <c r="L688" s="21"/>
      <c r="M688" s="21">
        <v>1935.07</v>
      </c>
      <c r="N688" s="21">
        <v>1954.27</v>
      </c>
      <c r="O688" s="21">
        <v>2112.2199999999998</v>
      </c>
      <c r="P688" s="21">
        <v>2189.5500000000002</v>
      </c>
      <c r="Q688" s="21">
        <v>5026.68</v>
      </c>
      <c r="R688" s="20">
        <v>114.06</v>
      </c>
      <c r="S688" s="20">
        <v>99.68</v>
      </c>
      <c r="T688" s="21">
        <v>119.69</v>
      </c>
      <c r="V688" s="1">
        <v>108.93</v>
      </c>
      <c r="W688" s="1">
        <v>122.48</v>
      </c>
      <c r="X688" s="1">
        <v>123.61</v>
      </c>
      <c r="Y688" s="1">
        <v>119.3</v>
      </c>
      <c r="Z688" s="1">
        <v>120.19</v>
      </c>
      <c r="AA688" s="1">
        <v>115.84</v>
      </c>
      <c r="AB688" s="1">
        <v>124.39</v>
      </c>
      <c r="AC688" s="1">
        <v>116.46</v>
      </c>
      <c r="AE688" s="1">
        <v>131.13</v>
      </c>
      <c r="AF688" s="1">
        <v>124.4</v>
      </c>
      <c r="AG688" s="1">
        <v>106.71</v>
      </c>
      <c r="AN688" s="1">
        <v>2892.13</v>
      </c>
      <c r="AT688" s="1">
        <v>3043.81</v>
      </c>
      <c r="AW688" s="1">
        <v>3002.52</v>
      </c>
      <c r="AX688" s="1">
        <v>115.05</v>
      </c>
      <c r="BA688" s="1">
        <v>114.6</v>
      </c>
      <c r="BB688" s="1">
        <v>130.79</v>
      </c>
      <c r="BC688" s="1">
        <v>125.38</v>
      </c>
      <c r="BD688" s="1">
        <v>124.8</v>
      </c>
      <c r="BE688" s="1">
        <v>117.54</v>
      </c>
      <c r="BF688" s="1">
        <v>118.29</v>
      </c>
      <c r="BG688" s="1">
        <v>134.88999999999999</v>
      </c>
      <c r="BH688" s="1">
        <v>119.9</v>
      </c>
      <c r="BI688" s="1">
        <v>125.37</v>
      </c>
      <c r="BJ688" s="1">
        <v>134.66</v>
      </c>
      <c r="BK688" s="1">
        <v>111.02</v>
      </c>
      <c r="BL688" s="1">
        <v>112.58</v>
      </c>
      <c r="BN688" s="1">
        <v>113.3</v>
      </c>
    </row>
    <row r="689" spans="1:66" x14ac:dyDescent="0.3">
      <c r="A689" s="2"/>
      <c r="C689" s="14" t="str">
        <f t="shared" si="11"/>
        <v>20236</v>
      </c>
      <c r="D689" s="3">
        <v>45105</v>
      </c>
      <c r="E689" s="21">
        <v>2288.63</v>
      </c>
      <c r="F689" s="21">
        <v>2210.65</v>
      </c>
      <c r="G689" s="21">
        <v>2273.0100000000002</v>
      </c>
      <c r="H689" s="21">
        <v>2052.46</v>
      </c>
      <c r="I689" s="21">
        <v>2193.39</v>
      </c>
      <c r="J689" s="21">
        <v>2175.11</v>
      </c>
      <c r="K689" s="21">
        <v>2169.16</v>
      </c>
      <c r="L689" s="21"/>
      <c r="M689" s="21">
        <v>2029.89</v>
      </c>
      <c r="N689" s="21">
        <v>1991.83</v>
      </c>
      <c r="O689" s="21">
        <v>2138</v>
      </c>
      <c r="P689" s="21">
        <v>2213.75</v>
      </c>
      <c r="Q689" s="21">
        <v>5029.28</v>
      </c>
      <c r="R689" s="20">
        <v>115.22</v>
      </c>
      <c r="S689" s="20">
        <v>98.34</v>
      </c>
      <c r="T689" s="21">
        <v>119.49</v>
      </c>
      <c r="V689" s="1">
        <v>109.62</v>
      </c>
      <c r="W689" s="1">
        <v>122.06</v>
      </c>
      <c r="X689" s="1">
        <v>124.39</v>
      </c>
      <c r="Y689" s="1">
        <v>119.37</v>
      </c>
      <c r="Z689" s="1">
        <v>119.52</v>
      </c>
      <c r="AA689" s="1">
        <v>116.56</v>
      </c>
      <c r="AB689" s="1">
        <v>124.68</v>
      </c>
      <c r="AC689" s="1">
        <v>116.46</v>
      </c>
      <c r="AE689" s="1">
        <v>130.94999999999999</v>
      </c>
      <c r="AF689" s="1">
        <v>123.42</v>
      </c>
      <c r="AG689" s="1">
        <v>106.5</v>
      </c>
      <c r="AT689" s="1">
        <v>3043.81</v>
      </c>
      <c r="AW689" s="1">
        <v>3002.52</v>
      </c>
      <c r="AX689" s="1">
        <v>113.77</v>
      </c>
      <c r="BA689" s="1">
        <v>112.72</v>
      </c>
      <c r="BB689" s="1">
        <v>131.21</v>
      </c>
      <c r="BC689" s="1">
        <v>125.65</v>
      </c>
      <c r="BD689" s="1">
        <v>123.28</v>
      </c>
      <c r="BE689" s="1">
        <v>121.84</v>
      </c>
      <c r="BF689" s="1">
        <v>119.6</v>
      </c>
      <c r="BG689" s="1">
        <v>134.84</v>
      </c>
      <c r="BH689" s="1">
        <v>119.9</v>
      </c>
      <c r="BI689" s="1">
        <v>125.57</v>
      </c>
      <c r="BJ689" s="1">
        <v>134.65</v>
      </c>
      <c r="BK689" s="1">
        <v>112.02</v>
      </c>
      <c r="BL689" s="1">
        <v>111.92</v>
      </c>
      <c r="BN689" s="1">
        <v>111.44</v>
      </c>
    </row>
    <row r="690" spans="1:66" x14ac:dyDescent="0.3">
      <c r="A690" s="2"/>
      <c r="C690" s="14" t="str">
        <f t="shared" si="11"/>
        <v>20236</v>
      </c>
      <c r="D690" s="3">
        <v>45104</v>
      </c>
      <c r="E690" s="21">
        <v>2298.52</v>
      </c>
      <c r="F690" s="21">
        <v>2228.63</v>
      </c>
      <c r="G690" s="21">
        <v>2282.9</v>
      </c>
      <c r="H690" s="21">
        <v>2091.0700000000002</v>
      </c>
      <c r="I690" s="21">
        <v>2193.39</v>
      </c>
      <c r="J690" s="21">
        <v>2189.86</v>
      </c>
      <c r="K690" s="21">
        <v>2169.16</v>
      </c>
      <c r="L690" s="21"/>
      <c r="M690" s="21">
        <v>2029.89</v>
      </c>
      <c r="N690" s="21">
        <v>2025.52</v>
      </c>
      <c r="O690" s="21">
        <v>2143.5500000000002</v>
      </c>
      <c r="P690" s="21">
        <v>2212.9299999999998</v>
      </c>
      <c r="Q690" s="21">
        <v>4967.0600000000004</v>
      </c>
      <c r="R690" s="20">
        <v>115.22</v>
      </c>
      <c r="S690" s="20">
        <v>97.7</v>
      </c>
      <c r="T690" s="21">
        <v>120.16</v>
      </c>
      <c r="V690" s="1">
        <v>110.2</v>
      </c>
      <c r="W690" s="1">
        <v>121.77</v>
      </c>
      <c r="X690" s="1">
        <v>123.94</v>
      </c>
      <c r="Y690" s="1">
        <v>119.81</v>
      </c>
      <c r="Z690" s="1">
        <v>120.26</v>
      </c>
      <c r="AA690" s="1">
        <v>116.62</v>
      </c>
      <c r="AB690" s="1">
        <v>124.46</v>
      </c>
      <c r="AC690" s="1">
        <v>117.6</v>
      </c>
      <c r="AE690" s="1">
        <v>133.32</v>
      </c>
      <c r="AF690" s="1">
        <v>123.42</v>
      </c>
      <c r="AG690" s="1">
        <v>106.5</v>
      </c>
      <c r="AT690" s="1">
        <v>3043.81</v>
      </c>
      <c r="AW690" s="1">
        <v>2978.08</v>
      </c>
      <c r="AX690" s="1">
        <v>113.5</v>
      </c>
      <c r="BA690" s="1">
        <v>112.8</v>
      </c>
      <c r="BB690" s="1">
        <v>130.4</v>
      </c>
      <c r="BC690" s="1">
        <v>126.62</v>
      </c>
      <c r="BD690" s="1">
        <v>124.15</v>
      </c>
      <c r="BE690" s="1">
        <v>121.98</v>
      </c>
      <c r="BF690" s="1">
        <v>118.44</v>
      </c>
      <c r="BG690" s="1">
        <v>136.66999999999999</v>
      </c>
      <c r="BH690" s="1">
        <v>120.51</v>
      </c>
      <c r="BI690" s="1">
        <v>125.57</v>
      </c>
      <c r="BJ690" s="1">
        <v>134.63999999999999</v>
      </c>
      <c r="BK690" s="1">
        <v>112.35</v>
      </c>
      <c r="BL690" s="1">
        <v>112.58</v>
      </c>
      <c r="BN690" s="1">
        <v>112.1</v>
      </c>
    </row>
    <row r="691" spans="1:66" x14ac:dyDescent="0.3">
      <c r="A691" s="2"/>
      <c r="C691" s="14" t="str">
        <f t="shared" si="11"/>
        <v>20236</v>
      </c>
      <c r="D691" s="3">
        <v>45103</v>
      </c>
      <c r="E691" s="21">
        <v>2316.4</v>
      </c>
      <c r="F691" s="21">
        <v>2228.63</v>
      </c>
      <c r="G691" s="21">
        <v>2286.86</v>
      </c>
      <c r="H691" s="21">
        <v>2095.64</v>
      </c>
      <c r="I691" s="21">
        <v>2209.21</v>
      </c>
      <c r="J691" s="21">
        <v>2188.5</v>
      </c>
      <c r="K691" s="21">
        <v>2229.2199999999998</v>
      </c>
      <c r="L691" s="21"/>
      <c r="M691" s="21">
        <v>2077.14</v>
      </c>
      <c r="N691" s="21">
        <v>2048.86</v>
      </c>
      <c r="O691" s="21">
        <v>2138.04</v>
      </c>
      <c r="P691" s="21">
        <v>2213.75</v>
      </c>
      <c r="Q691" s="21">
        <v>4976.49</v>
      </c>
      <c r="R691" s="20">
        <v>116.21</v>
      </c>
      <c r="S691" s="20">
        <v>99.88</v>
      </c>
      <c r="T691" s="21">
        <v>120.31</v>
      </c>
      <c r="V691" s="1">
        <v>111.97</v>
      </c>
      <c r="W691" s="1">
        <v>123.37</v>
      </c>
      <c r="X691" s="1">
        <v>123.89</v>
      </c>
      <c r="Y691" s="1">
        <v>120.68</v>
      </c>
      <c r="Z691" s="1">
        <v>121.01</v>
      </c>
      <c r="AA691" s="1">
        <v>117.64</v>
      </c>
      <c r="AB691" s="1">
        <v>124.32</v>
      </c>
      <c r="AC691" s="1">
        <v>119.12</v>
      </c>
      <c r="AE691" s="1">
        <v>133.16</v>
      </c>
      <c r="AF691" s="1">
        <v>123.68</v>
      </c>
      <c r="AG691" s="1">
        <v>109.45</v>
      </c>
      <c r="AT691" s="1">
        <v>3043.81</v>
      </c>
      <c r="AW691" s="1">
        <v>2978.08</v>
      </c>
      <c r="AX691" s="1">
        <v>114.38</v>
      </c>
      <c r="AY691" s="1">
        <v>2957.86</v>
      </c>
      <c r="BA691" s="1">
        <v>113.64</v>
      </c>
      <c r="BB691" s="1">
        <v>131.31</v>
      </c>
      <c r="BC691" s="1">
        <v>127.77</v>
      </c>
      <c r="BD691" s="1">
        <v>125.44</v>
      </c>
      <c r="BE691" s="1">
        <v>122.34</v>
      </c>
      <c r="BF691" s="1">
        <v>119.82</v>
      </c>
      <c r="BG691" s="1">
        <v>135.59</v>
      </c>
      <c r="BH691" s="1">
        <v>122.06</v>
      </c>
      <c r="BI691" s="1">
        <v>125.57</v>
      </c>
      <c r="BJ691" s="1">
        <v>134.59</v>
      </c>
      <c r="BK691" s="1">
        <v>113.01</v>
      </c>
      <c r="BL691" s="1">
        <v>113.58</v>
      </c>
      <c r="BN691" s="1">
        <v>114.76</v>
      </c>
    </row>
    <row r="692" spans="1:66" x14ac:dyDescent="0.3">
      <c r="A692" s="2"/>
      <c r="C692" s="14" t="str">
        <f t="shared" si="11"/>
        <v>20236</v>
      </c>
      <c r="D692" s="3">
        <v>45100</v>
      </c>
      <c r="E692" s="21">
        <v>2252.65</v>
      </c>
      <c r="F692" s="21">
        <v>2242.12</v>
      </c>
      <c r="G692" s="21">
        <v>2292.83</v>
      </c>
      <c r="H692" s="21">
        <v>2065.75</v>
      </c>
      <c r="I692" s="21">
        <v>2217.12</v>
      </c>
      <c r="J692" s="21">
        <v>2216.1</v>
      </c>
      <c r="K692" s="21">
        <v>2202.44</v>
      </c>
      <c r="L692" s="21"/>
      <c r="M692" s="21">
        <v>2149.36</v>
      </c>
      <c r="N692" s="21">
        <v>1993.9</v>
      </c>
      <c r="O692" s="21">
        <v>2134.02</v>
      </c>
      <c r="P692" s="21">
        <v>2213.75</v>
      </c>
      <c r="Q692" s="21">
        <v>4891.4399999999996</v>
      </c>
      <c r="R692" s="20">
        <v>116.21</v>
      </c>
      <c r="S692" s="20">
        <v>99.42</v>
      </c>
      <c r="T692" s="21">
        <v>119.13</v>
      </c>
      <c r="V692" s="1">
        <v>111.45</v>
      </c>
      <c r="W692" s="1">
        <v>122.57</v>
      </c>
      <c r="X692" s="1">
        <v>122.84</v>
      </c>
      <c r="Y692" s="1">
        <v>119.85</v>
      </c>
      <c r="Z692" s="1">
        <v>120.27</v>
      </c>
      <c r="AA692" s="1">
        <v>116.22</v>
      </c>
      <c r="AB692" s="1">
        <v>124.02</v>
      </c>
      <c r="AE692" s="1">
        <v>132.13</v>
      </c>
      <c r="AF692" s="1">
        <v>123.68</v>
      </c>
      <c r="AG692" s="1">
        <v>109.74</v>
      </c>
      <c r="AW692" s="1">
        <v>3019.09</v>
      </c>
      <c r="AX692" s="1">
        <v>114.85</v>
      </c>
      <c r="AY692" s="1">
        <v>2957.86</v>
      </c>
      <c r="BA692" s="1">
        <v>114.15</v>
      </c>
      <c r="BB692" s="1">
        <v>130.4</v>
      </c>
      <c r="BC692" s="1">
        <v>124.96</v>
      </c>
      <c r="BD692" s="1">
        <v>124.02</v>
      </c>
      <c r="BE692" s="1">
        <v>122.45</v>
      </c>
      <c r="BF692" s="1">
        <v>118.76</v>
      </c>
      <c r="BG692" s="1">
        <v>135.66999999999999</v>
      </c>
      <c r="BH692" s="1">
        <v>118.39</v>
      </c>
      <c r="BI692" s="1">
        <v>126.17</v>
      </c>
      <c r="BJ692" s="1">
        <v>134.59</v>
      </c>
      <c r="BK692" s="1">
        <v>112.35</v>
      </c>
      <c r="BL692" s="1">
        <v>113.33</v>
      </c>
      <c r="BN692" s="1">
        <v>114.3</v>
      </c>
    </row>
    <row r="693" spans="1:66" x14ac:dyDescent="0.3">
      <c r="A693" s="2"/>
      <c r="C693" s="14" t="str">
        <f t="shared" si="11"/>
        <v>20236</v>
      </c>
      <c r="D693" s="3">
        <v>45099</v>
      </c>
      <c r="E693" s="21">
        <v>2270.98</v>
      </c>
      <c r="F693" s="21">
        <v>2234.0300000000002</v>
      </c>
      <c r="G693" s="21">
        <v>2296.2399999999998</v>
      </c>
      <c r="H693" s="21">
        <v>2172.0100000000002</v>
      </c>
      <c r="I693" s="21">
        <v>2217.12</v>
      </c>
      <c r="J693" s="21">
        <v>2233.5500000000002</v>
      </c>
      <c r="K693" s="21">
        <v>2202.44</v>
      </c>
      <c r="L693" s="21"/>
      <c r="M693" s="21">
        <v>2149.36</v>
      </c>
      <c r="N693" s="21">
        <v>2069.06</v>
      </c>
      <c r="O693" s="21">
        <v>2141.5700000000002</v>
      </c>
      <c r="P693" s="21">
        <v>2213.75</v>
      </c>
      <c r="Q693" s="21">
        <v>4760.0600000000004</v>
      </c>
      <c r="R693" s="20">
        <v>116.71</v>
      </c>
      <c r="S693" s="20">
        <v>101.77</v>
      </c>
      <c r="T693" s="21">
        <v>120.66</v>
      </c>
      <c r="V693" s="1">
        <v>113.07</v>
      </c>
      <c r="W693" s="1">
        <v>123.57</v>
      </c>
      <c r="X693" s="1">
        <v>125.44</v>
      </c>
      <c r="Y693" s="1">
        <v>120.55</v>
      </c>
      <c r="Z693" s="1">
        <v>120.35</v>
      </c>
      <c r="AA693" s="1">
        <v>117.84</v>
      </c>
      <c r="AB693" s="1">
        <v>126.08</v>
      </c>
      <c r="AE693" s="1">
        <v>132.47</v>
      </c>
      <c r="AF693" s="1">
        <v>125.33</v>
      </c>
      <c r="AG693" s="1">
        <v>109.68</v>
      </c>
      <c r="AW693" s="1">
        <v>3019.09</v>
      </c>
      <c r="AX693" s="1">
        <v>116.31</v>
      </c>
      <c r="AY693" s="1">
        <v>2957.86</v>
      </c>
      <c r="BA693" s="1">
        <v>115.3</v>
      </c>
      <c r="BB693" s="1">
        <v>130.68</v>
      </c>
      <c r="BC693" s="1">
        <v>126.55</v>
      </c>
      <c r="BD693" s="1">
        <v>124.91</v>
      </c>
      <c r="BE693" s="1">
        <v>123.62</v>
      </c>
      <c r="BF693" s="1">
        <v>119.24</v>
      </c>
      <c r="BG693" s="1">
        <v>136.22999999999999</v>
      </c>
      <c r="BH693" s="1">
        <v>121.5</v>
      </c>
      <c r="BI693" s="1">
        <v>126.17</v>
      </c>
      <c r="BJ693" s="1">
        <v>134.58000000000001</v>
      </c>
      <c r="BK693" s="1">
        <v>113.68</v>
      </c>
      <c r="BL693" s="1">
        <v>113.58</v>
      </c>
      <c r="BN693" s="1">
        <v>114.29</v>
      </c>
    </row>
    <row r="694" spans="1:66" x14ac:dyDescent="0.3">
      <c r="A694" s="2"/>
      <c r="C694" s="14" t="str">
        <f t="shared" si="11"/>
        <v>20236</v>
      </c>
      <c r="D694" s="3">
        <v>45098</v>
      </c>
      <c r="E694" s="21">
        <v>2302.3200000000002</v>
      </c>
      <c r="F694" s="21">
        <v>2258.3000000000002</v>
      </c>
      <c r="G694" s="21">
        <v>2292.2800000000002</v>
      </c>
      <c r="H694" s="21">
        <v>2168.66</v>
      </c>
      <c r="I694" s="21">
        <v>2181.52</v>
      </c>
      <c r="J694" s="21">
        <v>2196.09</v>
      </c>
      <c r="K694" s="21">
        <v>2152.71</v>
      </c>
      <c r="L694" s="21"/>
      <c r="M694" s="21">
        <v>2097.6799999999998</v>
      </c>
      <c r="N694" s="21">
        <v>2041.67</v>
      </c>
      <c r="O694" s="21">
        <v>2150.3200000000002</v>
      </c>
      <c r="P694" s="21">
        <v>2147.46</v>
      </c>
      <c r="Q694" s="21">
        <v>5074.03</v>
      </c>
      <c r="R694" s="20">
        <v>117.71</v>
      </c>
      <c r="S694" s="20">
        <v>102.32</v>
      </c>
      <c r="T694" s="21">
        <v>121.26</v>
      </c>
      <c r="V694" s="1">
        <v>112.97</v>
      </c>
      <c r="W694" s="1">
        <v>123.57</v>
      </c>
      <c r="X694" s="1">
        <v>126</v>
      </c>
      <c r="Y694" s="1">
        <v>120.62</v>
      </c>
      <c r="Z694" s="1">
        <v>120.96</v>
      </c>
      <c r="AA694" s="1">
        <v>118.06</v>
      </c>
      <c r="AB694" s="1">
        <v>126.24</v>
      </c>
      <c r="AE694" s="1">
        <v>132.72999999999999</v>
      </c>
      <c r="AF694" s="1">
        <v>126.51</v>
      </c>
      <c r="AG694" s="1">
        <v>110.39</v>
      </c>
      <c r="AV694" s="1">
        <v>30</v>
      </c>
      <c r="AW694" s="1">
        <v>3045.06</v>
      </c>
      <c r="AX694" s="1">
        <v>115.44</v>
      </c>
      <c r="AY694" s="1">
        <v>2957.86</v>
      </c>
      <c r="AZ694" s="1">
        <v>2865.16</v>
      </c>
      <c r="BA694" s="1">
        <v>115.79</v>
      </c>
      <c r="BB694" s="1">
        <v>130.96</v>
      </c>
      <c r="BC694" s="1">
        <v>128.61000000000001</v>
      </c>
      <c r="BD694" s="1">
        <v>127.16</v>
      </c>
      <c r="BE694" s="1">
        <v>124.19</v>
      </c>
      <c r="BF694" s="1">
        <v>120.21</v>
      </c>
      <c r="BG694" s="1">
        <v>135.15</v>
      </c>
      <c r="BH694" s="1">
        <v>121.5</v>
      </c>
      <c r="BI694" s="1">
        <v>125.77</v>
      </c>
      <c r="BJ694" s="1">
        <v>134.16999999999999</v>
      </c>
      <c r="BK694" s="1">
        <v>114.01</v>
      </c>
      <c r="BL694" s="1">
        <v>113.83</v>
      </c>
      <c r="BN694" s="1">
        <v>114.68</v>
      </c>
    </row>
    <row r="695" spans="1:66" x14ac:dyDescent="0.3">
      <c r="A695" s="2"/>
      <c r="C695" s="14" t="str">
        <f t="shared" si="11"/>
        <v>20236</v>
      </c>
      <c r="D695" s="3">
        <v>45097</v>
      </c>
      <c r="E695" s="21">
        <v>2242.83</v>
      </c>
      <c r="F695" s="21">
        <v>2243.17</v>
      </c>
      <c r="G695" s="21">
        <v>2250.75</v>
      </c>
      <c r="H695" s="21">
        <v>2160.5700000000002</v>
      </c>
      <c r="I695" s="21">
        <v>2177.5700000000002</v>
      </c>
      <c r="J695" s="21">
        <v>2189.37</v>
      </c>
      <c r="K695" s="21">
        <v>2152.71</v>
      </c>
      <c r="L695" s="21">
        <v>2054.9499999999998</v>
      </c>
      <c r="M695" s="21">
        <v>2004.12</v>
      </c>
      <c r="N695" s="21">
        <v>1968.07</v>
      </c>
      <c r="O695" s="21">
        <v>2124.65</v>
      </c>
      <c r="P695" s="21">
        <v>2147.46</v>
      </c>
      <c r="Q695" s="21">
        <v>5205.3</v>
      </c>
      <c r="R695" s="20">
        <v>116.71</v>
      </c>
      <c r="S695" s="20">
        <v>102.58</v>
      </c>
      <c r="T695" s="21">
        <v>118.7</v>
      </c>
      <c r="V695" s="1">
        <v>111.31</v>
      </c>
      <c r="W695" s="1">
        <v>122.37</v>
      </c>
      <c r="X695" s="1">
        <v>124.39</v>
      </c>
      <c r="Y695" s="1">
        <v>119.81</v>
      </c>
      <c r="Z695" s="1">
        <v>119.76</v>
      </c>
      <c r="AA695" s="1">
        <v>117.34</v>
      </c>
      <c r="AB695" s="1">
        <v>124.69</v>
      </c>
      <c r="AE695" s="1">
        <v>130.41</v>
      </c>
      <c r="AF695" s="1">
        <v>124.8</v>
      </c>
      <c r="AG695" s="1">
        <v>109.06</v>
      </c>
      <c r="AV695" s="1">
        <v>30</v>
      </c>
      <c r="AW695" s="1">
        <v>3045.06</v>
      </c>
      <c r="AX695" s="1">
        <v>114.63</v>
      </c>
      <c r="AY695" s="1">
        <v>3019.98</v>
      </c>
      <c r="AZ695" s="1">
        <v>2865.16</v>
      </c>
      <c r="BA695" s="1">
        <v>115.68</v>
      </c>
      <c r="BB695" s="1">
        <v>129.81</v>
      </c>
      <c r="BC695" s="1">
        <v>126.38</v>
      </c>
      <c r="BD695" s="1">
        <v>124.96</v>
      </c>
      <c r="BE695" s="1">
        <v>123.47</v>
      </c>
      <c r="BF695" s="1">
        <v>118.93</v>
      </c>
      <c r="BG695" s="1">
        <v>132.81</v>
      </c>
      <c r="BH695" s="1">
        <v>122.07</v>
      </c>
      <c r="BI695" s="1">
        <v>124.77</v>
      </c>
      <c r="BJ695" s="1">
        <v>133.21</v>
      </c>
      <c r="BK695" s="1">
        <v>109.68</v>
      </c>
      <c r="BL695" s="1">
        <v>112.83</v>
      </c>
      <c r="BN695" s="1">
        <v>113.72</v>
      </c>
    </row>
    <row r="696" spans="1:66" x14ac:dyDescent="0.3">
      <c r="A696" s="2"/>
      <c r="C696" s="14" t="str">
        <f t="shared" si="11"/>
        <v>20236</v>
      </c>
      <c r="D696" s="3">
        <v>45096</v>
      </c>
      <c r="E696" s="21">
        <v>2241.4</v>
      </c>
      <c r="F696" s="21">
        <v>2232.23</v>
      </c>
      <c r="G696" s="21">
        <v>2234.92</v>
      </c>
      <c r="H696" s="21">
        <v>2151.09</v>
      </c>
      <c r="I696" s="21">
        <v>2173.61</v>
      </c>
      <c r="J696" s="21">
        <v>2189.5500000000002</v>
      </c>
      <c r="K696" s="21">
        <v>2118.58</v>
      </c>
      <c r="L696" s="21">
        <v>2033.2</v>
      </c>
      <c r="M696" s="21">
        <v>1998.22</v>
      </c>
      <c r="N696" s="21">
        <v>1966.43</v>
      </c>
      <c r="O696" s="21">
        <v>2130.35</v>
      </c>
      <c r="P696" s="21">
        <v>2143.4699999999998</v>
      </c>
      <c r="Q696" s="21">
        <v>5205.3</v>
      </c>
      <c r="R696" s="20">
        <v>116.55</v>
      </c>
      <c r="S696" s="20">
        <v>101.9</v>
      </c>
      <c r="T696" s="21">
        <v>119.11</v>
      </c>
      <c r="V696" s="1">
        <v>111.91</v>
      </c>
      <c r="W696" s="1">
        <v>122.77</v>
      </c>
      <c r="X696" s="1">
        <v>124.89</v>
      </c>
      <c r="Y696" s="1">
        <v>119.66</v>
      </c>
      <c r="Z696" s="1">
        <v>119.26</v>
      </c>
      <c r="AA696" s="1">
        <v>117.32</v>
      </c>
      <c r="AB696" s="1">
        <v>124.02</v>
      </c>
      <c r="AE696" s="1">
        <v>130.88999999999999</v>
      </c>
      <c r="AF696" s="1">
        <v>124.22</v>
      </c>
      <c r="AG696" s="1">
        <v>106.94</v>
      </c>
      <c r="AV696" s="1">
        <v>30</v>
      </c>
      <c r="AW696" s="1">
        <v>3045.06</v>
      </c>
      <c r="AX696" s="1">
        <v>114.62</v>
      </c>
      <c r="AY696" s="1">
        <v>3102.8</v>
      </c>
      <c r="AZ696" s="1">
        <v>2932.58</v>
      </c>
      <c r="BA696" s="1">
        <v>114.78</v>
      </c>
      <c r="BB696" s="1">
        <v>129.38</v>
      </c>
      <c r="BC696" s="1">
        <v>127.02</v>
      </c>
      <c r="BD696" s="1">
        <v>124.83</v>
      </c>
      <c r="BE696" s="1">
        <v>122.32</v>
      </c>
      <c r="BF696" s="1">
        <v>119.02</v>
      </c>
      <c r="BG696" s="1">
        <v>133</v>
      </c>
      <c r="BH696" s="1">
        <v>122.07</v>
      </c>
      <c r="BI696" s="1">
        <v>123.88</v>
      </c>
      <c r="BJ696" s="1">
        <v>132.35</v>
      </c>
      <c r="BK696" s="1">
        <v>109.68</v>
      </c>
      <c r="BL696" s="1">
        <v>112.77</v>
      </c>
      <c r="BN696" s="1">
        <v>113.71</v>
      </c>
    </row>
    <row r="697" spans="1:66" x14ac:dyDescent="0.3">
      <c r="A697" s="2"/>
      <c r="C697" s="14" t="str">
        <f t="shared" si="11"/>
        <v>20236</v>
      </c>
      <c r="D697" s="3">
        <v>45093</v>
      </c>
      <c r="E697" s="21">
        <v>2241.4</v>
      </c>
      <c r="F697" s="21">
        <v>2232.23</v>
      </c>
      <c r="G697" s="21">
        <v>2223.06</v>
      </c>
      <c r="H697" s="21">
        <v>2065.04</v>
      </c>
      <c r="I697" s="21">
        <v>2169.66</v>
      </c>
      <c r="J697" s="21">
        <v>2176.19</v>
      </c>
      <c r="K697" s="21">
        <v>2118.58</v>
      </c>
      <c r="L697" s="21">
        <v>2029.26</v>
      </c>
      <c r="M697" s="21">
        <v>1954.76</v>
      </c>
      <c r="N697" s="21">
        <v>1966.31</v>
      </c>
      <c r="O697" s="21">
        <v>2133.73</v>
      </c>
      <c r="P697" s="21">
        <v>2143.4699999999998</v>
      </c>
      <c r="Q697" s="21">
        <v>5132.24</v>
      </c>
      <c r="R697" s="20">
        <v>117.04</v>
      </c>
      <c r="S697" s="20">
        <v>102.32</v>
      </c>
      <c r="T697" s="21">
        <v>119.19</v>
      </c>
      <c r="V697" s="1">
        <v>110.79</v>
      </c>
      <c r="W697" s="1">
        <v>121.77</v>
      </c>
      <c r="X697" s="1">
        <v>123.22</v>
      </c>
      <c r="Y697" s="1">
        <v>118.92</v>
      </c>
      <c r="Z697" s="1">
        <v>118.34</v>
      </c>
      <c r="AA697" s="1">
        <v>118.44</v>
      </c>
      <c r="AB697" s="1">
        <v>125.35</v>
      </c>
      <c r="AE697" s="1">
        <v>129.24</v>
      </c>
      <c r="AF697" s="1">
        <v>125.84</v>
      </c>
      <c r="AG697" s="1">
        <v>110.22</v>
      </c>
      <c r="AV697" s="1">
        <v>30</v>
      </c>
      <c r="AW697" s="1">
        <v>3097</v>
      </c>
      <c r="AX697" s="1">
        <v>114.6</v>
      </c>
      <c r="AY697" s="1">
        <v>3102.8</v>
      </c>
      <c r="AZ697" s="1">
        <v>2932.58</v>
      </c>
      <c r="BA697" s="1">
        <v>114.69</v>
      </c>
      <c r="BB697" s="1">
        <v>129.69</v>
      </c>
      <c r="BC697" s="1">
        <v>126.63</v>
      </c>
      <c r="BD697" s="1">
        <v>123.48</v>
      </c>
      <c r="BE697" s="1">
        <v>124.27</v>
      </c>
      <c r="BF697" s="1">
        <v>122.06</v>
      </c>
      <c r="BG697" s="1">
        <v>130.31</v>
      </c>
      <c r="BH697" s="1">
        <v>120.3</v>
      </c>
      <c r="BI697" s="1">
        <v>123.88</v>
      </c>
      <c r="BJ697" s="1">
        <v>131.85</v>
      </c>
      <c r="BK697" s="1">
        <v>113.35</v>
      </c>
      <c r="BL697" s="1">
        <v>112.95</v>
      </c>
      <c r="BN697" s="1">
        <v>114.33</v>
      </c>
    </row>
    <row r="698" spans="1:66" x14ac:dyDescent="0.3">
      <c r="A698" s="2"/>
      <c r="C698" s="14" t="str">
        <f t="shared" si="11"/>
        <v>20236</v>
      </c>
      <c r="D698" s="3">
        <v>45092</v>
      </c>
      <c r="E698" s="21">
        <v>2197.4</v>
      </c>
      <c r="F698" s="21">
        <v>2232.23</v>
      </c>
      <c r="G698" s="21">
        <v>2223.06</v>
      </c>
      <c r="H698" s="21">
        <v>2051.77</v>
      </c>
      <c r="I698" s="21">
        <v>2169.66</v>
      </c>
      <c r="J698" s="21">
        <v>2166.06</v>
      </c>
      <c r="K698" s="21">
        <v>2118.58</v>
      </c>
      <c r="L698" s="21">
        <v>2021.38</v>
      </c>
      <c r="M698" s="21">
        <v>1954.76</v>
      </c>
      <c r="N698" s="21">
        <v>1930.35</v>
      </c>
      <c r="O698" s="21">
        <v>2112.0700000000002</v>
      </c>
      <c r="P698" s="21">
        <v>2143.4699999999998</v>
      </c>
      <c r="Q698" s="21">
        <v>5044.8999999999996</v>
      </c>
      <c r="R698" s="20">
        <v>117.1</v>
      </c>
      <c r="S698" s="20">
        <v>101.12</v>
      </c>
      <c r="T698" s="21">
        <v>117.36</v>
      </c>
      <c r="V698" s="1">
        <v>109.36</v>
      </c>
      <c r="W698" s="1">
        <v>120.37</v>
      </c>
      <c r="X698" s="1">
        <v>122.52</v>
      </c>
      <c r="Y698" s="1">
        <v>117.81</v>
      </c>
      <c r="Z698" s="1">
        <v>117.86</v>
      </c>
      <c r="AA698" s="1">
        <v>116.6</v>
      </c>
      <c r="AB698" s="1">
        <v>124.58</v>
      </c>
      <c r="AE698" s="1">
        <v>128.80000000000001</v>
      </c>
      <c r="AF698" s="1">
        <v>123.8</v>
      </c>
      <c r="AG698" s="1">
        <v>108.83</v>
      </c>
      <c r="AI698" s="1">
        <v>7</v>
      </c>
      <c r="AN698" s="1">
        <v>3301.49</v>
      </c>
      <c r="AT698" s="1">
        <v>3162.63</v>
      </c>
      <c r="AV698" s="1">
        <v>30</v>
      </c>
      <c r="AW698" s="1">
        <v>3097</v>
      </c>
      <c r="AX698" s="1">
        <v>113.39</v>
      </c>
      <c r="AY698" s="1">
        <v>3102.8</v>
      </c>
      <c r="AZ698" s="1">
        <v>2932.58</v>
      </c>
      <c r="BA698" s="1">
        <v>115.42</v>
      </c>
      <c r="BB698" s="1">
        <v>128.24</v>
      </c>
      <c r="BC698" s="1">
        <v>125.28</v>
      </c>
      <c r="BD698" s="1">
        <v>123.23</v>
      </c>
      <c r="BE698" s="1">
        <v>122.92</v>
      </c>
      <c r="BF698" s="1">
        <v>122.41</v>
      </c>
      <c r="BG698" s="1">
        <v>129.46</v>
      </c>
      <c r="BH698" s="1">
        <v>119.8</v>
      </c>
      <c r="BI698" s="1">
        <v>123.34</v>
      </c>
      <c r="BJ698" s="1">
        <v>131.1</v>
      </c>
      <c r="BK698" s="1">
        <v>110.99</v>
      </c>
      <c r="BL698" s="1">
        <v>111.46</v>
      </c>
      <c r="BN698" s="1">
        <v>111.35</v>
      </c>
    </row>
    <row r="699" spans="1:66" x14ac:dyDescent="0.3">
      <c r="A699" s="2"/>
      <c r="C699" s="14" t="str">
        <f t="shared" si="11"/>
        <v>20236</v>
      </c>
      <c r="D699" s="3">
        <v>45091</v>
      </c>
      <c r="E699" s="21">
        <v>2206.4</v>
      </c>
      <c r="F699" s="21">
        <v>2230.8000000000002</v>
      </c>
      <c r="G699" s="21">
        <v>2238.88</v>
      </c>
      <c r="H699" s="21">
        <v>2123</v>
      </c>
      <c r="I699" s="21">
        <v>2177.5700000000002</v>
      </c>
      <c r="J699" s="21">
        <v>2166.06</v>
      </c>
      <c r="K699" s="21">
        <v>2118.58</v>
      </c>
      <c r="L699" s="21">
        <v>2021.38</v>
      </c>
      <c r="M699" s="21">
        <v>2000.7</v>
      </c>
      <c r="N699" s="21">
        <v>1948.09</v>
      </c>
      <c r="O699" s="21">
        <v>2150.39</v>
      </c>
      <c r="P699" s="21">
        <v>2140.4699999999998</v>
      </c>
      <c r="Q699" s="21">
        <v>5044.8999999999996</v>
      </c>
      <c r="R699" s="20">
        <v>117.1</v>
      </c>
      <c r="S699" s="20">
        <v>101.12</v>
      </c>
      <c r="T699" s="21">
        <v>117.22</v>
      </c>
      <c r="V699" s="1">
        <v>108.02</v>
      </c>
      <c r="W699" s="1">
        <v>121.17</v>
      </c>
      <c r="X699" s="1">
        <v>122.61</v>
      </c>
      <c r="Y699" s="1">
        <v>117.82</v>
      </c>
      <c r="Z699" s="1">
        <v>118.18</v>
      </c>
      <c r="AA699" s="1">
        <v>116.11</v>
      </c>
      <c r="AB699" s="1">
        <v>125.08</v>
      </c>
      <c r="AE699" s="1">
        <v>130.09</v>
      </c>
      <c r="AF699" s="1">
        <v>120.25</v>
      </c>
      <c r="AG699" s="1">
        <v>111.38</v>
      </c>
      <c r="AI699" s="1">
        <v>7</v>
      </c>
      <c r="AN699" s="1">
        <v>3301.49</v>
      </c>
      <c r="AT699" s="1">
        <v>3162.63</v>
      </c>
      <c r="AX699" s="1">
        <v>112.58</v>
      </c>
      <c r="AY699" s="1">
        <v>3102.8</v>
      </c>
      <c r="BA699" s="1">
        <v>115.59</v>
      </c>
      <c r="BB699" s="1">
        <v>127.99</v>
      </c>
      <c r="BC699" s="1">
        <v>124.15</v>
      </c>
      <c r="BD699" s="1">
        <v>123.38</v>
      </c>
      <c r="BE699" s="1">
        <v>122.36</v>
      </c>
      <c r="BF699" s="1">
        <v>122.14</v>
      </c>
      <c r="BG699" s="1">
        <v>129.18</v>
      </c>
      <c r="BH699" s="1">
        <v>119.3</v>
      </c>
      <c r="BI699" s="1">
        <v>123.38</v>
      </c>
      <c r="BJ699" s="1">
        <v>131.08000000000001</v>
      </c>
      <c r="BK699" s="1">
        <v>110.99</v>
      </c>
      <c r="BL699" s="1">
        <v>111.09</v>
      </c>
      <c r="BN699" s="1">
        <v>111.04</v>
      </c>
    </row>
    <row r="700" spans="1:66" x14ac:dyDescent="0.3">
      <c r="A700" s="2"/>
      <c r="C700" s="14" t="str">
        <f t="shared" si="11"/>
        <v>20236</v>
      </c>
      <c r="D700" s="3">
        <v>45090</v>
      </c>
      <c r="E700" s="21">
        <v>2238.69</v>
      </c>
      <c r="F700" s="21">
        <v>2240.69</v>
      </c>
      <c r="G700" s="21">
        <v>2244.81</v>
      </c>
      <c r="H700" s="21">
        <v>2168.5300000000002</v>
      </c>
      <c r="I700" s="21">
        <v>2181.52</v>
      </c>
      <c r="J700" s="21">
        <v>2172.85</v>
      </c>
      <c r="K700" s="21">
        <v>2138.4699999999998</v>
      </c>
      <c r="L700" s="21">
        <v>2016.44</v>
      </c>
      <c r="M700" s="21">
        <v>2000.7</v>
      </c>
      <c r="N700" s="21">
        <v>1994.04</v>
      </c>
      <c r="O700" s="21">
        <v>2148.9</v>
      </c>
      <c r="P700" s="21">
        <v>2173.62</v>
      </c>
      <c r="Q700" s="21">
        <v>5030.8999999999996</v>
      </c>
      <c r="R700" s="20">
        <v>115.05</v>
      </c>
      <c r="S700" s="20">
        <v>101.52</v>
      </c>
      <c r="T700" s="21">
        <v>117.7</v>
      </c>
      <c r="V700" s="1">
        <v>108.45</v>
      </c>
      <c r="W700" s="1">
        <v>121.57</v>
      </c>
      <c r="X700" s="1">
        <v>122.34</v>
      </c>
      <c r="Y700" s="1">
        <v>117.72</v>
      </c>
      <c r="Z700" s="1">
        <v>118.15</v>
      </c>
      <c r="AA700" s="1">
        <v>117.61</v>
      </c>
      <c r="AB700" s="1">
        <v>124.91</v>
      </c>
      <c r="AE700" s="1">
        <v>129.47</v>
      </c>
      <c r="AF700" s="1">
        <v>122.23</v>
      </c>
      <c r="AG700" s="1">
        <v>112.11</v>
      </c>
      <c r="AI700" s="1">
        <v>7</v>
      </c>
      <c r="AN700" s="1">
        <v>3227.74</v>
      </c>
      <c r="AT700" s="1">
        <v>3162.63</v>
      </c>
      <c r="AX700" s="1">
        <v>112.71</v>
      </c>
      <c r="AZ700" s="1">
        <v>3185.38</v>
      </c>
      <c r="BA700" s="1">
        <v>116.24</v>
      </c>
      <c r="BB700" s="1">
        <v>128.91</v>
      </c>
      <c r="BC700" s="1">
        <v>124.77</v>
      </c>
      <c r="BD700" s="1">
        <v>123.08</v>
      </c>
      <c r="BE700" s="1">
        <v>123.27</v>
      </c>
      <c r="BF700" s="1">
        <v>121.52</v>
      </c>
      <c r="BG700" s="1">
        <v>129.34</v>
      </c>
      <c r="BH700" s="1">
        <v>120.05</v>
      </c>
      <c r="BI700" s="1">
        <v>123.68</v>
      </c>
      <c r="BJ700" s="1">
        <v>131.07</v>
      </c>
      <c r="BK700" s="1">
        <v>111.02</v>
      </c>
      <c r="BL700" s="1">
        <v>111.34</v>
      </c>
      <c r="BN700" s="1">
        <v>110.98</v>
      </c>
    </row>
    <row r="701" spans="1:66" x14ac:dyDescent="0.3">
      <c r="A701" s="2"/>
      <c r="C701" s="14" t="str">
        <f t="shared" si="11"/>
        <v>20236</v>
      </c>
      <c r="D701" s="3">
        <v>45089</v>
      </c>
      <c r="E701" s="21">
        <v>2248.62</v>
      </c>
      <c r="F701" s="21">
        <v>2240.69</v>
      </c>
      <c r="G701" s="21">
        <v>2244.81</v>
      </c>
      <c r="H701" s="21">
        <v>2170.6</v>
      </c>
      <c r="I701" s="21">
        <v>2181.52</v>
      </c>
      <c r="J701" s="21">
        <v>2172.85</v>
      </c>
      <c r="K701" s="21">
        <v>2144.4499999999998</v>
      </c>
      <c r="L701" s="21">
        <v>2016.44</v>
      </c>
      <c r="M701" s="21">
        <v>2000.7</v>
      </c>
      <c r="N701" s="21">
        <v>1992.22</v>
      </c>
      <c r="O701" s="21">
        <v>2121.34</v>
      </c>
      <c r="P701" s="21">
        <v>2183.6</v>
      </c>
      <c r="Q701" s="21">
        <v>4922.07</v>
      </c>
      <c r="R701" s="20">
        <v>114.38</v>
      </c>
      <c r="S701" s="20">
        <v>101.21</v>
      </c>
      <c r="T701" s="21">
        <v>117.09</v>
      </c>
      <c r="V701" s="1">
        <v>107.55</v>
      </c>
      <c r="W701" s="1">
        <v>121.57</v>
      </c>
      <c r="X701" s="1">
        <v>122.23</v>
      </c>
      <c r="Y701" s="1">
        <v>118.52</v>
      </c>
      <c r="Z701" s="1">
        <v>118.26</v>
      </c>
      <c r="AA701" s="1">
        <v>116.45</v>
      </c>
      <c r="AB701" s="1">
        <v>122.39</v>
      </c>
      <c r="AE701" s="1">
        <v>129.80000000000001</v>
      </c>
      <c r="AF701" s="1">
        <v>121.96</v>
      </c>
      <c r="AG701" s="1">
        <v>109.21</v>
      </c>
      <c r="AI701" s="1">
        <v>7</v>
      </c>
      <c r="AN701" s="1">
        <v>3227.74</v>
      </c>
      <c r="AT701" s="1">
        <v>3162.63</v>
      </c>
      <c r="AX701" s="1">
        <v>112.25</v>
      </c>
      <c r="AZ701" s="1">
        <v>3185.38</v>
      </c>
      <c r="BA701" s="1">
        <v>114.48</v>
      </c>
      <c r="BB701" s="1">
        <v>129.03</v>
      </c>
      <c r="BC701" s="1">
        <v>123.87</v>
      </c>
      <c r="BD701" s="1">
        <v>123.24</v>
      </c>
      <c r="BE701" s="1">
        <v>122.27</v>
      </c>
      <c r="BF701" s="1">
        <v>120.39</v>
      </c>
      <c r="BG701" s="1">
        <v>131.5</v>
      </c>
      <c r="BH701" s="1">
        <v>121.05</v>
      </c>
      <c r="BI701" s="1">
        <v>123.38</v>
      </c>
      <c r="BJ701" s="1">
        <v>131.06</v>
      </c>
      <c r="BK701" s="1">
        <v>111.02</v>
      </c>
      <c r="BL701" s="1">
        <v>111.47</v>
      </c>
      <c r="BN701" s="1">
        <v>110.98</v>
      </c>
    </row>
    <row r="702" spans="1:66" x14ac:dyDescent="0.3">
      <c r="A702" s="2"/>
      <c r="C702" s="14" t="str">
        <f t="shared" si="11"/>
        <v>20236</v>
      </c>
      <c r="D702" s="3">
        <v>45086</v>
      </c>
      <c r="E702" s="21">
        <v>2253.62</v>
      </c>
      <c r="F702" s="21">
        <v>2243.17</v>
      </c>
      <c r="G702" s="21">
        <v>2267.14</v>
      </c>
      <c r="H702" s="21">
        <v>2129.7399999999998</v>
      </c>
      <c r="I702" s="21">
        <v>2177.5700000000002</v>
      </c>
      <c r="J702" s="21">
        <v>2175.4899999999998</v>
      </c>
      <c r="K702" s="21">
        <v>2144.4499999999998</v>
      </c>
      <c r="L702" s="21">
        <v>2023.03</v>
      </c>
      <c r="M702" s="21">
        <v>2000.7</v>
      </c>
      <c r="N702" s="21">
        <v>1986.98</v>
      </c>
      <c r="O702" s="21">
        <v>2128.92</v>
      </c>
      <c r="P702" s="21">
        <v>2183.6</v>
      </c>
      <c r="Q702" s="21">
        <v>4891.6000000000004</v>
      </c>
      <c r="R702" s="20">
        <v>115.05</v>
      </c>
      <c r="S702" s="20">
        <v>101.75</v>
      </c>
      <c r="T702" s="21">
        <v>117.6</v>
      </c>
      <c r="V702" s="1">
        <v>109</v>
      </c>
      <c r="W702" s="1">
        <v>122.17</v>
      </c>
      <c r="X702" s="1">
        <v>121.67</v>
      </c>
      <c r="Y702" s="1">
        <v>118.51</v>
      </c>
      <c r="Z702" s="1">
        <v>119.12</v>
      </c>
      <c r="AA702" s="1">
        <v>116.31</v>
      </c>
      <c r="AB702" s="1">
        <v>122.32</v>
      </c>
      <c r="AE702" s="1">
        <v>128.44999999999999</v>
      </c>
      <c r="AF702" s="1">
        <v>123.09</v>
      </c>
      <c r="AG702" s="1">
        <v>106.7</v>
      </c>
      <c r="AI702" s="1">
        <v>7</v>
      </c>
      <c r="AN702" s="1">
        <v>3195.4</v>
      </c>
      <c r="AT702" s="1">
        <v>3162.63</v>
      </c>
      <c r="AW702" s="1">
        <v>2950.27</v>
      </c>
      <c r="AX702" s="1">
        <v>112.3</v>
      </c>
      <c r="AZ702" s="1">
        <v>3185.38</v>
      </c>
      <c r="BA702" s="1">
        <v>114.46</v>
      </c>
      <c r="BB702" s="1">
        <v>129.1</v>
      </c>
      <c r="BC702" s="1">
        <v>124.07</v>
      </c>
      <c r="BD702" s="1">
        <v>124.57</v>
      </c>
      <c r="BE702" s="1">
        <v>121.5</v>
      </c>
      <c r="BF702" s="1">
        <v>119.14</v>
      </c>
      <c r="BG702" s="1">
        <v>131.5</v>
      </c>
      <c r="BH702" s="1">
        <v>120.6</v>
      </c>
      <c r="BI702" s="1">
        <v>123.98</v>
      </c>
      <c r="BJ702" s="1">
        <v>131.51</v>
      </c>
      <c r="BK702" s="1">
        <v>110.52</v>
      </c>
      <c r="BL702" s="1">
        <v>111.58</v>
      </c>
      <c r="BN702" s="1">
        <v>111.22</v>
      </c>
    </row>
    <row r="703" spans="1:66" x14ac:dyDescent="0.3">
      <c r="A703" s="2"/>
      <c r="C703" s="14" t="str">
        <f t="shared" si="11"/>
        <v>20236</v>
      </c>
      <c r="D703" s="3">
        <v>45084</v>
      </c>
      <c r="E703" s="21">
        <v>2257.31</v>
      </c>
      <c r="F703" s="21">
        <v>2256.5</v>
      </c>
      <c r="G703" s="21">
        <v>2271.09</v>
      </c>
      <c r="H703" s="21">
        <v>2148.64</v>
      </c>
      <c r="I703" s="21">
        <v>2209.21</v>
      </c>
      <c r="J703" s="21">
        <v>2169.36</v>
      </c>
      <c r="K703" s="21">
        <v>2229.2199999999998</v>
      </c>
      <c r="L703" s="21">
        <v>2026.33</v>
      </c>
      <c r="M703" s="21">
        <v>2000.7</v>
      </c>
      <c r="N703" s="21">
        <v>1999.55</v>
      </c>
      <c r="O703" s="21">
        <v>2128.92</v>
      </c>
      <c r="P703" s="21">
        <v>2216.7399999999998</v>
      </c>
      <c r="Q703" s="21">
        <v>4867.7</v>
      </c>
      <c r="R703" s="20">
        <v>114.38</v>
      </c>
      <c r="S703" s="20">
        <v>101.58</v>
      </c>
      <c r="T703" s="21">
        <v>117.18</v>
      </c>
      <c r="V703" s="1">
        <v>109.41</v>
      </c>
      <c r="W703" s="1">
        <v>121.97</v>
      </c>
      <c r="X703" s="1">
        <v>121.45</v>
      </c>
      <c r="Y703" s="1">
        <v>117.82</v>
      </c>
      <c r="Z703" s="1">
        <v>117.95</v>
      </c>
      <c r="AA703" s="1">
        <v>116.31</v>
      </c>
      <c r="AB703" s="1">
        <v>121.58</v>
      </c>
      <c r="AE703" s="1">
        <v>128.81</v>
      </c>
      <c r="AF703" s="1">
        <v>122.29</v>
      </c>
      <c r="AG703" s="1">
        <v>107.21</v>
      </c>
      <c r="AN703" s="1">
        <v>3257.94</v>
      </c>
      <c r="AP703" s="1">
        <v>3168.13</v>
      </c>
      <c r="AW703" s="1">
        <v>2950.27</v>
      </c>
      <c r="AX703" s="1">
        <v>113.66</v>
      </c>
      <c r="AZ703" s="1">
        <v>3185.38</v>
      </c>
      <c r="BA703" s="1">
        <v>114.14</v>
      </c>
      <c r="BB703" s="1">
        <v>129.36000000000001</v>
      </c>
      <c r="BC703" s="1">
        <v>124.03</v>
      </c>
      <c r="BD703" s="1">
        <v>123.86</v>
      </c>
      <c r="BE703" s="1">
        <v>120.07</v>
      </c>
      <c r="BF703" s="1">
        <v>116.65</v>
      </c>
      <c r="BG703" s="1">
        <v>131.71</v>
      </c>
      <c r="BH703" s="1">
        <v>119.55</v>
      </c>
      <c r="BI703" s="1">
        <v>124.22</v>
      </c>
      <c r="BJ703" s="1">
        <v>131.49</v>
      </c>
      <c r="BK703" s="1">
        <v>110.19</v>
      </c>
      <c r="BL703" s="1">
        <v>111.09</v>
      </c>
      <c r="BN703" s="1">
        <v>110.73</v>
      </c>
    </row>
    <row r="704" spans="1:66" x14ac:dyDescent="0.3">
      <c r="A704" s="2"/>
      <c r="C704" s="14" t="str">
        <f t="shared" si="11"/>
        <v>20236</v>
      </c>
      <c r="D704" s="3">
        <v>45083</v>
      </c>
      <c r="E704" s="21">
        <v>2264.7800000000002</v>
      </c>
      <c r="F704" s="21">
        <v>2256.5</v>
      </c>
      <c r="G704" s="21">
        <v>2277.02</v>
      </c>
      <c r="H704" s="21">
        <v>2135.6</v>
      </c>
      <c r="I704" s="21">
        <v>2209.21</v>
      </c>
      <c r="J704" s="21">
        <v>2180.15</v>
      </c>
      <c r="K704" s="21">
        <v>2229.2199999999998</v>
      </c>
      <c r="L704" s="21">
        <v>2115.67</v>
      </c>
      <c r="M704" s="21">
        <v>2000.7</v>
      </c>
      <c r="N704" s="21">
        <v>1982.4</v>
      </c>
      <c r="O704" s="21">
        <v>2127.0700000000002</v>
      </c>
      <c r="P704" s="21">
        <v>2216.7399999999998</v>
      </c>
      <c r="Q704" s="21">
        <v>4978.7299999999996</v>
      </c>
      <c r="R704" s="20">
        <v>115.05</v>
      </c>
      <c r="S704" s="20">
        <v>103.07</v>
      </c>
      <c r="T704" s="21">
        <v>117.38</v>
      </c>
      <c r="V704" s="1">
        <v>111.08</v>
      </c>
      <c r="W704" s="1">
        <v>121.97</v>
      </c>
      <c r="X704" s="1">
        <v>121.45</v>
      </c>
      <c r="Y704" s="1">
        <v>117.83</v>
      </c>
      <c r="Z704" s="1">
        <v>117.95</v>
      </c>
      <c r="AA704" s="1">
        <v>116.55</v>
      </c>
      <c r="AB704" s="1">
        <v>121.72</v>
      </c>
      <c r="AE704" s="1">
        <v>129.34</v>
      </c>
      <c r="AF704" s="1">
        <v>122.56</v>
      </c>
      <c r="AG704" s="1">
        <v>108.68</v>
      </c>
      <c r="AN704" s="1">
        <v>3398.75</v>
      </c>
      <c r="AP704" s="1">
        <v>3168.13</v>
      </c>
      <c r="AW704" s="1">
        <v>2950.27</v>
      </c>
      <c r="AX704" s="1">
        <v>113.86</v>
      </c>
      <c r="BA704" s="1">
        <v>114.13</v>
      </c>
      <c r="BB704" s="1">
        <v>128.86000000000001</v>
      </c>
      <c r="BC704" s="1">
        <v>124.36</v>
      </c>
      <c r="BD704" s="1">
        <v>123.74</v>
      </c>
      <c r="BE704" s="1">
        <v>121.87</v>
      </c>
      <c r="BF704" s="1">
        <v>117.29</v>
      </c>
      <c r="BG704" s="1">
        <v>132.04</v>
      </c>
      <c r="BH704" s="1">
        <v>119.05</v>
      </c>
      <c r="BI704" s="1">
        <v>123.98</v>
      </c>
      <c r="BJ704" s="1">
        <v>131.47999999999999</v>
      </c>
      <c r="BK704" s="1">
        <v>110.19</v>
      </c>
      <c r="BL704" s="1">
        <v>111.07</v>
      </c>
      <c r="BN704" s="1">
        <v>110.73</v>
      </c>
    </row>
    <row r="705" spans="1:66" x14ac:dyDescent="0.3">
      <c r="A705" s="2"/>
      <c r="C705" s="14" t="str">
        <f t="shared" si="11"/>
        <v>20236</v>
      </c>
      <c r="D705" s="3">
        <v>45082</v>
      </c>
      <c r="E705" s="21">
        <v>2264.7800000000002</v>
      </c>
      <c r="F705" s="21">
        <v>2260.1</v>
      </c>
      <c r="G705" s="21">
        <v>2277.0500000000002</v>
      </c>
      <c r="H705" s="21">
        <v>2196.71</v>
      </c>
      <c r="I705" s="21">
        <v>2221.08</v>
      </c>
      <c r="J705" s="21">
        <v>2176.9699999999998</v>
      </c>
      <c r="K705" s="21">
        <v>2214.89</v>
      </c>
      <c r="L705" s="21">
        <v>2115.67</v>
      </c>
      <c r="M705" s="21">
        <v>2024.45</v>
      </c>
      <c r="N705" s="21">
        <v>1998.36</v>
      </c>
      <c r="O705" s="21">
        <v>2138.89</v>
      </c>
      <c r="P705" s="21">
        <v>2230.04</v>
      </c>
      <c r="Q705" s="21">
        <v>4951.24</v>
      </c>
      <c r="R705" s="20">
        <v>115.05</v>
      </c>
      <c r="S705" s="20">
        <v>104.1</v>
      </c>
      <c r="T705" s="21">
        <v>117.54</v>
      </c>
      <c r="V705" s="1">
        <v>110.88</v>
      </c>
      <c r="W705" s="1">
        <v>121.97</v>
      </c>
      <c r="X705" s="1">
        <v>121.45</v>
      </c>
      <c r="Y705" s="1">
        <v>118.46</v>
      </c>
      <c r="Z705" s="1">
        <v>118.31</v>
      </c>
      <c r="AA705" s="1">
        <v>116.46</v>
      </c>
      <c r="AB705" s="1">
        <v>121.91</v>
      </c>
      <c r="AE705" s="1">
        <v>128.84</v>
      </c>
      <c r="AF705" s="1">
        <v>123.22</v>
      </c>
      <c r="AG705" s="1">
        <v>111.01</v>
      </c>
      <c r="AN705" s="1">
        <v>3398.75</v>
      </c>
      <c r="AP705" s="1">
        <v>3168.13</v>
      </c>
      <c r="AW705" s="1">
        <v>2950.27</v>
      </c>
      <c r="AX705" s="1">
        <v>113.9</v>
      </c>
      <c r="BA705" s="1">
        <v>114.51</v>
      </c>
      <c r="BB705" s="1">
        <v>128.88999999999999</v>
      </c>
      <c r="BC705" s="1">
        <v>124.95</v>
      </c>
      <c r="BD705" s="1">
        <v>124.38</v>
      </c>
      <c r="BE705" s="1">
        <v>121.87</v>
      </c>
      <c r="BF705" s="1">
        <v>120.4</v>
      </c>
      <c r="BG705" s="1">
        <v>130.86000000000001</v>
      </c>
      <c r="BH705" s="1">
        <v>119.05</v>
      </c>
      <c r="BI705" s="1">
        <v>123.98</v>
      </c>
      <c r="BJ705" s="1">
        <v>131.46</v>
      </c>
      <c r="BK705" s="1">
        <v>109.36</v>
      </c>
      <c r="BL705" s="1">
        <v>111.27</v>
      </c>
      <c r="BN705" s="1">
        <v>110.73</v>
      </c>
    </row>
    <row r="706" spans="1:66" x14ac:dyDescent="0.3">
      <c r="A706" s="2"/>
      <c r="C706" s="14" t="str">
        <f t="shared" si="11"/>
        <v>20236</v>
      </c>
      <c r="D706" s="3">
        <v>45079</v>
      </c>
      <c r="E706" s="21">
        <v>2283.21</v>
      </c>
      <c r="F706" s="21">
        <v>2288.86</v>
      </c>
      <c r="G706" s="21">
        <v>2299.94</v>
      </c>
      <c r="H706" s="21">
        <v>2202.52</v>
      </c>
      <c r="I706" s="21">
        <v>2244.81</v>
      </c>
      <c r="J706" s="21">
        <v>2187.12</v>
      </c>
      <c r="K706" s="21">
        <v>2262.36</v>
      </c>
      <c r="L706" s="21">
        <v>2120.61</v>
      </c>
      <c r="M706" s="21">
        <v>2024.45</v>
      </c>
      <c r="N706" s="21">
        <v>2041.08</v>
      </c>
      <c r="O706" s="21">
        <v>2147.4499999999998</v>
      </c>
      <c r="P706" s="21">
        <v>2263.19</v>
      </c>
      <c r="Q706" s="21">
        <v>4972.0200000000004</v>
      </c>
      <c r="R706" s="20">
        <v>115.88</v>
      </c>
      <c r="S706" s="20">
        <v>106.5</v>
      </c>
      <c r="T706" s="21">
        <v>118.05</v>
      </c>
      <c r="V706" s="1">
        <v>109.91</v>
      </c>
      <c r="W706" s="1">
        <v>123.14</v>
      </c>
      <c r="X706" s="1">
        <v>121.34</v>
      </c>
      <c r="Y706" s="1">
        <v>118.8</v>
      </c>
      <c r="Z706" s="1">
        <v>119.05</v>
      </c>
      <c r="AA706" s="1">
        <v>116.43</v>
      </c>
      <c r="AB706" s="1">
        <v>122.08</v>
      </c>
      <c r="AE706" s="1">
        <v>128.22</v>
      </c>
      <c r="AF706" s="1">
        <v>122.29</v>
      </c>
      <c r="AG706" s="1">
        <v>109.28</v>
      </c>
      <c r="AN706" s="1">
        <v>3763.81</v>
      </c>
      <c r="AP706" s="1">
        <v>3168.13</v>
      </c>
      <c r="AS706" s="1">
        <v>2548.31</v>
      </c>
      <c r="AT706" s="1">
        <v>3310.44</v>
      </c>
      <c r="AW706" s="1">
        <v>3229.47</v>
      </c>
      <c r="AX706" s="1">
        <v>115.88</v>
      </c>
      <c r="BA706" s="1">
        <v>115.88</v>
      </c>
      <c r="BB706" s="1">
        <v>128.49</v>
      </c>
      <c r="BC706" s="1">
        <v>126.62</v>
      </c>
      <c r="BD706" s="1">
        <v>124.53</v>
      </c>
      <c r="BE706" s="1">
        <v>121.87</v>
      </c>
      <c r="BF706" s="1">
        <v>117.8</v>
      </c>
      <c r="BG706" s="1">
        <v>132.68</v>
      </c>
      <c r="BH706" s="1">
        <v>119.3</v>
      </c>
      <c r="BI706" s="1">
        <v>123.98</v>
      </c>
      <c r="BJ706" s="1">
        <v>131.18</v>
      </c>
      <c r="BK706" s="1">
        <v>112.35</v>
      </c>
      <c r="BL706" s="1">
        <v>111.61</v>
      </c>
      <c r="BN706" s="1">
        <v>111.35</v>
      </c>
    </row>
    <row r="707" spans="1:66" x14ac:dyDescent="0.3">
      <c r="A707" s="2"/>
      <c r="C707" s="14" t="str">
        <f t="shared" si="11"/>
        <v>20236</v>
      </c>
      <c r="D707" s="3">
        <v>45078</v>
      </c>
      <c r="E707" s="21">
        <v>2263.36</v>
      </c>
      <c r="F707" s="21">
        <v>2282.5700000000002</v>
      </c>
      <c r="G707" s="21">
        <v>2282.63</v>
      </c>
      <c r="H707" s="21">
        <v>2200.0100000000002</v>
      </c>
      <c r="I707" s="21">
        <v>2254.6999999999998</v>
      </c>
      <c r="J707" s="21">
        <v>2191.33</v>
      </c>
      <c r="K707" s="21">
        <v>2262.36</v>
      </c>
      <c r="L707" s="21">
        <v>2214.92</v>
      </c>
      <c r="M707" s="21">
        <v>2024.45</v>
      </c>
      <c r="N707" s="21">
        <v>2046.55</v>
      </c>
      <c r="O707" s="21">
        <v>2142.02</v>
      </c>
      <c r="P707" s="21">
        <v>2263.19</v>
      </c>
      <c r="Q707" s="21">
        <v>4973.3500000000004</v>
      </c>
      <c r="R707" s="20">
        <v>114.05</v>
      </c>
      <c r="S707" s="20">
        <v>105.06</v>
      </c>
      <c r="T707" s="21">
        <v>117.55</v>
      </c>
      <c r="V707" s="1">
        <v>110.07</v>
      </c>
      <c r="W707" s="1">
        <v>122.98</v>
      </c>
      <c r="X707" s="1">
        <v>121.67</v>
      </c>
      <c r="Y707" s="1">
        <v>119.61</v>
      </c>
      <c r="Z707" s="1">
        <v>119.32</v>
      </c>
      <c r="AA707" s="1">
        <v>116.22</v>
      </c>
      <c r="AB707" s="1">
        <v>122.19</v>
      </c>
      <c r="AE707" s="1">
        <v>127.76</v>
      </c>
      <c r="AF707" s="1">
        <v>122.29</v>
      </c>
      <c r="AG707" s="1">
        <v>111.07</v>
      </c>
      <c r="AN707" s="1">
        <v>3763.81</v>
      </c>
      <c r="AP707" s="1">
        <v>2922.2</v>
      </c>
      <c r="AS707" s="1">
        <v>2548.31</v>
      </c>
      <c r="AT707" s="1">
        <v>3362.6</v>
      </c>
      <c r="AW707" s="1">
        <v>3229.47</v>
      </c>
      <c r="AX707" s="1">
        <v>116.42</v>
      </c>
      <c r="BA707" s="1">
        <v>115.87</v>
      </c>
      <c r="BB707" s="1">
        <v>127.77</v>
      </c>
      <c r="BC707" s="1">
        <v>126.66</v>
      </c>
      <c r="BD707" s="1">
        <v>124.38</v>
      </c>
      <c r="BE707" s="1">
        <v>122.47</v>
      </c>
      <c r="BF707" s="1">
        <v>121.4</v>
      </c>
      <c r="BG707" s="1">
        <v>132.9</v>
      </c>
      <c r="BH707" s="1">
        <v>119.3</v>
      </c>
      <c r="BI707" s="1">
        <v>123.98</v>
      </c>
      <c r="BJ707" s="1">
        <v>130.93</v>
      </c>
      <c r="BK707" s="1">
        <v>112.35</v>
      </c>
      <c r="BL707" s="1">
        <v>111.34</v>
      </c>
      <c r="BN707" s="1">
        <v>110.73</v>
      </c>
    </row>
    <row r="708" spans="1:66" x14ac:dyDescent="0.3">
      <c r="A708" s="2"/>
      <c r="C708" s="14" t="str">
        <f t="shared" si="11"/>
        <v>20235</v>
      </c>
      <c r="D708" s="3">
        <v>45077</v>
      </c>
      <c r="E708" s="21">
        <v>2262.67</v>
      </c>
      <c r="F708" s="21">
        <v>2281.41</v>
      </c>
      <c r="G708" s="21">
        <v>2263.44</v>
      </c>
      <c r="H708" s="21">
        <v>2136.69</v>
      </c>
      <c r="I708" s="21">
        <v>2253.5500000000002</v>
      </c>
      <c r="J708" s="21">
        <v>2173.75</v>
      </c>
      <c r="K708" s="21">
        <v>2261.59</v>
      </c>
      <c r="L708" s="21">
        <v>2214.09</v>
      </c>
      <c r="M708" s="21">
        <v>2014.74</v>
      </c>
      <c r="N708" s="21">
        <v>2060.2199999999998</v>
      </c>
      <c r="O708" s="21">
        <v>2147.27</v>
      </c>
      <c r="P708" s="21">
        <v>2259.39</v>
      </c>
      <c r="Q708" s="21">
        <v>4972.8599999999997</v>
      </c>
      <c r="R708" s="20">
        <v>112.13</v>
      </c>
      <c r="S708" s="20">
        <v>105.06</v>
      </c>
      <c r="T708" s="21">
        <v>117.8</v>
      </c>
      <c r="V708" s="1">
        <v>110.08</v>
      </c>
      <c r="W708" s="1">
        <v>122.72</v>
      </c>
      <c r="X708" s="1">
        <v>121</v>
      </c>
      <c r="Y708" s="1">
        <v>118.23</v>
      </c>
      <c r="Z708" s="1">
        <v>119.04</v>
      </c>
      <c r="AA708" s="1">
        <v>115.54</v>
      </c>
      <c r="AB708" s="1">
        <v>121.57</v>
      </c>
      <c r="AE708" s="1">
        <v>127.82</v>
      </c>
      <c r="AF708" s="1">
        <v>122.36</v>
      </c>
      <c r="AG708" s="1">
        <v>111.02</v>
      </c>
      <c r="AP708" s="1">
        <v>3024.5</v>
      </c>
      <c r="AT708" s="1">
        <v>3364.31</v>
      </c>
      <c r="AW708" s="1">
        <v>3231.11</v>
      </c>
      <c r="AX708" s="1">
        <v>115.3</v>
      </c>
      <c r="BA708" s="1">
        <v>116.89</v>
      </c>
      <c r="BB708" s="1">
        <v>129.08000000000001</v>
      </c>
      <c r="BC708" s="1">
        <v>127.21</v>
      </c>
      <c r="BD708" s="1">
        <v>124.57</v>
      </c>
      <c r="BE708" s="1">
        <v>121.26</v>
      </c>
      <c r="BF708" s="1">
        <v>120.71</v>
      </c>
      <c r="BG708" s="1">
        <v>132.38999999999999</v>
      </c>
      <c r="BH708" s="1">
        <v>119.06</v>
      </c>
      <c r="BI708" s="1">
        <v>123.36</v>
      </c>
      <c r="BJ708" s="1">
        <v>129.35</v>
      </c>
      <c r="BK708" s="1">
        <v>112.66</v>
      </c>
      <c r="BL708" s="1">
        <v>111.56</v>
      </c>
      <c r="BN708" s="1">
        <v>111.68</v>
      </c>
    </row>
    <row r="709" spans="1:66" x14ac:dyDescent="0.3">
      <c r="A709" s="2"/>
      <c r="C709" s="14" t="str">
        <f t="shared" si="11"/>
        <v>20235</v>
      </c>
      <c r="D709" s="3">
        <v>45076</v>
      </c>
      <c r="E709" s="21">
        <v>2271.23</v>
      </c>
      <c r="F709" s="21">
        <v>2316.56</v>
      </c>
      <c r="G709" s="21">
        <v>2279.12</v>
      </c>
      <c r="H709" s="21">
        <v>2212.67</v>
      </c>
      <c r="I709" s="21">
        <v>2261.46</v>
      </c>
      <c r="J709" s="21">
        <v>2182.85</v>
      </c>
      <c r="K709" s="21">
        <v>2261.59</v>
      </c>
      <c r="L709" s="21">
        <v>2214.09</v>
      </c>
      <c r="M709" s="21">
        <v>2014.74</v>
      </c>
      <c r="N709" s="21">
        <v>2047.66</v>
      </c>
      <c r="O709" s="21">
        <v>2154.41</v>
      </c>
      <c r="P709" s="21">
        <v>2259.39</v>
      </c>
      <c r="Q709" s="21">
        <v>4965.79</v>
      </c>
      <c r="R709" s="20">
        <v>116.53</v>
      </c>
      <c r="S709" s="20">
        <v>105.91</v>
      </c>
      <c r="T709" s="21">
        <v>119.25</v>
      </c>
      <c r="V709" s="1">
        <v>111.96</v>
      </c>
      <c r="W709" s="1">
        <v>125.06</v>
      </c>
      <c r="X709" s="1">
        <v>123.28</v>
      </c>
      <c r="Y709" s="1">
        <v>120.6</v>
      </c>
      <c r="Z709" s="1">
        <v>121.04</v>
      </c>
      <c r="AA709" s="1">
        <v>117.92</v>
      </c>
      <c r="AB709" s="1">
        <v>123.76</v>
      </c>
      <c r="AE709" s="1">
        <v>129.86000000000001</v>
      </c>
      <c r="AF709" s="1">
        <v>127.08</v>
      </c>
      <c r="AG709" s="1">
        <v>110.86</v>
      </c>
      <c r="AP709" s="1">
        <v>3024.5</v>
      </c>
      <c r="AT709" s="1">
        <v>3364.31</v>
      </c>
      <c r="AW709" s="1">
        <v>3231.11</v>
      </c>
      <c r="AX709" s="1">
        <v>115.72</v>
      </c>
      <c r="BA709" s="1">
        <v>115.84</v>
      </c>
      <c r="BB709" s="1">
        <v>130.59</v>
      </c>
      <c r="BC709" s="1">
        <v>128.33000000000001</v>
      </c>
      <c r="BD709" s="1">
        <v>126.65</v>
      </c>
      <c r="BE709" s="1">
        <v>123.48</v>
      </c>
      <c r="BF709" s="1">
        <v>119.23</v>
      </c>
      <c r="BG709" s="1">
        <v>132.18</v>
      </c>
      <c r="BH709" s="1">
        <v>119.06</v>
      </c>
      <c r="BI709" s="1">
        <v>124.16</v>
      </c>
      <c r="BJ709" s="1">
        <v>131.46</v>
      </c>
      <c r="BK709" s="1">
        <v>113.66</v>
      </c>
      <c r="BL709" s="1">
        <v>112.81</v>
      </c>
      <c r="BN709" s="1">
        <v>112.19</v>
      </c>
    </row>
    <row r="710" spans="1:66" x14ac:dyDescent="0.3">
      <c r="A710" s="2"/>
      <c r="C710" s="14" t="str">
        <f t="shared" ref="C710:C773" si="12">YEAR(D710)&amp;MONTH(D710)</f>
        <v>20235</v>
      </c>
      <c r="D710" s="3">
        <v>45075</v>
      </c>
      <c r="E710" s="21">
        <v>2289.6</v>
      </c>
      <c r="F710" s="21">
        <v>2309.2600000000002</v>
      </c>
      <c r="G710" s="21">
        <v>2278.9699999999998</v>
      </c>
      <c r="H710" s="21">
        <v>2232.56</v>
      </c>
      <c r="I710" s="21">
        <v>2269.37</v>
      </c>
      <c r="J710" s="21">
        <v>2217.6799999999998</v>
      </c>
      <c r="K710" s="21">
        <v>2270.29</v>
      </c>
      <c r="L710" s="21">
        <v>2223.9699999999998</v>
      </c>
      <c r="M710" s="21">
        <v>2000.05</v>
      </c>
      <c r="N710" s="21">
        <v>2038.86</v>
      </c>
      <c r="O710" s="21">
        <v>2185.66</v>
      </c>
      <c r="P710" s="21">
        <v>2282.66</v>
      </c>
      <c r="Q710" s="21">
        <v>5130</v>
      </c>
      <c r="R710" s="20">
        <v>117.36</v>
      </c>
      <c r="S710" s="20">
        <v>104.41</v>
      </c>
      <c r="T710" s="21">
        <v>120.88</v>
      </c>
      <c r="V710" s="1">
        <v>112.27</v>
      </c>
      <c r="W710" s="1">
        <v>125.56</v>
      </c>
      <c r="X710" s="1">
        <v>123.2</v>
      </c>
      <c r="Y710" s="1">
        <v>121.78</v>
      </c>
      <c r="Z710" s="1">
        <v>121.86</v>
      </c>
      <c r="AA710" s="1">
        <v>118.02</v>
      </c>
      <c r="AB710" s="1">
        <v>124.07</v>
      </c>
      <c r="AE710" s="1">
        <v>130.43</v>
      </c>
      <c r="AF710" s="1">
        <v>126.71</v>
      </c>
      <c r="AG710" s="1">
        <v>111.1</v>
      </c>
      <c r="AN710" s="1">
        <v>3279.07</v>
      </c>
      <c r="AP710" s="1">
        <v>3024.5</v>
      </c>
      <c r="AT710" s="1">
        <v>3364.31</v>
      </c>
      <c r="AW710" s="1">
        <v>3397.58</v>
      </c>
      <c r="AX710" s="1">
        <v>116.56</v>
      </c>
      <c r="BA710" s="1">
        <v>115.97</v>
      </c>
      <c r="BB710" s="1">
        <v>131.54</v>
      </c>
      <c r="BC710" s="1">
        <v>128.75</v>
      </c>
      <c r="BD710" s="1">
        <v>128.07</v>
      </c>
      <c r="BE710" s="1">
        <v>123.85</v>
      </c>
      <c r="BF710" s="1">
        <v>121.39</v>
      </c>
      <c r="BG710" s="1">
        <v>132.51</v>
      </c>
      <c r="BH710" s="1">
        <v>115.15</v>
      </c>
      <c r="BI710" s="1">
        <v>124.16</v>
      </c>
      <c r="BJ710" s="1">
        <v>131.46</v>
      </c>
      <c r="BK710" s="1">
        <v>114.66</v>
      </c>
      <c r="BL710" s="1">
        <v>114.56</v>
      </c>
      <c r="BN710" s="1">
        <v>114.04</v>
      </c>
    </row>
    <row r="711" spans="1:66" x14ac:dyDescent="0.3">
      <c r="A711" s="2"/>
      <c r="C711" s="14" t="str">
        <f t="shared" si="12"/>
        <v>20235</v>
      </c>
      <c r="D711" s="3">
        <v>45072</v>
      </c>
      <c r="E711" s="21">
        <v>2289.6</v>
      </c>
      <c r="F711" s="21">
        <v>2320.1999999999998</v>
      </c>
      <c r="G711" s="21">
        <v>2268.38</v>
      </c>
      <c r="H711" s="21">
        <v>2217.88</v>
      </c>
      <c r="I711" s="21">
        <v>2269.37</v>
      </c>
      <c r="J711" s="21">
        <v>2223.98</v>
      </c>
      <c r="K711" s="21">
        <v>2250.58</v>
      </c>
      <c r="L711" s="21">
        <v>2223.9699999999998</v>
      </c>
      <c r="M711" s="21">
        <v>2000.05</v>
      </c>
      <c r="N711" s="21">
        <v>2080.96</v>
      </c>
      <c r="O711" s="21">
        <v>2186.67</v>
      </c>
      <c r="P711" s="21">
        <v>2282.66</v>
      </c>
      <c r="Q711" s="21">
        <v>5132.3999999999996</v>
      </c>
      <c r="R711" s="20">
        <v>117.36</v>
      </c>
      <c r="S711" s="20">
        <v>104.05</v>
      </c>
      <c r="T711" s="21">
        <v>120.73</v>
      </c>
      <c r="V711" s="1">
        <v>112.94</v>
      </c>
      <c r="W711" s="1">
        <v>124.97</v>
      </c>
      <c r="X711" s="1">
        <v>122.18</v>
      </c>
      <c r="Y711" s="1">
        <v>122.47</v>
      </c>
      <c r="Z711" s="1">
        <v>121.95</v>
      </c>
      <c r="AA711" s="1">
        <v>118.99</v>
      </c>
      <c r="AB711" s="1">
        <v>122.39</v>
      </c>
      <c r="AE711" s="1">
        <v>130.36000000000001</v>
      </c>
      <c r="AF711" s="1">
        <v>126.61</v>
      </c>
      <c r="AG711" s="1">
        <v>110.09</v>
      </c>
      <c r="AN711" s="1">
        <v>3279.07</v>
      </c>
      <c r="AP711" s="1">
        <v>3024.5</v>
      </c>
      <c r="AT711" s="1">
        <v>3520.88</v>
      </c>
      <c r="AW711" s="1">
        <v>2819.4</v>
      </c>
      <c r="AX711" s="1">
        <v>117.01</v>
      </c>
      <c r="BA711" s="1">
        <v>117.38</v>
      </c>
      <c r="BB711" s="1">
        <v>131.29</v>
      </c>
      <c r="BC711" s="1">
        <v>128.77000000000001</v>
      </c>
      <c r="BD711" s="1">
        <v>127.85</v>
      </c>
      <c r="BE711" s="1">
        <v>123.85</v>
      </c>
      <c r="BF711" s="1">
        <v>121.35</v>
      </c>
      <c r="BG711" s="1">
        <v>132.32</v>
      </c>
      <c r="BH711" s="1">
        <v>117.28</v>
      </c>
      <c r="BI711" s="1">
        <v>124.16</v>
      </c>
      <c r="BJ711" s="1">
        <v>131.46</v>
      </c>
      <c r="BK711" s="1">
        <v>114.32</v>
      </c>
      <c r="BL711" s="1">
        <v>114.31</v>
      </c>
      <c r="BN711" s="1">
        <v>113.67</v>
      </c>
    </row>
    <row r="712" spans="1:66" x14ac:dyDescent="0.3">
      <c r="A712" s="2"/>
      <c r="C712" s="14" t="str">
        <f t="shared" si="12"/>
        <v>20235</v>
      </c>
      <c r="D712" s="3">
        <v>45071</v>
      </c>
      <c r="E712" s="21">
        <v>2275.1799999999998</v>
      </c>
      <c r="F712" s="21">
        <v>2322.7399999999998</v>
      </c>
      <c r="G712" s="21">
        <v>2289</v>
      </c>
      <c r="H712" s="21">
        <v>2224.67</v>
      </c>
      <c r="I712" s="21">
        <v>2269.37</v>
      </c>
      <c r="J712" s="21">
        <v>2216.66</v>
      </c>
      <c r="K712" s="21">
        <v>2263.0300000000002</v>
      </c>
      <c r="L712" s="21">
        <v>2214.0500000000002</v>
      </c>
      <c r="M712" s="21">
        <v>2000.05</v>
      </c>
      <c r="N712" s="21">
        <v>2063.29</v>
      </c>
      <c r="O712" s="21">
        <v>2183.33</v>
      </c>
      <c r="P712" s="21">
        <v>2266.37</v>
      </c>
      <c r="Q712" s="21">
        <v>4940.5</v>
      </c>
      <c r="R712" s="20">
        <v>116.7</v>
      </c>
      <c r="S712" s="20">
        <v>104.15</v>
      </c>
      <c r="T712" s="21">
        <v>120.24</v>
      </c>
      <c r="V712" s="1">
        <v>112.09</v>
      </c>
      <c r="W712" s="1">
        <v>123.77</v>
      </c>
      <c r="X712" s="1">
        <v>120.55</v>
      </c>
      <c r="Y712" s="1">
        <v>120.8</v>
      </c>
      <c r="Z712" s="1">
        <v>121.25</v>
      </c>
      <c r="AA712" s="1">
        <v>118.18</v>
      </c>
      <c r="AB712" s="1">
        <v>120.89</v>
      </c>
      <c r="AE712" s="1">
        <v>128.99</v>
      </c>
      <c r="AF712" s="1">
        <v>123.7</v>
      </c>
      <c r="AG712" s="1">
        <v>109.72</v>
      </c>
      <c r="AN712" s="1">
        <v>3279.07</v>
      </c>
      <c r="AP712" s="1">
        <v>3024.5</v>
      </c>
      <c r="AW712" s="1">
        <v>2819.4</v>
      </c>
      <c r="AX712" s="1">
        <v>116.33</v>
      </c>
      <c r="BA712" s="1">
        <v>117.37</v>
      </c>
      <c r="BB712" s="1">
        <v>130.30000000000001</v>
      </c>
      <c r="BC712" s="1">
        <v>127.57</v>
      </c>
      <c r="BD712" s="1">
        <v>125.64</v>
      </c>
      <c r="BE712" s="1">
        <v>122.86</v>
      </c>
      <c r="BF712" s="1">
        <v>121.34</v>
      </c>
      <c r="BG712" s="1">
        <v>131.99</v>
      </c>
      <c r="BH712" s="1">
        <v>117.28</v>
      </c>
      <c r="BI712" s="1">
        <v>123.56</v>
      </c>
      <c r="BJ712" s="1">
        <v>131.03</v>
      </c>
      <c r="BK712" s="1">
        <v>114.33</v>
      </c>
      <c r="BL712" s="1">
        <v>113.56</v>
      </c>
      <c r="BN712" s="1">
        <v>113.18</v>
      </c>
    </row>
    <row r="713" spans="1:66" x14ac:dyDescent="0.3">
      <c r="A713" s="2"/>
      <c r="C713" s="14" t="str">
        <f t="shared" si="12"/>
        <v>20235</v>
      </c>
      <c r="D713" s="3">
        <v>45070</v>
      </c>
      <c r="E713" s="21">
        <v>2252.6</v>
      </c>
      <c r="F713" s="21">
        <v>2312.86</v>
      </c>
      <c r="G713" s="21">
        <v>2294.23</v>
      </c>
      <c r="H713" s="21">
        <v>2239.5500000000002</v>
      </c>
      <c r="I713" s="21">
        <v>2269.37</v>
      </c>
      <c r="J713" s="21">
        <v>2217.2600000000002</v>
      </c>
      <c r="K713" s="21">
        <v>2263.0300000000002</v>
      </c>
      <c r="L713" s="21">
        <v>2223.9699999999998</v>
      </c>
      <c r="M713" s="21">
        <v>2072.23</v>
      </c>
      <c r="N713" s="21">
        <v>2085.75</v>
      </c>
      <c r="O713" s="21">
        <v>2195</v>
      </c>
      <c r="P713" s="21">
        <v>2282.66</v>
      </c>
      <c r="Q713" s="21">
        <v>5058.8999999999996</v>
      </c>
      <c r="R713" s="20">
        <v>116.37</v>
      </c>
      <c r="S713" s="20">
        <v>103.94</v>
      </c>
      <c r="T713" s="21">
        <v>120.66</v>
      </c>
      <c r="V713" s="1">
        <v>112.09</v>
      </c>
      <c r="W713" s="1">
        <v>124.37</v>
      </c>
      <c r="X713" s="1">
        <v>120.55</v>
      </c>
      <c r="Y713" s="1">
        <v>120.66</v>
      </c>
      <c r="Z713" s="1">
        <v>121.16</v>
      </c>
      <c r="AA713" s="1">
        <v>118.07</v>
      </c>
      <c r="AB713" s="1">
        <v>120.77</v>
      </c>
      <c r="AE713" s="1">
        <v>129</v>
      </c>
      <c r="AF713" s="1">
        <v>123.7</v>
      </c>
      <c r="AG713" s="1">
        <v>108.86</v>
      </c>
      <c r="AN713" s="1">
        <v>3279.07</v>
      </c>
      <c r="AW713" s="1">
        <v>2819.4</v>
      </c>
      <c r="AX713" s="1">
        <v>116.31</v>
      </c>
      <c r="BA713" s="1">
        <v>117.68</v>
      </c>
      <c r="BB713" s="1">
        <v>130.54</v>
      </c>
      <c r="BC713" s="1">
        <v>126.57</v>
      </c>
      <c r="BD713" s="1">
        <v>124.75</v>
      </c>
      <c r="BE713" s="1">
        <v>122.36</v>
      </c>
      <c r="BF713" s="1">
        <v>119.49</v>
      </c>
      <c r="BG713" s="1">
        <v>131.34</v>
      </c>
      <c r="BH713" s="1">
        <v>126.35</v>
      </c>
      <c r="BI713" s="1">
        <v>123.56</v>
      </c>
      <c r="BJ713" s="1">
        <v>131.03</v>
      </c>
      <c r="BK713" s="1">
        <v>114.33</v>
      </c>
      <c r="BL713" s="1">
        <v>113.56</v>
      </c>
      <c r="BN713" s="1">
        <v>113.18</v>
      </c>
    </row>
    <row r="714" spans="1:66" x14ac:dyDescent="0.3">
      <c r="A714" s="2"/>
      <c r="C714" s="14" t="str">
        <f t="shared" si="12"/>
        <v>20235</v>
      </c>
      <c r="D714" s="3">
        <v>45069</v>
      </c>
      <c r="E714" s="21">
        <v>2303.86</v>
      </c>
      <c r="F714" s="21">
        <v>2313.75</v>
      </c>
      <c r="G714" s="21">
        <v>2306.3000000000002</v>
      </c>
      <c r="H714" s="21">
        <v>2286.75</v>
      </c>
      <c r="I714" s="21">
        <v>2269.37</v>
      </c>
      <c r="J714" s="21">
        <v>2220.35</v>
      </c>
      <c r="K714" s="21">
        <v>2263.0300000000002</v>
      </c>
      <c r="L714" s="21">
        <v>2230.56</v>
      </c>
      <c r="M714" s="21">
        <v>2054.11</v>
      </c>
      <c r="N714" s="21">
        <v>2132.86</v>
      </c>
      <c r="O714" s="21">
        <v>2207.6999999999998</v>
      </c>
      <c r="P714" s="21">
        <v>2276.0100000000002</v>
      </c>
      <c r="Q714" s="21">
        <v>5092.43</v>
      </c>
      <c r="R714" s="20">
        <v>116.37</v>
      </c>
      <c r="S714" s="20">
        <v>106.95</v>
      </c>
      <c r="T714" s="21">
        <v>120.95</v>
      </c>
      <c r="V714" s="1">
        <v>112.09</v>
      </c>
      <c r="W714" s="1">
        <v>124.37</v>
      </c>
      <c r="X714" s="1">
        <v>121.44</v>
      </c>
      <c r="Y714" s="1">
        <v>121.48</v>
      </c>
      <c r="Z714" s="1">
        <v>122.07</v>
      </c>
      <c r="AA714" s="1">
        <v>117.92</v>
      </c>
      <c r="AB714" s="1">
        <v>121.14</v>
      </c>
      <c r="AE714" s="1">
        <v>129.80000000000001</v>
      </c>
      <c r="AF714" s="1">
        <v>124.44</v>
      </c>
      <c r="AG714" s="1">
        <v>109.43</v>
      </c>
      <c r="AN714" s="1">
        <v>3279.07</v>
      </c>
      <c r="AV714" s="1">
        <v>30</v>
      </c>
      <c r="AW714" s="1">
        <v>2919.94</v>
      </c>
      <c r="AX714" s="1">
        <v>115.97</v>
      </c>
      <c r="BA714" s="1">
        <v>117.41</v>
      </c>
      <c r="BB714" s="1">
        <v>130.86000000000001</v>
      </c>
      <c r="BC714" s="1">
        <v>126.89</v>
      </c>
      <c r="BD714" s="1">
        <v>126.22</v>
      </c>
      <c r="BE714" s="1">
        <v>122.77</v>
      </c>
      <c r="BF714" s="1">
        <v>120.91</v>
      </c>
      <c r="BG714" s="1">
        <v>130.86000000000001</v>
      </c>
      <c r="BH714" s="1">
        <v>115.95</v>
      </c>
      <c r="BI714" s="1">
        <v>123.56</v>
      </c>
      <c r="BJ714" s="1">
        <v>132.72999999999999</v>
      </c>
      <c r="BK714" s="1">
        <v>114.32</v>
      </c>
      <c r="BL714" s="1">
        <v>114.06</v>
      </c>
      <c r="BN714" s="1">
        <v>113.67</v>
      </c>
    </row>
    <row r="715" spans="1:66" x14ac:dyDescent="0.3">
      <c r="A715" s="2"/>
      <c r="C715" s="14" t="str">
        <f t="shared" si="12"/>
        <v>20235</v>
      </c>
      <c r="D715" s="3">
        <v>45068</v>
      </c>
      <c r="E715" s="21">
        <v>2303.86</v>
      </c>
      <c r="F715" s="21">
        <v>2322.7399999999998</v>
      </c>
      <c r="G715" s="21">
        <v>2331.15</v>
      </c>
      <c r="H715" s="21">
        <v>2320.37</v>
      </c>
      <c r="I715" s="21">
        <v>2229.83</v>
      </c>
      <c r="J715" s="21">
        <v>2193.86</v>
      </c>
      <c r="K715" s="21">
        <v>2263.0300000000002</v>
      </c>
      <c r="L715" s="21">
        <v>2247.11</v>
      </c>
      <c r="M715" s="21">
        <v>2207.33</v>
      </c>
      <c r="N715" s="21">
        <v>2139.77</v>
      </c>
      <c r="O715" s="21">
        <v>2209.13</v>
      </c>
      <c r="P715" s="21">
        <v>2282.66</v>
      </c>
      <c r="Q715" s="21">
        <v>5225.38</v>
      </c>
      <c r="R715" s="20">
        <v>116.37</v>
      </c>
      <c r="S715" s="20">
        <v>108.22</v>
      </c>
      <c r="T715" s="21">
        <v>121.15</v>
      </c>
      <c r="V715" s="1">
        <v>112.44</v>
      </c>
      <c r="W715" s="1">
        <v>123.97</v>
      </c>
      <c r="X715" s="1">
        <v>121.08</v>
      </c>
      <c r="Y715" s="1">
        <v>121.66</v>
      </c>
      <c r="Z715" s="1">
        <v>122.51</v>
      </c>
      <c r="AA715" s="1">
        <v>117.77</v>
      </c>
      <c r="AB715" s="1">
        <v>121.79</v>
      </c>
      <c r="AE715" s="1">
        <v>129.36000000000001</v>
      </c>
      <c r="AF715" s="1">
        <v>122.27</v>
      </c>
      <c r="AG715" s="1">
        <v>110.04</v>
      </c>
      <c r="AV715" s="1">
        <v>30</v>
      </c>
      <c r="AW715" s="1">
        <v>2919.94</v>
      </c>
      <c r="AX715" s="1">
        <v>116.43</v>
      </c>
      <c r="BA715" s="1">
        <v>118.18</v>
      </c>
      <c r="BB715" s="1">
        <v>130.28</v>
      </c>
      <c r="BC715" s="1">
        <v>126.65</v>
      </c>
      <c r="BD715" s="1">
        <v>125.06</v>
      </c>
      <c r="BE715" s="1">
        <v>122.52</v>
      </c>
      <c r="BF715" s="1">
        <v>120.91</v>
      </c>
      <c r="BG715" s="1">
        <v>131.52000000000001</v>
      </c>
      <c r="BH715" s="1">
        <v>115.95</v>
      </c>
      <c r="BI715" s="1">
        <v>123.56</v>
      </c>
      <c r="BJ715" s="1">
        <v>132.72999999999999</v>
      </c>
      <c r="BK715" s="1">
        <v>114.66</v>
      </c>
      <c r="BL715" s="1">
        <v>114.68</v>
      </c>
      <c r="BN715" s="1">
        <v>114.3</v>
      </c>
    </row>
    <row r="716" spans="1:66" x14ac:dyDescent="0.3">
      <c r="A716" s="2"/>
      <c r="C716" s="14" t="str">
        <f t="shared" si="12"/>
        <v>20235</v>
      </c>
      <c r="D716" s="3">
        <v>45065</v>
      </c>
      <c r="E716" s="21">
        <v>2328.64</v>
      </c>
      <c r="F716" s="21">
        <v>2322.7399999999998</v>
      </c>
      <c r="G716" s="21">
        <v>2338.5700000000002</v>
      </c>
      <c r="H716" s="21">
        <v>2320.8200000000002</v>
      </c>
      <c r="I716" s="21">
        <v>2221.92</v>
      </c>
      <c r="J716" s="21">
        <v>2212.3200000000002</v>
      </c>
      <c r="K716" s="21">
        <v>2283.36</v>
      </c>
      <c r="L716" s="21">
        <v>2273.54</v>
      </c>
      <c r="M716" s="21">
        <v>2232.46</v>
      </c>
      <c r="N716" s="21">
        <v>2165.1999999999998</v>
      </c>
      <c r="O716" s="21">
        <v>2202</v>
      </c>
      <c r="P716" s="21">
        <v>2303.66</v>
      </c>
      <c r="Q716" s="21">
        <v>5111.1499999999996</v>
      </c>
      <c r="R716" s="20">
        <v>116.37</v>
      </c>
      <c r="S716" s="20">
        <v>104</v>
      </c>
      <c r="T716" s="21">
        <v>120.32</v>
      </c>
      <c r="V716" s="1">
        <v>112.28</v>
      </c>
      <c r="W716" s="1">
        <v>124.97</v>
      </c>
      <c r="X716" s="1">
        <v>121.11</v>
      </c>
      <c r="Y716" s="1">
        <v>122.73</v>
      </c>
      <c r="Z716" s="1">
        <v>122.59</v>
      </c>
      <c r="AA716" s="1">
        <v>118.43</v>
      </c>
      <c r="AB716" s="1">
        <v>122.14</v>
      </c>
      <c r="AE716" s="1">
        <v>130.71</v>
      </c>
      <c r="AF716" s="1">
        <v>123.25</v>
      </c>
      <c r="AG716" s="1">
        <v>110.06</v>
      </c>
      <c r="AV716" s="1">
        <v>30</v>
      </c>
      <c r="AW716" s="1">
        <v>2957.74</v>
      </c>
      <c r="AX716" s="1">
        <v>118.72</v>
      </c>
      <c r="AZ716" s="1">
        <v>3642.29</v>
      </c>
      <c r="BA716" s="1">
        <v>117.83</v>
      </c>
      <c r="BB716" s="1">
        <v>130.69999999999999</v>
      </c>
      <c r="BC716" s="1">
        <v>127.07</v>
      </c>
      <c r="BD716" s="1">
        <v>126.12</v>
      </c>
      <c r="BE716" s="1">
        <v>122.02</v>
      </c>
      <c r="BF716" s="1">
        <v>120.13</v>
      </c>
      <c r="BG716" s="1">
        <v>131.28</v>
      </c>
      <c r="BH716" s="1">
        <v>126.1</v>
      </c>
      <c r="BI716" s="1">
        <v>123.56</v>
      </c>
      <c r="BJ716" s="1">
        <v>133.1</v>
      </c>
      <c r="BK716" s="1">
        <v>114.42</v>
      </c>
      <c r="BL716" s="1">
        <v>114.92</v>
      </c>
      <c r="BN716" s="1">
        <v>114.05</v>
      </c>
    </row>
    <row r="717" spans="1:66" x14ac:dyDescent="0.3">
      <c r="A717" s="2"/>
      <c r="C717" s="14" t="str">
        <f t="shared" si="12"/>
        <v>20235</v>
      </c>
      <c r="D717" s="3">
        <v>45064</v>
      </c>
      <c r="E717" s="21">
        <v>2356.56</v>
      </c>
      <c r="F717" s="21">
        <v>2322.7399999999998</v>
      </c>
      <c r="G717" s="21">
        <v>2345.98</v>
      </c>
      <c r="H717" s="21">
        <v>2234.7199999999998</v>
      </c>
      <c r="I717" s="21">
        <v>2231.81</v>
      </c>
      <c r="J717" s="21">
        <v>2230.5100000000002</v>
      </c>
      <c r="K717" s="21">
        <v>2271.46</v>
      </c>
      <c r="L717" s="21">
        <v>2253.6799999999998</v>
      </c>
      <c r="M717" s="21">
        <v>2232.46</v>
      </c>
      <c r="N717" s="21">
        <v>2194.12</v>
      </c>
      <c r="O717" s="21">
        <v>2215</v>
      </c>
      <c r="P717" s="21">
        <v>2282.66</v>
      </c>
      <c r="Q717" s="21">
        <v>5114.13</v>
      </c>
      <c r="R717" s="20">
        <v>116.87</v>
      </c>
      <c r="S717" s="20">
        <v>104</v>
      </c>
      <c r="T717" s="21">
        <v>120.53</v>
      </c>
      <c r="V717" s="1">
        <v>111.6</v>
      </c>
      <c r="W717" s="1">
        <v>124.37</v>
      </c>
      <c r="X717" s="1">
        <v>121.31</v>
      </c>
      <c r="Y717" s="1">
        <v>122.07</v>
      </c>
      <c r="Z717" s="1">
        <v>123.03</v>
      </c>
      <c r="AA717" s="1">
        <v>118.29</v>
      </c>
      <c r="AB717" s="1">
        <v>121.3</v>
      </c>
      <c r="AE717" s="1">
        <v>129.94</v>
      </c>
      <c r="AF717" s="1">
        <v>123.38</v>
      </c>
      <c r="AG717" s="1">
        <v>110.4</v>
      </c>
      <c r="AT717" s="1">
        <v>3315.49</v>
      </c>
      <c r="AV717" s="1">
        <v>30</v>
      </c>
      <c r="AW717" s="1">
        <v>2957.74</v>
      </c>
      <c r="AX717" s="1">
        <v>118.03</v>
      </c>
      <c r="AZ717" s="1">
        <v>3642.29</v>
      </c>
      <c r="BA717" s="1">
        <v>118.65</v>
      </c>
      <c r="BB717" s="1">
        <v>130.11000000000001</v>
      </c>
      <c r="BC717" s="1">
        <v>127.27</v>
      </c>
      <c r="BD717" s="1">
        <v>124.88</v>
      </c>
      <c r="BE717" s="1">
        <v>121.74</v>
      </c>
      <c r="BF717" s="1">
        <v>121.06</v>
      </c>
      <c r="BG717" s="1">
        <v>131.1</v>
      </c>
      <c r="BH717" s="1">
        <v>123.36</v>
      </c>
      <c r="BI717" s="1">
        <v>124.16</v>
      </c>
      <c r="BJ717" s="1">
        <v>134.04</v>
      </c>
      <c r="BK717" s="1">
        <v>113.32</v>
      </c>
      <c r="BL717" s="1">
        <v>115.32</v>
      </c>
      <c r="BN717" s="1">
        <v>114.54</v>
      </c>
    </row>
    <row r="718" spans="1:66" x14ac:dyDescent="0.3">
      <c r="A718" s="2"/>
      <c r="C718" s="14" t="str">
        <f t="shared" si="12"/>
        <v>20235</v>
      </c>
      <c r="D718" s="3">
        <v>45063</v>
      </c>
      <c r="E718" s="21">
        <v>2374.41</v>
      </c>
      <c r="F718" s="21">
        <v>2322.7399999999998</v>
      </c>
      <c r="G718" s="21">
        <v>2350.92</v>
      </c>
      <c r="H718" s="21">
        <v>2375.56</v>
      </c>
      <c r="I718" s="21">
        <v>2231.81</v>
      </c>
      <c r="J718" s="21">
        <v>2237.84</v>
      </c>
      <c r="K718" s="21">
        <v>2275.4899999999998</v>
      </c>
      <c r="L718" s="21">
        <v>2253.6799999999998</v>
      </c>
      <c r="M718" s="21">
        <v>2237.38</v>
      </c>
      <c r="N718" s="21">
        <v>2151.9299999999998</v>
      </c>
      <c r="O718" s="21">
        <v>2243.33</v>
      </c>
      <c r="P718" s="21">
        <v>2282.33</v>
      </c>
      <c r="Q718" s="21">
        <v>5142.7</v>
      </c>
      <c r="R718" s="20">
        <v>116.7</v>
      </c>
      <c r="S718" s="20">
        <v>106.03</v>
      </c>
      <c r="T718" s="21">
        <v>120.7</v>
      </c>
      <c r="V718" s="1">
        <v>111.57</v>
      </c>
      <c r="W718" s="1">
        <v>126.37</v>
      </c>
      <c r="X718" s="1">
        <v>123.48</v>
      </c>
      <c r="Y718" s="1">
        <v>122.72</v>
      </c>
      <c r="Z718" s="1">
        <v>122.26</v>
      </c>
      <c r="AA718" s="1">
        <v>118.85</v>
      </c>
      <c r="AB718" s="1">
        <v>122.76</v>
      </c>
      <c r="AE718" s="1">
        <v>129.22</v>
      </c>
      <c r="AF718" s="1">
        <v>123.9</v>
      </c>
      <c r="AG718" s="1">
        <v>110.81</v>
      </c>
      <c r="AT718" s="1">
        <v>3315.49</v>
      </c>
      <c r="AV718" s="1">
        <v>30</v>
      </c>
      <c r="AW718" s="1">
        <v>2957.74</v>
      </c>
      <c r="AX718" s="1">
        <v>117.72</v>
      </c>
      <c r="AZ718" s="1">
        <v>3642.29</v>
      </c>
      <c r="BA718" s="1">
        <v>119.85</v>
      </c>
      <c r="BB718" s="1">
        <v>131.22999999999999</v>
      </c>
      <c r="BC718" s="1">
        <v>128.55000000000001</v>
      </c>
      <c r="BD718" s="1">
        <v>126.71</v>
      </c>
      <c r="BE718" s="1">
        <v>122.49</v>
      </c>
      <c r="BF718" s="1">
        <v>120.96</v>
      </c>
      <c r="BG718" s="1">
        <v>131.66</v>
      </c>
      <c r="BH718" s="1">
        <v>123.36</v>
      </c>
      <c r="BI718" s="1">
        <v>125.16</v>
      </c>
      <c r="BJ718" s="1">
        <v>137.74</v>
      </c>
      <c r="BK718" s="1">
        <v>113.32</v>
      </c>
      <c r="BL718" s="1">
        <v>115.32</v>
      </c>
      <c r="BN718" s="1">
        <v>114.54</v>
      </c>
    </row>
    <row r="719" spans="1:66" x14ac:dyDescent="0.3">
      <c r="A719" s="2"/>
      <c r="C719" s="14" t="str">
        <f t="shared" si="12"/>
        <v>20235</v>
      </c>
      <c r="D719" s="3">
        <v>45062</v>
      </c>
      <c r="E719" s="21">
        <v>2404.0100000000002</v>
      </c>
      <c r="F719" s="21">
        <v>2322.7399999999998</v>
      </c>
      <c r="G719" s="21">
        <v>2400.34</v>
      </c>
      <c r="H719" s="21">
        <v>2284.56</v>
      </c>
      <c r="I719" s="21">
        <v>2231.81</v>
      </c>
      <c r="J719" s="21">
        <v>2265.3200000000002</v>
      </c>
      <c r="K719" s="21">
        <v>2275.4899999999998</v>
      </c>
      <c r="L719" s="21">
        <v>2237.21</v>
      </c>
      <c r="M719" s="21">
        <v>2110.0300000000002</v>
      </c>
      <c r="N719" s="21">
        <v>2189.0100000000002</v>
      </c>
      <c r="O719" s="21">
        <v>2246.67</v>
      </c>
      <c r="P719" s="21">
        <v>2282.33</v>
      </c>
      <c r="Q719" s="21">
        <v>5341.94</v>
      </c>
      <c r="R719" s="20">
        <v>118.86</v>
      </c>
      <c r="S719" s="20">
        <v>105.97</v>
      </c>
      <c r="T719" s="21">
        <v>126.54</v>
      </c>
      <c r="V719" s="1">
        <v>114.36</v>
      </c>
      <c r="W719" s="1">
        <v>128.19</v>
      </c>
      <c r="X719" s="1">
        <v>125.79</v>
      </c>
      <c r="Y719" s="1">
        <v>124.41</v>
      </c>
      <c r="Z719" s="1">
        <v>125.23</v>
      </c>
      <c r="AA719" s="1">
        <v>121.1</v>
      </c>
      <c r="AB719" s="1">
        <v>124.76</v>
      </c>
      <c r="AC719" s="1">
        <v>118.22</v>
      </c>
      <c r="AE719" s="1">
        <v>131.28</v>
      </c>
      <c r="AF719" s="1">
        <v>126.73</v>
      </c>
      <c r="AG719" s="1">
        <v>112.71</v>
      </c>
      <c r="AT719" s="1">
        <v>3315.49</v>
      </c>
      <c r="AW719" s="1">
        <v>2731.72</v>
      </c>
      <c r="AX719" s="1">
        <v>120.61</v>
      </c>
      <c r="AZ719" s="1">
        <v>3642.29</v>
      </c>
      <c r="BB719" s="1">
        <v>132.22</v>
      </c>
      <c r="BC719" s="1">
        <v>129.91</v>
      </c>
      <c r="BD719" s="1">
        <v>128.02000000000001</v>
      </c>
      <c r="BE719" s="1">
        <v>122.97</v>
      </c>
      <c r="BF719" s="1">
        <v>124.12</v>
      </c>
      <c r="BG719" s="1">
        <v>133.65</v>
      </c>
      <c r="BH719" s="1">
        <v>123.36</v>
      </c>
      <c r="BI719" s="1">
        <v>127.35</v>
      </c>
      <c r="BJ719" s="1">
        <v>138.33000000000001</v>
      </c>
      <c r="BK719" s="1">
        <v>116.3</v>
      </c>
      <c r="BL719" s="1">
        <v>117.8</v>
      </c>
      <c r="BN719" s="1">
        <v>117.64</v>
      </c>
    </row>
    <row r="720" spans="1:66" x14ac:dyDescent="0.3">
      <c r="A720" s="2"/>
      <c r="C720" s="14" t="str">
        <f t="shared" si="12"/>
        <v>20235</v>
      </c>
      <c r="D720" s="3">
        <v>45061</v>
      </c>
      <c r="E720" s="21">
        <v>2437.81</v>
      </c>
      <c r="F720" s="21">
        <v>2357.33</v>
      </c>
      <c r="G720" s="21">
        <v>2397.83</v>
      </c>
      <c r="H720" s="21">
        <v>2284.56</v>
      </c>
      <c r="I720" s="21">
        <v>2243.67</v>
      </c>
      <c r="J720" s="21">
        <v>2264.25</v>
      </c>
      <c r="K720" s="21">
        <v>2281.88</v>
      </c>
      <c r="L720" s="21">
        <v>2237.21</v>
      </c>
      <c r="M720" s="21">
        <v>2077.23</v>
      </c>
      <c r="N720" s="21">
        <v>2198.21</v>
      </c>
      <c r="O720" s="21">
        <v>2223.9899999999998</v>
      </c>
      <c r="P720" s="21">
        <v>2326.38</v>
      </c>
      <c r="Q720" s="21">
        <v>5314.26</v>
      </c>
      <c r="R720" s="20">
        <v>119.35</v>
      </c>
      <c r="S720" s="20">
        <v>108</v>
      </c>
      <c r="T720" s="21">
        <v>125.28</v>
      </c>
      <c r="V720" s="1">
        <v>115.44</v>
      </c>
      <c r="W720" s="1">
        <v>128.19</v>
      </c>
      <c r="X720" s="1">
        <v>125.43</v>
      </c>
      <c r="Y720" s="1">
        <v>126.65</v>
      </c>
      <c r="Z720" s="1">
        <v>126.95</v>
      </c>
      <c r="AA720" s="1">
        <v>122.3</v>
      </c>
      <c r="AB720" s="1">
        <v>125.36</v>
      </c>
      <c r="AC720" s="1">
        <v>117.99</v>
      </c>
      <c r="AE720" s="1">
        <v>130.29</v>
      </c>
      <c r="AF720" s="1">
        <v>128.54</v>
      </c>
      <c r="AG720" s="1">
        <v>114.1</v>
      </c>
      <c r="AT720" s="1">
        <v>3315.49</v>
      </c>
      <c r="AW720" s="1">
        <v>2731.72</v>
      </c>
      <c r="AX720" s="1">
        <v>120.58</v>
      </c>
      <c r="AZ720" s="1">
        <v>3642.29</v>
      </c>
      <c r="BB720" s="1">
        <v>134.65</v>
      </c>
      <c r="BC720" s="1">
        <v>131.51</v>
      </c>
      <c r="BD720" s="1">
        <v>128.66999999999999</v>
      </c>
      <c r="BE720" s="1">
        <v>125.8</v>
      </c>
      <c r="BF720" s="1">
        <v>125.98</v>
      </c>
      <c r="BG720" s="1">
        <v>134.32</v>
      </c>
      <c r="BH720" s="1">
        <v>122.14</v>
      </c>
      <c r="BI720" s="1">
        <v>127.95</v>
      </c>
      <c r="BJ720" s="1">
        <v>138.19</v>
      </c>
      <c r="BK720" s="1">
        <v>117.64</v>
      </c>
      <c r="BL720" s="1">
        <v>118.8</v>
      </c>
      <c r="BN720" s="1">
        <v>118.89</v>
      </c>
    </row>
    <row r="721" spans="1:66" x14ac:dyDescent="0.3">
      <c r="A721" s="2"/>
      <c r="C721" s="14" t="str">
        <f t="shared" si="12"/>
        <v>20235</v>
      </c>
      <c r="D721" s="3">
        <v>45058</v>
      </c>
      <c r="E721" s="21">
        <v>2419.88</v>
      </c>
      <c r="F721" s="21">
        <v>2342.5100000000002</v>
      </c>
      <c r="G721" s="21">
        <v>2380.46</v>
      </c>
      <c r="H721" s="21">
        <v>2218.08</v>
      </c>
      <c r="I721" s="21">
        <v>2251.58</v>
      </c>
      <c r="J721" s="21">
        <v>2259</v>
      </c>
      <c r="K721" s="21">
        <v>2262</v>
      </c>
      <c r="L721" s="21">
        <v>2207.5</v>
      </c>
      <c r="M721" s="21">
        <v>2077.23</v>
      </c>
      <c r="N721" s="21">
        <v>2181.59</v>
      </c>
      <c r="O721" s="21">
        <v>2227.6999999999998</v>
      </c>
      <c r="P721" s="21">
        <v>2293.2399999999998</v>
      </c>
      <c r="Q721" s="21">
        <v>5272.69</v>
      </c>
      <c r="R721" s="20">
        <v>118.52</v>
      </c>
      <c r="S721" s="20">
        <v>107.47</v>
      </c>
      <c r="T721" s="21">
        <v>125.54</v>
      </c>
      <c r="V721" s="1">
        <v>114.66</v>
      </c>
      <c r="W721" s="1">
        <v>129.11000000000001</v>
      </c>
      <c r="X721" s="1">
        <v>125.67</v>
      </c>
      <c r="Y721" s="1">
        <v>127.17</v>
      </c>
      <c r="Z721" s="1">
        <v>127.01</v>
      </c>
      <c r="AA721" s="1">
        <v>122.55</v>
      </c>
      <c r="AB721" s="1">
        <v>125.15</v>
      </c>
      <c r="AC721" s="1">
        <v>117.3</v>
      </c>
      <c r="AE721" s="1">
        <v>131.93</v>
      </c>
      <c r="AF721" s="1">
        <v>130.02000000000001</v>
      </c>
      <c r="AG721" s="1">
        <v>113.22</v>
      </c>
      <c r="AT721" s="1">
        <v>3315.49</v>
      </c>
      <c r="AX721" s="1">
        <v>120.85</v>
      </c>
      <c r="BB721" s="1">
        <v>134.54</v>
      </c>
      <c r="BC721" s="1">
        <v>131.83000000000001</v>
      </c>
      <c r="BD721" s="1">
        <v>130.19999999999999</v>
      </c>
      <c r="BE721" s="1">
        <v>126.15</v>
      </c>
      <c r="BF721" s="1">
        <v>124.16</v>
      </c>
      <c r="BG721" s="1">
        <v>135.41999999999999</v>
      </c>
      <c r="BH721" s="1">
        <v>121.39</v>
      </c>
      <c r="BI721" s="1">
        <v>127.95</v>
      </c>
      <c r="BJ721" s="1">
        <v>137.63</v>
      </c>
      <c r="BK721" s="1">
        <v>117.64</v>
      </c>
      <c r="BL721" s="1">
        <v>119</v>
      </c>
      <c r="BN721" s="1">
        <v>119.14</v>
      </c>
    </row>
    <row r="722" spans="1:66" x14ac:dyDescent="0.3">
      <c r="A722" s="2"/>
      <c r="C722" s="14" t="str">
        <f t="shared" si="12"/>
        <v>20235</v>
      </c>
      <c r="D722" s="3">
        <v>45057</v>
      </c>
      <c r="E722" s="21">
        <v>2390.02</v>
      </c>
      <c r="F722" s="21">
        <v>2342.5100000000002</v>
      </c>
      <c r="G722" s="21">
        <v>2368.1</v>
      </c>
      <c r="H722" s="21">
        <v>2218.08</v>
      </c>
      <c r="I722" s="21">
        <v>2251.58</v>
      </c>
      <c r="J722" s="21">
        <v>2247.42</v>
      </c>
      <c r="K722" s="21">
        <v>2262</v>
      </c>
      <c r="L722" s="21">
        <v>2207.5</v>
      </c>
      <c r="M722" s="21">
        <v>2077.23</v>
      </c>
      <c r="N722" s="21">
        <v>2148.92</v>
      </c>
      <c r="O722" s="21">
        <v>2220.56</v>
      </c>
      <c r="P722" s="21">
        <v>2293.2399999999998</v>
      </c>
      <c r="Q722" s="21">
        <v>5312.22</v>
      </c>
      <c r="R722" s="20">
        <v>118.52</v>
      </c>
      <c r="S722" s="20">
        <v>107.72</v>
      </c>
      <c r="T722" s="21">
        <v>125.6</v>
      </c>
      <c r="V722" s="1">
        <v>114.89</v>
      </c>
      <c r="W722" s="1">
        <v>128.76</v>
      </c>
      <c r="X722" s="1">
        <v>125.13</v>
      </c>
      <c r="Y722" s="1">
        <v>126.06</v>
      </c>
      <c r="Z722" s="1">
        <v>126.85</v>
      </c>
      <c r="AA722" s="1">
        <v>122.98</v>
      </c>
      <c r="AB722" s="1">
        <v>125.29</v>
      </c>
      <c r="AC722" s="1">
        <v>118.23</v>
      </c>
      <c r="AE722" s="1">
        <v>131.22999999999999</v>
      </c>
      <c r="AF722" s="1">
        <v>129.63</v>
      </c>
      <c r="AG722" s="1">
        <v>113.31</v>
      </c>
      <c r="AN722" s="1">
        <v>2964.42</v>
      </c>
      <c r="AX722" s="1">
        <v>120.43</v>
      </c>
      <c r="BA722" s="1">
        <v>121.27</v>
      </c>
      <c r="BB722" s="1">
        <v>134.63999999999999</v>
      </c>
      <c r="BC722" s="1">
        <v>131.51</v>
      </c>
      <c r="BD722" s="1">
        <v>130.37</v>
      </c>
      <c r="BE722" s="1">
        <v>126.74</v>
      </c>
      <c r="BF722" s="1">
        <v>123.05</v>
      </c>
      <c r="BG722" s="1">
        <v>135.66</v>
      </c>
      <c r="BH722" s="1">
        <v>121.91</v>
      </c>
      <c r="BI722" s="1">
        <v>127.95</v>
      </c>
      <c r="BJ722" s="1">
        <v>137.88</v>
      </c>
      <c r="BK722" s="1">
        <v>117.64</v>
      </c>
      <c r="BL722" s="1">
        <v>120.3</v>
      </c>
      <c r="BN722" s="1">
        <v>119.51</v>
      </c>
    </row>
    <row r="723" spans="1:66" x14ac:dyDescent="0.3">
      <c r="A723" s="2"/>
      <c r="C723" s="14" t="str">
        <f t="shared" si="12"/>
        <v>20235</v>
      </c>
      <c r="D723" s="3">
        <v>45056</v>
      </c>
      <c r="E723" s="21">
        <v>2399.9499999999998</v>
      </c>
      <c r="F723" s="21">
        <v>2372.16</v>
      </c>
      <c r="G723" s="21">
        <v>2378</v>
      </c>
      <c r="H723" s="21">
        <v>2218.08</v>
      </c>
      <c r="I723" s="21">
        <v>2263.44</v>
      </c>
      <c r="J723" s="21">
        <v>2246.37</v>
      </c>
      <c r="K723" s="21">
        <v>2276.65</v>
      </c>
      <c r="L723" s="21">
        <v>2207.5</v>
      </c>
      <c r="M723" s="21">
        <v>2096.91</v>
      </c>
      <c r="N723" s="21">
        <v>2140.21</v>
      </c>
      <c r="O723" s="21">
        <v>2220.5500000000002</v>
      </c>
      <c r="P723" s="21">
        <v>2299.9299999999998</v>
      </c>
      <c r="Q723" s="21">
        <v>5326.34</v>
      </c>
      <c r="R723" s="20">
        <v>119.52</v>
      </c>
      <c r="S723" s="20">
        <v>107.97</v>
      </c>
      <c r="T723" s="21">
        <v>124.84</v>
      </c>
      <c r="V723" s="1">
        <v>114.89</v>
      </c>
      <c r="W723" s="1">
        <v>128.69</v>
      </c>
      <c r="X723" s="1">
        <v>125.65</v>
      </c>
      <c r="Y723" s="1">
        <v>126.7</v>
      </c>
      <c r="Z723" s="1">
        <v>127.48</v>
      </c>
      <c r="AA723" s="1">
        <v>122.78</v>
      </c>
      <c r="AB723" s="1">
        <v>125.38</v>
      </c>
      <c r="AC723" s="1">
        <v>118.23</v>
      </c>
      <c r="AE723" s="1">
        <v>132.66999999999999</v>
      </c>
      <c r="AF723" s="1">
        <v>128.88</v>
      </c>
      <c r="AG723" s="1">
        <v>113.62</v>
      </c>
      <c r="AN723" s="1">
        <v>2964.42</v>
      </c>
      <c r="AX723" s="1">
        <v>120.55</v>
      </c>
      <c r="BA723" s="1">
        <v>121.06</v>
      </c>
      <c r="BB723" s="1">
        <v>134.41</v>
      </c>
      <c r="BC723" s="1">
        <v>129.80000000000001</v>
      </c>
      <c r="BD723" s="1">
        <v>130.44999999999999</v>
      </c>
      <c r="BE723" s="1">
        <v>125.98</v>
      </c>
      <c r="BF723" s="1">
        <v>122.94</v>
      </c>
      <c r="BG723" s="1">
        <v>135.37</v>
      </c>
      <c r="BH723" s="1">
        <v>121.83</v>
      </c>
      <c r="BI723" s="1">
        <v>127.95</v>
      </c>
      <c r="BJ723" s="1">
        <v>137.88</v>
      </c>
      <c r="BK723" s="1">
        <v>117.97</v>
      </c>
      <c r="BL723" s="1">
        <v>120.5</v>
      </c>
      <c r="BN723" s="1">
        <v>120.81</v>
      </c>
    </row>
    <row r="724" spans="1:66" x14ac:dyDescent="0.3">
      <c r="A724" s="2"/>
      <c r="C724" s="14" t="str">
        <f t="shared" si="12"/>
        <v>20235</v>
      </c>
      <c r="D724" s="3">
        <v>45055</v>
      </c>
      <c r="E724" s="21">
        <v>2330.69</v>
      </c>
      <c r="F724" s="21">
        <v>2372.16</v>
      </c>
      <c r="G724" s="21">
        <v>2412.6999999999998</v>
      </c>
      <c r="H724" s="21">
        <v>2304.1</v>
      </c>
      <c r="I724" s="21">
        <v>2260.9699999999998</v>
      </c>
      <c r="J724" s="21">
        <v>2260.42</v>
      </c>
      <c r="K724" s="21">
        <v>2276.65</v>
      </c>
      <c r="L724" s="21">
        <v>2214.09</v>
      </c>
      <c r="M724" s="21">
        <v>2096.91</v>
      </c>
      <c r="N724" s="21">
        <v>2143.27</v>
      </c>
      <c r="O724" s="21">
        <v>2215</v>
      </c>
      <c r="P724" s="21">
        <v>2299.9299999999998</v>
      </c>
      <c r="Q724" s="21">
        <v>5337.77</v>
      </c>
      <c r="R724" s="20">
        <v>119.69</v>
      </c>
      <c r="S724" s="20">
        <v>108.22</v>
      </c>
      <c r="T724" s="21">
        <v>125.44</v>
      </c>
      <c r="V724" s="1">
        <v>114.92</v>
      </c>
      <c r="W724" s="1">
        <v>128.68</v>
      </c>
      <c r="X724" s="1">
        <v>127.02</v>
      </c>
      <c r="Y724" s="1">
        <v>128.11000000000001</v>
      </c>
      <c r="Z724" s="1">
        <v>128.30000000000001</v>
      </c>
      <c r="AA724" s="1">
        <v>123.89</v>
      </c>
      <c r="AB724" s="1">
        <v>126.13</v>
      </c>
      <c r="AC724" s="1">
        <v>118.56</v>
      </c>
      <c r="AE724" s="1">
        <v>133.27000000000001</v>
      </c>
      <c r="AF724" s="1">
        <v>130.37</v>
      </c>
      <c r="AG724" s="1">
        <v>113.6</v>
      </c>
      <c r="AW724" s="1">
        <v>3150.34</v>
      </c>
      <c r="AX724" s="1">
        <v>121.23</v>
      </c>
      <c r="BA724" s="1">
        <v>120.23</v>
      </c>
      <c r="BB724" s="1">
        <v>135.53</v>
      </c>
      <c r="BC724" s="1">
        <v>132.66999999999999</v>
      </c>
      <c r="BD724" s="1">
        <v>131.76</v>
      </c>
      <c r="BE724" s="1">
        <v>126.08</v>
      </c>
      <c r="BF724" s="1">
        <v>122.92</v>
      </c>
      <c r="BG724" s="1">
        <v>135.35</v>
      </c>
      <c r="BH724" s="1">
        <v>122.51</v>
      </c>
      <c r="BI724" s="1">
        <v>127.95</v>
      </c>
      <c r="BJ724" s="1">
        <v>140.78</v>
      </c>
      <c r="BK724" s="1">
        <v>116.74</v>
      </c>
      <c r="BL724" s="1">
        <v>120.62</v>
      </c>
      <c r="BN724" s="1">
        <v>121.31</v>
      </c>
    </row>
    <row r="725" spans="1:66" x14ac:dyDescent="0.3">
      <c r="A725" s="2"/>
      <c r="C725" s="14" t="str">
        <f t="shared" si="12"/>
        <v>20235</v>
      </c>
      <c r="D725" s="3">
        <v>45054</v>
      </c>
      <c r="E725" s="21">
        <v>2385.44</v>
      </c>
      <c r="F725" s="21">
        <v>2372.16</v>
      </c>
      <c r="G725" s="21">
        <v>2412.6999999999998</v>
      </c>
      <c r="H725" s="21">
        <v>2304.1</v>
      </c>
      <c r="I725" s="21">
        <v>2263.44</v>
      </c>
      <c r="J725" s="21">
        <v>2268.44</v>
      </c>
      <c r="K725" s="21">
        <v>2278.31</v>
      </c>
      <c r="L725" s="21">
        <v>2214.09</v>
      </c>
      <c r="M725" s="21">
        <v>2123.16</v>
      </c>
      <c r="N725" s="21">
        <v>2121.0300000000002</v>
      </c>
      <c r="O725" s="21">
        <v>2236.27</v>
      </c>
      <c r="P725" s="21">
        <v>2302.4299999999998</v>
      </c>
      <c r="Q725" s="21">
        <v>5489.56</v>
      </c>
      <c r="R725" s="20">
        <v>120.02</v>
      </c>
      <c r="S725" s="20">
        <v>106.72</v>
      </c>
      <c r="T725" s="21">
        <v>124.77</v>
      </c>
      <c r="V725" s="1">
        <v>116.54</v>
      </c>
      <c r="W725" s="1">
        <v>128.38999999999999</v>
      </c>
      <c r="X725" s="1">
        <v>126.4</v>
      </c>
      <c r="Y725" s="1">
        <v>127.11</v>
      </c>
      <c r="Z725" s="1">
        <v>126.67</v>
      </c>
      <c r="AA725" s="1">
        <v>123.48</v>
      </c>
      <c r="AB725" s="1">
        <v>125.63</v>
      </c>
      <c r="AE725" s="1">
        <v>133</v>
      </c>
      <c r="AF725" s="1">
        <v>129.04</v>
      </c>
      <c r="AG725" s="1">
        <v>113.94</v>
      </c>
      <c r="AW725" s="1">
        <v>3150.34</v>
      </c>
      <c r="AX725" s="1">
        <v>120.71</v>
      </c>
      <c r="BA725" s="1">
        <v>121.4</v>
      </c>
      <c r="BB725" s="1">
        <v>135.16</v>
      </c>
      <c r="BC725" s="1">
        <v>132.13999999999999</v>
      </c>
      <c r="BD725" s="1">
        <v>129.94999999999999</v>
      </c>
      <c r="BE725" s="1">
        <v>126.07</v>
      </c>
      <c r="BF725" s="1">
        <v>123.15</v>
      </c>
      <c r="BG725" s="1">
        <v>135.38999999999999</v>
      </c>
      <c r="BH725" s="1">
        <v>122.23</v>
      </c>
      <c r="BI725" s="1">
        <v>127.55</v>
      </c>
      <c r="BJ725" s="1">
        <v>140.38</v>
      </c>
      <c r="BK725" s="1">
        <v>117.63</v>
      </c>
      <c r="BL725" s="1">
        <v>120.2</v>
      </c>
      <c r="BN725" s="1">
        <v>120.71</v>
      </c>
    </row>
    <row r="726" spans="1:66" x14ac:dyDescent="0.3">
      <c r="A726" s="2"/>
      <c r="C726" s="14" t="str">
        <f t="shared" si="12"/>
        <v>20235</v>
      </c>
      <c r="D726" s="3">
        <v>45051</v>
      </c>
      <c r="E726" s="21">
        <v>2360.44</v>
      </c>
      <c r="F726" s="21">
        <v>2372.16</v>
      </c>
      <c r="G726" s="21">
        <v>2412.6999999999998</v>
      </c>
      <c r="H726" s="21">
        <v>2305.8200000000002</v>
      </c>
      <c r="I726" s="21">
        <v>2289.13</v>
      </c>
      <c r="J726" s="21">
        <v>2263.5500000000002</v>
      </c>
      <c r="K726" s="21">
        <v>2279.9699999999998</v>
      </c>
      <c r="L726" s="21">
        <v>2261.83</v>
      </c>
      <c r="M726" s="21">
        <v>2123.16</v>
      </c>
      <c r="N726" s="21">
        <v>2088.9299999999998</v>
      </c>
      <c r="O726" s="21">
        <v>2232.31</v>
      </c>
      <c r="P726" s="21">
        <v>2302.4299999999998</v>
      </c>
      <c r="Q726" s="21">
        <v>5288.74</v>
      </c>
      <c r="R726" s="20">
        <v>117.69</v>
      </c>
      <c r="S726" s="20">
        <v>104.22</v>
      </c>
      <c r="T726" s="21">
        <v>124.18</v>
      </c>
      <c r="V726" s="1">
        <v>115.21</v>
      </c>
      <c r="W726" s="1">
        <v>127.06</v>
      </c>
      <c r="X726" s="1">
        <v>125.1</v>
      </c>
      <c r="Y726" s="1">
        <v>125.41</v>
      </c>
      <c r="Z726" s="1">
        <v>125.66</v>
      </c>
      <c r="AA726" s="1">
        <v>122.02</v>
      </c>
      <c r="AB726" s="1">
        <v>125.26</v>
      </c>
      <c r="AE726" s="1">
        <v>131.69999999999999</v>
      </c>
      <c r="AF726" s="1">
        <v>128.54</v>
      </c>
      <c r="AG726" s="1">
        <v>117.3</v>
      </c>
      <c r="AW726" s="1">
        <v>3150.34</v>
      </c>
      <c r="AX726" s="1">
        <v>120.86</v>
      </c>
      <c r="BA726" s="1">
        <v>119.15</v>
      </c>
      <c r="BB726" s="1">
        <v>133.68</v>
      </c>
      <c r="BC726" s="1">
        <v>130.54</v>
      </c>
      <c r="BD726" s="1">
        <v>129.25</v>
      </c>
      <c r="BE726" s="1">
        <v>125.94</v>
      </c>
      <c r="BF726" s="1">
        <v>122.73</v>
      </c>
      <c r="BG726" s="1">
        <v>135.09</v>
      </c>
      <c r="BH726" s="1">
        <v>124.07</v>
      </c>
      <c r="BI726" s="1">
        <v>126.35</v>
      </c>
      <c r="BJ726" s="1">
        <v>137.38999999999999</v>
      </c>
      <c r="BK726" s="1">
        <v>118.31</v>
      </c>
      <c r="BL726" s="1">
        <v>118.6</v>
      </c>
      <c r="BN726" s="1">
        <v>118.14</v>
      </c>
    </row>
    <row r="727" spans="1:66" x14ac:dyDescent="0.3">
      <c r="A727" s="2"/>
      <c r="C727" s="14" t="str">
        <f t="shared" si="12"/>
        <v>20235</v>
      </c>
      <c r="D727" s="3">
        <v>45050</v>
      </c>
      <c r="E727" s="21">
        <v>2356.1799999999998</v>
      </c>
      <c r="F727" s="21">
        <v>2372.16</v>
      </c>
      <c r="G727" s="21">
        <v>2412.6999999999998</v>
      </c>
      <c r="H727" s="21">
        <v>2233.08</v>
      </c>
      <c r="I727" s="21">
        <v>2293.09</v>
      </c>
      <c r="J727" s="21">
        <v>2263.66</v>
      </c>
      <c r="K727" s="21">
        <v>2283.31</v>
      </c>
      <c r="L727" s="21">
        <v>2250.33</v>
      </c>
      <c r="M727" s="21">
        <v>2123.16</v>
      </c>
      <c r="N727" s="21">
        <v>2098.6</v>
      </c>
      <c r="O727" s="21">
        <v>2211.09</v>
      </c>
      <c r="P727" s="21">
        <v>2307.4299999999998</v>
      </c>
      <c r="Q727" s="21">
        <v>5105.21</v>
      </c>
      <c r="R727" s="20">
        <v>118.69</v>
      </c>
      <c r="S727" s="20">
        <v>103.31</v>
      </c>
      <c r="T727" s="21">
        <v>123.53</v>
      </c>
      <c r="V727" s="1">
        <v>112.94</v>
      </c>
      <c r="W727" s="1">
        <v>126.77</v>
      </c>
      <c r="X727" s="1">
        <v>124.21</v>
      </c>
      <c r="Y727" s="1">
        <v>124.59</v>
      </c>
      <c r="Z727" s="1">
        <v>124.88</v>
      </c>
      <c r="AA727" s="1">
        <v>121.12</v>
      </c>
      <c r="AB727" s="1">
        <v>124.01</v>
      </c>
      <c r="AE727" s="1">
        <v>130.22999999999999</v>
      </c>
      <c r="AF727" s="1">
        <v>128.24</v>
      </c>
      <c r="AG727" s="1">
        <v>117.04</v>
      </c>
      <c r="AJ727" s="1">
        <v>30</v>
      </c>
      <c r="AR727" s="1">
        <v>2595.83</v>
      </c>
      <c r="AW727" s="1">
        <v>3150.34</v>
      </c>
      <c r="AX727" s="1">
        <v>118.19</v>
      </c>
      <c r="BA727" s="1">
        <v>119.15</v>
      </c>
      <c r="BB727" s="1">
        <v>133.33000000000001</v>
      </c>
      <c r="BC727" s="1">
        <v>130.11000000000001</v>
      </c>
      <c r="BD727" s="1">
        <v>129.19</v>
      </c>
      <c r="BE727" s="1">
        <v>125.93</v>
      </c>
      <c r="BF727" s="1">
        <v>122.05</v>
      </c>
      <c r="BG727" s="1">
        <v>133.22999999999999</v>
      </c>
      <c r="BH727" s="1">
        <v>121.92</v>
      </c>
      <c r="BI727" s="1">
        <v>125.16</v>
      </c>
      <c r="BJ727" s="1">
        <v>133.43</v>
      </c>
      <c r="BK727" s="1">
        <v>117.98</v>
      </c>
      <c r="BL727" s="1">
        <v>118.04</v>
      </c>
      <c r="BN727" s="1">
        <v>117.65</v>
      </c>
    </row>
    <row r="728" spans="1:66" x14ac:dyDescent="0.3">
      <c r="A728" s="2"/>
      <c r="C728" s="14" t="str">
        <f t="shared" si="12"/>
        <v>20235</v>
      </c>
      <c r="D728" s="3">
        <v>45049</v>
      </c>
      <c r="E728" s="21">
        <v>2353.38</v>
      </c>
      <c r="F728" s="21">
        <v>2399.12</v>
      </c>
      <c r="G728" s="21">
        <v>2405.2800000000002</v>
      </c>
      <c r="H728" s="21">
        <v>2256.59</v>
      </c>
      <c r="I728" s="21">
        <v>2297.04</v>
      </c>
      <c r="J728" s="21">
        <v>2268.62</v>
      </c>
      <c r="K728" s="21">
        <v>2289.9699999999998</v>
      </c>
      <c r="L728" s="21">
        <v>2250.33</v>
      </c>
      <c r="M728" s="21">
        <v>2123.16</v>
      </c>
      <c r="N728" s="21">
        <v>2106.91</v>
      </c>
      <c r="O728" s="21">
        <v>2221.09</v>
      </c>
      <c r="P728" s="21">
        <v>2319.9299999999998</v>
      </c>
      <c r="Q728" s="21">
        <v>5110.13</v>
      </c>
      <c r="R728" s="20">
        <v>118.36</v>
      </c>
      <c r="S728" s="20">
        <v>102.48</v>
      </c>
      <c r="T728" s="21">
        <v>123.55</v>
      </c>
      <c r="V728" s="1">
        <v>112.35</v>
      </c>
      <c r="W728" s="1">
        <v>126.48</v>
      </c>
      <c r="X728" s="1">
        <v>123.55</v>
      </c>
      <c r="Y728" s="1">
        <v>124.78</v>
      </c>
      <c r="Z728" s="1">
        <v>124.93</v>
      </c>
      <c r="AA728" s="1">
        <v>120.74</v>
      </c>
      <c r="AB728" s="1">
        <v>124.06</v>
      </c>
      <c r="AE728" s="1">
        <v>129.16999999999999</v>
      </c>
      <c r="AF728" s="1">
        <v>128.63999999999999</v>
      </c>
      <c r="AG728" s="1">
        <v>119.27</v>
      </c>
      <c r="AJ728" s="1">
        <v>30</v>
      </c>
      <c r="AR728" s="1">
        <v>2595.83</v>
      </c>
      <c r="AW728" s="1">
        <v>3150.34</v>
      </c>
      <c r="AX728" s="1">
        <v>118.19</v>
      </c>
      <c r="BA728" s="1">
        <v>120.03</v>
      </c>
      <c r="BB728" s="1">
        <v>131.76</v>
      </c>
      <c r="BC728" s="1">
        <v>129.61000000000001</v>
      </c>
      <c r="BD728" s="1">
        <v>129.34</v>
      </c>
      <c r="BE728" s="1">
        <v>123.99</v>
      </c>
      <c r="BF728" s="1">
        <v>121.71</v>
      </c>
      <c r="BG728" s="1">
        <v>132.83000000000001</v>
      </c>
      <c r="BH728" s="1">
        <v>121.9</v>
      </c>
      <c r="BI728" s="1">
        <v>125.16</v>
      </c>
      <c r="BJ728" s="1">
        <v>131.19</v>
      </c>
      <c r="BK728" s="1">
        <v>117.64</v>
      </c>
      <c r="BL728" s="1">
        <v>118.04</v>
      </c>
      <c r="BN728" s="1">
        <v>117.9</v>
      </c>
    </row>
    <row r="729" spans="1:66" x14ac:dyDescent="0.3">
      <c r="A729" s="2"/>
      <c r="C729" s="14" t="str">
        <f t="shared" si="12"/>
        <v>20235</v>
      </c>
      <c r="D729" s="3">
        <v>45048</v>
      </c>
      <c r="E729" s="21">
        <v>2377.5300000000002</v>
      </c>
      <c r="F729" s="21">
        <v>2372.16</v>
      </c>
      <c r="G729" s="21">
        <v>2405.2800000000002</v>
      </c>
      <c r="H729" s="21">
        <v>2330.5300000000002</v>
      </c>
      <c r="I729" s="21">
        <v>2297.04</v>
      </c>
      <c r="J729" s="21">
        <v>2278.1799999999998</v>
      </c>
      <c r="K729" s="21">
        <v>2302.41</v>
      </c>
      <c r="L729" s="21">
        <v>2253.62</v>
      </c>
      <c r="M729" s="21">
        <v>2050.98</v>
      </c>
      <c r="N729" s="21">
        <v>2104.56</v>
      </c>
      <c r="O729" s="21">
        <v>2223.94</v>
      </c>
      <c r="P729" s="21">
        <v>2319.9299999999998</v>
      </c>
      <c r="Q729" s="21">
        <v>5090.22</v>
      </c>
      <c r="R729" s="20">
        <v>119.03</v>
      </c>
      <c r="S729" s="20">
        <v>103</v>
      </c>
      <c r="T729" s="21">
        <v>124.06</v>
      </c>
      <c r="V729" s="1">
        <v>113.5</v>
      </c>
      <c r="W729" s="1">
        <v>126.85</v>
      </c>
      <c r="X729" s="1">
        <v>123.79</v>
      </c>
      <c r="Y729" s="1">
        <v>125.03</v>
      </c>
      <c r="Z729" s="1">
        <v>125.46</v>
      </c>
      <c r="AA729" s="1">
        <v>120.84</v>
      </c>
      <c r="AB729" s="1">
        <v>123.79</v>
      </c>
      <c r="AE729" s="1">
        <v>130.08000000000001</v>
      </c>
      <c r="AF729" s="1">
        <v>126.17</v>
      </c>
      <c r="AG729" s="1">
        <v>115.89</v>
      </c>
      <c r="AJ729" s="1">
        <v>30</v>
      </c>
      <c r="AR729" s="1">
        <v>2595.83</v>
      </c>
      <c r="AX729" s="1">
        <v>118.42</v>
      </c>
      <c r="AZ729" s="1">
        <v>3237.59</v>
      </c>
      <c r="BA729" s="1">
        <v>118.72</v>
      </c>
      <c r="BB729" s="1">
        <v>130.38</v>
      </c>
      <c r="BC729" s="1">
        <v>131.06</v>
      </c>
      <c r="BD729" s="1">
        <v>127.95</v>
      </c>
      <c r="BE729" s="1">
        <v>124.34</v>
      </c>
      <c r="BF729" s="1">
        <v>122.02</v>
      </c>
      <c r="BG729" s="1">
        <v>131.87</v>
      </c>
      <c r="BH729" s="1">
        <v>121.89</v>
      </c>
      <c r="BI729" s="1">
        <v>125.16</v>
      </c>
      <c r="BJ729" s="1">
        <v>131.18</v>
      </c>
      <c r="BK729" s="1">
        <v>117.64</v>
      </c>
      <c r="BL729" s="1">
        <v>118</v>
      </c>
      <c r="BN729" s="1">
        <v>118.14</v>
      </c>
    </row>
    <row r="730" spans="1:66" x14ac:dyDescent="0.3">
      <c r="A730" s="2"/>
      <c r="C730" s="14" t="str">
        <f t="shared" si="12"/>
        <v>20234</v>
      </c>
      <c r="D730" s="3">
        <v>45044</v>
      </c>
      <c r="E730" s="21">
        <v>2375.2600000000002</v>
      </c>
      <c r="F730" s="21">
        <v>2391.02</v>
      </c>
      <c r="G730" s="21">
        <v>2455.35</v>
      </c>
      <c r="H730" s="21">
        <v>2427.81</v>
      </c>
      <c r="I730" s="21">
        <v>2312.37</v>
      </c>
      <c r="J730" s="21">
        <v>2270.38</v>
      </c>
      <c r="K730" s="21">
        <v>2304.15</v>
      </c>
      <c r="L730" s="21">
        <v>2252.85</v>
      </c>
      <c r="M730" s="21">
        <v>2052.94</v>
      </c>
      <c r="N730" s="21">
        <v>2074.06</v>
      </c>
      <c r="O730" s="21">
        <v>2290.35</v>
      </c>
      <c r="P730" s="21">
        <v>2320.9299999999998</v>
      </c>
      <c r="Q730" s="21">
        <v>5040.42</v>
      </c>
      <c r="R730" s="20">
        <v>120.4</v>
      </c>
      <c r="S730" s="20">
        <v>107.21</v>
      </c>
      <c r="T730" s="21">
        <v>123.19</v>
      </c>
      <c r="V730" s="1">
        <v>112.83</v>
      </c>
      <c r="W730" s="1">
        <v>126.38</v>
      </c>
      <c r="X730" s="1">
        <v>128.47</v>
      </c>
      <c r="Y730" s="1">
        <v>123.93</v>
      </c>
      <c r="Z730" s="1">
        <v>124.94</v>
      </c>
      <c r="AA730" s="1">
        <v>119.8</v>
      </c>
      <c r="AB730" s="1">
        <v>125.92</v>
      </c>
      <c r="AC730" s="1">
        <v>115.98</v>
      </c>
      <c r="AE730" s="1">
        <v>133.04</v>
      </c>
      <c r="AF730" s="1">
        <v>123.27</v>
      </c>
      <c r="AG730" s="1">
        <v>113.42</v>
      </c>
      <c r="AJ730" s="1">
        <v>30</v>
      </c>
      <c r="AN730" s="1">
        <v>3333.68</v>
      </c>
      <c r="AR730" s="1">
        <v>2595.83</v>
      </c>
      <c r="AT730" s="1">
        <v>3232.66</v>
      </c>
      <c r="AW730" s="1">
        <v>3388.69</v>
      </c>
      <c r="AX730" s="1">
        <v>120.14</v>
      </c>
      <c r="AZ730" s="1">
        <v>3232.66</v>
      </c>
      <c r="BA730" s="1">
        <v>119.81</v>
      </c>
      <c r="BB730" s="1">
        <v>132.09</v>
      </c>
      <c r="BC730" s="1">
        <v>127.48</v>
      </c>
      <c r="BD730" s="1">
        <v>127.64</v>
      </c>
      <c r="BE730" s="1">
        <v>121.82</v>
      </c>
      <c r="BF730" s="1">
        <v>120.97</v>
      </c>
      <c r="BG730" s="1">
        <v>132.94999999999999</v>
      </c>
      <c r="BH730" s="1">
        <v>121.93</v>
      </c>
      <c r="BI730" s="1">
        <v>124.6</v>
      </c>
      <c r="BJ730" s="1">
        <v>129.22999999999999</v>
      </c>
      <c r="BK730" s="1">
        <v>113.37</v>
      </c>
      <c r="BL730" s="1">
        <v>117.06</v>
      </c>
      <c r="BN730" s="1">
        <v>116.75</v>
      </c>
    </row>
    <row r="731" spans="1:66" x14ac:dyDescent="0.3">
      <c r="A731" s="2"/>
      <c r="C731" s="14" t="str">
        <f t="shared" si="12"/>
        <v>20234</v>
      </c>
      <c r="D731" s="3">
        <v>45043</v>
      </c>
      <c r="E731" s="21">
        <v>2392.6799999999998</v>
      </c>
      <c r="F731" s="21">
        <v>2409.02</v>
      </c>
      <c r="G731" s="21">
        <v>2461.3200000000002</v>
      </c>
      <c r="H731" s="21">
        <v>2443.0100000000002</v>
      </c>
      <c r="I731" s="21">
        <v>2316.33</v>
      </c>
      <c r="J731" s="21">
        <v>2296.5100000000002</v>
      </c>
      <c r="K731" s="21">
        <v>2325.7199999999998</v>
      </c>
      <c r="L731" s="21">
        <v>2249.5500000000002</v>
      </c>
      <c r="M731" s="21">
        <v>2068.06</v>
      </c>
      <c r="N731" s="21">
        <v>2089.91</v>
      </c>
      <c r="O731" s="21">
        <v>2275.35</v>
      </c>
      <c r="P731" s="21">
        <v>2348.3000000000002</v>
      </c>
      <c r="Q731" s="21">
        <v>5147.74</v>
      </c>
      <c r="R731" s="20">
        <v>120.4</v>
      </c>
      <c r="S731" s="20">
        <v>102.82</v>
      </c>
      <c r="T731" s="21">
        <v>123.25</v>
      </c>
      <c r="V731" s="1">
        <v>113.22</v>
      </c>
      <c r="W731" s="1">
        <v>126.38</v>
      </c>
      <c r="X731" s="1">
        <v>128.69999999999999</v>
      </c>
      <c r="Y731" s="1">
        <v>123.82</v>
      </c>
      <c r="Z731" s="1">
        <v>124.12</v>
      </c>
      <c r="AA731" s="1">
        <v>120.51</v>
      </c>
      <c r="AB731" s="1">
        <v>126.37</v>
      </c>
      <c r="AC731" s="1">
        <v>116.22</v>
      </c>
      <c r="AE731" s="1">
        <v>133.85</v>
      </c>
      <c r="AF731" s="1">
        <v>125.65</v>
      </c>
      <c r="AG731" s="1">
        <v>114.23</v>
      </c>
      <c r="AN731" s="1">
        <v>3333.68</v>
      </c>
      <c r="AT731" s="1">
        <v>3232.66</v>
      </c>
      <c r="AW731" s="1">
        <v>3388.69</v>
      </c>
      <c r="AX731" s="1">
        <v>119.67</v>
      </c>
      <c r="AZ731" s="1">
        <v>3232.66</v>
      </c>
      <c r="BA731" s="1">
        <v>121.35</v>
      </c>
      <c r="BB731" s="1">
        <v>131.02000000000001</v>
      </c>
      <c r="BC731" s="1">
        <v>130.72</v>
      </c>
      <c r="BD731" s="1">
        <v>128.19999999999999</v>
      </c>
      <c r="BE731" s="1">
        <v>124.08</v>
      </c>
      <c r="BF731" s="1">
        <v>120.95</v>
      </c>
      <c r="BG731" s="1">
        <v>133.21</v>
      </c>
      <c r="BH731" s="1">
        <v>121.91</v>
      </c>
      <c r="BI731" s="1">
        <v>124.6</v>
      </c>
      <c r="BJ731" s="1">
        <v>128.97</v>
      </c>
      <c r="BK731" s="1">
        <v>113.71</v>
      </c>
      <c r="BL731" s="1">
        <v>117.46</v>
      </c>
      <c r="BN731" s="1">
        <v>116.26</v>
      </c>
    </row>
    <row r="732" spans="1:66" x14ac:dyDescent="0.3">
      <c r="A732" s="2"/>
      <c r="C732" s="14" t="str">
        <f t="shared" si="12"/>
        <v>20234</v>
      </c>
      <c r="D732" s="3">
        <v>45042</v>
      </c>
      <c r="E732" s="21">
        <v>2408.84</v>
      </c>
      <c r="F732" s="21">
        <v>2431.5100000000002</v>
      </c>
      <c r="G732" s="21">
        <v>2485.1</v>
      </c>
      <c r="H732" s="21">
        <v>2378.21</v>
      </c>
      <c r="I732" s="21">
        <v>2332.17</v>
      </c>
      <c r="J732" s="21">
        <v>2284.35</v>
      </c>
      <c r="K732" s="21">
        <v>2325.7199999999998</v>
      </c>
      <c r="L732" s="21">
        <v>2249.5500000000002</v>
      </c>
      <c r="M732" s="21">
        <v>2127.16</v>
      </c>
      <c r="N732" s="21">
        <v>2093.7600000000002</v>
      </c>
      <c r="O732" s="21">
        <v>2312.02</v>
      </c>
      <c r="P732" s="21">
        <v>2370.7600000000002</v>
      </c>
      <c r="Q732" s="21">
        <v>5209.1400000000003</v>
      </c>
      <c r="R732" s="20">
        <v>121.06</v>
      </c>
      <c r="S732" s="20">
        <v>103.7</v>
      </c>
      <c r="T732" s="21">
        <v>123.28</v>
      </c>
      <c r="V732" s="1">
        <v>114.7</v>
      </c>
      <c r="W732" s="1">
        <v>126.75</v>
      </c>
      <c r="X732" s="1">
        <v>129.54</v>
      </c>
      <c r="Y732" s="1">
        <v>123.67</v>
      </c>
      <c r="Z732" s="1">
        <v>124.17</v>
      </c>
      <c r="AA732" s="1">
        <v>121.33</v>
      </c>
      <c r="AB732" s="1">
        <v>129.47999999999999</v>
      </c>
      <c r="AC732" s="1">
        <v>116.95</v>
      </c>
      <c r="AE732" s="1">
        <v>134.77000000000001</v>
      </c>
      <c r="AF732" s="1">
        <v>125.72</v>
      </c>
      <c r="AG732" s="1">
        <v>113.13</v>
      </c>
      <c r="AN732" s="1">
        <v>3333.68</v>
      </c>
      <c r="AT732" s="1">
        <v>3232.66</v>
      </c>
      <c r="AW732" s="1">
        <v>3304.69</v>
      </c>
      <c r="AX732" s="1">
        <v>119.76</v>
      </c>
      <c r="AZ732" s="1">
        <v>3232.66</v>
      </c>
      <c r="BA732" s="1">
        <v>122.1</v>
      </c>
      <c r="BB732" s="1">
        <v>130.94</v>
      </c>
      <c r="BC732" s="1">
        <v>128.36000000000001</v>
      </c>
      <c r="BD732" s="1">
        <v>127.57</v>
      </c>
      <c r="BE732" s="1">
        <v>125.38</v>
      </c>
      <c r="BF732" s="1">
        <v>120.18</v>
      </c>
      <c r="BG732" s="1">
        <v>134.29</v>
      </c>
      <c r="BH732" s="1">
        <v>121.9</v>
      </c>
      <c r="BI732" s="1">
        <v>128.59</v>
      </c>
      <c r="BJ732" s="1">
        <v>134.16</v>
      </c>
      <c r="BK732" s="1">
        <v>113.71</v>
      </c>
      <c r="BL732" s="1">
        <v>115.83</v>
      </c>
      <c r="BN732" s="1">
        <v>116.26</v>
      </c>
    </row>
    <row r="733" spans="1:66" x14ac:dyDescent="0.3">
      <c r="A733" s="2"/>
      <c r="C733" s="14" t="str">
        <f t="shared" si="12"/>
        <v>20234</v>
      </c>
      <c r="D733" s="3">
        <v>45041</v>
      </c>
      <c r="E733" s="21">
        <v>2451.1</v>
      </c>
      <c r="F733" s="21">
        <v>2458.5100000000002</v>
      </c>
      <c r="G733" s="21">
        <v>2504.4</v>
      </c>
      <c r="H733" s="21">
        <v>2528.4899999999998</v>
      </c>
      <c r="I733" s="21">
        <v>2383.64</v>
      </c>
      <c r="J733" s="21">
        <v>2365.6</v>
      </c>
      <c r="K733" s="21">
        <v>2404.5300000000002</v>
      </c>
      <c r="L733" s="21">
        <v>2292.5700000000002</v>
      </c>
      <c r="M733" s="21">
        <v>2168.5300000000002</v>
      </c>
      <c r="N733" s="21">
        <v>2130.5100000000002</v>
      </c>
      <c r="O733" s="21">
        <v>2326.79</v>
      </c>
      <c r="P733" s="21">
        <v>2425.5100000000002</v>
      </c>
      <c r="Q733" s="21">
        <v>5207.72</v>
      </c>
      <c r="R733" s="20">
        <v>121.39</v>
      </c>
      <c r="S733" s="20">
        <v>103.82</v>
      </c>
      <c r="T733" s="21">
        <v>123.41</v>
      </c>
      <c r="V733" s="1">
        <v>115.45</v>
      </c>
      <c r="W733" s="1">
        <v>127.49</v>
      </c>
      <c r="X733" s="1">
        <v>133</v>
      </c>
      <c r="Y733" s="1">
        <v>123.93</v>
      </c>
      <c r="Z733" s="1">
        <v>124.16</v>
      </c>
      <c r="AA733" s="1">
        <v>122.41</v>
      </c>
      <c r="AB733" s="1">
        <v>130.25</v>
      </c>
      <c r="AC733" s="1">
        <v>119.14</v>
      </c>
      <c r="AE733" s="1">
        <v>136.84</v>
      </c>
      <c r="AF733" s="1">
        <v>126.38</v>
      </c>
      <c r="AG733" s="1">
        <v>113.95</v>
      </c>
      <c r="AN733" s="1">
        <v>3333.68</v>
      </c>
      <c r="AT733" s="1">
        <v>3232.66</v>
      </c>
      <c r="AW733" s="1">
        <v>3304.69</v>
      </c>
      <c r="AX733" s="1">
        <v>119.81</v>
      </c>
      <c r="BA733" s="1">
        <v>121.2</v>
      </c>
      <c r="BB733" s="1">
        <v>133.81</v>
      </c>
      <c r="BC733" s="1">
        <v>129.07</v>
      </c>
      <c r="BD733" s="1">
        <v>127.61</v>
      </c>
      <c r="BE733" s="1">
        <v>125.98</v>
      </c>
      <c r="BF733" s="1">
        <v>120.15</v>
      </c>
      <c r="BG733" s="1">
        <v>135.22</v>
      </c>
      <c r="BH733" s="1">
        <v>123.61</v>
      </c>
      <c r="BI733" s="1">
        <v>131.79</v>
      </c>
      <c r="BJ733" s="1">
        <v>136.76</v>
      </c>
      <c r="BK733" s="1">
        <v>116.03</v>
      </c>
      <c r="BL733" s="1">
        <v>116.85</v>
      </c>
      <c r="BN733" s="1">
        <v>118.24</v>
      </c>
    </row>
    <row r="734" spans="1:66" x14ac:dyDescent="0.3">
      <c r="A734" s="2"/>
      <c r="C734" s="14" t="str">
        <f t="shared" si="12"/>
        <v>20234</v>
      </c>
      <c r="D734" s="3">
        <v>45040</v>
      </c>
      <c r="E734" s="21">
        <v>2457.35</v>
      </c>
      <c r="F734" s="21">
        <v>2458.5100000000002</v>
      </c>
      <c r="G734" s="21">
        <v>2506.9299999999998</v>
      </c>
      <c r="H734" s="21">
        <v>2542.35</v>
      </c>
      <c r="I734" s="21">
        <v>2395.52</v>
      </c>
      <c r="J734" s="21">
        <v>2388.87</v>
      </c>
      <c r="K734" s="21">
        <v>2343.15</v>
      </c>
      <c r="L734" s="21">
        <v>2292.5700000000002</v>
      </c>
      <c r="M734" s="21">
        <v>2201.7800000000002</v>
      </c>
      <c r="N734" s="21">
        <v>2171.5700000000002</v>
      </c>
      <c r="O734" s="21">
        <v>2349.0100000000002</v>
      </c>
      <c r="P734" s="21">
        <v>2435.25</v>
      </c>
      <c r="Q734" s="21">
        <v>5321.12</v>
      </c>
      <c r="R734" s="20">
        <v>124.39</v>
      </c>
      <c r="S734" s="20">
        <v>116.19</v>
      </c>
      <c r="T734" s="21">
        <v>125.77</v>
      </c>
      <c r="V734" s="1">
        <v>118.3</v>
      </c>
      <c r="W734" s="1">
        <v>129.86000000000001</v>
      </c>
      <c r="X734" s="1">
        <v>134.91999999999999</v>
      </c>
      <c r="Y734" s="1">
        <v>126.02</v>
      </c>
      <c r="Z734" s="1">
        <v>126.25</v>
      </c>
      <c r="AA734" s="1">
        <v>125.37</v>
      </c>
      <c r="AB734" s="1">
        <v>132.15</v>
      </c>
      <c r="AE734" s="1">
        <v>138.72</v>
      </c>
      <c r="AF734" s="1">
        <v>131.38999999999999</v>
      </c>
      <c r="AG734" s="1">
        <v>118.11</v>
      </c>
      <c r="AT734" s="1">
        <v>3232.66</v>
      </c>
      <c r="AW734" s="1">
        <v>3290.19</v>
      </c>
      <c r="AX734" s="1">
        <v>129.77000000000001</v>
      </c>
      <c r="BA734" s="1">
        <v>129.09</v>
      </c>
      <c r="BB734" s="1">
        <v>134.75</v>
      </c>
      <c r="BC734" s="1">
        <v>130.41</v>
      </c>
      <c r="BD734" s="1">
        <v>132.33000000000001</v>
      </c>
      <c r="BE734" s="1">
        <v>127.99</v>
      </c>
      <c r="BF734" s="1">
        <v>124.2</v>
      </c>
      <c r="BG734" s="1">
        <v>135.86000000000001</v>
      </c>
      <c r="BH734" s="1">
        <v>125.06</v>
      </c>
      <c r="BI734" s="1">
        <v>132.58000000000001</v>
      </c>
      <c r="BJ734" s="1">
        <v>136.74</v>
      </c>
      <c r="BK734" s="1">
        <v>116.36</v>
      </c>
      <c r="BL734" s="1">
        <v>117.65</v>
      </c>
      <c r="BN734" s="1">
        <v>118.74</v>
      </c>
    </row>
    <row r="735" spans="1:66" x14ac:dyDescent="0.3">
      <c r="A735" s="2"/>
      <c r="C735" s="14" t="str">
        <f t="shared" si="12"/>
        <v>20234</v>
      </c>
      <c r="D735" s="3">
        <v>45036</v>
      </c>
      <c r="E735" s="21">
        <v>2495.92</v>
      </c>
      <c r="F735" s="21">
        <v>2481.0100000000002</v>
      </c>
      <c r="G735" s="21">
        <v>2544.81</v>
      </c>
      <c r="H735" s="21">
        <v>2508.3000000000002</v>
      </c>
      <c r="I735" s="21">
        <v>2385.62</v>
      </c>
      <c r="J735" s="21">
        <v>2405.5300000000002</v>
      </c>
      <c r="K735" s="21">
        <v>2343.15</v>
      </c>
      <c r="L735" s="21">
        <v>2166.67</v>
      </c>
      <c r="M735" s="21">
        <v>2241.17</v>
      </c>
      <c r="N735" s="21">
        <v>2202.59</v>
      </c>
      <c r="O735" s="21">
        <v>2352.7600000000002</v>
      </c>
      <c r="P735" s="21">
        <v>2435.25</v>
      </c>
      <c r="Q735" s="21">
        <v>5602.43</v>
      </c>
      <c r="R735" s="20">
        <v>125.72</v>
      </c>
      <c r="S735" s="20">
        <v>111.98</v>
      </c>
      <c r="T735" s="21">
        <v>127.63</v>
      </c>
      <c r="V735" s="1">
        <v>119.64</v>
      </c>
      <c r="W735" s="1">
        <v>131.78</v>
      </c>
      <c r="X735" s="1">
        <v>137.63999999999999</v>
      </c>
      <c r="Y735" s="1">
        <v>127.51</v>
      </c>
      <c r="Z735" s="1">
        <v>127.74</v>
      </c>
      <c r="AA735" s="1">
        <v>126.42</v>
      </c>
      <c r="AB735" s="1">
        <v>136.41999999999999</v>
      </c>
      <c r="AE735" s="1">
        <v>141.6</v>
      </c>
      <c r="AF735" s="1">
        <v>132.44999999999999</v>
      </c>
      <c r="AG735" s="1">
        <v>121.23</v>
      </c>
      <c r="AW735" s="1">
        <v>3235.94</v>
      </c>
      <c r="AX735" s="1">
        <v>133.66</v>
      </c>
      <c r="BA735" s="1">
        <v>129.79</v>
      </c>
      <c r="BB735" s="1">
        <v>138.22999999999999</v>
      </c>
      <c r="BC735" s="1">
        <v>132.04</v>
      </c>
      <c r="BD735" s="1">
        <v>136.01</v>
      </c>
      <c r="BE735" s="1">
        <v>130.86000000000001</v>
      </c>
      <c r="BF735" s="1">
        <v>127.22</v>
      </c>
      <c r="BG735" s="1">
        <v>141.66</v>
      </c>
      <c r="BH735" s="1">
        <v>127.56</v>
      </c>
      <c r="BI735" s="1">
        <v>133.97999999999999</v>
      </c>
      <c r="BJ735" s="1">
        <v>139.66999999999999</v>
      </c>
      <c r="BK735" s="1">
        <v>118.03</v>
      </c>
      <c r="BL735" s="1">
        <v>120.45</v>
      </c>
      <c r="BN735" s="1">
        <v>119.99</v>
      </c>
    </row>
    <row r="736" spans="1:66" x14ac:dyDescent="0.3">
      <c r="A736" s="2"/>
      <c r="C736" s="14" t="str">
        <f t="shared" si="12"/>
        <v>20234</v>
      </c>
      <c r="D736" s="3">
        <v>45035</v>
      </c>
      <c r="E736" s="21">
        <v>2498.41</v>
      </c>
      <c r="F736" s="21">
        <v>2481.0100000000002</v>
      </c>
      <c r="G736" s="21">
        <v>2544.81</v>
      </c>
      <c r="H736" s="21">
        <v>2424.3200000000002</v>
      </c>
      <c r="I736" s="21">
        <v>2407.4</v>
      </c>
      <c r="J736" s="21">
        <v>2440.89</v>
      </c>
      <c r="K736" s="21">
        <v>2344.81</v>
      </c>
      <c r="L736" s="21">
        <v>2312.42</v>
      </c>
      <c r="M736" s="21">
        <v>2285.63</v>
      </c>
      <c r="N736" s="21">
        <v>2222.4899999999998</v>
      </c>
      <c r="O736" s="21">
        <v>2355.2600000000002</v>
      </c>
      <c r="P736" s="21">
        <v>2435.25</v>
      </c>
      <c r="Q736" s="21">
        <v>5384.53</v>
      </c>
      <c r="R736" s="20">
        <v>127.21</v>
      </c>
      <c r="S736" s="20">
        <v>112.98</v>
      </c>
      <c r="T736" s="21">
        <v>127.63</v>
      </c>
      <c r="V736" s="1">
        <v>120.91</v>
      </c>
      <c r="W736" s="1">
        <v>132.11000000000001</v>
      </c>
      <c r="X736" s="1">
        <v>138.18</v>
      </c>
      <c r="Y736" s="1">
        <v>128.12</v>
      </c>
      <c r="Z736" s="1">
        <v>128.85</v>
      </c>
      <c r="AA736" s="1">
        <v>128.86000000000001</v>
      </c>
      <c r="AB736" s="1">
        <v>138.21</v>
      </c>
      <c r="AE736" s="1">
        <v>142.19</v>
      </c>
      <c r="AF736" s="1">
        <v>132.69</v>
      </c>
      <c r="AG736" s="1">
        <v>120.43</v>
      </c>
      <c r="AW736" s="1">
        <v>3335.2</v>
      </c>
      <c r="AX736" s="1">
        <v>133.66</v>
      </c>
      <c r="BA736" s="1">
        <v>129.09</v>
      </c>
      <c r="BB736" s="1">
        <v>140.43</v>
      </c>
      <c r="BC736" s="1">
        <v>134.59</v>
      </c>
      <c r="BD736" s="1">
        <v>134.94999999999999</v>
      </c>
      <c r="BE736" s="1">
        <v>132.03</v>
      </c>
      <c r="BF736" s="1">
        <v>128.33000000000001</v>
      </c>
      <c r="BG736" s="1">
        <v>142.69</v>
      </c>
      <c r="BH736" s="1">
        <v>128.06</v>
      </c>
      <c r="BI736" s="1">
        <v>134.58000000000001</v>
      </c>
      <c r="BJ736" s="1">
        <v>140.84</v>
      </c>
      <c r="BK736" s="1">
        <v>121.02</v>
      </c>
      <c r="BL736" s="1">
        <v>121.45</v>
      </c>
      <c r="BN736" s="1">
        <v>120.98</v>
      </c>
    </row>
    <row r="737" spans="1:66" x14ac:dyDescent="0.3">
      <c r="A737" s="2"/>
      <c r="C737" s="14" t="str">
        <f t="shared" si="12"/>
        <v>20234</v>
      </c>
      <c r="D737" s="3">
        <v>45034</v>
      </c>
      <c r="E737" s="21">
        <v>2475.65</v>
      </c>
      <c r="F737" s="21">
        <v>2509.35</v>
      </c>
      <c r="G737" s="21">
        <v>2557.1799999999998</v>
      </c>
      <c r="H737" s="21">
        <v>2425.2199999999998</v>
      </c>
      <c r="I737" s="21">
        <v>2411.36</v>
      </c>
      <c r="J737" s="21">
        <v>2437.25</v>
      </c>
      <c r="K737" s="21">
        <v>2344.81</v>
      </c>
      <c r="L737" s="21">
        <v>2338.8200000000002</v>
      </c>
      <c r="M737" s="21">
        <v>2285.63</v>
      </c>
      <c r="N737" s="21">
        <v>2229.35</v>
      </c>
      <c r="O737" s="21">
        <v>2376.48</v>
      </c>
      <c r="P737" s="21">
        <v>2437.9899999999998</v>
      </c>
      <c r="Q737" s="21">
        <v>5404.53</v>
      </c>
      <c r="R737" s="20">
        <v>127.71</v>
      </c>
      <c r="S737" s="20">
        <v>113.15</v>
      </c>
      <c r="T737" s="21">
        <v>129.77000000000001</v>
      </c>
      <c r="V737" s="1">
        <v>122.54</v>
      </c>
      <c r="W737" s="1">
        <v>132.30000000000001</v>
      </c>
      <c r="X737" s="1">
        <v>139.13999999999999</v>
      </c>
      <c r="Y737" s="1">
        <v>129.47999999999999</v>
      </c>
      <c r="Z737" s="1">
        <v>129.96</v>
      </c>
      <c r="AA737" s="1">
        <v>129.55000000000001</v>
      </c>
      <c r="AB737" s="1">
        <v>139.41</v>
      </c>
      <c r="AE737" s="1">
        <v>142.97999999999999</v>
      </c>
      <c r="AF737" s="1">
        <v>132.55000000000001</v>
      </c>
      <c r="AG737" s="1">
        <v>120.05</v>
      </c>
      <c r="AW737" s="1">
        <v>3335.2</v>
      </c>
      <c r="AX737" s="1">
        <v>128.84</v>
      </c>
      <c r="BA737" s="1">
        <v>130.61000000000001</v>
      </c>
      <c r="BB737" s="1">
        <v>139.38999999999999</v>
      </c>
      <c r="BC737" s="1">
        <v>134.68</v>
      </c>
      <c r="BD737" s="1">
        <v>134.69999999999999</v>
      </c>
      <c r="BE737" s="1">
        <v>132.07</v>
      </c>
      <c r="BF737" s="1">
        <v>128.69</v>
      </c>
      <c r="BG737" s="1">
        <v>142.78</v>
      </c>
      <c r="BH737" s="1">
        <v>128.06</v>
      </c>
      <c r="BI737" s="1">
        <v>136.58000000000001</v>
      </c>
      <c r="BJ737" s="1">
        <v>140.82</v>
      </c>
      <c r="BK737" s="1">
        <v>121.69</v>
      </c>
      <c r="BL737" s="1">
        <v>122.64</v>
      </c>
      <c r="BN737" s="1">
        <v>122.38</v>
      </c>
    </row>
    <row r="738" spans="1:66" x14ac:dyDescent="0.3">
      <c r="A738" s="2"/>
      <c r="C738" s="14" t="str">
        <f t="shared" si="12"/>
        <v>20234</v>
      </c>
      <c r="D738" s="3">
        <v>45033</v>
      </c>
      <c r="E738" s="21">
        <v>2455.9699999999998</v>
      </c>
      <c r="F738" s="21">
        <v>2517</v>
      </c>
      <c r="G738" s="21">
        <v>2551.67</v>
      </c>
      <c r="H738" s="21">
        <v>2533.6</v>
      </c>
      <c r="I738" s="21">
        <v>2435.11</v>
      </c>
      <c r="J738" s="21">
        <v>2403.15</v>
      </c>
      <c r="K738" s="21">
        <v>2395.65</v>
      </c>
      <c r="L738" s="21">
        <v>2338.8200000000002</v>
      </c>
      <c r="M738" s="21">
        <v>2251.98</v>
      </c>
      <c r="N738" s="21">
        <v>2225.44</v>
      </c>
      <c r="O738" s="21">
        <v>2366.79</v>
      </c>
      <c r="P738" s="21">
        <v>2437.9899999999998</v>
      </c>
      <c r="Q738" s="21">
        <v>5289.72</v>
      </c>
      <c r="R738" s="20">
        <v>127.71</v>
      </c>
      <c r="S738" s="20">
        <v>113.31</v>
      </c>
      <c r="T738" s="21">
        <v>129.97999999999999</v>
      </c>
      <c r="V738" s="1">
        <v>122.67</v>
      </c>
      <c r="W738" s="1">
        <v>133.72999999999999</v>
      </c>
      <c r="X738" s="1">
        <v>139.72999999999999</v>
      </c>
      <c r="Y738" s="1">
        <v>129.74</v>
      </c>
      <c r="Z738" s="1">
        <v>130.36000000000001</v>
      </c>
      <c r="AA738" s="1">
        <v>129.30000000000001</v>
      </c>
      <c r="AB738" s="1">
        <v>139.76</v>
      </c>
      <c r="AE738" s="1">
        <v>143.59</v>
      </c>
      <c r="AF738" s="1">
        <v>131.26</v>
      </c>
      <c r="AG738" s="1">
        <v>121.01</v>
      </c>
      <c r="AW738" s="1">
        <v>3335.2</v>
      </c>
      <c r="AX738" s="1">
        <v>129.07</v>
      </c>
      <c r="BA738" s="1">
        <v>130.32</v>
      </c>
      <c r="BB738" s="1">
        <v>139.16999999999999</v>
      </c>
      <c r="BC738" s="1">
        <v>133.5</v>
      </c>
      <c r="BD738" s="1">
        <v>134.21</v>
      </c>
      <c r="BE738" s="1">
        <v>132.4</v>
      </c>
      <c r="BF738" s="1">
        <v>129.29</v>
      </c>
      <c r="BG738" s="1">
        <v>143.28</v>
      </c>
      <c r="BH738" s="1">
        <v>127.83</v>
      </c>
      <c r="BI738" s="1">
        <v>136.58000000000001</v>
      </c>
      <c r="BJ738" s="1">
        <v>140.80000000000001</v>
      </c>
      <c r="BK738" s="1">
        <v>121.69</v>
      </c>
      <c r="BL738" s="1">
        <v>123.44</v>
      </c>
      <c r="BN738" s="1">
        <v>123.18</v>
      </c>
    </row>
    <row r="739" spans="1:66" x14ac:dyDescent="0.3">
      <c r="A739" s="2"/>
      <c r="C739" s="14" t="str">
        <f t="shared" si="12"/>
        <v>20234</v>
      </c>
      <c r="D739" s="3">
        <v>45030</v>
      </c>
      <c r="E739" s="21">
        <v>2491.87</v>
      </c>
      <c r="F739" s="21">
        <v>2517</v>
      </c>
      <c r="G739" s="21">
        <v>2551.67</v>
      </c>
      <c r="H739" s="21">
        <v>2446.89</v>
      </c>
      <c r="I739" s="21">
        <v>2452.9299999999998</v>
      </c>
      <c r="J739" s="21">
        <v>2399.39</v>
      </c>
      <c r="K739" s="21">
        <v>2387.17</v>
      </c>
      <c r="L739" s="21">
        <v>2328.92</v>
      </c>
      <c r="M739" s="21">
        <v>2264.48</v>
      </c>
      <c r="N739" s="21">
        <v>2220.5</v>
      </c>
      <c r="O739" s="21">
        <v>2377.54</v>
      </c>
      <c r="P739" s="21">
        <v>2465.6999999999998</v>
      </c>
      <c r="Q739" s="21">
        <v>5235.79</v>
      </c>
      <c r="R739" s="20">
        <v>127.38</v>
      </c>
      <c r="S739" s="20">
        <v>113.48</v>
      </c>
      <c r="T739" s="21">
        <v>129.99</v>
      </c>
      <c r="V739" s="1">
        <v>123.66</v>
      </c>
      <c r="W739" s="1">
        <v>134.13999999999999</v>
      </c>
      <c r="X739" s="1">
        <v>140.97999999999999</v>
      </c>
      <c r="Y739" s="1">
        <v>129.37</v>
      </c>
      <c r="Z739" s="1">
        <v>130.13999999999999</v>
      </c>
      <c r="AA739" s="1">
        <v>129.83000000000001</v>
      </c>
      <c r="AB739" s="1">
        <v>140.66999999999999</v>
      </c>
      <c r="AE739" s="1">
        <v>143.43</v>
      </c>
      <c r="AF739" s="1">
        <v>132.97</v>
      </c>
      <c r="AG739" s="1">
        <v>119.32</v>
      </c>
      <c r="AX739" s="1">
        <v>132.72999999999999</v>
      </c>
      <c r="BA739" s="1">
        <v>130.32</v>
      </c>
      <c r="BB739" s="1">
        <v>138.94</v>
      </c>
      <c r="BC739" s="1">
        <v>134.33000000000001</v>
      </c>
      <c r="BD739" s="1">
        <v>136.37</v>
      </c>
      <c r="BE739" s="1">
        <v>131.77000000000001</v>
      </c>
      <c r="BF739" s="1">
        <v>129.24</v>
      </c>
      <c r="BG739" s="1">
        <v>144.11000000000001</v>
      </c>
      <c r="BH739" s="1">
        <v>128.21</v>
      </c>
      <c r="BI739" s="1">
        <v>138.16999999999999</v>
      </c>
      <c r="BJ739" s="1">
        <v>142.46</v>
      </c>
      <c r="BK739" s="1">
        <v>123.25</v>
      </c>
      <c r="BL739" s="1">
        <v>123.7</v>
      </c>
      <c r="BN739" s="1">
        <v>124.21</v>
      </c>
    </row>
    <row r="740" spans="1:66" x14ac:dyDescent="0.3">
      <c r="A740" s="2"/>
      <c r="C740" s="14" t="str">
        <f t="shared" si="12"/>
        <v>20234</v>
      </c>
      <c r="D740" s="3">
        <v>45029</v>
      </c>
      <c r="E740" s="21">
        <v>2494.7199999999998</v>
      </c>
      <c r="F740" s="21">
        <v>2524.1999999999998</v>
      </c>
      <c r="G740" s="21">
        <v>2551.67</v>
      </c>
      <c r="H740" s="21">
        <v>2445.9899999999998</v>
      </c>
      <c r="I740" s="21">
        <v>2456.89</v>
      </c>
      <c r="J740" s="21">
        <v>2407.65</v>
      </c>
      <c r="K740" s="21">
        <v>2422.21</v>
      </c>
      <c r="L740" s="21">
        <v>2307.42</v>
      </c>
      <c r="M740" s="21">
        <v>2251.98</v>
      </c>
      <c r="N740" s="21">
        <v>2195.2600000000002</v>
      </c>
      <c r="O740" s="21">
        <v>2377.39</v>
      </c>
      <c r="P740" s="21">
        <v>2470.36</v>
      </c>
      <c r="Q740" s="21">
        <v>5470.62</v>
      </c>
      <c r="R740" s="20">
        <v>128.71</v>
      </c>
      <c r="S740" s="20">
        <v>113.81</v>
      </c>
      <c r="T740" s="21">
        <v>132.01</v>
      </c>
      <c r="V740" s="1">
        <v>123.9</v>
      </c>
      <c r="W740" s="1">
        <v>135.5</v>
      </c>
      <c r="X740" s="1">
        <v>142.37</v>
      </c>
      <c r="Y740" s="1">
        <v>131.24</v>
      </c>
      <c r="Z740" s="1">
        <v>131.08000000000001</v>
      </c>
      <c r="AA740" s="1">
        <v>130.63</v>
      </c>
      <c r="AB740" s="1">
        <v>142.46</v>
      </c>
      <c r="AE740" s="1">
        <v>145.61000000000001</v>
      </c>
      <c r="AF740" s="1">
        <v>135.71</v>
      </c>
      <c r="AG740" s="1">
        <v>121.42</v>
      </c>
      <c r="AX740" s="1">
        <v>131.93</v>
      </c>
      <c r="BA740" s="1">
        <v>129.66999999999999</v>
      </c>
      <c r="BB740" s="1">
        <v>142.03</v>
      </c>
      <c r="BC740" s="1">
        <v>135.69</v>
      </c>
      <c r="BD740" s="1">
        <v>138.44999999999999</v>
      </c>
      <c r="BE740" s="1">
        <v>133.16999999999999</v>
      </c>
      <c r="BF740" s="1">
        <v>130.38999999999999</v>
      </c>
      <c r="BG740" s="1">
        <v>145.13999999999999</v>
      </c>
      <c r="BH740" s="1">
        <v>128.46</v>
      </c>
      <c r="BI740" s="1">
        <v>139.57</v>
      </c>
      <c r="BJ740" s="1">
        <v>143.69</v>
      </c>
      <c r="BK740" s="1">
        <v>123.25</v>
      </c>
      <c r="BL740" s="1">
        <v>124.9</v>
      </c>
      <c r="BN740" s="1">
        <v>125.37</v>
      </c>
    </row>
    <row r="741" spans="1:66" x14ac:dyDescent="0.3">
      <c r="A741" s="2"/>
      <c r="C741" s="14" t="str">
        <f t="shared" si="12"/>
        <v>20234</v>
      </c>
      <c r="D741" s="3">
        <v>45028</v>
      </c>
      <c r="E741" s="21">
        <v>2487.6999999999998</v>
      </c>
      <c r="F741" s="21">
        <v>2524.1999999999998</v>
      </c>
      <c r="G741" s="21">
        <v>2551.67</v>
      </c>
      <c r="H741" s="21">
        <v>2425.66</v>
      </c>
      <c r="I741" s="21">
        <v>2456.89</v>
      </c>
      <c r="J741" s="21">
        <v>2416.0500000000002</v>
      </c>
      <c r="K741" s="21">
        <v>2422.21</v>
      </c>
      <c r="L741" s="21">
        <v>2307.42</v>
      </c>
      <c r="M741" s="21">
        <v>2256.6</v>
      </c>
      <c r="N741" s="21">
        <v>2231.23</v>
      </c>
      <c r="O741" s="21">
        <v>2377.77</v>
      </c>
      <c r="P741" s="21">
        <v>2470.36</v>
      </c>
      <c r="Q741" s="21">
        <v>5616.65</v>
      </c>
      <c r="R741" s="20">
        <v>129.04</v>
      </c>
      <c r="S741" s="20">
        <v>116.14</v>
      </c>
      <c r="T741" s="21">
        <v>133.11000000000001</v>
      </c>
      <c r="V741" s="1">
        <v>123.94</v>
      </c>
      <c r="W741" s="1">
        <v>137.63999999999999</v>
      </c>
      <c r="X741" s="1">
        <v>143.52000000000001</v>
      </c>
      <c r="Y741" s="1">
        <v>133.26</v>
      </c>
      <c r="Z741" s="1">
        <v>134.05000000000001</v>
      </c>
      <c r="AA741" s="1">
        <v>130.88999999999999</v>
      </c>
      <c r="AB741" s="1">
        <v>143.31</v>
      </c>
      <c r="AE741" s="1">
        <v>145.91</v>
      </c>
      <c r="AF741" s="1">
        <v>136.32</v>
      </c>
      <c r="AG741" s="1">
        <v>120.94</v>
      </c>
      <c r="AX741" s="1">
        <v>129.51</v>
      </c>
      <c r="BA741" s="1">
        <v>133.09</v>
      </c>
      <c r="BB741" s="1">
        <v>144.43</v>
      </c>
      <c r="BC741" s="1">
        <v>137.69</v>
      </c>
      <c r="BD741" s="1">
        <v>139.32</v>
      </c>
      <c r="BE741" s="1">
        <v>133.86000000000001</v>
      </c>
      <c r="BF741" s="1">
        <v>130.62</v>
      </c>
      <c r="BG741" s="1">
        <v>146.02000000000001</v>
      </c>
      <c r="BH741" s="1">
        <v>128.46</v>
      </c>
      <c r="BI741" s="1">
        <v>141.56</v>
      </c>
      <c r="BJ741" s="1">
        <v>144.41999999999999</v>
      </c>
      <c r="BK741" s="1">
        <v>123.91</v>
      </c>
      <c r="BL741" s="1">
        <v>126.43</v>
      </c>
      <c r="BN741" s="1">
        <v>126.4</v>
      </c>
    </row>
    <row r="742" spans="1:66" x14ac:dyDescent="0.3">
      <c r="A742" s="2"/>
      <c r="C742" s="14" t="str">
        <f t="shared" si="12"/>
        <v>20234</v>
      </c>
      <c r="D742" s="3">
        <v>45027</v>
      </c>
      <c r="E742" s="21">
        <v>2505.62</v>
      </c>
      <c r="F742" s="21">
        <v>2535</v>
      </c>
      <c r="G742" s="21">
        <v>2551.67</v>
      </c>
      <c r="H742" s="21">
        <v>2430.17</v>
      </c>
      <c r="I742" s="21">
        <v>2486.59</v>
      </c>
      <c r="J742" s="21">
        <v>2446.5700000000002</v>
      </c>
      <c r="K742" s="21">
        <v>2422.21</v>
      </c>
      <c r="L742" s="21">
        <v>2335.54</v>
      </c>
      <c r="M742" s="21">
        <v>2296.2199999999998</v>
      </c>
      <c r="N742" s="21">
        <v>2254.9899999999998</v>
      </c>
      <c r="O742" s="21">
        <v>2403.11</v>
      </c>
      <c r="P742" s="21">
        <v>2470.36</v>
      </c>
      <c r="Q742" s="21">
        <v>5754.64</v>
      </c>
      <c r="R742" s="20">
        <v>131.37</v>
      </c>
      <c r="S742" s="20">
        <v>118.53</v>
      </c>
      <c r="T742" s="21">
        <v>133.69999999999999</v>
      </c>
      <c r="V742" s="1">
        <v>126.24</v>
      </c>
      <c r="W742" s="1">
        <v>137.96</v>
      </c>
      <c r="X742" s="1">
        <v>144.25</v>
      </c>
      <c r="Y742" s="1">
        <v>134.36000000000001</v>
      </c>
      <c r="Z742" s="1">
        <v>134.76</v>
      </c>
      <c r="AA742" s="1">
        <v>133.02000000000001</v>
      </c>
      <c r="AB742" s="1">
        <v>144.56</v>
      </c>
      <c r="AE742" s="1">
        <v>145.91</v>
      </c>
      <c r="AF742" s="1">
        <v>138.52000000000001</v>
      </c>
      <c r="AG742" s="1">
        <v>126.01</v>
      </c>
      <c r="AX742" s="1">
        <v>129.35</v>
      </c>
      <c r="BA742" s="1">
        <v>134.07</v>
      </c>
      <c r="BB742" s="1">
        <v>145.37</v>
      </c>
      <c r="BC742" s="1">
        <v>138.72</v>
      </c>
      <c r="BD742" s="1">
        <v>140.03</v>
      </c>
      <c r="BE742" s="1">
        <v>137.11000000000001</v>
      </c>
      <c r="BF742" s="1">
        <v>134.75</v>
      </c>
      <c r="BG742" s="1">
        <v>146.46</v>
      </c>
      <c r="BH742" s="1">
        <v>132.32</v>
      </c>
      <c r="BI742" s="1">
        <v>142.16</v>
      </c>
      <c r="BJ742" s="1">
        <v>145.9</v>
      </c>
      <c r="BK742" s="1">
        <v>126.34</v>
      </c>
      <c r="BL742" s="1">
        <v>128.13</v>
      </c>
      <c r="BN742" s="1">
        <v>126.7</v>
      </c>
    </row>
    <row r="743" spans="1:66" x14ac:dyDescent="0.3">
      <c r="A743" s="2"/>
      <c r="C743" s="14" t="str">
        <f t="shared" si="12"/>
        <v>20234</v>
      </c>
      <c r="D743" s="3">
        <v>45026</v>
      </c>
      <c r="E743" s="21">
        <v>2528.59</v>
      </c>
      <c r="F743" s="21">
        <v>2538.23</v>
      </c>
      <c r="G743" s="21">
        <v>2557.1799999999998</v>
      </c>
      <c r="H743" s="21">
        <v>2445.9899999999998</v>
      </c>
      <c r="I743" s="21">
        <v>2486.59</v>
      </c>
      <c r="J743" s="21">
        <v>2449.6</v>
      </c>
      <c r="K743" s="21">
        <v>2442.1999999999998</v>
      </c>
      <c r="L743" s="21">
        <v>2335.54</v>
      </c>
      <c r="M743" s="21">
        <v>2304.1</v>
      </c>
      <c r="N743" s="21">
        <v>2284.61</v>
      </c>
      <c r="O743" s="21">
        <v>2426.9499999999998</v>
      </c>
      <c r="P743" s="21">
        <v>2525.31</v>
      </c>
      <c r="Q743" s="21">
        <v>5743.67</v>
      </c>
      <c r="R743" s="20">
        <v>132.53</v>
      </c>
      <c r="S743" s="20">
        <v>120.72</v>
      </c>
      <c r="T743" s="21">
        <v>136.47999999999999</v>
      </c>
      <c r="V743" s="1">
        <v>128.49</v>
      </c>
      <c r="W743" s="1">
        <v>140.56</v>
      </c>
      <c r="X743" s="1">
        <v>145.36000000000001</v>
      </c>
      <c r="Y743" s="1">
        <v>134.81</v>
      </c>
      <c r="Z743" s="1">
        <v>136.55000000000001</v>
      </c>
      <c r="AA743" s="1">
        <v>134.86000000000001</v>
      </c>
      <c r="AB743" s="1">
        <v>144.91</v>
      </c>
      <c r="AE743" s="1">
        <v>146.47</v>
      </c>
      <c r="AF743" s="1">
        <v>139.22</v>
      </c>
      <c r="AG743" s="1">
        <v>130.38999999999999</v>
      </c>
      <c r="AX743" s="1">
        <v>132.01</v>
      </c>
      <c r="BA743" s="1">
        <v>135.44</v>
      </c>
      <c r="BB743" s="1">
        <v>145.87</v>
      </c>
      <c r="BC743" s="1">
        <v>139.38</v>
      </c>
      <c r="BD743" s="1">
        <v>140.22999999999999</v>
      </c>
      <c r="BE743" s="1">
        <v>137.52000000000001</v>
      </c>
      <c r="BF743" s="1">
        <v>136.38999999999999</v>
      </c>
      <c r="BG743" s="1">
        <v>146.96</v>
      </c>
      <c r="BH743" s="1">
        <v>132.32</v>
      </c>
      <c r="BI743" s="1">
        <v>142.56</v>
      </c>
      <c r="BJ743" s="1">
        <v>148.11000000000001</v>
      </c>
      <c r="BK743" s="1">
        <v>126.67</v>
      </c>
      <c r="BL743" s="1">
        <v>128.38999999999999</v>
      </c>
      <c r="BN743" s="1">
        <v>126.9</v>
      </c>
    </row>
    <row r="744" spans="1:66" x14ac:dyDescent="0.3">
      <c r="A744" s="2"/>
      <c r="C744" s="14" t="str">
        <f t="shared" si="12"/>
        <v>20234</v>
      </c>
      <c r="D744" s="3">
        <v>45022</v>
      </c>
      <c r="E744" s="21">
        <v>2519.48</v>
      </c>
      <c r="F744" s="21">
        <v>2558.85</v>
      </c>
      <c r="G744" s="21">
        <v>2581.9899999999998</v>
      </c>
      <c r="H744" s="21">
        <v>2423.1799999999998</v>
      </c>
      <c r="I744" s="21">
        <v>2522.2199999999998</v>
      </c>
      <c r="J744" s="21">
        <v>2455.2600000000002</v>
      </c>
      <c r="K744" s="21">
        <v>2518.39</v>
      </c>
      <c r="L744" s="21">
        <v>2352.04</v>
      </c>
      <c r="M744" s="21">
        <v>2261.35</v>
      </c>
      <c r="N744" s="21">
        <v>2256.85</v>
      </c>
      <c r="O744" s="21">
        <v>2427.38</v>
      </c>
      <c r="P744" s="21">
        <v>2550.19</v>
      </c>
      <c r="Q744" s="21">
        <v>5812.5</v>
      </c>
      <c r="R744" s="20">
        <v>135.69999999999999</v>
      </c>
      <c r="S744" s="20">
        <v>121.29</v>
      </c>
      <c r="T744" s="21">
        <v>137.75</v>
      </c>
      <c r="V744" s="1">
        <v>129.97</v>
      </c>
      <c r="W744" s="1">
        <v>141.49</v>
      </c>
      <c r="X744" s="1">
        <v>146.31</v>
      </c>
      <c r="Y744" s="1">
        <v>135.97999999999999</v>
      </c>
      <c r="Z744" s="1">
        <v>137.22999999999999</v>
      </c>
      <c r="AA744" s="1">
        <v>136.56</v>
      </c>
      <c r="AB744" s="1">
        <v>146.4</v>
      </c>
      <c r="AE744" s="1">
        <v>149.1</v>
      </c>
      <c r="AF744" s="1">
        <v>139.68</v>
      </c>
      <c r="AG744" s="1">
        <v>130.87</v>
      </c>
      <c r="AQ744" s="1">
        <v>3677.15</v>
      </c>
      <c r="AR744" s="1">
        <v>3636.74</v>
      </c>
      <c r="AT744" s="1">
        <v>3424.6</v>
      </c>
      <c r="AW744" s="1">
        <v>3318.53</v>
      </c>
      <c r="AX744" s="1">
        <v>134.43</v>
      </c>
      <c r="BA744" s="1">
        <v>137.26</v>
      </c>
      <c r="BB744" s="1">
        <v>147.32</v>
      </c>
      <c r="BC744" s="1">
        <v>141.08000000000001</v>
      </c>
      <c r="BD744" s="1">
        <v>144.94999999999999</v>
      </c>
      <c r="BE744" s="1">
        <v>139.19999999999999</v>
      </c>
      <c r="BF744" s="1">
        <v>137.91999999999999</v>
      </c>
      <c r="BG744" s="1">
        <v>149.80000000000001</v>
      </c>
      <c r="BH744" s="1">
        <v>137.91999999999999</v>
      </c>
      <c r="BI744" s="1">
        <v>144.36000000000001</v>
      </c>
      <c r="BJ744" s="1">
        <v>150.68</v>
      </c>
      <c r="BK744" s="1">
        <v>128.54</v>
      </c>
      <c r="BL744" s="1">
        <v>130.19</v>
      </c>
      <c r="BN744" s="1">
        <v>130.25</v>
      </c>
    </row>
    <row r="745" spans="1:66" x14ac:dyDescent="0.3">
      <c r="A745" s="2"/>
      <c r="C745" s="14" t="str">
        <f t="shared" si="12"/>
        <v>20234</v>
      </c>
      <c r="D745" s="3">
        <v>45021</v>
      </c>
      <c r="E745" s="21">
        <v>2534.4299999999998</v>
      </c>
      <c r="F745" s="21">
        <v>2573.6999999999998</v>
      </c>
      <c r="G745" s="21">
        <v>2581.9899999999998</v>
      </c>
      <c r="H745" s="21">
        <v>2431.5100000000002</v>
      </c>
      <c r="I745" s="21">
        <v>2545.98</v>
      </c>
      <c r="J745" s="21">
        <v>2463.36</v>
      </c>
      <c r="K745" s="21">
        <v>2518.39</v>
      </c>
      <c r="L745" s="21">
        <v>2352.04</v>
      </c>
      <c r="M745" s="21">
        <v>2307.3200000000002</v>
      </c>
      <c r="N745" s="21">
        <v>2267.27</v>
      </c>
      <c r="O745" s="21">
        <v>2421.1999999999998</v>
      </c>
      <c r="P745" s="21">
        <v>2550.19</v>
      </c>
      <c r="Q745" s="21">
        <v>5800.15</v>
      </c>
      <c r="R745" s="20">
        <v>136.86000000000001</v>
      </c>
      <c r="S745" s="20">
        <v>125.06</v>
      </c>
      <c r="T745" s="21">
        <v>138.03</v>
      </c>
      <c r="V745" s="1">
        <v>131.91999999999999</v>
      </c>
      <c r="W745" s="1">
        <v>143.4</v>
      </c>
      <c r="X745" s="1">
        <v>147.37</v>
      </c>
      <c r="Y745" s="1">
        <v>139.5</v>
      </c>
      <c r="Z745" s="1">
        <v>139.16999999999999</v>
      </c>
      <c r="AA745" s="1">
        <v>138.38</v>
      </c>
      <c r="AB745" s="1">
        <v>147.46</v>
      </c>
      <c r="AE745" s="1">
        <v>149.41999999999999</v>
      </c>
      <c r="AF745" s="1">
        <v>143.34</v>
      </c>
      <c r="AG745" s="1">
        <v>130.81</v>
      </c>
      <c r="AQ745" s="1">
        <v>3677.15</v>
      </c>
      <c r="AR745" s="1">
        <v>3636.74</v>
      </c>
      <c r="AT745" s="1">
        <v>3424.6</v>
      </c>
      <c r="AW745" s="1">
        <v>3318.53</v>
      </c>
      <c r="AX745" s="1">
        <v>136.66</v>
      </c>
      <c r="BA745" s="1">
        <v>137.26</v>
      </c>
      <c r="BB745" s="1">
        <v>150.22</v>
      </c>
      <c r="BC745" s="1">
        <v>143.72</v>
      </c>
      <c r="BD745" s="1">
        <v>146.33000000000001</v>
      </c>
      <c r="BE745" s="1">
        <v>140.52000000000001</v>
      </c>
      <c r="BF745" s="1">
        <v>138.85</v>
      </c>
      <c r="BG745" s="1">
        <v>150.53</v>
      </c>
      <c r="BH745" s="1">
        <v>137.91999999999999</v>
      </c>
      <c r="BI745" s="1">
        <v>144.96</v>
      </c>
      <c r="BJ745" s="1">
        <v>150.66</v>
      </c>
      <c r="BK745" s="1">
        <v>131.52000000000001</v>
      </c>
      <c r="BL745" s="1">
        <v>132.63999999999999</v>
      </c>
      <c r="BN745" s="1">
        <v>132.84</v>
      </c>
    </row>
    <row r="746" spans="1:66" x14ac:dyDescent="0.3">
      <c r="A746" s="2"/>
      <c r="C746" s="14" t="str">
        <f t="shared" si="12"/>
        <v>20234</v>
      </c>
      <c r="D746" s="3">
        <v>45020</v>
      </c>
      <c r="E746" s="21">
        <v>2520.83</v>
      </c>
      <c r="F746" s="21">
        <v>2573.6999999999998</v>
      </c>
      <c r="G746" s="21">
        <v>2594.4299999999998</v>
      </c>
      <c r="H746" s="21">
        <v>2462.85</v>
      </c>
      <c r="I746" s="21">
        <v>2565.7800000000002</v>
      </c>
      <c r="J746" s="21">
        <v>2485.36</v>
      </c>
      <c r="K746" s="21">
        <v>2524.36</v>
      </c>
      <c r="L746" s="21">
        <v>2388.52</v>
      </c>
      <c r="M746" s="21">
        <v>2307.3200000000002</v>
      </c>
      <c r="N746" s="21">
        <v>2313.15</v>
      </c>
      <c r="O746" s="21">
        <v>2442.4499999999998</v>
      </c>
      <c r="P746" s="21">
        <v>2550.19</v>
      </c>
      <c r="Q746" s="21">
        <v>5861.53</v>
      </c>
      <c r="R746" s="20">
        <v>137.19</v>
      </c>
      <c r="S746" s="20">
        <v>126.44</v>
      </c>
      <c r="T746" s="21">
        <v>138.69999999999999</v>
      </c>
      <c r="V746" s="1">
        <v>131.74</v>
      </c>
      <c r="W746" s="1">
        <v>143.38999999999999</v>
      </c>
      <c r="X746" s="1">
        <v>148.59</v>
      </c>
      <c r="Y746" s="1">
        <v>141.52000000000001</v>
      </c>
      <c r="Z746" s="1">
        <v>141.15</v>
      </c>
      <c r="AA746" s="1">
        <v>138.94</v>
      </c>
      <c r="AB746" s="1">
        <v>147.84</v>
      </c>
      <c r="AE746" s="1">
        <v>149.80000000000001</v>
      </c>
      <c r="AF746" s="1">
        <v>144.65</v>
      </c>
      <c r="AG746" s="1">
        <v>131.05000000000001</v>
      </c>
      <c r="AQ746" s="1">
        <v>3677.15</v>
      </c>
      <c r="AR746" s="1">
        <v>3636.74</v>
      </c>
      <c r="AT746" s="1">
        <v>3424.6</v>
      </c>
      <c r="AW746" s="1">
        <v>3318.53</v>
      </c>
      <c r="AX746" s="1">
        <v>134.80000000000001</v>
      </c>
      <c r="BA746" s="1">
        <v>137.69999999999999</v>
      </c>
      <c r="BB746" s="1">
        <v>150.83000000000001</v>
      </c>
      <c r="BC746" s="1">
        <v>144.66999999999999</v>
      </c>
      <c r="BD746" s="1">
        <v>146.99</v>
      </c>
      <c r="BE746" s="1">
        <v>142.63999999999999</v>
      </c>
      <c r="BF746" s="1">
        <v>139.28</v>
      </c>
      <c r="BG746" s="1">
        <v>150.54</v>
      </c>
      <c r="BH746" s="1">
        <v>139.91</v>
      </c>
      <c r="BI746" s="1">
        <v>144.86000000000001</v>
      </c>
      <c r="BJ746" s="1">
        <v>150.19</v>
      </c>
      <c r="BK746" s="1">
        <v>133.65</v>
      </c>
      <c r="BL746" s="1">
        <v>134.66</v>
      </c>
      <c r="BN746" s="1">
        <v>134.03</v>
      </c>
    </row>
    <row r="747" spans="1:66" x14ac:dyDescent="0.3">
      <c r="A747" s="2"/>
      <c r="C747" s="14" t="str">
        <f t="shared" si="12"/>
        <v>20234</v>
      </c>
      <c r="D747" s="3">
        <v>45019</v>
      </c>
      <c r="E747" s="21">
        <v>2522.0700000000002</v>
      </c>
      <c r="F747" s="21">
        <v>2573.6999999999998</v>
      </c>
      <c r="G747" s="21">
        <v>2581.9899999999998</v>
      </c>
      <c r="H747" s="21">
        <v>2462.85</v>
      </c>
      <c r="I747" s="21">
        <v>2577.66</v>
      </c>
      <c r="J747" s="21">
        <v>2504.5100000000002</v>
      </c>
      <c r="K747" s="21">
        <v>2588.64</v>
      </c>
      <c r="L747" s="21">
        <v>2388.52</v>
      </c>
      <c r="M747" s="21">
        <v>2319.9299999999998</v>
      </c>
      <c r="N747" s="21">
        <v>2314.8000000000002</v>
      </c>
      <c r="O747" s="21">
        <v>2462.15</v>
      </c>
      <c r="P747" s="21">
        <v>2597.17</v>
      </c>
      <c r="Q747" s="21">
        <v>5851.16</v>
      </c>
      <c r="R747" s="20">
        <v>136.53</v>
      </c>
      <c r="S747" s="20">
        <v>126.39</v>
      </c>
      <c r="T747" s="21">
        <v>139.65</v>
      </c>
      <c r="V747" s="1">
        <v>131.72</v>
      </c>
      <c r="W747" s="1">
        <v>143.18</v>
      </c>
      <c r="X747" s="1">
        <v>147.31</v>
      </c>
      <c r="Y747" s="1">
        <v>141.59</v>
      </c>
      <c r="Z747" s="1">
        <v>141.97999999999999</v>
      </c>
      <c r="AA747" s="1">
        <v>138.4</v>
      </c>
      <c r="AB747" s="1">
        <v>147.44999999999999</v>
      </c>
      <c r="AE747" s="1">
        <v>149.56</v>
      </c>
      <c r="AF747" s="1">
        <v>144.97</v>
      </c>
      <c r="AG747" s="1">
        <v>131.5</v>
      </c>
      <c r="AQ747" s="1">
        <v>3677.15</v>
      </c>
      <c r="AR747" s="1">
        <v>3636.74</v>
      </c>
      <c r="AT747" s="1">
        <v>3424.6</v>
      </c>
      <c r="AW747" s="1">
        <v>3318.53</v>
      </c>
      <c r="AX747" s="1">
        <v>133.52000000000001</v>
      </c>
      <c r="BA747" s="1">
        <v>137.44</v>
      </c>
      <c r="BB747" s="1">
        <v>149.22</v>
      </c>
      <c r="BC747" s="1">
        <v>144.51</v>
      </c>
      <c r="BD747" s="1">
        <v>145.93</v>
      </c>
      <c r="BE747" s="1">
        <v>142.69999999999999</v>
      </c>
      <c r="BF747" s="1">
        <v>139.06</v>
      </c>
      <c r="BG747" s="1">
        <v>150.31</v>
      </c>
      <c r="BH747" s="1">
        <v>139.69</v>
      </c>
      <c r="BI747" s="1">
        <v>144.86000000000001</v>
      </c>
      <c r="BJ747" s="1">
        <v>151.41999999999999</v>
      </c>
      <c r="BK747" s="1">
        <v>133.94999999999999</v>
      </c>
      <c r="BL747" s="1">
        <v>134.91</v>
      </c>
      <c r="BN747" s="1">
        <v>134.22</v>
      </c>
    </row>
    <row r="748" spans="1:66" x14ac:dyDescent="0.3">
      <c r="A748" s="2"/>
      <c r="C748" s="14" t="str">
        <f t="shared" si="12"/>
        <v>20233</v>
      </c>
      <c r="D748" s="3">
        <v>45016</v>
      </c>
      <c r="E748" s="21">
        <v>2554.79</v>
      </c>
      <c r="F748" s="21">
        <v>2592.3000000000002</v>
      </c>
      <c r="G748" s="21">
        <v>2602.79</v>
      </c>
      <c r="H748" s="21">
        <v>2510.11</v>
      </c>
      <c r="I748" s="21">
        <v>2581.6999999999998</v>
      </c>
      <c r="J748" s="21">
        <v>2517.6999999999998</v>
      </c>
      <c r="K748" s="21">
        <v>2602.36</v>
      </c>
      <c r="L748" s="21">
        <v>2445.4</v>
      </c>
      <c r="M748" s="21">
        <v>2317.71</v>
      </c>
      <c r="N748" s="21">
        <v>2308.4699999999998</v>
      </c>
      <c r="O748" s="21">
        <v>2491.5300000000002</v>
      </c>
      <c r="P748" s="21">
        <v>2618.81</v>
      </c>
      <c r="Q748" s="21">
        <v>5845.88</v>
      </c>
      <c r="R748" s="20">
        <v>135.32</v>
      </c>
      <c r="S748" s="20">
        <v>123.93</v>
      </c>
      <c r="T748" s="21">
        <v>137.58000000000001</v>
      </c>
      <c r="V748" s="1">
        <v>130.79</v>
      </c>
      <c r="W748" s="1">
        <v>142.47</v>
      </c>
      <c r="X748" s="1">
        <v>146.69999999999999</v>
      </c>
      <c r="Y748" s="1">
        <v>140.22999999999999</v>
      </c>
      <c r="Z748" s="1">
        <v>140.72999999999999</v>
      </c>
      <c r="AA748" s="1">
        <v>137.69999999999999</v>
      </c>
      <c r="AB748" s="1">
        <v>146.08000000000001</v>
      </c>
      <c r="AE748" s="1">
        <v>149.1</v>
      </c>
      <c r="AF748" s="1">
        <v>143.88</v>
      </c>
      <c r="AG748" s="1">
        <v>129.52000000000001</v>
      </c>
      <c r="AT748" s="1">
        <v>3405.2</v>
      </c>
      <c r="AW748" s="1">
        <v>3498.32</v>
      </c>
      <c r="AX748" s="1">
        <v>133.80000000000001</v>
      </c>
      <c r="BA748" s="1">
        <v>137.06</v>
      </c>
      <c r="BB748" s="1">
        <v>148.84</v>
      </c>
      <c r="BC748" s="1">
        <v>144.02000000000001</v>
      </c>
      <c r="BD748" s="1">
        <v>144.88</v>
      </c>
      <c r="BE748" s="1">
        <v>141.29</v>
      </c>
      <c r="BF748" s="1">
        <v>137.32</v>
      </c>
      <c r="BG748" s="1">
        <v>149.66</v>
      </c>
      <c r="BH748" s="1">
        <v>137.49</v>
      </c>
      <c r="BI748" s="1">
        <v>144.21</v>
      </c>
      <c r="BJ748" s="1">
        <v>148.88</v>
      </c>
      <c r="BK748" s="1">
        <v>132.69999999999999</v>
      </c>
      <c r="BL748" s="1">
        <v>134.21</v>
      </c>
      <c r="BN748" s="1">
        <v>133.72999999999999</v>
      </c>
    </row>
    <row r="749" spans="1:66" x14ac:dyDescent="0.3">
      <c r="A749" s="2"/>
      <c r="C749" s="14" t="str">
        <f t="shared" si="12"/>
        <v>20233</v>
      </c>
      <c r="D749" s="3">
        <v>45015</v>
      </c>
      <c r="E749" s="21">
        <v>2596.1</v>
      </c>
      <c r="F749" s="21">
        <v>2619.2600000000002</v>
      </c>
      <c r="G749" s="21">
        <v>2610.7399999999998</v>
      </c>
      <c r="H749" s="21">
        <v>2518.9299999999998</v>
      </c>
      <c r="I749" s="21">
        <v>2617.2800000000002</v>
      </c>
      <c r="J749" s="21">
        <v>2529.15</v>
      </c>
      <c r="K749" s="21">
        <v>2602.36</v>
      </c>
      <c r="L749" s="21">
        <v>2433.6999999999998</v>
      </c>
      <c r="M749" s="21">
        <v>2317.71</v>
      </c>
      <c r="N749" s="21">
        <v>2320.62</v>
      </c>
      <c r="O749" s="21">
        <v>2476.2600000000002</v>
      </c>
      <c r="P749" s="21">
        <v>2628.79</v>
      </c>
      <c r="Q749" s="21">
        <v>5821.97</v>
      </c>
      <c r="R749" s="20">
        <v>133.56</v>
      </c>
      <c r="S749" s="20">
        <v>124.18</v>
      </c>
      <c r="T749" s="21">
        <v>136.56</v>
      </c>
      <c r="V749" s="1">
        <v>131.21</v>
      </c>
      <c r="W749" s="1">
        <v>142.13999999999999</v>
      </c>
      <c r="X749" s="1">
        <v>146.53</v>
      </c>
      <c r="Y749" s="1">
        <v>140.35</v>
      </c>
      <c r="Z749" s="1">
        <v>140.07</v>
      </c>
      <c r="AA749" s="1">
        <v>137.08000000000001</v>
      </c>
      <c r="AB749" s="1">
        <v>145.88</v>
      </c>
      <c r="AE749" s="1">
        <v>147.88999999999999</v>
      </c>
      <c r="AF749" s="1">
        <v>142.35</v>
      </c>
      <c r="AG749" s="1">
        <v>128.16</v>
      </c>
      <c r="AP749" s="1">
        <v>3276.3</v>
      </c>
      <c r="AT749" s="1">
        <v>3392.89</v>
      </c>
      <c r="AW749" s="1">
        <v>3498.32</v>
      </c>
      <c r="AX749" s="1">
        <v>133.05000000000001</v>
      </c>
      <c r="BA749" s="1">
        <v>137.9</v>
      </c>
      <c r="BB749" s="1">
        <v>148.33000000000001</v>
      </c>
      <c r="BC749" s="1">
        <v>143.72999999999999</v>
      </c>
      <c r="BD749" s="1">
        <v>145.62</v>
      </c>
      <c r="BE749" s="1">
        <v>140.85</v>
      </c>
      <c r="BF749" s="1">
        <v>138</v>
      </c>
      <c r="BG749" s="1">
        <v>149.04</v>
      </c>
      <c r="BH749" s="1">
        <v>138.47</v>
      </c>
      <c r="BI749" s="1">
        <v>144.11000000000001</v>
      </c>
      <c r="BJ749" s="1">
        <v>148.87</v>
      </c>
      <c r="BK749" s="1">
        <v>132.78</v>
      </c>
      <c r="BL749" s="1">
        <v>132.96</v>
      </c>
      <c r="BN749" s="1">
        <v>133.13999999999999</v>
      </c>
    </row>
    <row r="750" spans="1:66" x14ac:dyDescent="0.3">
      <c r="A750" s="2"/>
      <c r="C750" s="14" t="str">
        <f t="shared" si="12"/>
        <v>20233</v>
      </c>
      <c r="D750" s="3">
        <v>45014</v>
      </c>
      <c r="E750" s="21">
        <v>2627.42</v>
      </c>
      <c r="F750" s="21">
        <v>2641.5</v>
      </c>
      <c r="G750" s="21">
        <v>2645.99</v>
      </c>
      <c r="H750" s="21">
        <v>2518.9299999999998</v>
      </c>
      <c r="I750" s="21">
        <v>2664.73</v>
      </c>
      <c r="J750" s="21">
        <v>2509.94</v>
      </c>
      <c r="K750" s="21">
        <v>2602.36</v>
      </c>
      <c r="L750" s="21">
        <v>2400.5700000000002</v>
      </c>
      <c r="M750" s="21">
        <v>2317.71</v>
      </c>
      <c r="N750" s="21">
        <v>2315.69</v>
      </c>
      <c r="O750" s="21">
        <v>2470.0100000000002</v>
      </c>
      <c r="P750" s="21">
        <v>2628.79</v>
      </c>
      <c r="Q750" s="21">
        <v>5835.56</v>
      </c>
      <c r="R750" s="20">
        <v>133.56</v>
      </c>
      <c r="S750" s="20"/>
      <c r="T750" s="21">
        <v>136.33000000000001</v>
      </c>
      <c r="V750" s="1">
        <v>131.72</v>
      </c>
      <c r="W750" s="1">
        <v>141.4</v>
      </c>
      <c r="X750" s="1">
        <v>146.03</v>
      </c>
      <c r="Y750" s="1">
        <v>139.57</v>
      </c>
      <c r="Z750" s="1">
        <v>139.63999999999999</v>
      </c>
      <c r="AA750" s="1">
        <v>136.9</v>
      </c>
      <c r="AB750" s="1">
        <v>145.52000000000001</v>
      </c>
      <c r="AE750" s="1">
        <v>147.37</v>
      </c>
      <c r="AF750" s="1">
        <v>143.85</v>
      </c>
      <c r="AG750" s="1">
        <v>128.55000000000001</v>
      </c>
      <c r="AP750" s="1">
        <v>3276.3</v>
      </c>
      <c r="AS750" s="1">
        <v>2832.89</v>
      </c>
      <c r="AT750" s="1">
        <v>3392.89</v>
      </c>
      <c r="AW750" s="1">
        <v>3498.32</v>
      </c>
      <c r="AX750" s="1">
        <v>133.88</v>
      </c>
      <c r="BA750" s="1">
        <v>138.02000000000001</v>
      </c>
      <c r="BB750" s="1">
        <v>148.05000000000001</v>
      </c>
      <c r="BC750" s="1">
        <v>143.51</v>
      </c>
      <c r="BD750" s="1">
        <v>144.37</v>
      </c>
      <c r="BE750" s="1">
        <v>141.53</v>
      </c>
      <c r="BF750" s="1">
        <v>137.96</v>
      </c>
      <c r="BG750" s="1">
        <v>148.72999999999999</v>
      </c>
      <c r="BH750" s="1">
        <v>138.47</v>
      </c>
      <c r="BI750" s="1">
        <v>143.51</v>
      </c>
      <c r="BJ750" s="1">
        <v>147.08000000000001</v>
      </c>
      <c r="BK750" s="1">
        <v>130.93</v>
      </c>
      <c r="BL750" s="1">
        <v>132.47</v>
      </c>
      <c r="BN750" s="1">
        <v>130.44</v>
      </c>
    </row>
    <row r="751" spans="1:66" x14ac:dyDescent="0.3">
      <c r="A751" s="2"/>
      <c r="C751" s="14" t="str">
        <f t="shared" si="12"/>
        <v>20233</v>
      </c>
      <c r="D751" s="3">
        <v>45013</v>
      </c>
      <c r="E751" s="21">
        <v>2610</v>
      </c>
      <c r="F751" s="21">
        <v>2641.5</v>
      </c>
      <c r="G751" s="21">
        <v>2645.99</v>
      </c>
      <c r="H751" s="21">
        <v>2455.81</v>
      </c>
      <c r="I751" s="21">
        <v>2629.14</v>
      </c>
      <c r="J751" s="21">
        <v>2537.67</v>
      </c>
      <c r="K751" s="21">
        <v>2632.26</v>
      </c>
      <c r="L751" s="21">
        <v>2400.5700000000002</v>
      </c>
      <c r="M751" s="21">
        <v>2356.37</v>
      </c>
      <c r="N751" s="21">
        <v>2282.1799999999998</v>
      </c>
      <c r="O751" s="21">
        <v>2487.5100000000002</v>
      </c>
      <c r="P751" s="21">
        <v>2636.29</v>
      </c>
      <c r="Q751" s="21">
        <v>5923.93</v>
      </c>
      <c r="R751" s="20">
        <v>133.56</v>
      </c>
      <c r="S751" s="20">
        <v>124.44</v>
      </c>
      <c r="T751" s="21">
        <v>136.24</v>
      </c>
      <c r="V751" s="1">
        <v>131.44999999999999</v>
      </c>
      <c r="W751" s="1">
        <v>140.59</v>
      </c>
      <c r="X751" s="1">
        <v>145.41</v>
      </c>
      <c r="Y751" s="1">
        <v>137.47</v>
      </c>
      <c r="Z751" s="1">
        <v>138.34</v>
      </c>
      <c r="AA751" s="1">
        <v>137.24</v>
      </c>
      <c r="AB751" s="1">
        <v>145.74</v>
      </c>
      <c r="AE751" s="1">
        <v>147.71</v>
      </c>
      <c r="AF751" s="1">
        <v>140.41999999999999</v>
      </c>
      <c r="AG751" s="1">
        <v>127.96</v>
      </c>
      <c r="AP751" s="1">
        <v>3276.3</v>
      </c>
      <c r="AS751" s="1">
        <v>2832.89</v>
      </c>
      <c r="AT751" s="1">
        <v>3392.89</v>
      </c>
      <c r="AW751" s="1">
        <v>3498.32</v>
      </c>
      <c r="AX751" s="1">
        <v>133.04</v>
      </c>
      <c r="AY751" s="1">
        <v>3551.23</v>
      </c>
      <c r="BA751" s="1">
        <v>137.68</v>
      </c>
      <c r="BB751" s="1">
        <v>146.75</v>
      </c>
      <c r="BC751" s="1">
        <v>141.80000000000001</v>
      </c>
      <c r="BD751" s="1">
        <v>142.16</v>
      </c>
      <c r="BE751" s="1">
        <v>142.86000000000001</v>
      </c>
      <c r="BF751" s="1">
        <v>140.02000000000001</v>
      </c>
      <c r="BG751" s="1">
        <v>149.09</v>
      </c>
      <c r="BH751" s="1">
        <v>137.44</v>
      </c>
      <c r="BI751" s="1">
        <v>143.51</v>
      </c>
      <c r="BJ751" s="1">
        <v>148.31</v>
      </c>
      <c r="BK751" s="1">
        <v>130.6</v>
      </c>
      <c r="BL751" s="1">
        <v>131.47</v>
      </c>
      <c r="BN751" s="1">
        <v>130.35</v>
      </c>
    </row>
    <row r="752" spans="1:66" x14ac:dyDescent="0.3">
      <c r="A752" s="2"/>
      <c r="C752" s="14" t="str">
        <f t="shared" si="12"/>
        <v>20233</v>
      </c>
      <c r="D752" s="3">
        <v>45012</v>
      </c>
      <c r="E752" s="21">
        <v>2629.97</v>
      </c>
      <c r="F752" s="21">
        <v>2666.21</v>
      </c>
      <c r="G752" s="21">
        <v>2645.99</v>
      </c>
      <c r="H752" s="21">
        <v>2455.81</v>
      </c>
      <c r="I752" s="21">
        <v>2637.05</v>
      </c>
      <c r="J752" s="21">
        <v>2558.98</v>
      </c>
      <c r="K752" s="21">
        <v>2632.26</v>
      </c>
      <c r="L752" s="21">
        <v>2400.5700000000002</v>
      </c>
      <c r="M752" s="21">
        <v>2352.56</v>
      </c>
      <c r="N752" s="21">
        <v>2349.17</v>
      </c>
      <c r="O752" s="21">
        <v>2485.34</v>
      </c>
      <c r="P752" s="21">
        <v>2656.25</v>
      </c>
      <c r="Q752" s="21">
        <v>5915.89</v>
      </c>
      <c r="R752" s="20">
        <v>135.05000000000001</v>
      </c>
      <c r="S752" s="20">
        <v>126.33</v>
      </c>
      <c r="T752" s="21">
        <v>135.91999999999999</v>
      </c>
      <c r="V752" s="1">
        <v>131.6</v>
      </c>
      <c r="W752" s="1">
        <v>141.41</v>
      </c>
      <c r="X752" s="1">
        <v>145.41</v>
      </c>
      <c r="Y752" s="1">
        <v>136.76</v>
      </c>
      <c r="Z752" s="1">
        <v>136.96</v>
      </c>
      <c r="AA752" s="1">
        <v>137.63</v>
      </c>
      <c r="AB752" s="1">
        <v>145.47999999999999</v>
      </c>
      <c r="AE752" s="1">
        <v>148.16999999999999</v>
      </c>
      <c r="AF752" s="1">
        <v>139.88999999999999</v>
      </c>
      <c r="AG752" s="1">
        <v>128.11000000000001</v>
      </c>
      <c r="AP752" s="1">
        <v>3276.3</v>
      </c>
      <c r="AS752" s="1">
        <v>2832.89</v>
      </c>
      <c r="AT752" s="1">
        <v>3392.89</v>
      </c>
      <c r="AW752" s="1">
        <v>3498.32</v>
      </c>
      <c r="AX752" s="1">
        <v>134.19999999999999</v>
      </c>
      <c r="AY752" s="1">
        <v>3551.23</v>
      </c>
      <c r="BA752" s="1">
        <v>138</v>
      </c>
      <c r="BB752" s="1">
        <v>146.53</v>
      </c>
      <c r="BC752" s="1">
        <v>140.15</v>
      </c>
      <c r="BD752" s="1">
        <v>142.94</v>
      </c>
      <c r="BE752" s="1">
        <v>142.72</v>
      </c>
      <c r="BF752" s="1">
        <v>141.24</v>
      </c>
      <c r="BG752" s="1">
        <v>148.47999999999999</v>
      </c>
      <c r="BH752" s="1">
        <v>137.13999999999999</v>
      </c>
      <c r="BI752" s="1">
        <v>143.51</v>
      </c>
      <c r="BJ752" s="1">
        <v>148.44999999999999</v>
      </c>
      <c r="BK752" s="1">
        <v>129.93</v>
      </c>
      <c r="BL752" s="1">
        <v>130.77000000000001</v>
      </c>
      <c r="BN752" s="1">
        <v>129.76</v>
      </c>
    </row>
    <row r="753" spans="1:66" x14ac:dyDescent="0.3">
      <c r="A753" s="2"/>
      <c r="C753" s="14" t="str">
        <f t="shared" si="12"/>
        <v>20233</v>
      </c>
      <c r="D753" s="3">
        <v>45009</v>
      </c>
      <c r="E753" s="21">
        <v>2648.11</v>
      </c>
      <c r="F753" s="21">
        <v>2707.39</v>
      </c>
      <c r="G753" s="21">
        <v>2665.76</v>
      </c>
      <c r="H753" s="21">
        <v>2548.5100000000002</v>
      </c>
      <c r="I753" s="21">
        <v>2641.01</v>
      </c>
      <c r="J753" s="21">
        <v>2586.5100000000002</v>
      </c>
      <c r="K753" s="21">
        <v>2657.16</v>
      </c>
      <c r="L753" s="21">
        <v>2469.98</v>
      </c>
      <c r="M753" s="21">
        <v>2411.48</v>
      </c>
      <c r="N753" s="21">
        <v>2412.9499999999998</v>
      </c>
      <c r="O753" s="21">
        <v>2505.34</v>
      </c>
      <c r="P753" s="21">
        <v>2693.6</v>
      </c>
      <c r="Q753" s="21">
        <v>5901.77</v>
      </c>
      <c r="R753" s="20">
        <v>135.55000000000001</v>
      </c>
      <c r="S753" s="20">
        <v>129.65</v>
      </c>
      <c r="T753" s="21">
        <v>135.94</v>
      </c>
      <c r="V753" s="1">
        <v>131.59</v>
      </c>
      <c r="W753" s="1">
        <v>140.66</v>
      </c>
      <c r="X753" s="1">
        <v>146.25</v>
      </c>
      <c r="Y753" s="1">
        <v>137.31</v>
      </c>
      <c r="Z753" s="1">
        <v>136.97</v>
      </c>
      <c r="AA753" s="1">
        <v>138.09</v>
      </c>
      <c r="AB753" s="1">
        <v>148.77000000000001</v>
      </c>
      <c r="AE753" s="1">
        <v>149.81</v>
      </c>
      <c r="AF753" s="1">
        <v>140.30000000000001</v>
      </c>
      <c r="AG753" s="1">
        <v>131.69</v>
      </c>
      <c r="AP753" s="1">
        <v>3276.3</v>
      </c>
      <c r="AS753" s="1">
        <v>2832.89</v>
      </c>
      <c r="AW753" s="1">
        <v>3377.78</v>
      </c>
      <c r="AX753" s="1">
        <v>134.13</v>
      </c>
      <c r="AY753" s="1">
        <v>3551.23</v>
      </c>
      <c r="BA753" s="1">
        <v>143.68</v>
      </c>
      <c r="BB753" s="1">
        <v>148.74</v>
      </c>
      <c r="BC753" s="1">
        <v>142.81</v>
      </c>
      <c r="BD753" s="1">
        <v>142.68</v>
      </c>
      <c r="BE753" s="1">
        <v>140.30000000000001</v>
      </c>
      <c r="BF753" s="1">
        <v>138.46</v>
      </c>
      <c r="BG753" s="1">
        <v>152.97999999999999</v>
      </c>
      <c r="BH753" s="1">
        <v>138.47999999999999</v>
      </c>
      <c r="BI753" s="1">
        <v>144.69999999999999</v>
      </c>
      <c r="BJ753" s="1">
        <v>149</v>
      </c>
      <c r="BK753" s="1">
        <v>130.91999999999999</v>
      </c>
      <c r="BL753" s="1">
        <v>132.63</v>
      </c>
      <c r="BN753" s="1">
        <v>130.94999999999999</v>
      </c>
    </row>
    <row r="754" spans="1:66" x14ac:dyDescent="0.3">
      <c r="A754" s="2"/>
      <c r="C754" s="14" t="str">
        <f t="shared" si="12"/>
        <v>20233</v>
      </c>
      <c r="D754" s="3">
        <v>45008</v>
      </c>
      <c r="E754" s="21">
        <v>2664.7</v>
      </c>
      <c r="F754" s="21">
        <v>2707.39</v>
      </c>
      <c r="G754" s="21">
        <v>2705.41</v>
      </c>
      <c r="H754" s="21">
        <v>2568.8000000000002</v>
      </c>
      <c r="I754" s="21">
        <v>2684.49</v>
      </c>
      <c r="J754" s="21">
        <v>2603.38</v>
      </c>
      <c r="K754" s="21">
        <v>2637.27</v>
      </c>
      <c r="L754" s="21">
        <v>2469.98</v>
      </c>
      <c r="M754" s="21">
        <v>2387.86</v>
      </c>
      <c r="N754" s="21">
        <v>2444.36</v>
      </c>
      <c r="O754" s="21">
        <v>2512.0100000000002</v>
      </c>
      <c r="P754" s="21">
        <v>2668.75</v>
      </c>
      <c r="Q754" s="21">
        <v>5843.57</v>
      </c>
      <c r="R754" s="20">
        <v>136.05000000000001</v>
      </c>
      <c r="S754" s="20">
        <v>130.94999999999999</v>
      </c>
      <c r="T754" s="21">
        <v>139.83000000000001</v>
      </c>
      <c r="V754" s="1">
        <v>134.59</v>
      </c>
      <c r="W754" s="1">
        <v>146.29</v>
      </c>
      <c r="X754" s="1">
        <v>151.22999999999999</v>
      </c>
      <c r="Y754" s="1">
        <v>139.72999999999999</v>
      </c>
      <c r="Z754" s="1">
        <v>140.72999999999999</v>
      </c>
      <c r="AA754" s="1">
        <v>138.35</v>
      </c>
      <c r="AB754" s="1">
        <v>152.97</v>
      </c>
      <c r="AE754" s="1">
        <v>155.28</v>
      </c>
      <c r="AF754" s="1">
        <v>144.28</v>
      </c>
      <c r="AG754" s="1">
        <v>138.09</v>
      </c>
      <c r="AS754" s="1">
        <v>2832.89</v>
      </c>
      <c r="AW754" s="1">
        <v>3377.78</v>
      </c>
      <c r="AX754" s="1">
        <v>135.38</v>
      </c>
      <c r="AY754" s="1">
        <v>3551.23</v>
      </c>
      <c r="BA754" s="1">
        <v>140.63</v>
      </c>
      <c r="BB754" s="1">
        <v>150.41</v>
      </c>
      <c r="BC754" s="1">
        <v>142.65</v>
      </c>
      <c r="BD754" s="1">
        <v>145.03</v>
      </c>
      <c r="BE754" s="1">
        <v>141.13999999999999</v>
      </c>
      <c r="BF754" s="1">
        <v>144.63999999999999</v>
      </c>
      <c r="BG754" s="1">
        <v>156.05000000000001</v>
      </c>
      <c r="BH754" s="1">
        <v>139.51</v>
      </c>
      <c r="BI754" s="1">
        <v>149.59</v>
      </c>
      <c r="BJ754" s="1">
        <v>151.97</v>
      </c>
      <c r="BK754" s="1">
        <v>135.15</v>
      </c>
      <c r="BL754" s="1">
        <v>133.96</v>
      </c>
      <c r="BN754" s="1">
        <v>132.54</v>
      </c>
    </row>
    <row r="755" spans="1:66" x14ac:dyDescent="0.3">
      <c r="A755" s="2"/>
      <c r="C755" s="14" t="str">
        <f t="shared" si="12"/>
        <v>20233</v>
      </c>
      <c r="D755" s="3">
        <v>45007</v>
      </c>
      <c r="E755" s="21">
        <v>2729.85</v>
      </c>
      <c r="F755" s="21">
        <v>2748.58</v>
      </c>
      <c r="G755" s="21">
        <v>2784.54</v>
      </c>
      <c r="H755" s="21">
        <v>2569.2399999999998</v>
      </c>
      <c r="I755" s="21">
        <v>2692.4</v>
      </c>
      <c r="J755" s="21">
        <v>2615.5100000000002</v>
      </c>
      <c r="K755" s="21">
        <v>2653.84</v>
      </c>
      <c r="L755" s="21">
        <v>2469.98</v>
      </c>
      <c r="M755" s="21">
        <v>2439.77</v>
      </c>
      <c r="N755" s="21">
        <v>2469.7600000000002</v>
      </c>
      <c r="O755" s="21">
        <v>2575.37</v>
      </c>
      <c r="P755" s="21">
        <v>2721.05</v>
      </c>
      <c r="Q755" s="21">
        <v>5898.81</v>
      </c>
      <c r="R755" s="20">
        <v>140.53</v>
      </c>
      <c r="S755" s="20">
        <v>132.38999999999999</v>
      </c>
      <c r="T755" s="21">
        <v>142.44999999999999</v>
      </c>
      <c r="V755" s="1">
        <v>137.52000000000001</v>
      </c>
      <c r="W755" s="1">
        <v>150.08000000000001</v>
      </c>
      <c r="X755" s="1">
        <v>153.05000000000001</v>
      </c>
      <c r="Y755" s="1">
        <v>143.37</v>
      </c>
      <c r="Z755" s="1">
        <v>144.54</v>
      </c>
      <c r="AA755" s="1">
        <v>142.5</v>
      </c>
      <c r="AB755" s="1">
        <v>152.82</v>
      </c>
      <c r="AE755" s="1">
        <v>155.27000000000001</v>
      </c>
      <c r="AF755" s="1">
        <v>146.37</v>
      </c>
      <c r="AG755" s="1">
        <v>138.07</v>
      </c>
      <c r="AP755" s="1">
        <v>3228.33</v>
      </c>
      <c r="AW755" s="1">
        <v>3377.78</v>
      </c>
      <c r="AX755" s="1">
        <v>138.22999999999999</v>
      </c>
      <c r="AY755" s="1">
        <v>3551.23</v>
      </c>
      <c r="BA755" s="1">
        <v>143.68</v>
      </c>
      <c r="BB755" s="1">
        <v>155.22999999999999</v>
      </c>
      <c r="BC755" s="1">
        <v>146.9</v>
      </c>
      <c r="BD755" s="1">
        <v>147.1</v>
      </c>
      <c r="BE755" s="1">
        <v>144.02000000000001</v>
      </c>
      <c r="BF755" s="1">
        <v>146.18</v>
      </c>
      <c r="BG755" s="1">
        <v>155.55000000000001</v>
      </c>
      <c r="BH755" s="1">
        <v>141.5</v>
      </c>
      <c r="BI755" s="1">
        <v>155.69</v>
      </c>
      <c r="BK755" s="1">
        <v>136.63999999999999</v>
      </c>
      <c r="BL755" s="1">
        <v>136.79</v>
      </c>
      <c r="BN755" s="1">
        <v>136.91999999999999</v>
      </c>
    </row>
    <row r="756" spans="1:66" x14ac:dyDescent="0.3">
      <c r="A756" s="2"/>
      <c r="C756" s="14" t="str">
        <f t="shared" si="12"/>
        <v>20233</v>
      </c>
      <c r="D756" s="3">
        <v>45006</v>
      </c>
      <c r="E756" s="21">
        <v>2733.22</v>
      </c>
      <c r="F756" s="21">
        <v>2782.8</v>
      </c>
      <c r="G756" s="21">
        <v>2824.13</v>
      </c>
      <c r="H756" s="21">
        <v>2757.83</v>
      </c>
      <c r="I756" s="21">
        <v>2710.19</v>
      </c>
      <c r="J756" s="21">
        <v>2629.02</v>
      </c>
      <c r="K756" s="21">
        <v>2726.14</v>
      </c>
      <c r="L756" s="21">
        <v>2509.66</v>
      </c>
      <c r="M756" s="21">
        <v>2492.5100000000002</v>
      </c>
      <c r="N756" s="21">
        <v>2447.7600000000002</v>
      </c>
      <c r="O756" s="21">
        <v>2619.35</v>
      </c>
      <c r="P756" s="21">
        <v>2745.9</v>
      </c>
      <c r="Q756" s="21">
        <v>6238.22</v>
      </c>
      <c r="R756" s="20">
        <v>143.27000000000001</v>
      </c>
      <c r="S756" s="20">
        <v>132.9</v>
      </c>
      <c r="T756" s="21">
        <v>144.61000000000001</v>
      </c>
      <c r="V756" s="1">
        <v>141.47</v>
      </c>
      <c r="W756" s="1">
        <v>152.07</v>
      </c>
      <c r="X756" s="1">
        <v>157.4</v>
      </c>
      <c r="Y756" s="1">
        <v>145.72</v>
      </c>
      <c r="Z756" s="1">
        <v>146.25</v>
      </c>
      <c r="AA756" s="1">
        <v>147.61000000000001</v>
      </c>
      <c r="AB756" s="1">
        <v>157.16</v>
      </c>
      <c r="AE756" s="1">
        <v>159.69999999999999</v>
      </c>
      <c r="AF756" s="1">
        <v>149.81</v>
      </c>
      <c r="AG756" s="1">
        <v>136.94999999999999</v>
      </c>
      <c r="AP756" s="1">
        <v>3228.33</v>
      </c>
      <c r="AW756" s="1">
        <v>3377.78</v>
      </c>
      <c r="AX756" s="1">
        <v>142.01</v>
      </c>
      <c r="BA756" s="1">
        <v>148</v>
      </c>
      <c r="BB756" s="1">
        <v>157.57</v>
      </c>
      <c r="BC756" s="1">
        <v>150.26</v>
      </c>
      <c r="BD756" s="1">
        <v>149.12</v>
      </c>
      <c r="BE756" s="1">
        <v>151.46</v>
      </c>
      <c r="BF756" s="1">
        <v>150.06</v>
      </c>
      <c r="BG756" s="1">
        <v>159.46</v>
      </c>
      <c r="BH756" s="1">
        <v>145.19999999999999</v>
      </c>
      <c r="BI756" s="1">
        <v>156.29</v>
      </c>
      <c r="BK756" s="1">
        <v>139.33000000000001</v>
      </c>
      <c r="BL756" s="1">
        <v>139.34</v>
      </c>
      <c r="BN756" s="1">
        <v>138.91</v>
      </c>
    </row>
    <row r="757" spans="1:66" x14ac:dyDescent="0.3">
      <c r="A757" s="2"/>
      <c r="C757" s="14" t="str">
        <f t="shared" si="12"/>
        <v>20233</v>
      </c>
      <c r="D757" s="3">
        <v>45005</v>
      </c>
      <c r="E757" s="21">
        <v>2731.35</v>
      </c>
      <c r="F757" s="21">
        <v>2800.77</v>
      </c>
      <c r="G757" s="21">
        <v>2863.78</v>
      </c>
      <c r="H757" s="21">
        <v>2758.15</v>
      </c>
      <c r="I757" s="21">
        <v>2722.05</v>
      </c>
      <c r="J757" s="21">
        <v>2635.41</v>
      </c>
      <c r="K757" s="21">
        <v>2746.02</v>
      </c>
      <c r="L757" s="21">
        <v>2556.33</v>
      </c>
      <c r="M757" s="21">
        <v>2536.29</v>
      </c>
      <c r="N757" s="21">
        <v>2474.4299999999998</v>
      </c>
      <c r="O757" s="21">
        <v>2649.35</v>
      </c>
      <c r="P757" s="21">
        <v>2760.53</v>
      </c>
      <c r="Q757" s="21">
        <v>6092.79</v>
      </c>
      <c r="R757" s="20">
        <v>142.78</v>
      </c>
      <c r="S757" s="20">
        <v>133.41999999999999</v>
      </c>
      <c r="T757" s="21">
        <v>146.02000000000001</v>
      </c>
      <c r="V757" s="1">
        <v>141.4</v>
      </c>
      <c r="W757" s="1">
        <v>153.47999999999999</v>
      </c>
      <c r="X757" s="1">
        <v>158.80000000000001</v>
      </c>
      <c r="Y757" s="1">
        <v>146.78</v>
      </c>
      <c r="Z757" s="1">
        <v>147.34</v>
      </c>
      <c r="AA757" s="1">
        <v>147.36000000000001</v>
      </c>
      <c r="AB757" s="1">
        <v>158.87</v>
      </c>
      <c r="AE757" s="1">
        <v>160.66999999999999</v>
      </c>
      <c r="AF757" s="1">
        <v>150.05000000000001</v>
      </c>
      <c r="AG757" s="1">
        <v>136.47</v>
      </c>
      <c r="AP757" s="1">
        <v>3228.33</v>
      </c>
      <c r="AW757" s="1">
        <v>3377.78</v>
      </c>
      <c r="AX757" s="1">
        <v>142.83000000000001</v>
      </c>
      <c r="BA757" s="1">
        <v>147.9</v>
      </c>
      <c r="BB757" s="1">
        <v>158.94</v>
      </c>
      <c r="BC757" s="1">
        <v>148.84</v>
      </c>
      <c r="BD757" s="1">
        <v>152.07</v>
      </c>
      <c r="BE757" s="1">
        <v>150.97</v>
      </c>
      <c r="BF757" s="1">
        <v>149.12</v>
      </c>
      <c r="BG757" s="1">
        <v>162.34</v>
      </c>
      <c r="BH757" s="1">
        <v>145.69999999999999</v>
      </c>
      <c r="BI757" s="1">
        <v>157.96</v>
      </c>
      <c r="BK757" s="1">
        <v>139.63</v>
      </c>
      <c r="BL757" s="1">
        <v>140.28</v>
      </c>
      <c r="BN757" s="1">
        <v>140.9</v>
      </c>
    </row>
    <row r="758" spans="1:66" x14ac:dyDescent="0.3">
      <c r="A758" s="2"/>
      <c r="C758" s="14" t="str">
        <f t="shared" si="12"/>
        <v>20233</v>
      </c>
      <c r="D758" s="3">
        <v>45002</v>
      </c>
      <c r="E758" s="21">
        <v>2778.57</v>
      </c>
      <c r="F758" s="21">
        <v>2823.23</v>
      </c>
      <c r="G758" s="21">
        <v>2883.61</v>
      </c>
      <c r="H758" s="21">
        <v>2709.97</v>
      </c>
      <c r="I758" s="21">
        <v>2722.05</v>
      </c>
      <c r="J758" s="21">
        <v>2664.59</v>
      </c>
      <c r="K758" s="21">
        <v>2695.28</v>
      </c>
      <c r="L758" s="21">
        <v>2552.6999999999998</v>
      </c>
      <c r="M758" s="21">
        <v>2535.1</v>
      </c>
      <c r="N758" s="21">
        <v>2521.61</v>
      </c>
      <c r="O758" s="21">
        <v>2669.9</v>
      </c>
      <c r="P758" s="21">
        <v>2760.53</v>
      </c>
      <c r="Q758" s="21">
        <v>6176.72</v>
      </c>
      <c r="R758" s="20">
        <v>147.26</v>
      </c>
      <c r="S758" s="20"/>
      <c r="T758" s="21">
        <v>147.18</v>
      </c>
      <c r="V758" s="1">
        <v>143.6</v>
      </c>
      <c r="W758" s="1">
        <v>153.91</v>
      </c>
      <c r="X758" s="1">
        <v>160.32</v>
      </c>
      <c r="Y758" s="1">
        <v>148.4</v>
      </c>
      <c r="Z758" s="1">
        <v>148.41</v>
      </c>
      <c r="AA758" s="1">
        <v>149.44</v>
      </c>
      <c r="AB758" s="1">
        <v>160.35</v>
      </c>
      <c r="AE758" s="1">
        <v>161.85</v>
      </c>
      <c r="AF758" s="1">
        <v>151.66999999999999</v>
      </c>
      <c r="AG758" s="1">
        <v>138.02000000000001</v>
      </c>
      <c r="AP758" s="1">
        <v>3228.33</v>
      </c>
      <c r="AX758" s="1">
        <v>142.57</v>
      </c>
      <c r="BA758" s="1">
        <v>148.54</v>
      </c>
      <c r="BB758" s="1">
        <v>160.81</v>
      </c>
      <c r="BC758" s="1">
        <v>151.84</v>
      </c>
      <c r="BD758" s="1">
        <v>151.97</v>
      </c>
      <c r="BE758" s="1">
        <v>151.52000000000001</v>
      </c>
      <c r="BF758" s="1">
        <v>151.38</v>
      </c>
      <c r="BG758" s="1">
        <v>163.34</v>
      </c>
      <c r="BH758" s="1">
        <v>147.19</v>
      </c>
      <c r="BI758" s="1">
        <v>158.18</v>
      </c>
      <c r="BK758" s="1">
        <v>141.22</v>
      </c>
      <c r="BL758" s="1">
        <v>141.61000000000001</v>
      </c>
      <c r="BN758" s="1">
        <v>141.49</v>
      </c>
    </row>
    <row r="759" spans="1:66" x14ac:dyDescent="0.3">
      <c r="A759" s="2"/>
      <c r="C759" s="14" t="str">
        <f t="shared" si="12"/>
        <v>20233</v>
      </c>
      <c r="D759" s="3">
        <v>45001</v>
      </c>
      <c r="E759" s="21">
        <v>2816.5</v>
      </c>
      <c r="F759" s="21">
        <v>2830.94</v>
      </c>
      <c r="G759" s="21">
        <v>2893.49</v>
      </c>
      <c r="H759" s="21">
        <v>2789.44</v>
      </c>
      <c r="I759" s="21">
        <v>2745.28</v>
      </c>
      <c r="J759" s="21">
        <v>2698.2</v>
      </c>
      <c r="K759" s="21">
        <v>2688.32</v>
      </c>
      <c r="L759" s="21">
        <v>2585.79</v>
      </c>
      <c r="M759" s="21">
        <v>2578.4899999999998</v>
      </c>
      <c r="N759" s="21">
        <v>2559.35</v>
      </c>
      <c r="O759" s="21">
        <v>2688.23</v>
      </c>
      <c r="P759" s="21">
        <v>2764.04</v>
      </c>
      <c r="Q759" s="21">
        <v>6018.02</v>
      </c>
      <c r="R759" s="20">
        <v>148.62</v>
      </c>
      <c r="S759" s="20"/>
      <c r="T759" s="21">
        <v>149.15</v>
      </c>
      <c r="V759" s="1">
        <v>144.21</v>
      </c>
      <c r="W759" s="1">
        <v>154.58000000000001</v>
      </c>
      <c r="X759" s="1">
        <v>160.19</v>
      </c>
      <c r="Y759" s="1">
        <v>150.27000000000001</v>
      </c>
      <c r="Z759" s="1">
        <v>150.38999999999999</v>
      </c>
      <c r="AA759" s="1">
        <v>150.86000000000001</v>
      </c>
      <c r="AB759" s="1">
        <v>160.41</v>
      </c>
      <c r="AE759" s="1">
        <v>163.06</v>
      </c>
      <c r="AF759" s="1">
        <v>152.63999999999999</v>
      </c>
      <c r="AG759" s="1">
        <v>140.88999999999999</v>
      </c>
      <c r="AO759" s="1">
        <v>0</v>
      </c>
      <c r="AP759" s="1">
        <v>3228.33</v>
      </c>
      <c r="AT759" s="1">
        <v>4430.4399999999996</v>
      </c>
      <c r="AX759" s="1">
        <v>145.32</v>
      </c>
      <c r="BA759" s="1">
        <v>150.16</v>
      </c>
      <c r="BB759" s="1">
        <v>162.49</v>
      </c>
      <c r="BC759" s="1">
        <v>155.31</v>
      </c>
      <c r="BD759" s="1">
        <v>155.44999999999999</v>
      </c>
      <c r="BE759" s="1">
        <v>153.47999999999999</v>
      </c>
      <c r="BF759" s="1">
        <v>151.88</v>
      </c>
      <c r="BG759" s="1">
        <v>165.05</v>
      </c>
      <c r="BH759" s="1">
        <v>147.19</v>
      </c>
      <c r="BI759" s="1">
        <v>158.18</v>
      </c>
      <c r="BK759" s="1">
        <v>143.88</v>
      </c>
      <c r="BL759" s="1">
        <v>143.43</v>
      </c>
      <c r="BN759" s="1">
        <v>142.35</v>
      </c>
    </row>
    <row r="760" spans="1:66" x14ac:dyDescent="0.3">
      <c r="A760" s="2"/>
      <c r="C760" s="14" t="str">
        <f t="shared" si="12"/>
        <v>20233</v>
      </c>
      <c r="D760" s="3">
        <v>45000</v>
      </c>
      <c r="E760" s="21">
        <v>2846.45</v>
      </c>
      <c r="F760" s="21">
        <v>2832.22</v>
      </c>
      <c r="G760" s="21">
        <v>2893.49</v>
      </c>
      <c r="H760" s="21">
        <v>2789.44</v>
      </c>
      <c r="I760" s="21">
        <v>2761.59</v>
      </c>
      <c r="J760" s="21">
        <v>2734.26</v>
      </c>
      <c r="K760" s="21">
        <v>2690.32</v>
      </c>
      <c r="L760" s="21">
        <v>2585.79</v>
      </c>
      <c r="M760" s="21">
        <v>2608.0100000000002</v>
      </c>
      <c r="N760" s="21">
        <v>2567.7199999999998</v>
      </c>
      <c r="O760" s="21">
        <v>2689.9</v>
      </c>
      <c r="P760" s="21">
        <v>2764.04</v>
      </c>
      <c r="Q760" s="21">
        <v>6130.47</v>
      </c>
      <c r="R760" s="20">
        <v>149.61000000000001</v>
      </c>
      <c r="S760" s="20"/>
      <c r="T760" s="21">
        <v>149.29</v>
      </c>
      <c r="V760" s="1">
        <v>145.16</v>
      </c>
      <c r="W760" s="1">
        <v>155.78</v>
      </c>
      <c r="X760" s="1">
        <v>160.16</v>
      </c>
      <c r="Y760" s="1">
        <v>150.66999999999999</v>
      </c>
      <c r="Z760" s="1">
        <v>150.55000000000001</v>
      </c>
      <c r="AA760" s="1">
        <v>151.69999999999999</v>
      </c>
      <c r="AB760" s="1">
        <v>159.75</v>
      </c>
      <c r="AE760" s="1">
        <v>163.26</v>
      </c>
      <c r="AF760" s="1">
        <v>153.24</v>
      </c>
      <c r="AG760" s="1">
        <v>140.72</v>
      </c>
      <c r="AO760" s="1">
        <v>0</v>
      </c>
      <c r="AT760" s="1">
        <v>4430.4399999999996</v>
      </c>
      <c r="AX760" s="1">
        <v>144.94</v>
      </c>
      <c r="BA760" s="1">
        <v>150.94</v>
      </c>
      <c r="BB760" s="1">
        <v>162.81</v>
      </c>
      <c r="BC760" s="1">
        <v>156.08000000000001</v>
      </c>
      <c r="BD760" s="1">
        <v>156.61000000000001</v>
      </c>
      <c r="BE760" s="1">
        <v>154.33000000000001</v>
      </c>
      <c r="BF760" s="1">
        <v>152.61000000000001</v>
      </c>
      <c r="BG760" s="1">
        <v>164.81</v>
      </c>
      <c r="BH760" s="1">
        <v>147.96</v>
      </c>
      <c r="BI760" s="1">
        <v>158.18</v>
      </c>
      <c r="BK760" s="1">
        <v>144.21</v>
      </c>
      <c r="BL760" s="1">
        <v>144.22</v>
      </c>
      <c r="BN760" s="1">
        <v>142.97</v>
      </c>
    </row>
    <row r="761" spans="1:66" x14ac:dyDescent="0.3">
      <c r="A761" s="2"/>
      <c r="C761" s="14" t="str">
        <f t="shared" si="12"/>
        <v>20233</v>
      </c>
      <c r="D761" s="3">
        <v>44999</v>
      </c>
      <c r="E761" s="21">
        <v>2863.04</v>
      </c>
      <c r="F761" s="21">
        <v>2832.22</v>
      </c>
      <c r="G761" s="21">
        <v>2883.55</v>
      </c>
      <c r="H761" s="21">
        <v>2806.11</v>
      </c>
      <c r="I761" s="21">
        <v>2771.47</v>
      </c>
      <c r="J761" s="21">
        <v>2762.07</v>
      </c>
      <c r="K761" s="21">
        <v>2688.32</v>
      </c>
      <c r="L761" s="21">
        <v>2625.4</v>
      </c>
      <c r="M761" s="21">
        <v>2607.6</v>
      </c>
      <c r="N761" s="21">
        <v>2593.3000000000002</v>
      </c>
      <c r="O761" s="21">
        <v>2674.98</v>
      </c>
      <c r="P761" s="21">
        <v>2764.04</v>
      </c>
      <c r="Q761" s="21">
        <v>5905.88</v>
      </c>
      <c r="R761" s="20">
        <v>148.61000000000001</v>
      </c>
      <c r="S761" s="20">
        <v>137.36000000000001</v>
      </c>
      <c r="T761" s="21">
        <v>150.29</v>
      </c>
      <c r="V761" s="1">
        <v>145.13999999999999</v>
      </c>
      <c r="W761" s="1">
        <v>154.47</v>
      </c>
      <c r="X761" s="1">
        <v>159.86000000000001</v>
      </c>
      <c r="Y761" s="1">
        <v>150.43</v>
      </c>
      <c r="Z761" s="1">
        <v>150.19999999999999</v>
      </c>
      <c r="AA761" s="1">
        <v>151.26</v>
      </c>
      <c r="AB761" s="1">
        <v>159.75</v>
      </c>
      <c r="AE761" s="1">
        <v>163.15</v>
      </c>
      <c r="AF761" s="1">
        <v>154.09</v>
      </c>
      <c r="AG761" s="1">
        <v>140.83000000000001</v>
      </c>
      <c r="AX761" s="1">
        <v>145.59</v>
      </c>
      <c r="BA761" s="1">
        <v>150.94</v>
      </c>
      <c r="BB761" s="1">
        <v>161.66999999999999</v>
      </c>
      <c r="BC761" s="1">
        <v>154.09</v>
      </c>
      <c r="BD761" s="1">
        <v>157.37</v>
      </c>
      <c r="BE761" s="1">
        <v>153.34</v>
      </c>
      <c r="BF761" s="1">
        <v>151.37</v>
      </c>
      <c r="BG761" s="1">
        <v>164.42</v>
      </c>
      <c r="BH761" s="1">
        <v>147.96</v>
      </c>
      <c r="BI761" s="1">
        <v>157.58000000000001</v>
      </c>
      <c r="BK761" s="1">
        <v>145.54</v>
      </c>
      <c r="BL761" s="1">
        <v>144.22</v>
      </c>
      <c r="BN761" s="1">
        <v>142.97</v>
      </c>
    </row>
    <row r="762" spans="1:66" x14ac:dyDescent="0.3">
      <c r="A762" s="2"/>
      <c r="C762" s="14" t="str">
        <f t="shared" si="12"/>
        <v>20233</v>
      </c>
      <c r="D762" s="3">
        <v>44998</v>
      </c>
      <c r="E762" s="21">
        <v>2861.9</v>
      </c>
      <c r="F762" s="21">
        <v>2832.22</v>
      </c>
      <c r="G762" s="21">
        <v>2893.49</v>
      </c>
      <c r="H762" s="21">
        <v>2806.11</v>
      </c>
      <c r="I762" s="21">
        <v>2771.47</v>
      </c>
      <c r="J762" s="21">
        <v>2755.39</v>
      </c>
      <c r="K762" s="21">
        <v>2701.11</v>
      </c>
      <c r="L762" s="21">
        <v>2625.4</v>
      </c>
      <c r="M762" s="21">
        <v>2650.77</v>
      </c>
      <c r="N762" s="21">
        <v>2597.29</v>
      </c>
      <c r="O762" s="21">
        <v>2655.25</v>
      </c>
      <c r="P762" s="21">
        <v>2777.68</v>
      </c>
      <c r="Q762" s="21">
        <v>6226.29</v>
      </c>
      <c r="R762" s="20">
        <v>149.28</v>
      </c>
      <c r="S762" s="20">
        <v>137.55000000000001</v>
      </c>
      <c r="T762" s="21">
        <v>150.93</v>
      </c>
      <c r="V762" s="1">
        <v>146.16999999999999</v>
      </c>
      <c r="W762" s="1">
        <v>154.96</v>
      </c>
      <c r="X762" s="1">
        <v>160.61000000000001</v>
      </c>
      <c r="Y762" s="1">
        <v>150.66</v>
      </c>
      <c r="Z762" s="1">
        <v>150.99</v>
      </c>
      <c r="AA762" s="1">
        <v>152.16999999999999</v>
      </c>
      <c r="AB762" s="1">
        <v>160.44999999999999</v>
      </c>
      <c r="AE762" s="1">
        <v>163.95</v>
      </c>
      <c r="AF762" s="1">
        <v>156.81</v>
      </c>
      <c r="AG762" s="1">
        <v>139.66999999999999</v>
      </c>
      <c r="AT762" s="1">
        <v>3237.59</v>
      </c>
      <c r="AX762" s="1">
        <v>145.53</v>
      </c>
      <c r="BA762" s="1">
        <v>152</v>
      </c>
      <c r="BB762" s="1">
        <v>162.91999999999999</v>
      </c>
      <c r="BC762" s="1">
        <v>156.38999999999999</v>
      </c>
      <c r="BD762" s="1">
        <v>154.80000000000001</v>
      </c>
      <c r="BE762" s="1">
        <v>155.41999999999999</v>
      </c>
      <c r="BF762" s="1">
        <v>151.62</v>
      </c>
      <c r="BG762" s="1">
        <v>165.25</v>
      </c>
      <c r="BH762" s="1">
        <v>146.47</v>
      </c>
      <c r="BI762" s="1">
        <v>159.18</v>
      </c>
      <c r="BK762" s="1">
        <v>145.54</v>
      </c>
      <c r="BL762" s="1">
        <v>143.44</v>
      </c>
      <c r="BN762" s="1">
        <v>142.85</v>
      </c>
    </row>
    <row r="763" spans="1:66" x14ac:dyDescent="0.3">
      <c r="A763" s="2"/>
      <c r="C763" s="14" t="str">
        <f t="shared" si="12"/>
        <v>20233</v>
      </c>
      <c r="D763" s="3">
        <v>44995</v>
      </c>
      <c r="E763" s="21">
        <v>2859.36</v>
      </c>
      <c r="F763" s="21">
        <v>2859.77</v>
      </c>
      <c r="G763" s="21">
        <v>2893.44</v>
      </c>
      <c r="H763" s="21">
        <v>2812.82</v>
      </c>
      <c r="I763" s="21">
        <v>2769.5</v>
      </c>
      <c r="J763" s="21">
        <v>2757.52</v>
      </c>
      <c r="K763" s="21">
        <v>2705.09</v>
      </c>
      <c r="L763" s="21">
        <v>2628.7</v>
      </c>
      <c r="M763" s="21">
        <v>2624.84</v>
      </c>
      <c r="N763" s="21">
        <v>2598.92</v>
      </c>
      <c r="O763" s="21">
        <v>2655.25</v>
      </c>
      <c r="P763" s="21">
        <v>2777.68</v>
      </c>
      <c r="Q763" s="21">
        <v>6438.47</v>
      </c>
      <c r="R763" s="20">
        <v>149.28</v>
      </c>
      <c r="S763" s="20">
        <v>138.12</v>
      </c>
      <c r="T763" s="21">
        <v>151.13999999999999</v>
      </c>
      <c r="V763" s="1">
        <v>145.5</v>
      </c>
      <c r="W763" s="1">
        <v>154.44</v>
      </c>
      <c r="X763" s="1">
        <v>160.53</v>
      </c>
      <c r="Y763" s="1">
        <v>150.55000000000001</v>
      </c>
      <c r="Z763" s="1">
        <v>150.99</v>
      </c>
      <c r="AA763" s="1">
        <v>152.02000000000001</v>
      </c>
      <c r="AB763" s="1">
        <v>160.44999999999999</v>
      </c>
      <c r="AC763" s="1">
        <v>143.71</v>
      </c>
      <c r="AE763" s="1">
        <v>163.89</v>
      </c>
      <c r="AF763" s="1">
        <v>156.34</v>
      </c>
      <c r="AG763" s="1">
        <v>142.71</v>
      </c>
      <c r="AT763" s="1">
        <v>3237.59</v>
      </c>
      <c r="AX763" s="1">
        <v>146.15</v>
      </c>
      <c r="BA763" s="1">
        <v>151.9</v>
      </c>
      <c r="BB763" s="1">
        <v>162.12</v>
      </c>
      <c r="BC763" s="1">
        <v>156.44</v>
      </c>
      <c r="BD763" s="1">
        <v>155.06</v>
      </c>
      <c r="BE763" s="1">
        <v>154.43</v>
      </c>
      <c r="BF763" s="1">
        <v>151.06</v>
      </c>
      <c r="BG763" s="1">
        <v>165.68</v>
      </c>
      <c r="BH763" s="1">
        <v>146.47</v>
      </c>
      <c r="BI763" s="1">
        <v>160.37</v>
      </c>
      <c r="BK763" s="1">
        <v>146.06</v>
      </c>
      <c r="BL763" s="1">
        <v>144.82</v>
      </c>
      <c r="BN763" s="1">
        <v>142.97</v>
      </c>
    </row>
    <row r="764" spans="1:66" x14ac:dyDescent="0.3">
      <c r="A764" s="2"/>
      <c r="C764" s="14" t="str">
        <f t="shared" si="12"/>
        <v>20233</v>
      </c>
      <c r="D764" s="3">
        <v>44994</v>
      </c>
      <c r="E764" s="21">
        <v>2863.08</v>
      </c>
      <c r="F764" s="21">
        <v>2859.77</v>
      </c>
      <c r="G764" s="21">
        <v>2893.44</v>
      </c>
      <c r="H764" s="21">
        <v>2873.6</v>
      </c>
      <c r="I764" s="21">
        <v>2773.45</v>
      </c>
      <c r="J764" s="21">
        <v>2746.91</v>
      </c>
      <c r="K764" s="21">
        <v>2695.13</v>
      </c>
      <c r="L764" s="21">
        <v>2628.7</v>
      </c>
      <c r="M764" s="21">
        <v>2688.64</v>
      </c>
      <c r="N764" s="21">
        <v>2600.17</v>
      </c>
      <c r="O764" s="21">
        <v>2640.96</v>
      </c>
      <c r="P764" s="21">
        <v>2777.68</v>
      </c>
      <c r="Q764" s="21">
        <v>6463.47</v>
      </c>
      <c r="R764" s="20">
        <v>152.27000000000001</v>
      </c>
      <c r="S764" s="20">
        <v>139.22999999999999</v>
      </c>
      <c r="T764" s="21">
        <v>151.13999999999999</v>
      </c>
      <c r="V764" s="1">
        <v>145.49</v>
      </c>
      <c r="W764" s="1">
        <v>155.02000000000001</v>
      </c>
      <c r="X764" s="1">
        <v>159.94</v>
      </c>
      <c r="Y764" s="1">
        <v>152.47</v>
      </c>
      <c r="Z764" s="1">
        <v>152.65</v>
      </c>
      <c r="AA764" s="1">
        <v>152.38999999999999</v>
      </c>
      <c r="AB764" s="1">
        <v>159.85</v>
      </c>
      <c r="AC764" s="1">
        <v>144.53</v>
      </c>
      <c r="AE764" s="1">
        <v>163.02000000000001</v>
      </c>
      <c r="AF764" s="1">
        <v>156.13</v>
      </c>
      <c r="AG764" s="1">
        <v>141.18</v>
      </c>
      <c r="AT764" s="1">
        <v>3237.59</v>
      </c>
      <c r="AX764" s="1">
        <v>146.32</v>
      </c>
      <c r="BA764" s="1">
        <v>152.81</v>
      </c>
      <c r="BB764" s="1">
        <v>162.13999999999999</v>
      </c>
      <c r="BC764" s="1">
        <v>156.36000000000001</v>
      </c>
      <c r="BD764" s="1">
        <v>156.16</v>
      </c>
      <c r="BE764" s="1">
        <v>155.43</v>
      </c>
      <c r="BF764" s="1">
        <v>153.30000000000001</v>
      </c>
      <c r="BG764" s="1">
        <v>164.8</v>
      </c>
      <c r="BH764" s="1">
        <v>147.47</v>
      </c>
      <c r="BI764" s="1">
        <v>160.37</v>
      </c>
      <c r="BK764" s="1">
        <v>147.31</v>
      </c>
      <c r="BL764" s="1">
        <v>146.31</v>
      </c>
      <c r="BN764" s="1">
        <v>145.34</v>
      </c>
    </row>
    <row r="765" spans="1:66" x14ac:dyDescent="0.3">
      <c r="A765" s="2"/>
      <c r="C765" s="14" t="str">
        <f t="shared" si="12"/>
        <v>20233</v>
      </c>
      <c r="D765" s="3">
        <v>44993</v>
      </c>
      <c r="E765" s="21">
        <v>2864.33</v>
      </c>
      <c r="F765" s="21">
        <v>2859.77</v>
      </c>
      <c r="G765" s="21">
        <v>2896.01</v>
      </c>
      <c r="H765" s="21">
        <v>2873.6</v>
      </c>
      <c r="I765" s="21">
        <v>2816.94</v>
      </c>
      <c r="J765" s="21">
        <v>2774.28</v>
      </c>
      <c r="K765" s="21">
        <v>2695.13</v>
      </c>
      <c r="L765" s="21">
        <v>2628.7</v>
      </c>
      <c r="M765" s="21">
        <v>2688.21</v>
      </c>
      <c r="N765" s="21">
        <v>2598.37</v>
      </c>
      <c r="O765" s="21">
        <v>2662.39</v>
      </c>
      <c r="P765" s="21">
        <v>2774.35</v>
      </c>
      <c r="Q765" s="21">
        <v>6416.47</v>
      </c>
      <c r="R765" s="20">
        <v>152.27000000000001</v>
      </c>
      <c r="S765" s="20">
        <v>139.22999999999999</v>
      </c>
      <c r="T765" s="21">
        <v>153.24</v>
      </c>
      <c r="V765" s="1">
        <v>145.80000000000001</v>
      </c>
      <c r="W765" s="1">
        <v>155.96</v>
      </c>
      <c r="X765" s="1">
        <v>161.19</v>
      </c>
      <c r="Y765" s="1">
        <v>153.35</v>
      </c>
      <c r="Z765" s="1">
        <v>153.54</v>
      </c>
      <c r="AA765" s="1">
        <v>152.26</v>
      </c>
      <c r="AB765" s="1">
        <v>159.93</v>
      </c>
      <c r="AC765" s="1">
        <v>145</v>
      </c>
      <c r="AE765" s="1">
        <v>165.09</v>
      </c>
      <c r="AF765" s="1">
        <v>156.46</v>
      </c>
      <c r="AG765" s="1">
        <v>140.83000000000001</v>
      </c>
      <c r="AX765" s="1">
        <v>146.69999999999999</v>
      </c>
      <c r="BA765" s="1">
        <v>152.81</v>
      </c>
      <c r="BB765" s="1">
        <v>163.66</v>
      </c>
      <c r="BC765" s="1">
        <v>157.25</v>
      </c>
      <c r="BD765" s="1">
        <v>158.41</v>
      </c>
      <c r="BE765" s="1">
        <v>155.43</v>
      </c>
      <c r="BF765" s="1">
        <v>153.41999999999999</v>
      </c>
      <c r="BG765" s="1">
        <v>166.6</v>
      </c>
      <c r="BH765" s="1">
        <v>147.47</v>
      </c>
      <c r="BI765" s="1">
        <v>161.57</v>
      </c>
      <c r="BJ765" s="1">
        <v>166.18</v>
      </c>
      <c r="BK765" s="1">
        <v>147.31</v>
      </c>
      <c r="BL765" s="1">
        <v>146.31</v>
      </c>
      <c r="BN765" s="1">
        <v>145.34</v>
      </c>
    </row>
    <row r="766" spans="1:66" x14ac:dyDescent="0.3">
      <c r="A766" s="2"/>
      <c r="C766" s="14" t="str">
        <f t="shared" si="12"/>
        <v>20233</v>
      </c>
      <c r="D766" s="3">
        <v>44992</v>
      </c>
      <c r="E766" s="21">
        <v>2851.5</v>
      </c>
      <c r="F766" s="21">
        <v>2843.3</v>
      </c>
      <c r="G766" s="21">
        <v>2846.59</v>
      </c>
      <c r="H766" s="21">
        <v>2874.55</v>
      </c>
      <c r="I766" s="21">
        <v>2777.4</v>
      </c>
      <c r="J766" s="21">
        <v>2774.48</v>
      </c>
      <c r="K766" s="21">
        <v>2769.19</v>
      </c>
      <c r="L766" s="21">
        <v>2615.48</v>
      </c>
      <c r="M766" s="21">
        <v>2687.78</v>
      </c>
      <c r="N766" s="21">
        <v>2613.62</v>
      </c>
      <c r="O766" s="21">
        <v>2700.95</v>
      </c>
      <c r="P766" s="21">
        <v>2780.76</v>
      </c>
      <c r="Q766" s="21">
        <v>6592.08</v>
      </c>
      <c r="R766" s="20">
        <v>151.61000000000001</v>
      </c>
      <c r="S766" s="20">
        <v>139.9</v>
      </c>
      <c r="T766" s="21">
        <v>155.61000000000001</v>
      </c>
      <c r="V766" s="1">
        <v>147.72</v>
      </c>
      <c r="W766" s="1">
        <v>158.77000000000001</v>
      </c>
      <c r="X766" s="1">
        <v>162.18</v>
      </c>
      <c r="Y766" s="1">
        <v>155.15</v>
      </c>
      <c r="Z766" s="1">
        <v>156.72999999999999</v>
      </c>
      <c r="AA766" s="1">
        <v>152.69999999999999</v>
      </c>
      <c r="AB766" s="1">
        <v>162.65</v>
      </c>
      <c r="AC766" s="1">
        <v>146.4</v>
      </c>
      <c r="AE766" s="1">
        <v>166.46</v>
      </c>
      <c r="AF766" s="1">
        <v>157.53</v>
      </c>
      <c r="AG766" s="1">
        <v>143.63999999999999</v>
      </c>
      <c r="AK766" s="1">
        <v>0</v>
      </c>
      <c r="AS766" s="1">
        <v>3471.81</v>
      </c>
      <c r="AX766" s="1">
        <v>146.88999999999999</v>
      </c>
      <c r="BA766" s="1">
        <v>152.56</v>
      </c>
      <c r="BB766" s="1">
        <v>164.19</v>
      </c>
      <c r="BC766" s="1">
        <v>158.19999999999999</v>
      </c>
      <c r="BD766" s="1">
        <v>159.19</v>
      </c>
      <c r="BE766" s="1">
        <v>156.41999999999999</v>
      </c>
      <c r="BF766" s="1">
        <v>154.22999999999999</v>
      </c>
      <c r="BG766" s="1">
        <v>168.71</v>
      </c>
      <c r="BH766" s="1">
        <v>149.34</v>
      </c>
      <c r="BI766" s="1">
        <v>161.57</v>
      </c>
      <c r="BJ766" s="1">
        <v>166.55</v>
      </c>
      <c r="BK766" s="1">
        <v>147.13</v>
      </c>
      <c r="BL766" s="1">
        <v>147.43</v>
      </c>
      <c r="BN766" s="1">
        <v>146.29</v>
      </c>
    </row>
    <row r="767" spans="1:66" x14ac:dyDescent="0.3">
      <c r="A767" s="2"/>
      <c r="C767" s="14" t="str">
        <f t="shared" si="12"/>
        <v>20233</v>
      </c>
      <c r="D767" s="3">
        <v>44991</v>
      </c>
      <c r="E767" s="21">
        <v>2845.88</v>
      </c>
      <c r="F767" s="21">
        <v>2843.3</v>
      </c>
      <c r="G767" s="21">
        <v>2844.02</v>
      </c>
      <c r="H767" s="21">
        <v>2969.1</v>
      </c>
      <c r="I767" s="21">
        <v>2777.4</v>
      </c>
      <c r="J767" s="21">
        <v>2734.65</v>
      </c>
      <c r="K767" s="21">
        <v>2712.61</v>
      </c>
      <c r="L767" s="21">
        <v>2615.48</v>
      </c>
      <c r="M767" s="21">
        <v>2634.44</v>
      </c>
      <c r="N767" s="21">
        <v>2585.75</v>
      </c>
      <c r="O767" s="21">
        <v>2708.1</v>
      </c>
      <c r="P767" s="21">
        <v>2780.76</v>
      </c>
      <c r="Q767" s="21">
        <v>6244.48</v>
      </c>
      <c r="R767" s="20">
        <v>151.94</v>
      </c>
      <c r="S767" s="20"/>
      <c r="T767" s="21">
        <v>156.27000000000001</v>
      </c>
      <c r="V767" s="1">
        <v>148.72</v>
      </c>
      <c r="W767" s="1">
        <v>158.65</v>
      </c>
      <c r="X767" s="1">
        <v>163.83000000000001</v>
      </c>
      <c r="Y767" s="1">
        <v>156.02000000000001</v>
      </c>
      <c r="Z767" s="1">
        <v>157.97999999999999</v>
      </c>
      <c r="AA767" s="1">
        <v>153.66999999999999</v>
      </c>
      <c r="AB767" s="1">
        <v>162.44999999999999</v>
      </c>
      <c r="AE767" s="1">
        <v>167.67</v>
      </c>
      <c r="AF767" s="1">
        <v>159.78</v>
      </c>
      <c r="AG767" s="1">
        <v>143.44</v>
      </c>
      <c r="AK767" s="1">
        <v>0</v>
      </c>
      <c r="AP767" s="1">
        <v>2400</v>
      </c>
      <c r="AS767" s="1">
        <v>3471.81</v>
      </c>
      <c r="AX767" s="1">
        <v>146.9</v>
      </c>
      <c r="BA767" s="1">
        <v>152.41</v>
      </c>
      <c r="BB767" s="1">
        <v>164.02</v>
      </c>
      <c r="BC767" s="1">
        <v>158.51</v>
      </c>
      <c r="BD767" s="1">
        <v>160.03</v>
      </c>
      <c r="BE767" s="1">
        <v>157.29</v>
      </c>
      <c r="BF767" s="1">
        <v>154.26</v>
      </c>
      <c r="BG767" s="1">
        <v>169.65</v>
      </c>
      <c r="BH767" s="1">
        <v>149.85</v>
      </c>
      <c r="BI767" s="1">
        <v>161.57</v>
      </c>
      <c r="BJ767" s="1">
        <v>166.6</v>
      </c>
      <c r="BK767" s="1">
        <v>148.80000000000001</v>
      </c>
      <c r="BL767" s="1">
        <v>149.09</v>
      </c>
      <c r="BN767" s="1">
        <v>148.61000000000001</v>
      </c>
    </row>
    <row r="768" spans="1:66" x14ac:dyDescent="0.3">
      <c r="A768" s="2"/>
      <c r="C768" s="14" t="str">
        <f t="shared" si="12"/>
        <v>20233</v>
      </c>
      <c r="D768" s="3">
        <v>44988</v>
      </c>
      <c r="E768" s="21">
        <v>2846.82</v>
      </c>
      <c r="F768" s="21">
        <v>2843.3</v>
      </c>
      <c r="G768" s="21">
        <v>2844.02</v>
      </c>
      <c r="H768" s="21">
        <v>2765.43</v>
      </c>
      <c r="I768" s="21">
        <v>2777.4</v>
      </c>
      <c r="J768" s="21">
        <v>2719.18</v>
      </c>
      <c r="K768" s="21">
        <v>2689.53</v>
      </c>
      <c r="L768" s="21">
        <v>2595.6799999999998</v>
      </c>
      <c r="M768" s="21">
        <v>2557.5500000000002</v>
      </c>
      <c r="N768" s="21">
        <v>2560.75</v>
      </c>
      <c r="O768" s="21">
        <v>2665.23</v>
      </c>
      <c r="P768" s="21">
        <v>2795.43</v>
      </c>
      <c r="Q768" s="21">
        <v>6505.67</v>
      </c>
      <c r="R768" s="20">
        <v>151.11000000000001</v>
      </c>
      <c r="S768" s="20"/>
      <c r="T768" s="21">
        <v>155.24</v>
      </c>
      <c r="V768" s="1">
        <v>148.13999999999999</v>
      </c>
      <c r="W768" s="1">
        <v>158.94999999999999</v>
      </c>
      <c r="X768" s="1">
        <v>161.76</v>
      </c>
      <c r="Y768" s="1">
        <v>156.65</v>
      </c>
      <c r="Z768" s="1">
        <v>156.96</v>
      </c>
      <c r="AA768" s="1">
        <v>154.13</v>
      </c>
      <c r="AB768" s="1">
        <v>162.28</v>
      </c>
      <c r="AE768" s="1">
        <v>166.65</v>
      </c>
      <c r="AF768" s="1">
        <v>158.91999999999999</v>
      </c>
      <c r="AG768" s="1">
        <v>144.33000000000001</v>
      </c>
      <c r="AK768" s="1">
        <v>0</v>
      </c>
      <c r="AP768" s="1">
        <v>2400</v>
      </c>
      <c r="AS768" s="1">
        <v>3471.81</v>
      </c>
      <c r="AT768" s="1">
        <v>3046.37</v>
      </c>
      <c r="AX768" s="1">
        <v>146.82</v>
      </c>
      <c r="BA768" s="1">
        <v>151.24</v>
      </c>
      <c r="BB768" s="1">
        <v>164.95</v>
      </c>
      <c r="BC768" s="1">
        <v>160.03</v>
      </c>
      <c r="BD768" s="1">
        <v>159.46</v>
      </c>
      <c r="BE768" s="1">
        <v>158.41</v>
      </c>
      <c r="BF768" s="1">
        <v>155.76</v>
      </c>
      <c r="BG768" s="1">
        <v>168.5</v>
      </c>
      <c r="BH768" s="1">
        <v>146.86000000000001</v>
      </c>
      <c r="BI768" s="1">
        <v>161.57</v>
      </c>
      <c r="BJ768" s="1">
        <v>166.91</v>
      </c>
      <c r="BK768" s="1">
        <v>148.85</v>
      </c>
      <c r="BL768" s="1">
        <v>149.27000000000001</v>
      </c>
      <c r="BN768" s="1">
        <v>148.61000000000001</v>
      </c>
    </row>
    <row r="769" spans="1:66" x14ac:dyDescent="0.3">
      <c r="A769" s="2"/>
      <c r="C769" s="14" t="str">
        <f t="shared" si="12"/>
        <v>20233</v>
      </c>
      <c r="D769" s="3">
        <v>44987</v>
      </c>
      <c r="E769" s="21">
        <v>2804.74</v>
      </c>
      <c r="F769" s="21">
        <v>2843.3</v>
      </c>
      <c r="G769" s="21">
        <v>2863.9</v>
      </c>
      <c r="H769" s="21">
        <v>2772.39</v>
      </c>
      <c r="I769" s="21">
        <v>2777.4</v>
      </c>
      <c r="J769" s="21">
        <v>2786.16</v>
      </c>
      <c r="K769" s="21">
        <v>2720.91</v>
      </c>
      <c r="L769" s="21">
        <v>2591.11</v>
      </c>
      <c r="M769" s="21">
        <v>2542.13</v>
      </c>
      <c r="N769" s="21">
        <v>2578.5700000000002</v>
      </c>
      <c r="O769" s="21">
        <v>2627.27</v>
      </c>
      <c r="P769" s="21">
        <v>2780.76</v>
      </c>
      <c r="Q769" s="21">
        <v>6283.52</v>
      </c>
      <c r="R769" s="20">
        <v>151.61000000000001</v>
      </c>
      <c r="S769" s="20"/>
      <c r="T769" s="21">
        <v>155.13999999999999</v>
      </c>
      <c r="V769" s="1">
        <v>147.91</v>
      </c>
      <c r="W769" s="1">
        <v>157.91999999999999</v>
      </c>
      <c r="X769" s="1">
        <v>161.68</v>
      </c>
      <c r="Y769" s="1">
        <v>154.96</v>
      </c>
      <c r="Z769" s="1">
        <v>156.96</v>
      </c>
      <c r="AA769" s="1">
        <v>153.97999999999999</v>
      </c>
      <c r="AB769" s="1">
        <v>162.05000000000001</v>
      </c>
      <c r="AE769" s="1">
        <v>166.21</v>
      </c>
      <c r="AF769" s="1">
        <v>158.66</v>
      </c>
      <c r="AG769" s="1">
        <v>142.72</v>
      </c>
      <c r="AK769" s="1">
        <v>0</v>
      </c>
      <c r="AP769" s="1">
        <v>2400</v>
      </c>
      <c r="AS769" s="1">
        <v>3471.81</v>
      </c>
      <c r="AT769" s="1">
        <v>3046.37</v>
      </c>
      <c r="AX769" s="1">
        <v>145.27000000000001</v>
      </c>
      <c r="BA769" s="1">
        <v>150.88</v>
      </c>
      <c r="BB769" s="1">
        <v>164.02</v>
      </c>
      <c r="BC769" s="1">
        <v>159.5</v>
      </c>
      <c r="BD769" s="1">
        <v>158.34</v>
      </c>
      <c r="BE769" s="1">
        <v>158.58000000000001</v>
      </c>
      <c r="BF769" s="1">
        <v>155.80000000000001</v>
      </c>
      <c r="BG769" s="1">
        <v>169.31</v>
      </c>
      <c r="BH769" s="1">
        <v>149.35</v>
      </c>
      <c r="BI769" s="1">
        <v>161.57</v>
      </c>
      <c r="BJ769" s="1">
        <v>167.49</v>
      </c>
      <c r="BK769" s="1">
        <v>148.85</v>
      </c>
      <c r="BL769" s="1">
        <v>148.77000000000001</v>
      </c>
      <c r="BN769" s="1">
        <v>148.61000000000001</v>
      </c>
    </row>
    <row r="770" spans="1:66" x14ac:dyDescent="0.3">
      <c r="A770" s="2"/>
      <c r="C770" s="14" t="str">
        <f t="shared" si="12"/>
        <v>20233</v>
      </c>
      <c r="D770" s="3">
        <v>44986</v>
      </c>
      <c r="E770" s="21">
        <v>2834.38</v>
      </c>
      <c r="F770" s="21">
        <v>2880.36</v>
      </c>
      <c r="G770" s="21">
        <v>2913.32</v>
      </c>
      <c r="H770" s="21">
        <v>2763.25</v>
      </c>
      <c r="I770" s="21">
        <v>2777.4</v>
      </c>
      <c r="J770" s="21">
        <v>2832.19</v>
      </c>
      <c r="K770" s="21">
        <v>2724.24</v>
      </c>
      <c r="L770" s="21">
        <v>2605.56</v>
      </c>
      <c r="M770" s="21">
        <v>2557.4699999999998</v>
      </c>
      <c r="N770" s="21">
        <v>2559.4499999999998</v>
      </c>
      <c r="O770" s="21">
        <v>2770.94</v>
      </c>
      <c r="P770" s="21">
        <v>2798.24</v>
      </c>
      <c r="Q770" s="21">
        <v>6312.09</v>
      </c>
      <c r="R770" s="20">
        <v>151.61000000000001</v>
      </c>
      <c r="S770" s="20"/>
      <c r="T770" s="21">
        <v>155.28</v>
      </c>
      <c r="V770" s="1">
        <v>148.41999999999999</v>
      </c>
      <c r="W770" s="1">
        <v>157.38999999999999</v>
      </c>
      <c r="X770" s="1">
        <v>163.47</v>
      </c>
      <c r="Y770" s="1">
        <v>155.77000000000001</v>
      </c>
      <c r="Z770" s="1">
        <v>157.6</v>
      </c>
      <c r="AA770" s="1">
        <v>154.03</v>
      </c>
      <c r="AB770" s="1">
        <v>161.85</v>
      </c>
      <c r="AE770" s="1">
        <v>167.18</v>
      </c>
      <c r="AF770" s="1">
        <v>157.91</v>
      </c>
      <c r="AG770" s="1">
        <v>143.32</v>
      </c>
      <c r="AK770" s="1">
        <v>0</v>
      </c>
      <c r="AS770" s="1">
        <v>3471.81</v>
      </c>
      <c r="AT770" s="1">
        <v>3046.37</v>
      </c>
      <c r="AX770" s="1">
        <v>145.6</v>
      </c>
      <c r="BA770" s="1">
        <v>150.88</v>
      </c>
      <c r="BB770" s="1">
        <v>163.62</v>
      </c>
      <c r="BC770" s="1">
        <v>158.9</v>
      </c>
      <c r="BD770" s="1">
        <v>157.49</v>
      </c>
      <c r="BE770" s="1">
        <v>158.37</v>
      </c>
      <c r="BF770" s="1">
        <v>157.79</v>
      </c>
      <c r="BG770" s="1">
        <v>168.93</v>
      </c>
      <c r="BH770" s="1">
        <v>149.35</v>
      </c>
      <c r="BI770" s="1">
        <v>161.16999999999999</v>
      </c>
      <c r="BJ770" s="1">
        <v>167.46</v>
      </c>
      <c r="BK770" s="1">
        <v>149.18</v>
      </c>
      <c r="BL770" s="1">
        <v>149.27000000000001</v>
      </c>
      <c r="BN770" s="1">
        <v>149.27000000000001</v>
      </c>
    </row>
    <row r="771" spans="1:66" x14ac:dyDescent="0.3">
      <c r="A771" s="2"/>
      <c r="C771" s="14" t="str">
        <f t="shared" si="12"/>
        <v>20232</v>
      </c>
      <c r="D771" s="3">
        <v>44985</v>
      </c>
      <c r="E771" s="21">
        <v>2889.44</v>
      </c>
      <c r="F771" s="21">
        <v>2897.06</v>
      </c>
      <c r="G771" s="21">
        <v>2937.04</v>
      </c>
      <c r="H771" s="21">
        <v>2775.62</v>
      </c>
      <c r="I771" s="21">
        <v>2789.49</v>
      </c>
      <c r="J771" s="21">
        <v>2900.47</v>
      </c>
      <c r="K771" s="21">
        <v>2713.61</v>
      </c>
      <c r="L771" s="21">
        <v>2608.2600000000002</v>
      </c>
      <c r="M771" s="21">
        <v>2692.59</v>
      </c>
      <c r="N771" s="21">
        <v>2624.97</v>
      </c>
      <c r="O771" s="21">
        <v>2841.25</v>
      </c>
      <c r="P771" s="21">
        <v>2799.46</v>
      </c>
      <c r="Q771" s="21">
        <v>6195.19</v>
      </c>
      <c r="R771" s="20">
        <v>153.99</v>
      </c>
      <c r="S771" s="20"/>
      <c r="T771" s="21">
        <v>156.4</v>
      </c>
      <c r="V771" s="1">
        <v>149.18</v>
      </c>
      <c r="W771" s="1">
        <v>157.83000000000001</v>
      </c>
      <c r="X771" s="1">
        <v>163.37</v>
      </c>
      <c r="Y771" s="1">
        <v>156.78</v>
      </c>
      <c r="Z771" s="1">
        <v>157.28</v>
      </c>
      <c r="AA771" s="1">
        <v>155.16</v>
      </c>
      <c r="AB771" s="1">
        <v>163.98</v>
      </c>
      <c r="AE771" s="1">
        <v>169.25</v>
      </c>
      <c r="AF771" s="1">
        <v>158.36000000000001</v>
      </c>
      <c r="AG771" s="1">
        <v>145.80000000000001</v>
      </c>
      <c r="AT771" s="1">
        <v>3041.73</v>
      </c>
      <c r="AW771" s="1">
        <v>3181.81</v>
      </c>
      <c r="AX771" s="1">
        <v>147.32</v>
      </c>
      <c r="BA771" s="1">
        <v>151.44999999999999</v>
      </c>
      <c r="BB771" s="1">
        <v>164.26</v>
      </c>
      <c r="BC771" s="1">
        <v>159.97</v>
      </c>
      <c r="BD771" s="1">
        <v>158.53</v>
      </c>
      <c r="BE771" s="1">
        <v>158.13</v>
      </c>
      <c r="BF771" s="1">
        <v>157.09</v>
      </c>
      <c r="BG771" s="1">
        <v>170.51</v>
      </c>
      <c r="BH771" s="1">
        <v>152.38</v>
      </c>
      <c r="BI771" s="1">
        <v>161.63</v>
      </c>
      <c r="BJ771" s="1">
        <v>170.26</v>
      </c>
      <c r="BK771" s="1">
        <v>148.59</v>
      </c>
      <c r="BL771" s="1">
        <v>149.49</v>
      </c>
      <c r="BN771" s="1">
        <v>148.76</v>
      </c>
    </row>
    <row r="772" spans="1:66" x14ac:dyDescent="0.3">
      <c r="A772" s="2"/>
      <c r="C772" s="14" t="str">
        <f t="shared" si="12"/>
        <v>20232</v>
      </c>
      <c r="D772" s="3">
        <v>44984</v>
      </c>
      <c r="E772" s="21">
        <v>2948.22</v>
      </c>
      <c r="F772" s="21">
        <v>2897.06</v>
      </c>
      <c r="G772" s="21">
        <v>2976.74</v>
      </c>
      <c r="H772" s="21">
        <v>2764.46</v>
      </c>
      <c r="I772" s="21">
        <v>2789.49</v>
      </c>
      <c r="J772" s="21">
        <v>2967.03</v>
      </c>
      <c r="K772" s="21">
        <v>2730.19</v>
      </c>
      <c r="L772" s="21">
        <v>2608.2600000000002</v>
      </c>
      <c r="M772" s="21">
        <v>2713.13</v>
      </c>
      <c r="N772" s="21">
        <v>2696.9</v>
      </c>
      <c r="O772" s="21">
        <v>2901.13</v>
      </c>
      <c r="P772" s="21">
        <v>2824.33</v>
      </c>
      <c r="Q772" s="21">
        <v>6458.54</v>
      </c>
      <c r="R772" s="20">
        <v>156.65</v>
      </c>
      <c r="S772" s="20"/>
      <c r="T772" s="21">
        <v>156.72</v>
      </c>
      <c r="V772" s="1">
        <v>151.63</v>
      </c>
      <c r="W772" s="1">
        <v>161.94999999999999</v>
      </c>
      <c r="X772" s="1">
        <v>164.62</v>
      </c>
      <c r="Y772" s="1">
        <v>156.78</v>
      </c>
      <c r="Z772" s="1">
        <v>159.37</v>
      </c>
      <c r="AA772" s="1">
        <v>158.43</v>
      </c>
      <c r="AB772" s="1">
        <v>164.88</v>
      </c>
      <c r="AE772" s="1">
        <v>169.77</v>
      </c>
      <c r="AF772" s="1">
        <v>159.24</v>
      </c>
      <c r="AG772" s="1">
        <v>144.87</v>
      </c>
      <c r="AT772" s="1">
        <v>3041.73</v>
      </c>
      <c r="AW772" s="1">
        <v>3181.81</v>
      </c>
      <c r="AX772" s="1">
        <v>152.29</v>
      </c>
      <c r="BA772" s="1">
        <v>153.94</v>
      </c>
      <c r="BB772" s="1">
        <v>166.55</v>
      </c>
      <c r="BC772" s="1">
        <v>161.63</v>
      </c>
      <c r="BD772" s="1">
        <v>161.41</v>
      </c>
      <c r="BE772" s="1">
        <v>159.16999999999999</v>
      </c>
      <c r="BF772" s="1">
        <v>157.91999999999999</v>
      </c>
      <c r="BG772" s="1">
        <v>171.19</v>
      </c>
      <c r="BH772" s="1">
        <v>155.47999999999999</v>
      </c>
      <c r="BI772" s="1">
        <v>164.02</v>
      </c>
      <c r="BJ772" s="1">
        <v>170.42</v>
      </c>
      <c r="BK772" s="1">
        <v>148.59</v>
      </c>
      <c r="BL772" s="1">
        <v>150.58000000000001</v>
      </c>
      <c r="BN772" s="1">
        <v>148.76</v>
      </c>
    </row>
    <row r="773" spans="1:66" x14ac:dyDescent="0.3">
      <c r="A773" s="2"/>
      <c r="C773" s="14" t="str">
        <f t="shared" si="12"/>
        <v>20232</v>
      </c>
      <c r="D773" s="3">
        <v>44981</v>
      </c>
      <c r="E773" s="21">
        <v>2941.6</v>
      </c>
      <c r="F773" s="21">
        <v>2897.06</v>
      </c>
      <c r="G773" s="21">
        <v>2949.85</v>
      </c>
      <c r="H773" s="21">
        <v>2752.03</v>
      </c>
      <c r="I773" s="21">
        <v>2797.41</v>
      </c>
      <c r="J773" s="21">
        <v>2975.08</v>
      </c>
      <c r="K773" s="21">
        <v>2730.19</v>
      </c>
      <c r="L773" s="21">
        <v>2631.52</v>
      </c>
      <c r="M773" s="21">
        <v>2712.01</v>
      </c>
      <c r="N773" s="21">
        <v>2747.37</v>
      </c>
      <c r="O773" s="21">
        <v>2918.27</v>
      </c>
      <c r="P773" s="21">
        <v>2824.33</v>
      </c>
      <c r="Q773" s="21">
        <v>6450.26</v>
      </c>
      <c r="R773" s="20">
        <v>157.65</v>
      </c>
      <c r="S773" s="20"/>
      <c r="T773" s="21">
        <v>155.97</v>
      </c>
      <c r="V773" s="1">
        <v>151.55000000000001</v>
      </c>
      <c r="W773" s="1">
        <v>158.94999999999999</v>
      </c>
      <c r="X773" s="1">
        <v>163.62</v>
      </c>
      <c r="Y773" s="1">
        <v>156.19999999999999</v>
      </c>
      <c r="Z773" s="1">
        <v>156.46</v>
      </c>
      <c r="AA773" s="1">
        <v>159</v>
      </c>
      <c r="AB773" s="1">
        <v>162.97</v>
      </c>
      <c r="AE773" s="1">
        <v>168.69</v>
      </c>
      <c r="AF773" s="1">
        <v>159.56</v>
      </c>
      <c r="AG773" s="1">
        <v>146.62</v>
      </c>
      <c r="AW773" s="1">
        <v>3181.81</v>
      </c>
      <c r="AX773" s="1">
        <v>152.77000000000001</v>
      </c>
      <c r="BA773" s="1">
        <v>154.85</v>
      </c>
      <c r="BB773" s="1">
        <v>166.3</v>
      </c>
      <c r="BC773" s="1">
        <v>159.9</v>
      </c>
      <c r="BD773" s="1">
        <v>159.83000000000001</v>
      </c>
      <c r="BE773" s="1">
        <v>161.21</v>
      </c>
      <c r="BF773" s="1">
        <v>159.80000000000001</v>
      </c>
      <c r="BG773" s="1">
        <v>169.51</v>
      </c>
      <c r="BH773" s="1">
        <v>155.47999999999999</v>
      </c>
      <c r="BI773" s="1">
        <v>164.52</v>
      </c>
      <c r="BJ773" s="1">
        <v>170.17</v>
      </c>
      <c r="BK773" s="1">
        <v>152.16999999999999</v>
      </c>
      <c r="BL773" s="1">
        <v>150.83000000000001</v>
      </c>
      <c r="BN773" s="1">
        <v>149.74</v>
      </c>
    </row>
    <row r="774" spans="1:66" x14ac:dyDescent="0.3">
      <c r="A774" s="2"/>
      <c r="C774" s="14" t="str">
        <f t="shared" ref="C774:C837" si="13">YEAR(D774)&amp;MONTH(D774)</f>
        <v>20232</v>
      </c>
      <c r="D774" s="3">
        <v>44980</v>
      </c>
      <c r="E774" s="21">
        <v>2933.31</v>
      </c>
      <c r="F774" s="21">
        <v>2897.06</v>
      </c>
      <c r="G774" s="21">
        <v>2974.6</v>
      </c>
      <c r="H774" s="21">
        <v>2925.51</v>
      </c>
      <c r="I774" s="21">
        <v>2817.21</v>
      </c>
      <c r="J774" s="21">
        <v>2971.03</v>
      </c>
      <c r="K774" s="21">
        <v>2730.19</v>
      </c>
      <c r="L774" s="21">
        <v>2697.82</v>
      </c>
      <c r="M774" s="21">
        <v>2676.78</v>
      </c>
      <c r="N774" s="21">
        <v>2706.46</v>
      </c>
      <c r="O774" s="21">
        <v>2927.9</v>
      </c>
      <c r="P774" s="21">
        <v>2824.33</v>
      </c>
      <c r="Q774" s="21">
        <v>6454.58</v>
      </c>
      <c r="R774" s="20">
        <v>157.31</v>
      </c>
      <c r="S774" s="20"/>
      <c r="T774" s="21">
        <v>157.13999999999999</v>
      </c>
      <c r="V774" s="1">
        <v>151.68</v>
      </c>
      <c r="W774" s="1">
        <v>159.96</v>
      </c>
      <c r="X774" s="1">
        <v>164.4</v>
      </c>
      <c r="Y774" s="1">
        <v>156.88</v>
      </c>
      <c r="Z774" s="1">
        <v>157.36000000000001</v>
      </c>
      <c r="AA774" s="1">
        <v>159.16</v>
      </c>
      <c r="AB774" s="1">
        <v>163.26</v>
      </c>
      <c r="AE774" s="1">
        <v>169.46</v>
      </c>
      <c r="AF774" s="1">
        <v>161.12</v>
      </c>
      <c r="AG774" s="1">
        <v>147.38999999999999</v>
      </c>
      <c r="AW774" s="1">
        <v>3181.81</v>
      </c>
      <c r="AX774" s="1">
        <v>152.47</v>
      </c>
      <c r="BA774" s="1">
        <v>157.19999999999999</v>
      </c>
      <c r="BB774" s="1">
        <v>165.71</v>
      </c>
      <c r="BC774" s="1">
        <v>160.9</v>
      </c>
      <c r="BD774" s="1">
        <v>159.93</v>
      </c>
      <c r="BE774" s="1">
        <v>161.33000000000001</v>
      </c>
      <c r="BF774" s="1">
        <v>159.59</v>
      </c>
      <c r="BG774" s="1">
        <v>169.49</v>
      </c>
      <c r="BH774" s="1">
        <v>155.86000000000001</v>
      </c>
      <c r="BI774" s="1">
        <v>164.52</v>
      </c>
      <c r="BJ774" s="1">
        <v>170.68</v>
      </c>
      <c r="BK774" s="1">
        <v>152.37</v>
      </c>
      <c r="BL774" s="1">
        <v>150.58000000000001</v>
      </c>
      <c r="BN774" s="1">
        <v>150.41</v>
      </c>
    </row>
    <row r="775" spans="1:66" x14ac:dyDescent="0.3">
      <c r="A775" s="2"/>
      <c r="C775" s="14" t="str">
        <f t="shared" si="13"/>
        <v>20232</v>
      </c>
      <c r="D775" s="3">
        <v>44979</v>
      </c>
      <c r="E775" s="21">
        <v>2969.08</v>
      </c>
      <c r="F775" s="21">
        <v>2897.06</v>
      </c>
      <c r="G775" s="21">
        <v>3026.38</v>
      </c>
      <c r="H775" s="21">
        <v>2936.16</v>
      </c>
      <c r="I775" s="21">
        <v>2817.21</v>
      </c>
      <c r="J775" s="21">
        <v>2985.46</v>
      </c>
      <c r="K775" s="21">
        <v>2730.18</v>
      </c>
      <c r="L775" s="21">
        <v>2737</v>
      </c>
      <c r="M775" s="21">
        <v>2696.48</v>
      </c>
      <c r="N775" s="21">
        <v>2774.11</v>
      </c>
      <c r="O775" s="21">
        <v>2973.45</v>
      </c>
      <c r="P775" s="21">
        <v>2839.3</v>
      </c>
      <c r="Q775" s="21">
        <v>6533.48</v>
      </c>
      <c r="R775" s="20">
        <v>157.97999999999999</v>
      </c>
      <c r="S775" s="20"/>
      <c r="T775" s="21">
        <v>157.49</v>
      </c>
      <c r="V775" s="1">
        <v>151.93</v>
      </c>
      <c r="W775" s="1">
        <v>160.6</v>
      </c>
      <c r="X775" s="1">
        <v>164.4</v>
      </c>
      <c r="Y775" s="1">
        <v>157.75</v>
      </c>
      <c r="Z775" s="1">
        <v>157.99</v>
      </c>
      <c r="AA775" s="1">
        <v>159.6</v>
      </c>
      <c r="AB775" s="1">
        <v>163.26</v>
      </c>
      <c r="AE775" s="1">
        <v>169.83</v>
      </c>
      <c r="AF775" s="1">
        <v>161.97999999999999</v>
      </c>
      <c r="AG775" s="1">
        <v>147.85</v>
      </c>
      <c r="AW775" s="1">
        <v>3181.81</v>
      </c>
      <c r="AX775" s="1">
        <v>152.82</v>
      </c>
      <c r="BA775" s="1">
        <v>155.6</v>
      </c>
      <c r="BB775" s="1">
        <v>167.91</v>
      </c>
      <c r="BC775" s="1">
        <v>162.15</v>
      </c>
      <c r="BD775" s="1">
        <v>163.59</v>
      </c>
      <c r="BE775" s="1">
        <v>162.21</v>
      </c>
      <c r="BF775" s="1">
        <v>160.15</v>
      </c>
      <c r="BG775" s="1">
        <v>169.78</v>
      </c>
      <c r="BH775" s="1">
        <v>156.18</v>
      </c>
      <c r="BI775" s="1">
        <v>164.72</v>
      </c>
      <c r="BJ775" s="1">
        <v>170.67</v>
      </c>
      <c r="BK775" s="1">
        <v>152.37</v>
      </c>
      <c r="BL775" s="1">
        <v>150.83000000000001</v>
      </c>
      <c r="BN775" s="1">
        <v>150.41</v>
      </c>
    </row>
    <row r="776" spans="1:66" x14ac:dyDescent="0.3">
      <c r="A776" s="2"/>
      <c r="C776" s="14" t="str">
        <f t="shared" si="13"/>
        <v>20232</v>
      </c>
      <c r="D776" s="3">
        <v>44974</v>
      </c>
      <c r="E776" s="21">
        <v>2989.12</v>
      </c>
      <c r="F776" s="21">
        <v>2917.68</v>
      </c>
      <c r="G776" s="21">
        <v>3056.08</v>
      </c>
      <c r="H776" s="21">
        <v>2982.97</v>
      </c>
      <c r="I776" s="21">
        <v>2817.21</v>
      </c>
      <c r="J776" s="21">
        <v>3001.38</v>
      </c>
      <c r="K776" s="21">
        <v>2730.18</v>
      </c>
      <c r="L776" s="21">
        <v>2740.72</v>
      </c>
      <c r="M776" s="21">
        <v>2742.44</v>
      </c>
      <c r="N776" s="21">
        <v>2746.8</v>
      </c>
      <c r="O776" s="21">
        <v>3019.02</v>
      </c>
      <c r="P776" s="21">
        <v>2839.3</v>
      </c>
      <c r="Q776" s="21">
        <v>6483.99</v>
      </c>
      <c r="R776" s="20">
        <v>156.81</v>
      </c>
      <c r="S776" s="20"/>
      <c r="T776" s="21">
        <v>157.46</v>
      </c>
      <c r="V776" s="1">
        <v>152.16999999999999</v>
      </c>
      <c r="W776" s="1">
        <v>160.85</v>
      </c>
      <c r="X776" s="1">
        <v>165.3</v>
      </c>
      <c r="Y776" s="1">
        <v>158.49</v>
      </c>
      <c r="Z776" s="1">
        <v>158.91999999999999</v>
      </c>
      <c r="AA776" s="1">
        <v>159.65</v>
      </c>
      <c r="AB776" s="1">
        <v>164.88</v>
      </c>
      <c r="AE776" s="1">
        <v>170.89</v>
      </c>
      <c r="AF776" s="1">
        <v>161.86000000000001</v>
      </c>
      <c r="AG776" s="1">
        <v>145.46</v>
      </c>
      <c r="AT776" s="1">
        <v>3154.2</v>
      </c>
      <c r="AW776" s="1">
        <v>3091.23</v>
      </c>
      <c r="AX776" s="1">
        <v>152.63</v>
      </c>
      <c r="BA776" s="1">
        <v>155.6</v>
      </c>
      <c r="BB776" s="1">
        <v>168.21</v>
      </c>
      <c r="BC776" s="1">
        <v>163.4</v>
      </c>
      <c r="BD776" s="1">
        <v>163.72999999999999</v>
      </c>
      <c r="BE776" s="1">
        <v>160.75</v>
      </c>
      <c r="BF776" s="1">
        <v>159.41999999999999</v>
      </c>
      <c r="BG776" s="1">
        <v>171.29</v>
      </c>
      <c r="BH776" s="1">
        <v>156.36000000000001</v>
      </c>
      <c r="BI776" s="1">
        <v>165.92</v>
      </c>
      <c r="BJ776" s="1">
        <v>171.93</v>
      </c>
      <c r="BK776" s="1">
        <v>152.37</v>
      </c>
      <c r="BL776" s="1">
        <v>151.58000000000001</v>
      </c>
      <c r="BN776" s="1">
        <v>150.41</v>
      </c>
    </row>
    <row r="777" spans="1:66" x14ac:dyDescent="0.3">
      <c r="A777" s="2"/>
      <c r="C777" s="14" t="str">
        <f t="shared" si="13"/>
        <v>20232</v>
      </c>
      <c r="D777" s="3">
        <v>44973</v>
      </c>
      <c r="E777" s="21">
        <v>2987.91</v>
      </c>
      <c r="F777" s="21">
        <v>2880.56</v>
      </c>
      <c r="G777" s="21">
        <v>3036.23</v>
      </c>
      <c r="H777" s="21">
        <v>2891.63</v>
      </c>
      <c r="I777" s="21">
        <v>2817.21</v>
      </c>
      <c r="J777" s="21">
        <v>2990.75</v>
      </c>
      <c r="K777" s="21">
        <v>2730.18</v>
      </c>
      <c r="L777" s="21">
        <v>2740.72</v>
      </c>
      <c r="M777" s="21">
        <v>2742.44</v>
      </c>
      <c r="N777" s="21">
        <v>2749.44</v>
      </c>
      <c r="O777" s="21">
        <v>2957.36</v>
      </c>
      <c r="P777" s="21">
        <v>2839.3</v>
      </c>
      <c r="Q777" s="21">
        <v>6597.19</v>
      </c>
      <c r="R777" s="20">
        <v>156.81</v>
      </c>
      <c r="S777" s="20"/>
      <c r="T777" s="21">
        <v>157.63999999999999</v>
      </c>
      <c r="V777" s="1">
        <v>152.12</v>
      </c>
      <c r="W777" s="1">
        <v>160.55000000000001</v>
      </c>
      <c r="X777" s="1">
        <v>165.3</v>
      </c>
      <c r="Y777" s="1">
        <v>157.88</v>
      </c>
      <c r="Z777" s="1">
        <v>158</v>
      </c>
      <c r="AA777" s="1">
        <v>160.1</v>
      </c>
      <c r="AB777" s="1">
        <v>164.98</v>
      </c>
      <c r="AE777" s="1">
        <v>171.41</v>
      </c>
      <c r="AF777" s="1">
        <v>161.85</v>
      </c>
      <c r="AG777" s="1">
        <v>145.06</v>
      </c>
      <c r="AT777" s="1">
        <v>3055.88</v>
      </c>
      <c r="AW777" s="1">
        <v>3091.23</v>
      </c>
      <c r="AX777" s="1">
        <v>153.74</v>
      </c>
      <c r="AY777" s="1">
        <v>3394.29</v>
      </c>
      <c r="BA777" s="1">
        <v>155.6</v>
      </c>
      <c r="BB777" s="1">
        <v>167.92</v>
      </c>
      <c r="BC777" s="1">
        <v>163.58000000000001</v>
      </c>
      <c r="BD777" s="1">
        <v>163.18</v>
      </c>
      <c r="BE777" s="1">
        <v>160.75</v>
      </c>
      <c r="BF777" s="1">
        <v>158.71</v>
      </c>
      <c r="BG777" s="1">
        <v>171.32</v>
      </c>
      <c r="BH777" s="1">
        <v>156.81</v>
      </c>
      <c r="BI777" s="1">
        <v>165.92</v>
      </c>
      <c r="BJ777" s="1">
        <v>168.02</v>
      </c>
      <c r="BK777" s="1">
        <v>152.37</v>
      </c>
      <c r="BN777" s="1">
        <v>150.41</v>
      </c>
    </row>
    <row r="778" spans="1:66" x14ac:dyDescent="0.3">
      <c r="A778" s="2"/>
      <c r="C778" s="14" t="str">
        <f t="shared" si="13"/>
        <v>20232</v>
      </c>
      <c r="D778" s="3">
        <v>44972</v>
      </c>
      <c r="E778" s="21">
        <v>2984.2</v>
      </c>
      <c r="F778" s="21">
        <v>2864.06</v>
      </c>
      <c r="G778" s="21">
        <v>3026.33</v>
      </c>
      <c r="H778" s="21">
        <v>2884.71</v>
      </c>
      <c r="I778" s="21">
        <v>2817.21</v>
      </c>
      <c r="J778" s="21">
        <v>2978.96</v>
      </c>
      <c r="K778" s="21">
        <v>2730.18</v>
      </c>
      <c r="L778" s="21">
        <v>2740.72</v>
      </c>
      <c r="M778" s="21">
        <v>2768.71</v>
      </c>
      <c r="N778" s="21">
        <v>2751.72</v>
      </c>
      <c r="O778" s="21">
        <v>2989.16</v>
      </c>
      <c r="P778" s="21">
        <v>2839.3</v>
      </c>
      <c r="Q778" s="21">
        <v>6639.83</v>
      </c>
      <c r="R778" s="20">
        <v>156.65</v>
      </c>
      <c r="S778" s="20"/>
      <c r="T778" s="21">
        <v>157.76</v>
      </c>
      <c r="V778" s="1">
        <v>152.01</v>
      </c>
      <c r="W778" s="1">
        <v>160.72999999999999</v>
      </c>
      <c r="X778" s="1">
        <v>166.13</v>
      </c>
      <c r="Y778" s="1">
        <v>157.69</v>
      </c>
      <c r="Z778" s="1">
        <v>157.94</v>
      </c>
      <c r="AA778" s="1">
        <v>159.72999999999999</v>
      </c>
      <c r="AB778" s="1">
        <v>165.28</v>
      </c>
      <c r="AE778" s="1">
        <v>171.69</v>
      </c>
      <c r="AF778" s="1">
        <v>160.97999999999999</v>
      </c>
      <c r="AG778" s="1">
        <v>147.75</v>
      </c>
      <c r="AT778" s="1">
        <v>3055.88</v>
      </c>
      <c r="AW778" s="1">
        <v>3091.23</v>
      </c>
      <c r="AX778" s="1">
        <v>153.52000000000001</v>
      </c>
      <c r="AY778" s="1">
        <v>3394.29</v>
      </c>
      <c r="BA778" s="1">
        <v>154.66999999999999</v>
      </c>
      <c r="BB778" s="1">
        <v>167.87</v>
      </c>
      <c r="BC778" s="1">
        <v>160.99</v>
      </c>
      <c r="BD778" s="1">
        <v>163.12</v>
      </c>
      <c r="BE778" s="1">
        <v>160.5</v>
      </c>
      <c r="BF778" s="1">
        <v>159.81</v>
      </c>
      <c r="BG778" s="1">
        <v>171.31</v>
      </c>
      <c r="BH778" s="1">
        <v>156.81</v>
      </c>
      <c r="BI778" s="1">
        <v>165.72</v>
      </c>
      <c r="BJ778" s="1">
        <v>173.03</v>
      </c>
      <c r="BK778" s="1">
        <v>152.04</v>
      </c>
      <c r="BL778" s="1">
        <v>150.49</v>
      </c>
      <c r="BN778" s="1">
        <v>150.94</v>
      </c>
    </row>
    <row r="779" spans="1:66" x14ac:dyDescent="0.3">
      <c r="A779" s="2"/>
      <c r="C779" s="14" t="str">
        <f t="shared" si="13"/>
        <v>20232</v>
      </c>
      <c r="D779" s="3">
        <v>44971</v>
      </c>
      <c r="E779" s="21">
        <v>3004.1</v>
      </c>
      <c r="F779" s="21">
        <v>2877.59</v>
      </c>
      <c r="G779" s="21">
        <v>3026.33</v>
      </c>
      <c r="H779" s="21">
        <v>2908.63</v>
      </c>
      <c r="I779" s="21">
        <v>2837.01</v>
      </c>
      <c r="J779" s="21">
        <v>2987.06</v>
      </c>
      <c r="K779" s="21">
        <v>2670.38</v>
      </c>
      <c r="L779" s="21">
        <v>2760.61</v>
      </c>
      <c r="M779" s="21"/>
      <c r="N779" s="21">
        <v>2783.04</v>
      </c>
      <c r="O779" s="21">
        <v>2990.59</v>
      </c>
      <c r="P779" s="21">
        <v>2839.3</v>
      </c>
      <c r="Q779" s="21">
        <v>6566.31</v>
      </c>
      <c r="R779" s="20">
        <v>157.47999999999999</v>
      </c>
      <c r="S779" s="20">
        <v>142.49</v>
      </c>
      <c r="T779" s="21">
        <v>158.27000000000001</v>
      </c>
      <c r="V779" s="1">
        <v>151.77000000000001</v>
      </c>
      <c r="W779" s="1">
        <v>161.47</v>
      </c>
      <c r="X779" s="1">
        <v>166.3</v>
      </c>
      <c r="Y779" s="1">
        <v>158.75</v>
      </c>
      <c r="Z779" s="1">
        <v>159</v>
      </c>
      <c r="AA779" s="1">
        <v>160.62</v>
      </c>
      <c r="AB779" s="1">
        <v>165.88</v>
      </c>
      <c r="AE779" s="1">
        <v>171.29</v>
      </c>
      <c r="AF779" s="1">
        <v>162.06</v>
      </c>
      <c r="AG779" s="1">
        <v>147.16999999999999</v>
      </c>
      <c r="AT779" s="1">
        <v>3055.88</v>
      </c>
      <c r="AW779" s="1">
        <v>3091.23</v>
      </c>
      <c r="AX779" s="1">
        <v>154.13999999999999</v>
      </c>
      <c r="AY779" s="1">
        <v>3394.29</v>
      </c>
      <c r="BA779" s="1">
        <v>155.61000000000001</v>
      </c>
      <c r="BB779" s="1">
        <v>168.58</v>
      </c>
      <c r="BC779" s="1">
        <v>161.16</v>
      </c>
      <c r="BD779" s="1">
        <v>163.79</v>
      </c>
      <c r="BE779" s="1">
        <v>161.43</v>
      </c>
      <c r="BF779" s="1">
        <v>160.31</v>
      </c>
      <c r="BG779" s="1">
        <v>171.55</v>
      </c>
      <c r="BH779" s="1">
        <v>160.43</v>
      </c>
      <c r="BI779" s="1">
        <v>166.32</v>
      </c>
      <c r="BJ779" s="1">
        <v>172.09</v>
      </c>
      <c r="BK779" s="1">
        <v>152.59</v>
      </c>
      <c r="BL779" s="1">
        <v>152.08000000000001</v>
      </c>
      <c r="BN779" s="1">
        <v>150.08000000000001</v>
      </c>
    </row>
    <row r="780" spans="1:66" x14ac:dyDescent="0.3">
      <c r="A780" s="2"/>
      <c r="C780" s="14" t="str">
        <f t="shared" si="13"/>
        <v>20232</v>
      </c>
      <c r="D780" s="3">
        <v>44970</v>
      </c>
      <c r="E780" s="21">
        <v>2998.14</v>
      </c>
      <c r="F780" s="21">
        <v>2846.53</v>
      </c>
      <c r="G780" s="21">
        <v>2977.16</v>
      </c>
      <c r="H780" s="21">
        <v>2915.62</v>
      </c>
      <c r="I780" s="21">
        <v>2813.25</v>
      </c>
      <c r="J780" s="21">
        <v>2974.14</v>
      </c>
      <c r="K780" s="21">
        <v>2720.21</v>
      </c>
      <c r="L780" s="21">
        <v>2738.12</v>
      </c>
      <c r="M780" s="21"/>
      <c r="N780" s="21">
        <v>2800.23</v>
      </c>
      <c r="O780" s="21">
        <v>2942.35</v>
      </c>
      <c r="P780" s="21">
        <v>2839.3</v>
      </c>
      <c r="Q780" s="21">
        <v>6620.53</v>
      </c>
      <c r="R780" s="20">
        <v>157.81</v>
      </c>
      <c r="S780" s="20">
        <v>143.21</v>
      </c>
      <c r="T780" s="21">
        <v>159.58000000000001</v>
      </c>
      <c r="V780" s="1">
        <v>154.05000000000001</v>
      </c>
      <c r="W780" s="1">
        <v>162.08000000000001</v>
      </c>
      <c r="X780" s="1">
        <v>166.38</v>
      </c>
      <c r="Y780" s="1">
        <v>160.43</v>
      </c>
      <c r="Z780" s="1">
        <v>160.49</v>
      </c>
      <c r="AA780" s="1">
        <v>161.02000000000001</v>
      </c>
      <c r="AB780" s="1">
        <v>165.88</v>
      </c>
      <c r="AC780" s="1">
        <v>153.01</v>
      </c>
      <c r="AE780" s="1">
        <v>170.64</v>
      </c>
      <c r="AF780" s="1">
        <v>163.53</v>
      </c>
      <c r="AG780" s="1">
        <v>148.09</v>
      </c>
      <c r="AI780" s="1">
        <v>7</v>
      </c>
      <c r="AN780" s="1">
        <v>3371.14</v>
      </c>
      <c r="AX780" s="1">
        <v>156.47</v>
      </c>
      <c r="AY780" s="1">
        <v>3394.29</v>
      </c>
      <c r="BA780" s="1">
        <v>156.52000000000001</v>
      </c>
      <c r="BB780" s="1">
        <v>169.43</v>
      </c>
      <c r="BC780" s="1">
        <v>163.47</v>
      </c>
      <c r="BD780" s="1">
        <v>165</v>
      </c>
      <c r="BE780" s="1">
        <v>161.93</v>
      </c>
      <c r="BF780" s="1">
        <v>160.56</v>
      </c>
      <c r="BG780" s="1">
        <v>171.16</v>
      </c>
      <c r="BH780" s="1">
        <v>160.43</v>
      </c>
      <c r="BI780" s="1">
        <v>166.32</v>
      </c>
      <c r="BJ780" s="1">
        <v>172.06</v>
      </c>
      <c r="BK780" s="1">
        <v>153.58000000000001</v>
      </c>
      <c r="BL780" s="1">
        <v>152.82</v>
      </c>
      <c r="BN780" s="1">
        <v>152.93</v>
      </c>
    </row>
    <row r="781" spans="1:66" x14ac:dyDescent="0.3">
      <c r="A781" s="2"/>
      <c r="C781" s="14" t="str">
        <f t="shared" si="13"/>
        <v>20232</v>
      </c>
      <c r="D781" s="3">
        <v>44967</v>
      </c>
      <c r="E781" s="21">
        <v>3011.58</v>
      </c>
      <c r="F781" s="21">
        <v>2835.19</v>
      </c>
      <c r="G781" s="21">
        <v>2956.89</v>
      </c>
      <c r="H781" s="21">
        <v>2875.24</v>
      </c>
      <c r="I781" s="21">
        <v>2789.49</v>
      </c>
      <c r="J781" s="21">
        <v>2959.16</v>
      </c>
      <c r="K781" s="21">
        <v>2720.21</v>
      </c>
      <c r="L781" s="21">
        <v>2684.41</v>
      </c>
      <c r="M781" s="21"/>
      <c r="N781" s="21">
        <v>2759.19</v>
      </c>
      <c r="O781" s="21">
        <v>2924.59</v>
      </c>
      <c r="P781" s="21">
        <v>2839.3</v>
      </c>
      <c r="Q781" s="21">
        <v>6546.25</v>
      </c>
      <c r="R781" s="20">
        <v>158.04</v>
      </c>
      <c r="S781" s="20">
        <v>145.32</v>
      </c>
      <c r="T781" s="21">
        <v>160.94999999999999</v>
      </c>
      <c r="V781" s="1">
        <v>154.5</v>
      </c>
      <c r="W781" s="1">
        <v>163.24</v>
      </c>
      <c r="X781" s="1">
        <v>166.21</v>
      </c>
      <c r="Y781" s="1">
        <v>159.94</v>
      </c>
      <c r="Z781" s="1">
        <v>162.99</v>
      </c>
      <c r="AA781" s="1">
        <v>161.76</v>
      </c>
      <c r="AB781" s="1">
        <v>165.78</v>
      </c>
      <c r="AC781" s="1">
        <v>152.38999999999999</v>
      </c>
      <c r="AE781" s="1">
        <v>169.7</v>
      </c>
      <c r="AF781" s="1">
        <v>163.61000000000001</v>
      </c>
      <c r="AG781" s="1">
        <v>148.32</v>
      </c>
      <c r="AI781" s="1">
        <v>7</v>
      </c>
      <c r="AN781" s="1">
        <v>3371.14</v>
      </c>
      <c r="AX781" s="1">
        <v>156.36000000000001</v>
      </c>
      <c r="AY781" s="1">
        <v>3394.29</v>
      </c>
      <c r="BA781" s="1">
        <v>156.47999999999999</v>
      </c>
      <c r="BB781" s="1">
        <v>169.62</v>
      </c>
      <c r="BC781" s="1">
        <v>163.54</v>
      </c>
      <c r="BD781" s="1">
        <v>164.89</v>
      </c>
      <c r="BE781" s="1">
        <v>166.46</v>
      </c>
      <c r="BF781" s="1">
        <v>163.83000000000001</v>
      </c>
      <c r="BG781" s="1">
        <v>170.92</v>
      </c>
      <c r="BH781" s="1">
        <v>159.55000000000001</v>
      </c>
      <c r="BI781" s="1">
        <v>165.64</v>
      </c>
      <c r="BK781" s="1">
        <v>152.25</v>
      </c>
      <c r="BL781" s="1">
        <v>152.07</v>
      </c>
      <c r="BN781" s="1">
        <v>152.41999999999999</v>
      </c>
    </row>
    <row r="782" spans="1:66" x14ac:dyDescent="0.3">
      <c r="A782" s="2"/>
      <c r="C782" s="14" t="str">
        <f t="shared" si="13"/>
        <v>20232</v>
      </c>
      <c r="D782" s="3">
        <v>44966</v>
      </c>
      <c r="E782" s="21">
        <v>2960.61</v>
      </c>
      <c r="F782" s="21">
        <v>2782.47</v>
      </c>
      <c r="G782" s="21">
        <v>2912.73</v>
      </c>
      <c r="H782" s="21">
        <v>2881.87</v>
      </c>
      <c r="I782" s="21">
        <v>2789.49</v>
      </c>
      <c r="J782" s="21">
        <v>2946.01</v>
      </c>
      <c r="K782" s="21">
        <v>2720.21</v>
      </c>
      <c r="L782" s="21">
        <v>2684.41</v>
      </c>
      <c r="M782" s="21"/>
      <c r="N782" s="21">
        <v>2721.14</v>
      </c>
      <c r="O782" s="21">
        <v>2916.69</v>
      </c>
      <c r="P782" s="21">
        <v>2839.3</v>
      </c>
      <c r="Q782" s="21">
        <v>6500.81</v>
      </c>
      <c r="R782" s="20">
        <v>158.04</v>
      </c>
      <c r="S782" s="20">
        <v>146.1</v>
      </c>
      <c r="T782" s="21">
        <v>159.05000000000001</v>
      </c>
      <c r="V782" s="1">
        <v>154.01</v>
      </c>
      <c r="W782" s="1">
        <v>160.30000000000001</v>
      </c>
      <c r="X782" s="1">
        <v>165.54</v>
      </c>
      <c r="Y782" s="1">
        <v>159.77000000000001</v>
      </c>
      <c r="Z782" s="1">
        <v>159.93</v>
      </c>
      <c r="AA782" s="1">
        <v>161.68</v>
      </c>
      <c r="AB782" s="1">
        <v>164.83</v>
      </c>
      <c r="AC782" s="1">
        <v>152.55000000000001</v>
      </c>
      <c r="AE782" s="1">
        <v>169.94</v>
      </c>
      <c r="AF782" s="1">
        <v>162.30000000000001</v>
      </c>
      <c r="AG782" s="1">
        <v>147.79</v>
      </c>
      <c r="AI782" s="1">
        <v>7</v>
      </c>
      <c r="AN782" s="1">
        <v>3371.14</v>
      </c>
      <c r="AX782" s="1">
        <v>154.91999999999999</v>
      </c>
      <c r="BA782" s="1">
        <v>156.1</v>
      </c>
      <c r="BB782" s="1">
        <v>168.85</v>
      </c>
      <c r="BC782" s="1">
        <v>162.28</v>
      </c>
      <c r="BD782" s="1">
        <v>164.21</v>
      </c>
      <c r="BE782" s="1">
        <v>166.46</v>
      </c>
      <c r="BF782" s="1">
        <v>163.83000000000001</v>
      </c>
      <c r="BG782" s="1">
        <v>170.43</v>
      </c>
      <c r="BH782" s="1">
        <v>159.55000000000001</v>
      </c>
      <c r="BI782" s="1">
        <v>165.64</v>
      </c>
      <c r="BK782" s="1">
        <v>151.91999999999999</v>
      </c>
      <c r="BL782" s="1">
        <v>151.57</v>
      </c>
      <c r="BN782" s="1">
        <v>151.18</v>
      </c>
    </row>
    <row r="783" spans="1:66" x14ac:dyDescent="0.3">
      <c r="A783" s="2"/>
      <c r="C783" s="14" t="str">
        <f t="shared" si="13"/>
        <v>20232</v>
      </c>
      <c r="D783" s="3">
        <v>44965</v>
      </c>
      <c r="E783" s="21">
        <v>2930.88</v>
      </c>
      <c r="F783" s="21">
        <v>2784.87</v>
      </c>
      <c r="G783" s="21">
        <v>2912.73</v>
      </c>
      <c r="H783" s="21">
        <v>2862.73</v>
      </c>
      <c r="I783" s="21">
        <v>2789.49</v>
      </c>
      <c r="J783" s="21">
        <v>2916.39</v>
      </c>
      <c r="K783" s="21">
        <v>2727.49</v>
      </c>
      <c r="L783" s="21">
        <v>2684.41</v>
      </c>
      <c r="M783" s="21"/>
      <c r="N783" s="21">
        <v>2666.44</v>
      </c>
      <c r="O783" s="21">
        <v>2916.25</v>
      </c>
      <c r="P783" s="21">
        <v>2839.3</v>
      </c>
      <c r="Q783" s="21">
        <v>6569.66</v>
      </c>
      <c r="R783" s="20">
        <v>158.04</v>
      </c>
      <c r="S783" s="20"/>
      <c r="T783" s="21">
        <v>158.93</v>
      </c>
      <c r="V783" s="1">
        <v>153.97</v>
      </c>
      <c r="W783" s="1">
        <v>160.28</v>
      </c>
      <c r="X783" s="1">
        <v>165.54</v>
      </c>
      <c r="Y783" s="1">
        <v>158.87</v>
      </c>
      <c r="Z783" s="1">
        <v>159.27000000000001</v>
      </c>
      <c r="AA783" s="1">
        <v>161.33000000000001</v>
      </c>
      <c r="AB783" s="1">
        <v>164.65</v>
      </c>
      <c r="AC783" s="1">
        <v>153.02000000000001</v>
      </c>
      <c r="AE783" s="1">
        <v>169.83</v>
      </c>
      <c r="AF783" s="1">
        <v>161.85</v>
      </c>
      <c r="AG783" s="1">
        <v>146.88999999999999</v>
      </c>
      <c r="AI783" s="1">
        <v>7</v>
      </c>
      <c r="AN783" s="1">
        <v>3371.14</v>
      </c>
      <c r="AX783" s="1">
        <v>155.24</v>
      </c>
      <c r="BB783" s="1">
        <v>168.27</v>
      </c>
      <c r="BC783" s="1">
        <v>162.22</v>
      </c>
      <c r="BD783" s="1">
        <v>164.1</v>
      </c>
      <c r="BE783" s="1">
        <v>166.46</v>
      </c>
      <c r="BF783" s="1">
        <v>163.03</v>
      </c>
      <c r="BG783" s="1">
        <v>170.32</v>
      </c>
      <c r="BH783" s="1">
        <v>159.55000000000001</v>
      </c>
      <c r="BI783" s="1">
        <v>165.64</v>
      </c>
      <c r="BK783" s="1">
        <v>151.91999999999999</v>
      </c>
      <c r="BL783" s="1">
        <v>151.32</v>
      </c>
      <c r="BN783" s="1">
        <v>151.18</v>
      </c>
    </row>
    <row r="784" spans="1:66" x14ac:dyDescent="0.3">
      <c r="A784" s="2"/>
      <c r="C784" s="14" t="str">
        <f t="shared" si="13"/>
        <v>20232</v>
      </c>
      <c r="D784" s="3">
        <v>44964</v>
      </c>
      <c r="E784" s="21">
        <v>2946.88</v>
      </c>
      <c r="F784" s="21">
        <v>2827.47</v>
      </c>
      <c r="G784" s="21">
        <v>2912.73</v>
      </c>
      <c r="H784" s="21">
        <v>2867.73</v>
      </c>
      <c r="I784" s="21">
        <v>2797.41</v>
      </c>
      <c r="J784" s="21">
        <v>2913.44</v>
      </c>
      <c r="K784" s="21">
        <v>2690.93</v>
      </c>
      <c r="L784" s="21">
        <v>2718.35</v>
      </c>
      <c r="M784" s="21"/>
      <c r="N784" s="21">
        <v>2697.82</v>
      </c>
      <c r="O784" s="21">
        <v>2944.58</v>
      </c>
      <c r="P784" s="21">
        <v>2841.83</v>
      </c>
      <c r="Q784" s="21">
        <v>6564.89</v>
      </c>
      <c r="R784" s="20">
        <v>157.81</v>
      </c>
      <c r="S784" s="20">
        <v>139.53</v>
      </c>
      <c r="T784" s="21">
        <v>158.97</v>
      </c>
      <c r="V784" s="1">
        <v>153.61000000000001</v>
      </c>
      <c r="W784" s="1">
        <v>160.1</v>
      </c>
      <c r="X784" s="1">
        <v>165</v>
      </c>
      <c r="Y784" s="1">
        <v>158.77000000000001</v>
      </c>
      <c r="Z784" s="1">
        <v>159.35</v>
      </c>
      <c r="AA784" s="1">
        <v>159.93</v>
      </c>
      <c r="AB784" s="1">
        <v>164.65</v>
      </c>
      <c r="AC784" s="1">
        <v>154.41999999999999</v>
      </c>
      <c r="AE784" s="1">
        <v>169.66</v>
      </c>
      <c r="AF784" s="1">
        <v>160.62</v>
      </c>
      <c r="AG784" s="1">
        <v>146.69999999999999</v>
      </c>
      <c r="AI784" s="1">
        <v>7</v>
      </c>
      <c r="AN784" s="1">
        <v>3371.14</v>
      </c>
      <c r="AX784" s="1">
        <v>153.97999999999999</v>
      </c>
      <c r="BA784" s="1">
        <v>156.6</v>
      </c>
      <c r="BB784" s="1">
        <v>168.3</v>
      </c>
      <c r="BC784" s="1">
        <v>162.15</v>
      </c>
      <c r="BD784" s="1">
        <v>164.35</v>
      </c>
      <c r="BE784" s="1">
        <v>165.11</v>
      </c>
      <c r="BF784" s="1">
        <v>163.18</v>
      </c>
      <c r="BG784" s="1">
        <v>170.33</v>
      </c>
      <c r="BH784" s="1">
        <v>159.66999999999999</v>
      </c>
      <c r="BI784" s="1">
        <v>165.52</v>
      </c>
      <c r="BK784" s="1">
        <v>156.59</v>
      </c>
      <c r="BL784" s="1">
        <v>151.08000000000001</v>
      </c>
      <c r="BN784" s="1">
        <v>154.56</v>
      </c>
    </row>
    <row r="785" spans="1:66" x14ac:dyDescent="0.3">
      <c r="A785" s="2"/>
      <c r="C785" s="14" t="str">
        <f t="shared" si="13"/>
        <v>20232</v>
      </c>
      <c r="D785" s="3">
        <v>44963</v>
      </c>
      <c r="E785" s="21">
        <v>2967.48</v>
      </c>
      <c r="F785" s="21">
        <v>2827.47</v>
      </c>
      <c r="G785" s="21">
        <v>2912.73</v>
      </c>
      <c r="H785" s="21">
        <v>2885.71</v>
      </c>
      <c r="I785" s="21">
        <v>2791.47</v>
      </c>
      <c r="J785" s="21">
        <v>2950.97</v>
      </c>
      <c r="K785" s="21">
        <v>2712.57</v>
      </c>
      <c r="L785" s="21">
        <v>2709.69</v>
      </c>
      <c r="M785" s="21"/>
      <c r="N785" s="21">
        <v>2760.2</v>
      </c>
      <c r="O785" s="21">
        <v>2854.26</v>
      </c>
      <c r="P785" s="21">
        <v>2789.46</v>
      </c>
      <c r="Q785" s="21">
        <v>6642.67</v>
      </c>
      <c r="R785" s="20">
        <v>157.81</v>
      </c>
      <c r="S785" s="20">
        <v>139.05000000000001</v>
      </c>
      <c r="T785" s="21">
        <v>158.87</v>
      </c>
      <c r="V785" s="1">
        <v>154.54</v>
      </c>
      <c r="W785" s="1">
        <v>160.25</v>
      </c>
      <c r="X785" s="1">
        <v>164.5</v>
      </c>
      <c r="Y785" s="1">
        <v>158.49</v>
      </c>
      <c r="Z785" s="1">
        <v>159.85</v>
      </c>
      <c r="AA785" s="1">
        <v>160.66999999999999</v>
      </c>
      <c r="AB785" s="1">
        <v>163.12</v>
      </c>
      <c r="AC785" s="1">
        <v>155.46</v>
      </c>
      <c r="AE785" s="1">
        <v>169.28</v>
      </c>
      <c r="AF785" s="1">
        <v>162.41</v>
      </c>
      <c r="AG785" s="1">
        <v>147.28</v>
      </c>
      <c r="AX785" s="1">
        <v>153.97999999999999</v>
      </c>
      <c r="BA785" s="1">
        <v>156.08000000000001</v>
      </c>
      <c r="BB785" s="1">
        <v>167.63</v>
      </c>
      <c r="BC785" s="1">
        <v>162.05000000000001</v>
      </c>
      <c r="BD785" s="1">
        <v>163.85</v>
      </c>
      <c r="BE785" s="1">
        <v>165.67</v>
      </c>
      <c r="BF785" s="1">
        <v>162.96</v>
      </c>
      <c r="BG785" s="1">
        <v>170.07</v>
      </c>
      <c r="BH785" s="1">
        <v>160.69999999999999</v>
      </c>
      <c r="BI785" s="1">
        <v>165.52</v>
      </c>
      <c r="BK785" s="1">
        <v>156.91999999999999</v>
      </c>
      <c r="BL785" s="1">
        <v>150.82</v>
      </c>
      <c r="BN785" s="1">
        <v>155.05000000000001</v>
      </c>
    </row>
    <row r="786" spans="1:66" x14ac:dyDescent="0.3">
      <c r="A786" s="2"/>
      <c r="C786" s="14" t="str">
        <f t="shared" si="13"/>
        <v>20232</v>
      </c>
      <c r="D786" s="3">
        <v>44960</v>
      </c>
      <c r="E786" s="21">
        <v>2966.93</v>
      </c>
      <c r="F786" s="21">
        <v>2809.47</v>
      </c>
      <c r="G786" s="21">
        <v>2927.14</v>
      </c>
      <c r="H786" s="21">
        <v>2887.19</v>
      </c>
      <c r="I786" s="21">
        <v>2795.43</v>
      </c>
      <c r="J786" s="21">
        <v>2884.54</v>
      </c>
      <c r="K786" s="21">
        <v>2720.9</v>
      </c>
      <c r="L786" s="21">
        <v>2650.02</v>
      </c>
      <c r="M786" s="21">
        <v>2622.95</v>
      </c>
      <c r="N786" s="21">
        <v>2754.43</v>
      </c>
      <c r="O786" s="21">
        <v>2873.55</v>
      </c>
      <c r="P786" s="21">
        <v>2801.96</v>
      </c>
      <c r="Q786" s="21">
        <v>6603.22</v>
      </c>
      <c r="R786" s="20">
        <v>157.16</v>
      </c>
      <c r="S786" s="20">
        <v>140.1</v>
      </c>
      <c r="T786" s="21">
        <v>158.32</v>
      </c>
      <c r="V786" s="1">
        <v>152.32</v>
      </c>
      <c r="W786" s="1">
        <v>160</v>
      </c>
      <c r="X786" s="1">
        <v>163.63</v>
      </c>
      <c r="Y786" s="1">
        <v>156.83000000000001</v>
      </c>
      <c r="Z786" s="1">
        <v>157.63999999999999</v>
      </c>
      <c r="AA786" s="1">
        <v>157.63999999999999</v>
      </c>
      <c r="AB786" s="1">
        <v>162.26</v>
      </c>
      <c r="AC786" s="1">
        <v>157.74</v>
      </c>
      <c r="AE786" s="1">
        <v>168.58</v>
      </c>
      <c r="AF786" s="1">
        <v>161.22</v>
      </c>
      <c r="AG786" s="1">
        <v>144.08000000000001</v>
      </c>
      <c r="AO786" s="1">
        <v>30</v>
      </c>
      <c r="AT786" s="1">
        <v>3028.81</v>
      </c>
      <c r="AX786" s="1">
        <v>152.63</v>
      </c>
      <c r="BA786" s="1">
        <v>155.33000000000001</v>
      </c>
      <c r="BB786" s="1">
        <v>166.01</v>
      </c>
      <c r="BC786" s="1">
        <v>160.47</v>
      </c>
      <c r="BD786" s="1">
        <v>161.71</v>
      </c>
      <c r="BE786" s="1">
        <v>162.53</v>
      </c>
      <c r="BF786" s="1">
        <v>158.72</v>
      </c>
      <c r="BG786" s="1">
        <v>170.52</v>
      </c>
      <c r="BH786" s="1">
        <v>160.4</v>
      </c>
      <c r="BI786" s="1">
        <v>165.32</v>
      </c>
      <c r="BK786" s="1">
        <v>151.26</v>
      </c>
      <c r="BL786" s="1">
        <v>150.83000000000001</v>
      </c>
      <c r="BN786" s="1">
        <v>149.91</v>
      </c>
    </row>
    <row r="787" spans="1:66" x14ac:dyDescent="0.3">
      <c r="A787" s="2"/>
      <c r="C787" s="14" t="str">
        <f t="shared" si="13"/>
        <v>20232</v>
      </c>
      <c r="D787" s="3">
        <v>44959</v>
      </c>
      <c r="E787" s="21">
        <v>2945.06</v>
      </c>
      <c r="F787" s="21">
        <v>2809.47</v>
      </c>
      <c r="G787" s="21">
        <v>2927.14</v>
      </c>
      <c r="H787" s="21">
        <v>2870.69</v>
      </c>
      <c r="I787" s="21">
        <v>2795.43</v>
      </c>
      <c r="J787" s="21">
        <v>2932.29</v>
      </c>
      <c r="K787" s="21">
        <v>2678.43</v>
      </c>
      <c r="L787" s="21">
        <v>2668.62</v>
      </c>
      <c r="M787" s="21">
        <v>2632.74</v>
      </c>
      <c r="N787" s="21">
        <v>2714.99</v>
      </c>
      <c r="O787" s="21">
        <v>2890.22</v>
      </c>
      <c r="P787" s="21">
        <v>2797.32</v>
      </c>
      <c r="Q787" s="21">
        <v>6528.07</v>
      </c>
      <c r="R787" s="20">
        <v>152.66</v>
      </c>
      <c r="S787" s="20">
        <v>142.19</v>
      </c>
      <c r="T787" s="21">
        <v>156.22999999999999</v>
      </c>
      <c r="V787" s="1">
        <v>154.27000000000001</v>
      </c>
      <c r="W787" s="1">
        <v>157.01</v>
      </c>
      <c r="X787" s="1">
        <v>164.75</v>
      </c>
      <c r="Y787" s="1">
        <v>156.30000000000001</v>
      </c>
      <c r="Z787" s="1">
        <v>156.52000000000001</v>
      </c>
      <c r="AA787" s="1">
        <v>154.09</v>
      </c>
      <c r="AB787" s="1">
        <v>163.12</v>
      </c>
      <c r="AC787" s="1">
        <v>157.71</v>
      </c>
      <c r="AE787" s="1">
        <v>169.72</v>
      </c>
      <c r="AF787" s="1">
        <v>158.13999999999999</v>
      </c>
      <c r="AG787" s="1">
        <v>145.66</v>
      </c>
      <c r="AO787" s="1">
        <v>30</v>
      </c>
      <c r="AT787" s="1">
        <v>3028.81</v>
      </c>
      <c r="AX787" s="1">
        <v>152.88</v>
      </c>
      <c r="BA787" s="1">
        <v>154.72999999999999</v>
      </c>
      <c r="BB787" s="1">
        <v>164.92</v>
      </c>
      <c r="BC787" s="1">
        <v>159.41</v>
      </c>
      <c r="BD787" s="1">
        <v>162.04</v>
      </c>
      <c r="BE787" s="1">
        <v>159.91</v>
      </c>
      <c r="BF787" s="1">
        <v>156.41</v>
      </c>
      <c r="BG787" s="1">
        <v>170.53</v>
      </c>
      <c r="BH787" s="1">
        <v>161.47</v>
      </c>
      <c r="BI787" s="1">
        <v>165.32</v>
      </c>
      <c r="BK787" s="1">
        <v>149.53</v>
      </c>
      <c r="BL787" s="1">
        <v>149.83000000000001</v>
      </c>
      <c r="BN787" s="1">
        <v>147.93</v>
      </c>
    </row>
    <row r="788" spans="1:66" x14ac:dyDescent="0.3">
      <c r="A788" s="2"/>
      <c r="C788" s="14" t="str">
        <f t="shared" si="13"/>
        <v>20232</v>
      </c>
      <c r="D788" s="3">
        <v>44958</v>
      </c>
      <c r="E788" s="21">
        <v>2952.98</v>
      </c>
      <c r="F788" s="21">
        <v>2830.83</v>
      </c>
      <c r="G788" s="21">
        <v>2937.04</v>
      </c>
      <c r="H788" s="21">
        <v>2864.03</v>
      </c>
      <c r="I788" s="21">
        <v>2795.43</v>
      </c>
      <c r="J788" s="21">
        <v>2923.06</v>
      </c>
      <c r="K788" s="21">
        <v>2678.43</v>
      </c>
      <c r="L788" s="21">
        <v>2668.62</v>
      </c>
      <c r="M788" s="21">
        <v>2652.31</v>
      </c>
      <c r="N788" s="21">
        <v>2712.77</v>
      </c>
      <c r="O788" s="21">
        <v>2890.22</v>
      </c>
      <c r="P788" s="21">
        <v>2795.78</v>
      </c>
      <c r="Q788" s="21">
        <v>6529.5</v>
      </c>
      <c r="R788" s="20">
        <v>155.65</v>
      </c>
      <c r="S788" s="20">
        <v>140.22999999999999</v>
      </c>
      <c r="T788" s="21">
        <v>157.36000000000001</v>
      </c>
      <c r="V788" s="1">
        <v>156.08000000000001</v>
      </c>
      <c r="W788" s="1">
        <v>158.83000000000001</v>
      </c>
      <c r="X788" s="1">
        <v>165</v>
      </c>
      <c r="Y788" s="1">
        <v>157.44</v>
      </c>
      <c r="Z788" s="1">
        <v>157.41999999999999</v>
      </c>
      <c r="AA788" s="1">
        <v>158.69</v>
      </c>
      <c r="AB788" s="1">
        <v>163.54</v>
      </c>
      <c r="AC788" s="1">
        <v>157.71</v>
      </c>
      <c r="AE788" s="1">
        <v>169.94</v>
      </c>
      <c r="AF788" s="1">
        <v>162.05000000000001</v>
      </c>
      <c r="AG788" s="1">
        <v>145.66999999999999</v>
      </c>
      <c r="AN788" s="1">
        <v>3400.86</v>
      </c>
      <c r="AO788" s="1">
        <v>30</v>
      </c>
      <c r="AT788" s="1">
        <v>3028.81</v>
      </c>
      <c r="AX788" s="1">
        <v>156.02000000000001</v>
      </c>
      <c r="BA788" s="1">
        <v>155.38999999999999</v>
      </c>
      <c r="BB788" s="1">
        <v>166.9</v>
      </c>
      <c r="BC788" s="1">
        <v>161.16</v>
      </c>
      <c r="BD788" s="1">
        <v>163.01</v>
      </c>
      <c r="BE788" s="1">
        <v>160.47</v>
      </c>
      <c r="BF788" s="1">
        <v>159.02000000000001</v>
      </c>
      <c r="BG788" s="1">
        <v>171.2</v>
      </c>
      <c r="BH788" s="1">
        <v>161.47</v>
      </c>
      <c r="BI788" s="1">
        <v>165.32</v>
      </c>
      <c r="BK788" s="1">
        <v>150.53</v>
      </c>
      <c r="BL788" s="1">
        <v>151.08000000000001</v>
      </c>
      <c r="BN788" s="1">
        <v>149.26</v>
      </c>
    </row>
    <row r="789" spans="1:66" x14ac:dyDescent="0.3">
      <c r="A789" s="2"/>
      <c r="C789" s="14" t="str">
        <f t="shared" si="13"/>
        <v>20231</v>
      </c>
      <c r="D789" s="3">
        <v>44957</v>
      </c>
      <c r="E789" s="21">
        <v>2952.59</v>
      </c>
      <c r="F789" s="21">
        <v>2811.19</v>
      </c>
      <c r="G789" s="21">
        <v>2924.54</v>
      </c>
      <c r="H789" s="21">
        <v>2877.98</v>
      </c>
      <c r="I789" s="21">
        <v>2788.71</v>
      </c>
      <c r="J789" s="21">
        <v>2887.73</v>
      </c>
      <c r="K789" s="21">
        <v>2709.57</v>
      </c>
      <c r="L789" s="21">
        <v>2664.37</v>
      </c>
      <c r="M789" s="21">
        <v>2691.46</v>
      </c>
      <c r="N789" s="21">
        <v>2716.53</v>
      </c>
      <c r="O789" s="21">
        <v>2857.6</v>
      </c>
      <c r="P789" s="21">
        <v>2791.16</v>
      </c>
      <c r="Q789" s="21">
        <v>6491.03</v>
      </c>
      <c r="R789" s="20">
        <v>158.61000000000001</v>
      </c>
      <c r="S789" s="20">
        <v>140.19999999999999</v>
      </c>
      <c r="T789" s="21">
        <v>158.54</v>
      </c>
      <c r="V789" s="1">
        <v>157.1</v>
      </c>
      <c r="W789" s="1">
        <v>159.6</v>
      </c>
      <c r="X789" s="1">
        <v>164.47</v>
      </c>
      <c r="Y789" s="1">
        <v>157.6</v>
      </c>
      <c r="Z789" s="1">
        <v>157.99</v>
      </c>
      <c r="AA789" s="1">
        <v>160.53</v>
      </c>
      <c r="AB789" s="1">
        <v>163.52000000000001</v>
      </c>
      <c r="AC789" s="1">
        <v>155.53</v>
      </c>
      <c r="AE789" s="1">
        <v>169.47</v>
      </c>
      <c r="AF789" s="1">
        <v>161.85</v>
      </c>
      <c r="AG789" s="1">
        <v>146.1</v>
      </c>
      <c r="AN789" s="1">
        <v>3404.32</v>
      </c>
      <c r="AO789" s="1">
        <v>30</v>
      </c>
      <c r="AT789" s="1">
        <v>3138.16</v>
      </c>
      <c r="AX789" s="1">
        <v>155.59</v>
      </c>
      <c r="BA789" s="1">
        <v>153.1</v>
      </c>
      <c r="BB789" s="1">
        <v>167.35</v>
      </c>
      <c r="BC789" s="1">
        <v>162.18</v>
      </c>
      <c r="BD789" s="1">
        <v>163.32</v>
      </c>
      <c r="BE789" s="1">
        <v>163.13999999999999</v>
      </c>
      <c r="BF789" s="1">
        <v>161.63</v>
      </c>
      <c r="BG789" s="1">
        <v>171.37</v>
      </c>
      <c r="BH789" s="1">
        <v>161.26</v>
      </c>
      <c r="BI789" s="1">
        <v>164.68</v>
      </c>
      <c r="BK789" s="1">
        <v>151.75</v>
      </c>
      <c r="BL789" s="1">
        <v>150.79</v>
      </c>
      <c r="BN789" s="1">
        <v>148.82</v>
      </c>
    </row>
    <row r="790" spans="1:66" x14ac:dyDescent="0.3">
      <c r="A790" s="2"/>
      <c r="C790" s="14" t="str">
        <f t="shared" si="13"/>
        <v>20231</v>
      </c>
      <c r="D790" s="3">
        <v>44956</v>
      </c>
      <c r="E790" s="21">
        <v>2942.17</v>
      </c>
      <c r="F790" s="21">
        <v>2784.22</v>
      </c>
      <c r="G790" s="21">
        <v>2924.54</v>
      </c>
      <c r="H790" s="21">
        <v>2876.69</v>
      </c>
      <c r="I790" s="21">
        <v>2788.71</v>
      </c>
      <c r="J790" s="21">
        <v>2886.77</v>
      </c>
      <c r="K790" s="21">
        <v>2701.24</v>
      </c>
      <c r="L790" s="21">
        <v>2679.34</v>
      </c>
      <c r="M790" s="21">
        <v>2646.13</v>
      </c>
      <c r="N790" s="21">
        <v>2704.42</v>
      </c>
      <c r="O790" s="21">
        <v>2904.35</v>
      </c>
      <c r="P790" s="21">
        <v>2768.68</v>
      </c>
      <c r="Q790" s="21">
        <v>6654.65</v>
      </c>
      <c r="R790" s="20">
        <v>158.61000000000001</v>
      </c>
      <c r="S790" s="20">
        <v>140.32</v>
      </c>
      <c r="T790" s="21">
        <v>160.81</v>
      </c>
      <c r="V790" s="1">
        <v>157.22</v>
      </c>
      <c r="W790" s="1">
        <v>159.16</v>
      </c>
      <c r="X790" s="1">
        <v>164.47</v>
      </c>
      <c r="Y790" s="1">
        <v>157.41</v>
      </c>
      <c r="Z790" s="1">
        <v>157.44</v>
      </c>
      <c r="AA790" s="1">
        <v>160.87</v>
      </c>
      <c r="AB790" s="1">
        <v>163.09</v>
      </c>
      <c r="AE790" s="1">
        <v>169.34</v>
      </c>
      <c r="AF790" s="1">
        <v>161.88</v>
      </c>
      <c r="AG790" s="1">
        <v>146.99</v>
      </c>
      <c r="AN790" s="1">
        <v>3404.32</v>
      </c>
      <c r="AO790" s="1">
        <v>30</v>
      </c>
      <c r="AT790" s="1">
        <v>3138.16</v>
      </c>
      <c r="AX790" s="1">
        <v>155.30000000000001</v>
      </c>
      <c r="BA790" s="1">
        <v>154.05000000000001</v>
      </c>
      <c r="BB790" s="1">
        <v>167.07</v>
      </c>
      <c r="BC790" s="1">
        <v>164.44</v>
      </c>
      <c r="BD790" s="1">
        <v>162.47999999999999</v>
      </c>
      <c r="BE790" s="1">
        <v>164.38</v>
      </c>
      <c r="BF790" s="1">
        <v>161.61000000000001</v>
      </c>
      <c r="BG790" s="1">
        <v>171.07</v>
      </c>
      <c r="BH790" s="1">
        <v>160.35</v>
      </c>
      <c r="BI790" s="1">
        <v>164.48</v>
      </c>
      <c r="BK790" s="1">
        <v>151.75</v>
      </c>
      <c r="BL790" s="1">
        <v>149.44999999999999</v>
      </c>
      <c r="BN790" s="1">
        <v>148.82</v>
      </c>
    </row>
    <row r="791" spans="1:66" x14ac:dyDescent="0.3">
      <c r="A791" s="2"/>
      <c r="C791" s="14" t="str">
        <f t="shared" si="13"/>
        <v>20231</v>
      </c>
      <c r="D791" s="3">
        <v>44953</v>
      </c>
      <c r="E791" s="21">
        <v>2922.3</v>
      </c>
      <c r="F791" s="21">
        <v>2784.22</v>
      </c>
      <c r="G791" s="21">
        <v>2924.54</v>
      </c>
      <c r="H791" s="21">
        <v>2860.44</v>
      </c>
      <c r="I791" s="21">
        <v>2806.51</v>
      </c>
      <c r="J791" s="21">
        <v>2929.94</v>
      </c>
      <c r="K791" s="21">
        <v>2701.24</v>
      </c>
      <c r="L791" s="21">
        <v>2666.09</v>
      </c>
      <c r="M791" s="21">
        <v>2646.13</v>
      </c>
      <c r="N791" s="21">
        <v>2682.06</v>
      </c>
      <c r="O791" s="21">
        <v>2896.02</v>
      </c>
      <c r="P791" s="21">
        <v>2768.68</v>
      </c>
      <c r="Q791" s="21">
        <v>6729.58</v>
      </c>
      <c r="R791" s="20">
        <v>156.61000000000001</v>
      </c>
      <c r="S791" s="20">
        <v>139.57</v>
      </c>
      <c r="T791" s="21">
        <v>158.03</v>
      </c>
      <c r="V791" s="1">
        <v>156.47</v>
      </c>
      <c r="W791" s="1">
        <v>158.43</v>
      </c>
      <c r="X791" s="1">
        <v>164.47</v>
      </c>
      <c r="Y791" s="1">
        <v>155.76</v>
      </c>
      <c r="Z791" s="1">
        <v>155.97999999999999</v>
      </c>
      <c r="AA791" s="1">
        <v>159.91999999999999</v>
      </c>
      <c r="AB791" s="1">
        <v>163.08000000000001</v>
      </c>
      <c r="AE791" s="1">
        <v>169</v>
      </c>
      <c r="AF791" s="1">
        <v>159.27000000000001</v>
      </c>
      <c r="AG791" s="1">
        <v>146.22</v>
      </c>
      <c r="AN791" s="1">
        <v>3404.32</v>
      </c>
      <c r="AT791" s="1">
        <v>3246.06</v>
      </c>
      <c r="AW791" s="1">
        <v>3193.81</v>
      </c>
      <c r="AX791" s="1">
        <v>155.78</v>
      </c>
      <c r="BA791" s="1">
        <v>154.4</v>
      </c>
      <c r="BB791" s="1">
        <v>166.38</v>
      </c>
      <c r="BC791" s="1">
        <v>162.28</v>
      </c>
      <c r="BD791" s="1">
        <v>162.13999999999999</v>
      </c>
      <c r="BE791" s="1">
        <v>163.75</v>
      </c>
      <c r="BF791" s="1">
        <v>162.82</v>
      </c>
      <c r="BG791" s="1">
        <v>170.16</v>
      </c>
      <c r="BH791" s="1">
        <v>159.35</v>
      </c>
      <c r="BI791" s="1">
        <v>164.48</v>
      </c>
      <c r="BK791" s="1">
        <v>149.88</v>
      </c>
      <c r="BL791" s="1">
        <v>149.79</v>
      </c>
      <c r="BN791" s="1">
        <v>147.83000000000001</v>
      </c>
    </row>
    <row r="792" spans="1:66" x14ac:dyDescent="0.3">
      <c r="A792" s="2"/>
      <c r="C792" s="14" t="str">
        <f t="shared" si="13"/>
        <v>20231</v>
      </c>
      <c r="D792" s="3">
        <v>44952</v>
      </c>
      <c r="E792" s="21">
        <v>2927.22</v>
      </c>
      <c r="F792" s="21">
        <v>2801.3</v>
      </c>
      <c r="G792" s="21">
        <v>2924.54</v>
      </c>
      <c r="H792" s="21">
        <v>2852.94</v>
      </c>
      <c r="I792" s="21">
        <v>2814.42</v>
      </c>
      <c r="J792" s="21">
        <v>2903.71</v>
      </c>
      <c r="K792" s="21">
        <v>2709.57</v>
      </c>
      <c r="L792" s="21">
        <v>2722.2</v>
      </c>
      <c r="M792" s="21">
        <v>2646.13</v>
      </c>
      <c r="N792" s="21">
        <v>2669.19</v>
      </c>
      <c r="O792" s="21">
        <v>2892.69</v>
      </c>
      <c r="P792" s="21">
        <v>2781.18</v>
      </c>
      <c r="Q792" s="21">
        <v>6841.31</v>
      </c>
      <c r="R792" s="20">
        <v>156.61000000000001</v>
      </c>
      <c r="S792" s="20">
        <v>139.74</v>
      </c>
      <c r="T792" s="21">
        <v>158.43</v>
      </c>
      <c r="V792" s="1">
        <v>156.27000000000001</v>
      </c>
      <c r="W792" s="1">
        <v>160.32</v>
      </c>
      <c r="X792" s="1">
        <v>163.6</v>
      </c>
      <c r="Y792" s="1">
        <v>154.82</v>
      </c>
      <c r="Z792" s="1">
        <v>155.86000000000001</v>
      </c>
      <c r="AA792" s="1">
        <v>161.33000000000001</v>
      </c>
      <c r="AB792" s="1">
        <v>162.51</v>
      </c>
      <c r="AE792" s="1">
        <v>167.07</v>
      </c>
      <c r="AF792" s="1">
        <v>161.07</v>
      </c>
      <c r="AG792" s="1">
        <v>144.80000000000001</v>
      </c>
      <c r="AN792" s="1">
        <v>3404.32</v>
      </c>
      <c r="AT792" s="1">
        <v>3246.06</v>
      </c>
      <c r="AW792" s="1">
        <v>3193.81</v>
      </c>
      <c r="AX792" s="1">
        <v>156.94999999999999</v>
      </c>
      <c r="BA792" s="1">
        <v>153.97</v>
      </c>
      <c r="BB792" s="1">
        <v>166.2</v>
      </c>
      <c r="BC792" s="1">
        <v>162.16999999999999</v>
      </c>
      <c r="BD792" s="1">
        <v>160.1</v>
      </c>
      <c r="BE792" s="1">
        <v>166.06</v>
      </c>
      <c r="BF792" s="1">
        <v>163.63999999999999</v>
      </c>
      <c r="BG792" s="1">
        <v>170</v>
      </c>
      <c r="BH792" s="1">
        <v>159.35</v>
      </c>
      <c r="BI792" s="1">
        <v>164.48</v>
      </c>
      <c r="BK792" s="1">
        <v>149</v>
      </c>
      <c r="BL792" s="1">
        <v>149.55000000000001</v>
      </c>
      <c r="BN792" s="1">
        <v>151.15</v>
      </c>
    </row>
    <row r="793" spans="1:66" x14ac:dyDescent="0.3">
      <c r="A793" s="2"/>
      <c r="C793" s="14" t="str">
        <f t="shared" si="13"/>
        <v>20231</v>
      </c>
      <c r="D793" s="3">
        <v>44951</v>
      </c>
      <c r="E793" s="21">
        <v>2912.24</v>
      </c>
      <c r="F793" s="21">
        <v>2823.77</v>
      </c>
      <c r="G793" s="21">
        <v>2954.27</v>
      </c>
      <c r="H793" s="21">
        <v>2859.43</v>
      </c>
      <c r="I793" s="21">
        <v>2814.42</v>
      </c>
      <c r="J793" s="21">
        <v>2932.75</v>
      </c>
      <c r="K793" s="21">
        <v>2701.24</v>
      </c>
      <c r="L793" s="21">
        <v>2722.2</v>
      </c>
      <c r="M793" s="21">
        <v>2646.13</v>
      </c>
      <c r="N793" s="21">
        <v>2687.7</v>
      </c>
      <c r="O793" s="21">
        <v>2949.32</v>
      </c>
      <c r="P793" s="21">
        <v>2768.68</v>
      </c>
      <c r="Q793" s="21">
        <v>6736.97</v>
      </c>
      <c r="R793" s="20">
        <v>157.12</v>
      </c>
      <c r="S793" s="20">
        <v>139.07</v>
      </c>
      <c r="T793" s="21">
        <v>159.66999999999999</v>
      </c>
      <c r="V793" s="1">
        <v>157.03</v>
      </c>
      <c r="W793" s="1">
        <v>158.94999999999999</v>
      </c>
      <c r="X793" s="1">
        <v>166.97</v>
      </c>
      <c r="Y793" s="1">
        <v>156.22</v>
      </c>
      <c r="Z793" s="1">
        <v>156.15</v>
      </c>
      <c r="AA793" s="1">
        <v>155.59</v>
      </c>
      <c r="AB793" s="1">
        <v>165.36</v>
      </c>
      <c r="AE793" s="1">
        <v>173.12</v>
      </c>
      <c r="AF793" s="1">
        <v>158.36000000000001</v>
      </c>
      <c r="AG793" s="1">
        <v>145.13999999999999</v>
      </c>
      <c r="AT793" s="1">
        <v>3246.06</v>
      </c>
      <c r="AW793" s="1">
        <v>3193.81</v>
      </c>
      <c r="AX793" s="1">
        <v>157.93</v>
      </c>
      <c r="BA793" s="1">
        <v>151.96</v>
      </c>
      <c r="BB793" s="1">
        <v>167.02</v>
      </c>
      <c r="BC793" s="1">
        <v>165.49</v>
      </c>
      <c r="BD793" s="1">
        <v>161.30000000000001</v>
      </c>
      <c r="BE793" s="1">
        <v>163.41</v>
      </c>
      <c r="BF793" s="1">
        <v>163.79</v>
      </c>
      <c r="BG793" s="1">
        <v>172.84</v>
      </c>
      <c r="BH793" s="1">
        <v>159.35</v>
      </c>
      <c r="BI793" s="1">
        <v>168.57</v>
      </c>
      <c r="BK793" s="1">
        <v>149</v>
      </c>
      <c r="BL793" s="1">
        <v>150.05000000000001</v>
      </c>
      <c r="BN793" s="1">
        <v>151.15</v>
      </c>
    </row>
    <row r="794" spans="1:66" x14ac:dyDescent="0.3">
      <c r="A794" s="2"/>
      <c r="C794" s="14" t="str">
        <f t="shared" si="13"/>
        <v>20231</v>
      </c>
      <c r="D794" s="3">
        <v>44950</v>
      </c>
      <c r="E794" s="21">
        <v>2930.41</v>
      </c>
      <c r="F794" s="21">
        <v>2841.75</v>
      </c>
      <c r="G794" s="21">
        <v>2993.88</v>
      </c>
      <c r="H794" s="21">
        <v>2888.29</v>
      </c>
      <c r="I794" s="21">
        <v>2814.42</v>
      </c>
      <c r="J794" s="21">
        <v>2886.57</v>
      </c>
      <c r="K794" s="21">
        <v>2692.94</v>
      </c>
      <c r="L794" s="21">
        <v>2712.14</v>
      </c>
      <c r="M794" s="21">
        <v>2646.13</v>
      </c>
      <c r="N794" s="21">
        <v>2687.38</v>
      </c>
      <c r="O794" s="21">
        <v>2839.31</v>
      </c>
      <c r="P794" s="21">
        <v>2768.68</v>
      </c>
      <c r="Q794" s="21">
        <v>6889.58</v>
      </c>
      <c r="R794" s="20">
        <v>156.59</v>
      </c>
      <c r="S794" s="20">
        <v>139.74</v>
      </c>
      <c r="T794" s="21">
        <v>159.30000000000001</v>
      </c>
      <c r="V794" s="1">
        <v>157.36000000000001</v>
      </c>
      <c r="W794" s="1">
        <v>162.71</v>
      </c>
      <c r="X794" s="1">
        <v>167.63</v>
      </c>
      <c r="Y794" s="1">
        <v>158.47</v>
      </c>
      <c r="Z794" s="1">
        <v>158.57</v>
      </c>
      <c r="AA794" s="1">
        <v>157.04</v>
      </c>
      <c r="AB794" s="1">
        <v>166.56</v>
      </c>
      <c r="AE794" s="1">
        <v>173.95</v>
      </c>
      <c r="AF794" s="1">
        <v>161.72</v>
      </c>
      <c r="AG794" s="1">
        <v>146.04</v>
      </c>
      <c r="AW794" s="1">
        <v>3193.81</v>
      </c>
      <c r="AX794" s="1">
        <v>157.4</v>
      </c>
      <c r="AZ794" s="1">
        <v>3303.36</v>
      </c>
      <c r="BA794" s="1">
        <v>153.03</v>
      </c>
      <c r="BB794" s="1">
        <v>169.9</v>
      </c>
      <c r="BC794" s="1">
        <v>166.19</v>
      </c>
      <c r="BD794" s="1">
        <v>164.53</v>
      </c>
      <c r="BE794" s="1">
        <v>162.24</v>
      </c>
      <c r="BF794" s="1">
        <v>162.53</v>
      </c>
      <c r="BG794" s="1">
        <v>174.86</v>
      </c>
      <c r="BH794" s="1">
        <v>159.47999999999999</v>
      </c>
      <c r="BI794" s="1">
        <v>168.57</v>
      </c>
      <c r="BK794" s="1">
        <v>150.61000000000001</v>
      </c>
      <c r="BL794" s="1">
        <v>151.29</v>
      </c>
      <c r="BN794" s="1">
        <v>153.13</v>
      </c>
    </row>
    <row r="795" spans="1:66" x14ac:dyDescent="0.3">
      <c r="A795" s="2"/>
      <c r="C795" s="14" t="str">
        <f t="shared" si="13"/>
        <v>20231</v>
      </c>
      <c r="D795" s="3">
        <v>44949</v>
      </c>
      <c r="E795" s="21">
        <v>2925.45</v>
      </c>
      <c r="F795" s="21">
        <v>2860.63</v>
      </c>
      <c r="G795" s="21">
        <v>2993.88</v>
      </c>
      <c r="H795" s="21">
        <v>2868.06</v>
      </c>
      <c r="I795" s="21">
        <v>2810.47</v>
      </c>
      <c r="J795" s="21">
        <v>2965.27</v>
      </c>
      <c r="K795" s="21">
        <v>2692.94</v>
      </c>
      <c r="L795" s="21">
        <v>2712.14</v>
      </c>
      <c r="M795" s="21">
        <v>2770.5</v>
      </c>
      <c r="N795" s="21">
        <v>2706.29</v>
      </c>
      <c r="O795" s="21">
        <v>2931.32</v>
      </c>
      <c r="P795" s="21">
        <v>2768.68</v>
      </c>
      <c r="Q795" s="21">
        <v>6948.91</v>
      </c>
      <c r="R795" s="20">
        <v>156.94</v>
      </c>
      <c r="S795" s="20">
        <v>140.41</v>
      </c>
      <c r="T795" s="21">
        <v>161.59</v>
      </c>
      <c r="V795" s="1">
        <v>158.03</v>
      </c>
      <c r="W795" s="1">
        <v>163.26</v>
      </c>
      <c r="X795" s="1">
        <v>168.97</v>
      </c>
      <c r="Y795" s="1">
        <v>159.34</v>
      </c>
      <c r="Z795" s="1">
        <v>159.26</v>
      </c>
      <c r="AA795" s="1">
        <v>157.24</v>
      </c>
      <c r="AB795" s="1">
        <v>167.16</v>
      </c>
      <c r="AE795" s="1">
        <v>174.62</v>
      </c>
      <c r="AF795" s="1">
        <v>165.65</v>
      </c>
      <c r="AG795" s="1">
        <v>147.63</v>
      </c>
      <c r="AU795" s="1">
        <v>2912.35</v>
      </c>
      <c r="AW795" s="1">
        <v>3496.34</v>
      </c>
      <c r="AX795" s="1">
        <v>158.16999999999999</v>
      </c>
      <c r="AZ795" s="1">
        <v>3303.36</v>
      </c>
      <c r="BA795" s="1">
        <v>156.22999999999999</v>
      </c>
      <c r="BB795" s="1">
        <v>170.54</v>
      </c>
      <c r="BC795" s="1">
        <v>167.78</v>
      </c>
      <c r="BD795" s="1">
        <v>165.93</v>
      </c>
      <c r="BE795" s="1">
        <v>162.36000000000001</v>
      </c>
      <c r="BF795" s="1">
        <v>161.36000000000001</v>
      </c>
      <c r="BG795" s="1">
        <v>174.81</v>
      </c>
      <c r="BH795" s="1">
        <v>161.22</v>
      </c>
      <c r="BI795" s="1">
        <v>170.77</v>
      </c>
      <c r="BK795" s="1">
        <v>151.36000000000001</v>
      </c>
      <c r="BL795" s="1">
        <v>152.53</v>
      </c>
      <c r="BN795" s="1">
        <v>151.47</v>
      </c>
    </row>
    <row r="796" spans="1:66" x14ac:dyDescent="0.3">
      <c r="A796" s="2"/>
      <c r="C796" s="14" t="str">
        <f t="shared" si="13"/>
        <v>20231</v>
      </c>
      <c r="D796" s="3">
        <v>44946</v>
      </c>
      <c r="E796" s="21">
        <v>2970.27</v>
      </c>
      <c r="F796" s="21">
        <v>2852.99</v>
      </c>
      <c r="G796" s="21">
        <v>3023.65</v>
      </c>
      <c r="H796" s="21">
        <v>2976.01</v>
      </c>
      <c r="I796" s="21">
        <v>2814.42</v>
      </c>
      <c r="J796" s="21">
        <v>2960.44</v>
      </c>
      <c r="K796" s="21">
        <v>2717.84</v>
      </c>
      <c r="L796" s="21">
        <v>2761.75</v>
      </c>
      <c r="M796" s="21">
        <v>2770.5</v>
      </c>
      <c r="N796" s="21">
        <v>2800.8</v>
      </c>
      <c r="O796" s="21">
        <v>2931.32</v>
      </c>
      <c r="P796" s="21">
        <v>2806.04</v>
      </c>
      <c r="Q796" s="21">
        <v>6848.91</v>
      </c>
      <c r="R796" s="20">
        <v>159.97</v>
      </c>
      <c r="S796" s="20">
        <v>143.47</v>
      </c>
      <c r="T796" s="21">
        <v>161.12</v>
      </c>
      <c r="V796" s="1">
        <v>159.03</v>
      </c>
      <c r="W796" s="1">
        <v>165.16</v>
      </c>
      <c r="X796" s="1">
        <v>169.07</v>
      </c>
      <c r="Y796" s="1">
        <v>161.41999999999999</v>
      </c>
      <c r="Z796" s="1">
        <v>161.27000000000001</v>
      </c>
      <c r="AA796" s="1">
        <v>160.72999999999999</v>
      </c>
      <c r="AB796" s="1">
        <v>167.95</v>
      </c>
      <c r="AE796" s="1">
        <v>176.03</v>
      </c>
      <c r="AF796" s="1">
        <v>167.07</v>
      </c>
      <c r="AG796" s="1">
        <v>150.65</v>
      </c>
      <c r="AU796" s="1">
        <v>2912.35</v>
      </c>
      <c r="AX796" s="1">
        <v>159.6</v>
      </c>
      <c r="AZ796" s="1">
        <v>3303.36</v>
      </c>
      <c r="BA796" s="1">
        <v>157.41</v>
      </c>
      <c r="BB796" s="1">
        <v>173.4</v>
      </c>
      <c r="BC796" s="1">
        <v>169.31</v>
      </c>
      <c r="BD796" s="1">
        <v>168.11</v>
      </c>
      <c r="BE796" s="1">
        <v>164.62</v>
      </c>
      <c r="BF796" s="1">
        <v>164.69</v>
      </c>
      <c r="BG796" s="1">
        <v>176.93</v>
      </c>
      <c r="BH796" s="1">
        <v>162.1</v>
      </c>
      <c r="BI796" s="1">
        <v>171.37</v>
      </c>
      <c r="BK796" s="1">
        <v>153.63</v>
      </c>
      <c r="BL796" s="1">
        <v>153.37</v>
      </c>
      <c r="BN796" s="1">
        <v>152.79</v>
      </c>
    </row>
    <row r="797" spans="1:66" x14ac:dyDescent="0.3">
      <c r="A797" s="2"/>
      <c r="C797" s="14" t="str">
        <f t="shared" si="13"/>
        <v>20231</v>
      </c>
      <c r="D797" s="3">
        <v>44945</v>
      </c>
      <c r="E797" s="21">
        <v>2961.99</v>
      </c>
      <c r="F797" s="21">
        <v>2852.99</v>
      </c>
      <c r="G797" s="21">
        <v>3063.32</v>
      </c>
      <c r="H797" s="21">
        <v>2962.87</v>
      </c>
      <c r="I797" s="21">
        <v>2824.31</v>
      </c>
      <c r="J797" s="21">
        <v>2960.44</v>
      </c>
      <c r="K797" s="21">
        <v>2721.16</v>
      </c>
      <c r="L797" s="21">
        <v>2761.75</v>
      </c>
      <c r="M797" s="21">
        <v>2770.5</v>
      </c>
      <c r="N797" s="21">
        <v>2751.24</v>
      </c>
      <c r="O797" s="21">
        <v>2961.32</v>
      </c>
      <c r="P797" s="21">
        <v>2806.04</v>
      </c>
      <c r="Q797" s="21">
        <v>6848.91</v>
      </c>
      <c r="R797" s="20">
        <v>161.11000000000001</v>
      </c>
      <c r="S797" s="20">
        <v>143.1</v>
      </c>
      <c r="T797" s="21">
        <v>163.16</v>
      </c>
      <c r="V797" s="1">
        <v>158.31</v>
      </c>
      <c r="W797" s="1">
        <v>165.26</v>
      </c>
      <c r="X797" s="1">
        <v>169.34</v>
      </c>
      <c r="Y797" s="1">
        <v>162.27000000000001</v>
      </c>
      <c r="Z797" s="1">
        <v>162.33000000000001</v>
      </c>
      <c r="AA797" s="1">
        <v>161.41999999999999</v>
      </c>
      <c r="AB797" s="1">
        <v>168.66</v>
      </c>
      <c r="AE797" s="1">
        <v>177.72</v>
      </c>
      <c r="AF797" s="1">
        <v>167.03</v>
      </c>
      <c r="AG797" s="1">
        <v>150.63999999999999</v>
      </c>
      <c r="AT797" s="1">
        <v>3397.74</v>
      </c>
      <c r="AU797" s="1">
        <v>2912.35</v>
      </c>
      <c r="AX797" s="1">
        <v>157.41999999999999</v>
      </c>
      <c r="AZ797" s="1">
        <v>3303.36</v>
      </c>
      <c r="BA797" s="1">
        <v>157.01</v>
      </c>
      <c r="BB797" s="1">
        <v>173.26</v>
      </c>
      <c r="BC797" s="1">
        <v>170.73</v>
      </c>
      <c r="BD797" s="1">
        <v>167.19</v>
      </c>
      <c r="BE797" s="1">
        <v>164.59</v>
      </c>
      <c r="BF797" s="1">
        <v>164.68</v>
      </c>
      <c r="BG797" s="1">
        <v>178.43</v>
      </c>
      <c r="BH797" s="1">
        <v>163.84</v>
      </c>
      <c r="BI797" s="1">
        <v>171.37</v>
      </c>
      <c r="BK797" s="1">
        <v>154.29</v>
      </c>
      <c r="BL797" s="1">
        <v>154.02000000000001</v>
      </c>
      <c r="BN797" s="1">
        <v>154.11000000000001</v>
      </c>
    </row>
    <row r="798" spans="1:66" x14ac:dyDescent="0.3">
      <c r="A798" s="2"/>
      <c r="C798" s="14" t="str">
        <f t="shared" si="13"/>
        <v>20231</v>
      </c>
      <c r="D798" s="3">
        <v>44944</v>
      </c>
      <c r="E798" s="21">
        <v>2940.51</v>
      </c>
      <c r="F798" s="21">
        <v>2797.7</v>
      </c>
      <c r="G798" s="21">
        <v>3043.54</v>
      </c>
      <c r="H798" s="21">
        <v>2954.96</v>
      </c>
      <c r="I798" s="21">
        <v>2824.31</v>
      </c>
      <c r="J798" s="21">
        <v>3010.39</v>
      </c>
      <c r="K798" s="21">
        <v>2729.47</v>
      </c>
      <c r="L798" s="21">
        <v>2761.75</v>
      </c>
      <c r="M798" s="21">
        <v>2770.5</v>
      </c>
      <c r="N798" s="21">
        <v>2746.95</v>
      </c>
      <c r="O798" s="21">
        <v>2935.66</v>
      </c>
      <c r="P798" s="21">
        <v>2823.51</v>
      </c>
      <c r="Q798" s="21">
        <v>6666.6</v>
      </c>
      <c r="R798" s="20">
        <v>160.61000000000001</v>
      </c>
      <c r="S798" s="20">
        <v>143.1</v>
      </c>
      <c r="T798" s="21">
        <v>162.63</v>
      </c>
      <c r="V798" s="1">
        <v>157.16</v>
      </c>
      <c r="W798" s="1">
        <v>165.1</v>
      </c>
      <c r="X798" s="1">
        <v>169.25</v>
      </c>
      <c r="Y798" s="1">
        <v>161.41</v>
      </c>
      <c r="Z798" s="1">
        <v>161.93</v>
      </c>
      <c r="AA798" s="1">
        <v>160.91999999999999</v>
      </c>
      <c r="AB798" s="1">
        <v>168.65</v>
      </c>
      <c r="AC798" s="1">
        <v>160.91</v>
      </c>
      <c r="AE798" s="1">
        <v>177.71</v>
      </c>
      <c r="AF798" s="1">
        <v>165.53</v>
      </c>
      <c r="AG798" s="1">
        <v>149.36000000000001</v>
      </c>
      <c r="AT798" s="1">
        <v>3397.74</v>
      </c>
      <c r="AU798" s="1">
        <v>2912.35</v>
      </c>
      <c r="AX798" s="1">
        <v>156.94999999999999</v>
      </c>
      <c r="AZ798" s="1">
        <v>3303.36</v>
      </c>
      <c r="BA798" s="1">
        <v>157.41</v>
      </c>
      <c r="BB798" s="1">
        <v>173</v>
      </c>
      <c r="BC798" s="1">
        <v>169.92</v>
      </c>
      <c r="BD798" s="1">
        <v>166.73</v>
      </c>
      <c r="BE798" s="1">
        <v>164.06</v>
      </c>
      <c r="BF798" s="1">
        <v>164.58</v>
      </c>
      <c r="BG798" s="1">
        <v>178.86</v>
      </c>
      <c r="BH798" s="1">
        <v>163.84</v>
      </c>
      <c r="BI798" s="1">
        <v>171.37</v>
      </c>
      <c r="BK798" s="1">
        <v>153.63</v>
      </c>
      <c r="BL798" s="1">
        <v>153.53</v>
      </c>
      <c r="BN798" s="1">
        <v>152.79</v>
      </c>
    </row>
    <row r="799" spans="1:66" x14ac:dyDescent="0.3">
      <c r="A799" s="2"/>
      <c r="C799" s="14" t="str">
        <f t="shared" si="13"/>
        <v>20231</v>
      </c>
      <c r="D799" s="3">
        <v>44943</v>
      </c>
      <c r="E799" s="21">
        <v>2890.67</v>
      </c>
      <c r="F799" s="21">
        <v>2797.7</v>
      </c>
      <c r="G799" s="21">
        <v>3043.54</v>
      </c>
      <c r="H799" s="21">
        <v>2986.16</v>
      </c>
      <c r="I799" s="21">
        <v>2824.31</v>
      </c>
      <c r="J799" s="21">
        <v>3026.59</v>
      </c>
      <c r="K799" s="21">
        <v>2729.47</v>
      </c>
      <c r="L799" s="21">
        <v>2758.35</v>
      </c>
      <c r="M799" s="21"/>
      <c r="N799" s="21">
        <v>2815.41</v>
      </c>
      <c r="O799" s="21">
        <v>2912.8</v>
      </c>
      <c r="P799" s="21">
        <v>2823.51</v>
      </c>
      <c r="Q799" s="21">
        <v>6948.69</v>
      </c>
      <c r="R799" s="20">
        <v>158.43</v>
      </c>
      <c r="S799" s="20">
        <v>143.27000000000001</v>
      </c>
      <c r="T799" s="21">
        <v>162.13</v>
      </c>
      <c r="V799" s="1">
        <v>156.72999999999999</v>
      </c>
      <c r="W799" s="1">
        <v>164.44</v>
      </c>
      <c r="X799" s="1">
        <v>169.43</v>
      </c>
      <c r="Y799" s="1">
        <v>160.68</v>
      </c>
      <c r="Z799" s="1">
        <v>160.99</v>
      </c>
      <c r="AA799" s="1">
        <v>159.97999999999999</v>
      </c>
      <c r="AB799" s="1">
        <v>169.25</v>
      </c>
      <c r="AC799" s="1">
        <v>162.15</v>
      </c>
      <c r="AE799" s="1">
        <v>177.87</v>
      </c>
      <c r="AF799" s="1">
        <v>164.35</v>
      </c>
      <c r="AG799" s="1">
        <v>149.44999999999999</v>
      </c>
      <c r="AT799" s="1">
        <v>3397.74</v>
      </c>
      <c r="AU799" s="1">
        <v>2912.35</v>
      </c>
      <c r="AW799" s="1">
        <v>3400.73</v>
      </c>
      <c r="AX799" s="1">
        <v>157.41</v>
      </c>
      <c r="BA799" s="1">
        <v>157.41</v>
      </c>
      <c r="BB799" s="1">
        <v>173.56</v>
      </c>
      <c r="BC799" s="1">
        <v>168.93</v>
      </c>
      <c r="BD799" s="1">
        <v>167.47</v>
      </c>
      <c r="BE799" s="1">
        <v>168.35</v>
      </c>
      <c r="BF799" s="1">
        <v>167.16</v>
      </c>
      <c r="BG799" s="1">
        <v>179.14</v>
      </c>
      <c r="BH799" s="1">
        <v>165.29</v>
      </c>
      <c r="BI799" s="1">
        <v>171.57</v>
      </c>
      <c r="BK799" s="1">
        <v>153.63</v>
      </c>
      <c r="BL799" s="1">
        <v>153.43</v>
      </c>
      <c r="BN799" s="1">
        <v>152.79</v>
      </c>
    </row>
    <row r="800" spans="1:66" x14ac:dyDescent="0.3">
      <c r="A800" s="2"/>
      <c r="C800" s="14" t="str">
        <f t="shared" si="13"/>
        <v>20231</v>
      </c>
      <c r="D800" s="3">
        <v>44942</v>
      </c>
      <c r="E800" s="21">
        <v>2990.15</v>
      </c>
      <c r="F800" s="21">
        <v>2802.2</v>
      </c>
      <c r="G800" s="21">
        <v>3063.32</v>
      </c>
      <c r="H800" s="21">
        <v>2969.29</v>
      </c>
      <c r="I800" s="21">
        <v>2850.52</v>
      </c>
      <c r="J800" s="21">
        <v>3012.47</v>
      </c>
      <c r="K800" s="21">
        <v>2729.47</v>
      </c>
      <c r="L800" s="21">
        <v>2778.23</v>
      </c>
      <c r="M800" s="21"/>
      <c r="N800" s="21">
        <v>2816.71</v>
      </c>
      <c r="O800" s="21">
        <v>2916.79</v>
      </c>
      <c r="P800" s="21">
        <v>2816.02</v>
      </c>
      <c r="Q800" s="21">
        <v>6849.33</v>
      </c>
      <c r="R800" s="20">
        <v>158.47999999999999</v>
      </c>
      <c r="S800" s="20">
        <v>141.77000000000001</v>
      </c>
      <c r="T800" s="21">
        <v>160.78</v>
      </c>
      <c r="V800" s="1">
        <v>156.91999999999999</v>
      </c>
      <c r="W800" s="1">
        <v>164.4</v>
      </c>
      <c r="X800" s="1">
        <v>170.16</v>
      </c>
      <c r="Y800" s="1">
        <v>160.65</v>
      </c>
      <c r="Z800" s="1">
        <v>160.99</v>
      </c>
      <c r="AA800" s="1">
        <v>160.22999999999999</v>
      </c>
      <c r="AB800" s="1">
        <v>170.05</v>
      </c>
      <c r="AC800" s="1">
        <v>163.88</v>
      </c>
      <c r="AE800" s="1">
        <v>178.28</v>
      </c>
      <c r="AF800" s="1">
        <v>163.33000000000001</v>
      </c>
      <c r="AG800" s="1">
        <v>149.56</v>
      </c>
      <c r="AN800" s="1">
        <v>3549.43</v>
      </c>
      <c r="AT800" s="1">
        <v>3397.74</v>
      </c>
      <c r="AW800" s="1">
        <v>3400.73</v>
      </c>
      <c r="AX800" s="1">
        <v>157.63</v>
      </c>
      <c r="BA800" s="1">
        <v>154.4</v>
      </c>
      <c r="BB800" s="1">
        <v>172.76</v>
      </c>
      <c r="BC800" s="1">
        <v>167.87</v>
      </c>
      <c r="BD800" s="1">
        <v>167.29</v>
      </c>
      <c r="BE800" s="1">
        <v>168.32</v>
      </c>
      <c r="BF800" s="1">
        <v>168.89</v>
      </c>
      <c r="BG800" s="1">
        <v>179.91</v>
      </c>
      <c r="BH800" s="1">
        <v>170.05</v>
      </c>
      <c r="BI800" s="1">
        <v>172.96</v>
      </c>
      <c r="BJ800" s="1">
        <v>179.02</v>
      </c>
      <c r="BK800" s="1">
        <v>158.33000000000001</v>
      </c>
      <c r="BL800" s="1">
        <v>153.43</v>
      </c>
      <c r="BN800" s="1">
        <v>152.79</v>
      </c>
    </row>
    <row r="801" spans="1:66" x14ac:dyDescent="0.3">
      <c r="A801" s="2"/>
      <c r="C801" s="14" t="str">
        <f t="shared" si="13"/>
        <v>20231</v>
      </c>
      <c r="D801" s="3">
        <v>44939</v>
      </c>
      <c r="E801" s="21">
        <v>2995.1</v>
      </c>
      <c r="F801" s="21">
        <v>2837.33</v>
      </c>
      <c r="G801" s="21">
        <v>3069.25</v>
      </c>
      <c r="H801" s="21">
        <v>2984.18</v>
      </c>
      <c r="I801" s="21">
        <v>2850.52</v>
      </c>
      <c r="J801" s="21">
        <v>3007.99</v>
      </c>
      <c r="K801" s="21">
        <v>2639.79</v>
      </c>
      <c r="L801" s="21">
        <v>2788.12</v>
      </c>
      <c r="M801" s="21">
        <v>2671.19</v>
      </c>
      <c r="N801" s="21">
        <v>2825.61</v>
      </c>
      <c r="O801" s="21">
        <v>2920.79</v>
      </c>
      <c r="P801" s="21">
        <v>2821.57</v>
      </c>
      <c r="Q801" s="21">
        <v>6765.89</v>
      </c>
      <c r="R801" s="20">
        <v>158.62</v>
      </c>
      <c r="S801" s="20"/>
      <c r="T801" s="21">
        <v>162.18</v>
      </c>
      <c r="V801" s="1">
        <v>157.55000000000001</v>
      </c>
      <c r="W801" s="1">
        <v>164.53</v>
      </c>
      <c r="X801" s="1">
        <v>170.76</v>
      </c>
      <c r="Y801" s="1">
        <v>160.65</v>
      </c>
      <c r="Z801" s="1">
        <v>161.05000000000001</v>
      </c>
      <c r="AA801" s="1">
        <v>159.59</v>
      </c>
      <c r="AB801" s="1">
        <v>170.61</v>
      </c>
      <c r="AC801" s="1">
        <v>160.19</v>
      </c>
      <c r="AE801" s="1">
        <v>179</v>
      </c>
      <c r="AF801" s="1">
        <v>164.68</v>
      </c>
      <c r="AG801" s="1">
        <v>149.91</v>
      </c>
      <c r="AN801" s="1">
        <v>3549.43</v>
      </c>
      <c r="AT801" s="1">
        <v>3397.74</v>
      </c>
      <c r="AW801" s="1">
        <v>3349.47</v>
      </c>
      <c r="AX801" s="1">
        <v>157.16999999999999</v>
      </c>
      <c r="BA801" s="1">
        <v>155.13999999999999</v>
      </c>
      <c r="BB801" s="1">
        <v>172.83</v>
      </c>
      <c r="BC801" s="1">
        <v>168.42</v>
      </c>
      <c r="BD801" s="1">
        <v>169.47</v>
      </c>
      <c r="BE801" s="1">
        <v>165.41</v>
      </c>
      <c r="BF801" s="1">
        <v>166.35</v>
      </c>
      <c r="BG801" s="1">
        <v>181.31</v>
      </c>
      <c r="BH801" s="1">
        <v>166.23</v>
      </c>
      <c r="BI801" s="1">
        <v>173.16</v>
      </c>
      <c r="BJ801" s="1">
        <v>179.1</v>
      </c>
      <c r="BK801" s="1">
        <v>158.33000000000001</v>
      </c>
      <c r="BL801" s="1">
        <v>153.43</v>
      </c>
      <c r="BN801" s="1">
        <v>152.79</v>
      </c>
    </row>
    <row r="802" spans="1:66" x14ac:dyDescent="0.3">
      <c r="A802" s="2"/>
      <c r="C802" s="14" t="str">
        <f t="shared" si="13"/>
        <v>20231</v>
      </c>
      <c r="D802" s="3">
        <v>44938</v>
      </c>
      <c r="E802" s="21">
        <v>3005.03</v>
      </c>
      <c r="F802" s="21">
        <v>2821.07</v>
      </c>
      <c r="G802" s="21">
        <v>3016.16</v>
      </c>
      <c r="H802" s="21">
        <v>2984.22</v>
      </c>
      <c r="I802" s="21">
        <v>2814.42</v>
      </c>
      <c r="J802" s="21">
        <v>3007.99</v>
      </c>
      <c r="K802" s="21">
        <v>2639.79</v>
      </c>
      <c r="L802" s="21">
        <v>2781.53</v>
      </c>
      <c r="M802" s="21">
        <v>2695.37</v>
      </c>
      <c r="N802" s="21">
        <v>2830.69</v>
      </c>
      <c r="O802" s="21">
        <v>2917.48</v>
      </c>
      <c r="P802" s="21">
        <v>2819</v>
      </c>
      <c r="Q802" s="21">
        <v>6849.94</v>
      </c>
      <c r="R802" s="20">
        <v>161.11000000000001</v>
      </c>
      <c r="S802" s="20">
        <v>141</v>
      </c>
      <c r="T802" s="21">
        <v>160.94</v>
      </c>
      <c r="V802" s="1">
        <v>158.82</v>
      </c>
      <c r="W802" s="1">
        <v>164.78</v>
      </c>
      <c r="X802" s="1">
        <v>170.46</v>
      </c>
      <c r="Y802" s="1">
        <v>161.4</v>
      </c>
      <c r="Z802" s="1">
        <v>161.5</v>
      </c>
      <c r="AA802" s="1">
        <v>162.08000000000001</v>
      </c>
      <c r="AB802" s="1">
        <v>170.44</v>
      </c>
      <c r="AC802" s="1">
        <v>160.52000000000001</v>
      </c>
      <c r="AE802" s="1">
        <v>178.2</v>
      </c>
      <c r="AF802" s="1">
        <v>163.06</v>
      </c>
      <c r="AG802" s="1">
        <v>153.75</v>
      </c>
      <c r="AN802" s="1">
        <v>3549.43</v>
      </c>
      <c r="AW802" s="1">
        <v>3349.47</v>
      </c>
      <c r="AX802" s="1">
        <v>159.29</v>
      </c>
      <c r="BA802" s="1">
        <v>155.13999999999999</v>
      </c>
      <c r="BB802" s="1">
        <v>172.57</v>
      </c>
      <c r="BC802" s="1">
        <v>170.28</v>
      </c>
      <c r="BD802" s="1">
        <v>166.72</v>
      </c>
      <c r="BE802" s="1">
        <v>167.85</v>
      </c>
      <c r="BF802" s="1">
        <v>167.07</v>
      </c>
      <c r="BG802" s="1">
        <v>179.2</v>
      </c>
      <c r="BH802" s="1">
        <v>166.43</v>
      </c>
      <c r="BI802" s="1">
        <v>173.16</v>
      </c>
      <c r="BJ802" s="1">
        <v>179.43</v>
      </c>
      <c r="BK802" s="1">
        <v>158.33000000000001</v>
      </c>
      <c r="BL802" s="1">
        <v>153.43</v>
      </c>
      <c r="BN802" s="1">
        <v>152.79</v>
      </c>
    </row>
    <row r="803" spans="1:66" x14ac:dyDescent="0.3">
      <c r="A803" s="2"/>
      <c r="C803" s="14" t="str">
        <f t="shared" si="13"/>
        <v>20231</v>
      </c>
      <c r="D803" s="3">
        <v>44937</v>
      </c>
      <c r="E803" s="21">
        <v>2967.38</v>
      </c>
      <c r="F803" s="21">
        <v>2799.36</v>
      </c>
      <c r="G803" s="21">
        <v>3009.81</v>
      </c>
      <c r="H803" s="21">
        <v>3006.07</v>
      </c>
      <c r="I803" s="21">
        <v>2806.51</v>
      </c>
      <c r="J803" s="21">
        <v>3007.99</v>
      </c>
      <c r="K803" s="21">
        <v>2639.79</v>
      </c>
      <c r="L803" s="21">
        <v>2781.53</v>
      </c>
      <c r="M803" s="21">
        <v>2743.72</v>
      </c>
      <c r="N803" s="21">
        <v>2815.58</v>
      </c>
      <c r="O803" s="21">
        <v>2917.48</v>
      </c>
      <c r="P803" s="21">
        <v>2811.3</v>
      </c>
      <c r="Q803" s="21">
        <v>6871.34</v>
      </c>
      <c r="R803" s="20">
        <v>161.80000000000001</v>
      </c>
      <c r="S803" s="20">
        <v>142.13999999999999</v>
      </c>
      <c r="T803" s="21">
        <v>163.01</v>
      </c>
      <c r="V803" s="1">
        <v>159.16</v>
      </c>
      <c r="W803" s="1">
        <v>165.43</v>
      </c>
      <c r="X803" s="1">
        <v>170.46</v>
      </c>
      <c r="Y803" s="1">
        <v>161.69</v>
      </c>
      <c r="Z803" s="1">
        <v>161.97999999999999</v>
      </c>
      <c r="AA803" s="1">
        <v>163.22</v>
      </c>
      <c r="AB803" s="1">
        <v>170.61</v>
      </c>
      <c r="AC803" s="1">
        <v>160.52000000000001</v>
      </c>
      <c r="AE803" s="1">
        <v>178.49</v>
      </c>
      <c r="AF803" s="1">
        <v>163.1</v>
      </c>
      <c r="AG803" s="1">
        <v>155.91999999999999</v>
      </c>
      <c r="AN803" s="1">
        <v>3549.43</v>
      </c>
      <c r="AW803" s="1">
        <v>3349.47</v>
      </c>
      <c r="BA803" s="1">
        <v>157.53</v>
      </c>
      <c r="BB803" s="1">
        <v>173.27</v>
      </c>
      <c r="BC803" s="1">
        <v>169.79</v>
      </c>
      <c r="BD803" s="1">
        <v>168.22</v>
      </c>
      <c r="BE803" s="1">
        <v>170.15</v>
      </c>
      <c r="BF803" s="1">
        <v>168.8</v>
      </c>
      <c r="BG803" s="1">
        <v>179.38</v>
      </c>
      <c r="BH803" s="1">
        <v>166.43</v>
      </c>
      <c r="BI803" s="1">
        <v>174.06</v>
      </c>
      <c r="BJ803" s="1">
        <v>180.76</v>
      </c>
      <c r="BK803" s="1">
        <v>159.99</v>
      </c>
      <c r="BL803" s="1">
        <v>156.52000000000001</v>
      </c>
      <c r="BN803" s="1">
        <v>155.11000000000001</v>
      </c>
    </row>
    <row r="804" spans="1:66" x14ac:dyDescent="0.3">
      <c r="A804" s="2"/>
      <c r="C804" s="14" t="str">
        <f t="shared" si="13"/>
        <v>20231</v>
      </c>
      <c r="D804" s="3">
        <v>44936</v>
      </c>
      <c r="E804" s="21">
        <v>2975.27</v>
      </c>
      <c r="F804" s="21">
        <v>2802.4</v>
      </c>
      <c r="G804" s="21">
        <v>3009.81</v>
      </c>
      <c r="H804" s="21">
        <v>2986.73</v>
      </c>
      <c r="I804" s="21">
        <v>2791.18</v>
      </c>
      <c r="J804" s="21">
        <v>3007.99</v>
      </c>
      <c r="K804" s="21">
        <v>2704.56</v>
      </c>
      <c r="L804" s="21">
        <v>2811.37</v>
      </c>
      <c r="M804" s="21">
        <v>2783.89</v>
      </c>
      <c r="N804" s="21">
        <v>2840.69</v>
      </c>
      <c r="O804" s="21">
        <v>2909.83</v>
      </c>
      <c r="P804" s="21">
        <v>2788.21</v>
      </c>
      <c r="Q804" s="21">
        <v>7098.36</v>
      </c>
      <c r="R804" s="20">
        <v>160.6</v>
      </c>
      <c r="S804" s="20">
        <v>144.18</v>
      </c>
      <c r="T804" s="21">
        <v>163.38999999999999</v>
      </c>
      <c r="V804" s="1">
        <v>158.82</v>
      </c>
      <c r="W804" s="1">
        <v>166.7</v>
      </c>
      <c r="X804" s="1">
        <v>171.71</v>
      </c>
      <c r="Y804" s="1">
        <v>162.71</v>
      </c>
      <c r="Z804" s="1">
        <v>164.49</v>
      </c>
      <c r="AA804" s="1">
        <v>162.03</v>
      </c>
      <c r="AB804" s="1">
        <v>171.35</v>
      </c>
      <c r="AC804" s="1">
        <v>160.52000000000001</v>
      </c>
      <c r="AE804" s="1">
        <v>180.23</v>
      </c>
      <c r="AF804" s="1">
        <v>165.35</v>
      </c>
      <c r="AG804" s="1">
        <v>153.99</v>
      </c>
      <c r="AN804" s="1">
        <v>3549.43</v>
      </c>
      <c r="AX804" s="1">
        <v>161.12</v>
      </c>
      <c r="AZ804" s="1">
        <v>3640.44</v>
      </c>
      <c r="BA804" s="1">
        <v>158.76</v>
      </c>
      <c r="BB804" s="1">
        <v>174.14</v>
      </c>
      <c r="BC804" s="1">
        <v>170</v>
      </c>
      <c r="BD804" s="1">
        <v>169.73</v>
      </c>
      <c r="BE804" s="1">
        <v>168.82</v>
      </c>
      <c r="BF804" s="1">
        <v>168.48</v>
      </c>
      <c r="BG804" s="1">
        <v>181.62</v>
      </c>
      <c r="BH804" s="1">
        <v>166.43</v>
      </c>
      <c r="BI804" s="1">
        <v>174.06</v>
      </c>
      <c r="BJ804" s="1">
        <v>180.13</v>
      </c>
      <c r="BK804" s="1">
        <v>159.52000000000001</v>
      </c>
      <c r="BL804" s="1">
        <v>156.77000000000001</v>
      </c>
      <c r="BN804" s="1">
        <v>155.11000000000001</v>
      </c>
    </row>
    <row r="805" spans="1:66" x14ac:dyDescent="0.3">
      <c r="A805" s="2"/>
      <c r="C805" s="14" t="str">
        <f t="shared" si="13"/>
        <v>20231</v>
      </c>
      <c r="D805" s="3">
        <v>44935</v>
      </c>
      <c r="E805" s="21">
        <v>3008.32</v>
      </c>
      <c r="F805" s="21">
        <v>2862.55</v>
      </c>
      <c r="G805" s="21">
        <v>3033.54</v>
      </c>
      <c r="H805" s="21">
        <v>2986.73</v>
      </c>
      <c r="I805" s="21">
        <v>2806.51</v>
      </c>
      <c r="J805" s="21">
        <v>2983.44</v>
      </c>
      <c r="K805" s="21">
        <v>2704.56</v>
      </c>
      <c r="L805" s="21">
        <v>2811.37</v>
      </c>
      <c r="M805" s="21">
        <v>2715.45</v>
      </c>
      <c r="N805" s="21">
        <v>2817.46</v>
      </c>
      <c r="O805" s="21">
        <v>2874.79</v>
      </c>
      <c r="P805" s="21">
        <v>2788.21</v>
      </c>
      <c r="Q805" s="21">
        <v>7181.67</v>
      </c>
      <c r="R805" s="20">
        <v>163</v>
      </c>
      <c r="S805" s="20">
        <v>143.69</v>
      </c>
      <c r="T805" s="21">
        <v>162.63999999999999</v>
      </c>
      <c r="V805" s="1">
        <v>159.47</v>
      </c>
      <c r="W805" s="1">
        <v>167.72</v>
      </c>
      <c r="X805" s="1">
        <v>172.21</v>
      </c>
      <c r="Y805" s="1">
        <v>163.62</v>
      </c>
      <c r="Z805" s="1">
        <v>164.48</v>
      </c>
      <c r="AA805" s="1">
        <v>163.94</v>
      </c>
      <c r="AB805" s="1">
        <v>171.78</v>
      </c>
      <c r="AC805" s="1">
        <v>160.52000000000001</v>
      </c>
      <c r="AE805" s="1">
        <v>180.15</v>
      </c>
      <c r="AF805" s="1">
        <v>164.87</v>
      </c>
      <c r="AG805" s="1">
        <v>152.18</v>
      </c>
      <c r="AZ805" s="1">
        <v>3640.44</v>
      </c>
      <c r="BA805" s="1">
        <v>158.28</v>
      </c>
      <c r="BB805" s="1">
        <v>175.7</v>
      </c>
      <c r="BC805" s="1">
        <v>171.83</v>
      </c>
      <c r="BD805" s="1">
        <v>169.68</v>
      </c>
      <c r="BE805" s="1">
        <v>171.41</v>
      </c>
      <c r="BF805" s="1">
        <v>169.49</v>
      </c>
      <c r="BG805" s="1">
        <v>181.84</v>
      </c>
      <c r="BH805" s="1">
        <v>166.07</v>
      </c>
      <c r="BI805" s="1">
        <v>174.06</v>
      </c>
      <c r="BJ805" s="1">
        <v>180.11</v>
      </c>
      <c r="BK805" s="1">
        <v>160.84</v>
      </c>
      <c r="BL805" s="1">
        <v>158.26</v>
      </c>
      <c r="BN805" s="1">
        <v>157.75</v>
      </c>
    </row>
    <row r="806" spans="1:66" x14ac:dyDescent="0.3">
      <c r="A806" s="2"/>
      <c r="C806" s="14" t="str">
        <f t="shared" si="13"/>
        <v>20231</v>
      </c>
      <c r="D806" s="3">
        <v>44932</v>
      </c>
      <c r="E806" s="21">
        <v>3004.98</v>
      </c>
      <c r="F806" s="21">
        <v>2872.44</v>
      </c>
      <c r="G806" s="21">
        <v>3043.49</v>
      </c>
      <c r="H806" s="21">
        <v>3007.73</v>
      </c>
      <c r="I806" s="21">
        <v>2806.51</v>
      </c>
      <c r="J806" s="21">
        <v>2978.77</v>
      </c>
      <c r="K806" s="21">
        <v>2704.56</v>
      </c>
      <c r="L806" s="21">
        <v>2798.36</v>
      </c>
      <c r="M806" s="21">
        <v>2783.89</v>
      </c>
      <c r="N806" s="21">
        <v>2812.46</v>
      </c>
      <c r="O806" s="21">
        <v>2869.37</v>
      </c>
      <c r="P806" s="21">
        <v>2788.21</v>
      </c>
      <c r="Q806" s="21">
        <v>7269.8</v>
      </c>
      <c r="R806" s="20">
        <v>165.2</v>
      </c>
      <c r="S806" s="20">
        <v>144.32</v>
      </c>
      <c r="T806" s="21">
        <v>163.63999999999999</v>
      </c>
      <c r="V806" s="1">
        <v>158.27000000000001</v>
      </c>
      <c r="W806" s="1">
        <v>168.07</v>
      </c>
      <c r="X806" s="1">
        <v>171.71</v>
      </c>
      <c r="Y806" s="1">
        <v>166.51</v>
      </c>
      <c r="Z806" s="1">
        <v>165.18</v>
      </c>
      <c r="AA806" s="1">
        <v>164.09</v>
      </c>
      <c r="AB806" s="1">
        <v>170.92</v>
      </c>
      <c r="AE806" s="1">
        <v>179.82</v>
      </c>
      <c r="AF806" s="1">
        <v>165.72</v>
      </c>
      <c r="AG806" s="1">
        <v>154.65</v>
      </c>
      <c r="AZ806" s="1">
        <v>3640.44</v>
      </c>
      <c r="BA806" s="1">
        <v>155.61000000000001</v>
      </c>
      <c r="BB806" s="1">
        <v>176.69</v>
      </c>
      <c r="BC806" s="1">
        <v>173.19</v>
      </c>
      <c r="BD806" s="1">
        <v>170.54</v>
      </c>
      <c r="BE806" s="1">
        <v>172.86</v>
      </c>
      <c r="BF806" s="1">
        <v>170.82</v>
      </c>
      <c r="BG806" s="1">
        <v>182.44</v>
      </c>
      <c r="BH806" s="1">
        <v>167.27</v>
      </c>
      <c r="BI806" s="1">
        <v>175.06</v>
      </c>
      <c r="BJ806" s="1">
        <v>182.29</v>
      </c>
      <c r="BK806" s="1">
        <v>157.97</v>
      </c>
      <c r="BL806" s="1">
        <v>160.26</v>
      </c>
      <c r="BN806" s="1">
        <v>158.75</v>
      </c>
    </row>
    <row r="807" spans="1:66" x14ac:dyDescent="0.3">
      <c r="A807" s="2"/>
      <c r="C807" s="14" t="str">
        <f t="shared" si="13"/>
        <v>20231</v>
      </c>
      <c r="D807" s="3">
        <v>44931</v>
      </c>
      <c r="E807" s="21">
        <v>3001.75</v>
      </c>
      <c r="F807" s="21">
        <v>2865.85</v>
      </c>
      <c r="G807" s="21">
        <v>3033.6</v>
      </c>
      <c r="H807" s="21">
        <v>2999.35</v>
      </c>
      <c r="I807" s="21">
        <v>2806.51</v>
      </c>
      <c r="J807" s="21">
        <v>2959.04</v>
      </c>
      <c r="K807" s="21">
        <v>2704.56</v>
      </c>
      <c r="L807" s="21">
        <v>2844.68</v>
      </c>
      <c r="M807" s="21">
        <v>2783.89</v>
      </c>
      <c r="N807" s="21">
        <v>2814.67</v>
      </c>
      <c r="O807" s="21">
        <v>2958.86</v>
      </c>
      <c r="P807" s="21">
        <v>2778.66</v>
      </c>
      <c r="Q807" s="21">
        <v>7302.07</v>
      </c>
      <c r="R807" s="20">
        <v>165.85</v>
      </c>
      <c r="S807" s="20">
        <v>147.19</v>
      </c>
      <c r="T807" s="21">
        <v>168.49</v>
      </c>
      <c r="V807" s="1">
        <v>161.44</v>
      </c>
      <c r="W807" s="1">
        <v>170.92</v>
      </c>
      <c r="X807" s="1">
        <v>172.59</v>
      </c>
      <c r="Y807" s="1">
        <v>168.5</v>
      </c>
      <c r="Z807" s="1">
        <v>168.38</v>
      </c>
      <c r="AA807" s="1">
        <v>166.33</v>
      </c>
      <c r="AB807" s="1">
        <v>171.92</v>
      </c>
      <c r="AE807" s="1">
        <v>181.47</v>
      </c>
      <c r="AF807" s="1">
        <v>169.4</v>
      </c>
      <c r="AG807" s="1">
        <v>155.55000000000001</v>
      </c>
      <c r="AX807" s="1">
        <v>158.84</v>
      </c>
      <c r="AZ807" s="1">
        <v>3640.44</v>
      </c>
      <c r="BA807" s="1">
        <v>158.08000000000001</v>
      </c>
      <c r="BB807" s="1">
        <v>178.45</v>
      </c>
      <c r="BC807" s="1">
        <v>174.52</v>
      </c>
      <c r="BD807" s="1">
        <v>173.79</v>
      </c>
      <c r="BE807" s="1">
        <v>171.17</v>
      </c>
      <c r="BF807" s="1">
        <v>168.81</v>
      </c>
      <c r="BG807" s="1">
        <v>182.42</v>
      </c>
      <c r="BH807" s="1">
        <v>167.67</v>
      </c>
      <c r="BI807" s="1">
        <v>175.06</v>
      </c>
      <c r="BJ807" s="1">
        <v>182.27</v>
      </c>
      <c r="BK807" s="1">
        <v>161</v>
      </c>
      <c r="BL807" s="1">
        <v>162.25</v>
      </c>
      <c r="BN807" s="1">
        <v>161.07</v>
      </c>
    </row>
    <row r="808" spans="1:66" x14ac:dyDescent="0.3">
      <c r="A808" s="2"/>
      <c r="C808" s="14" t="str">
        <f t="shared" si="13"/>
        <v>20231</v>
      </c>
      <c r="D808" s="3">
        <v>44930</v>
      </c>
      <c r="E808" s="21">
        <v>3008.42</v>
      </c>
      <c r="F808" s="21">
        <v>2865.85</v>
      </c>
      <c r="G808" s="21">
        <v>3033.6</v>
      </c>
      <c r="H808" s="21">
        <v>2832.39</v>
      </c>
      <c r="I808" s="21">
        <v>2806.51</v>
      </c>
      <c r="J808" s="21">
        <v>2923.02</v>
      </c>
      <c r="K808" s="21">
        <v>2704.56</v>
      </c>
      <c r="L808" s="21">
        <v>2844.68</v>
      </c>
      <c r="M808" s="21">
        <v>2753.67</v>
      </c>
      <c r="N808" s="21">
        <v>2807.69</v>
      </c>
      <c r="O808" s="21">
        <v>2932.22</v>
      </c>
      <c r="P808" s="21">
        <v>2778.66</v>
      </c>
      <c r="Q808" s="21">
        <v>7268.62</v>
      </c>
      <c r="R808" s="20">
        <v>167.1</v>
      </c>
      <c r="S808" s="20">
        <v>149.13999999999999</v>
      </c>
      <c r="T808" s="21">
        <v>169.71</v>
      </c>
      <c r="V808" s="1">
        <v>161.44</v>
      </c>
      <c r="W808" s="1">
        <v>171.77</v>
      </c>
      <c r="X808" s="1">
        <v>172.09</v>
      </c>
      <c r="Y808" s="1">
        <v>169.58</v>
      </c>
      <c r="Z808" s="1">
        <v>168.94</v>
      </c>
      <c r="AA808" s="1">
        <v>168.15</v>
      </c>
      <c r="AB808" s="1">
        <v>171.92</v>
      </c>
      <c r="AE808" s="1">
        <v>181.69</v>
      </c>
      <c r="AF808" s="1">
        <v>169.91</v>
      </c>
      <c r="AG808" s="1">
        <v>159.01</v>
      </c>
      <c r="AZ808" s="1">
        <v>3640.44</v>
      </c>
      <c r="BA808" s="1">
        <v>158.47999999999999</v>
      </c>
      <c r="BB808" s="1">
        <v>180.39</v>
      </c>
      <c r="BC808" s="1">
        <v>174.17</v>
      </c>
      <c r="BD808" s="1">
        <v>175.6</v>
      </c>
      <c r="BE808" s="1">
        <v>170.73</v>
      </c>
      <c r="BF808" s="1">
        <v>168.79</v>
      </c>
      <c r="BG808" s="1">
        <v>182.12</v>
      </c>
      <c r="BH808" s="1">
        <v>167.48</v>
      </c>
      <c r="BI808" s="1">
        <v>175.06</v>
      </c>
      <c r="BJ808" s="1">
        <v>182.25</v>
      </c>
      <c r="BK808" s="1">
        <v>161</v>
      </c>
      <c r="BL808" s="1">
        <v>162.5</v>
      </c>
      <c r="BN808" s="1">
        <v>161.07</v>
      </c>
    </row>
    <row r="809" spans="1:66" x14ac:dyDescent="0.3">
      <c r="A809" s="2"/>
      <c r="C809" s="14" t="str">
        <f t="shared" si="13"/>
        <v>20231</v>
      </c>
      <c r="D809" s="3">
        <v>44929</v>
      </c>
      <c r="E809" s="21">
        <v>2986.84</v>
      </c>
      <c r="F809" s="21">
        <v>2826.85</v>
      </c>
      <c r="G809" s="21">
        <v>3003.77</v>
      </c>
      <c r="H809" s="21">
        <v>2816.73</v>
      </c>
      <c r="I809" s="21">
        <v>2806.51</v>
      </c>
      <c r="J809" s="21">
        <v>2923.02</v>
      </c>
      <c r="K809" s="21">
        <v>2696.26</v>
      </c>
      <c r="L809" s="21">
        <v>2899.69</v>
      </c>
      <c r="M809" s="21">
        <v>2753.67</v>
      </c>
      <c r="N809" s="21">
        <v>2753.6</v>
      </c>
      <c r="O809" s="21"/>
      <c r="P809" s="21">
        <v>2778.66</v>
      </c>
      <c r="Q809" s="21">
        <v>7347.8</v>
      </c>
      <c r="R809" s="20">
        <v>167.1</v>
      </c>
      <c r="S809" s="20">
        <v>149.12</v>
      </c>
      <c r="T809" s="21">
        <v>165.5</v>
      </c>
      <c r="V809" s="1">
        <v>158.88999999999999</v>
      </c>
      <c r="W809" s="1">
        <v>167.39</v>
      </c>
      <c r="X809" s="1">
        <v>172.71</v>
      </c>
      <c r="Y809" s="1">
        <v>167.83</v>
      </c>
      <c r="Z809" s="1">
        <v>164.98</v>
      </c>
      <c r="AA809" s="1">
        <v>168.15</v>
      </c>
      <c r="AB809" s="1">
        <v>172.23</v>
      </c>
      <c r="AE809" s="1">
        <v>180.73</v>
      </c>
      <c r="AF809" s="1">
        <v>170.08</v>
      </c>
      <c r="AG809" s="1">
        <v>159.46</v>
      </c>
      <c r="AU809" s="1">
        <v>3185.38</v>
      </c>
      <c r="BA809" s="1">
        <v>159.66999999999999</v>
      </c>
      <c r="BB809" s="1">
        <v>180.49</v>
      </c>
      <c r="BC809" s="1">
        <v>173.72</v>
      </c>
      <c r="BD809" s="1">
        <v>175.59</v>
      </c>
      <c r="BE809" s="1">
        <v>170.69</v>
      </c>
      <c r="BF809" s="1">
        <v>167.62</v>
      </c>
      <c r="BG809" s="1">
        <v>181.07</v>
      </c>
      <c r="BH809" s="1">
        <v>163.83000000000001</v>
      </c>
      <c r="BI809" s="1">
        <v>175.06</v>
      </c>
      <c r="BJ809" s="1">
        <v>181.47</v>
      </c>
      <c r="BK809" s="1">
        <v>160.35</v>
      </c>
      <c r="BL809" s="1">
        <v>160.4</v>
      </c>
      <c r="BN809" s="1">
        <v>160.51</v>
      </c>
    </row>
    <row r="810" spans="1:66" x14ac:dyDescent="0.3">
      <c r="A810" s="2"/>
      <c r="C810" s="14" t="str">
        <f t="shared" si="13"/>
        <v>20231</v>
      </c>
      <c r="D810" s="3">
        <v>44928</v>
      </c>
      <c r="E810" s="21">
        <v>3010.16</v>
      </c>
      <c r="F810" s="21">
        <v>2818.38</v>
      </c>
      <c r="G810" s="21">
        <v>2993.88</v>
      </c>
      <c r="H810" s="21">
        <v>2815.08</v>
      </c>
      <c r="I810" s="21">
        <v>2814.42</v>
      </c>
      <c r="J810" s="21">
        <v>2925.23</v>
      </c>
      <c r="K810" s="21">
        <v>2679.68</v>
      </c>
      <c r="L810" s="21">
        <v>2911.78</v>
      </c>
      <c r="M810" s="21">
        <v>2557.15</v>
      </c>
      <c r="N810" s="21">
        <v>2699.3</v>
      </c>
      <c r="O810" s="21"/>
      <c r="P810" s="21">
        <v>2731.34</v>
      </c>
      <c r="Q810" s="21">
        <v>7389.39</v>
      </c>
      <c r="R810" s="20">
        <v>169.36</v>
      </c>
      <c r="S810" s="20">
        <v>147.52000000000001</v>
      </c>
      <c r="T810" s="21">
        <v>164.51</v>
      </c>
      <c r="V810" s="1">
        <v>157.69</v>
      </c>
      <c r="W810" s="1">
        <v>167.51</v>
      </c>
      <c r="X810" s="1">
        <v>172</v>
      </c>
      <c r="Y810" s="1">
        <v>167.02</v>
      </c>
      <c r="Z810" s="1">
        <v>164.73</v>
      </c>
      <c r="AA810" s="1">
        <v>167.15</v>
      </c>
      <c r="AB810" s="1">
        <v>171.82</v>
      </c>
      <c r="AE810" s="1">
        <v>180.69</v>
      </c>
      <c r="AF810" s="1">
        <v>165.17</v>
      </c>
      <c r="AG810" s="1">
        <v>162.19999999999999</v>
      </c>
      <c r="AU810" s="1">
        <v>3185.38</v>
      </c>
      <c r="BB810" s="1">
        <v>177.39</v>
      </c>
      <c r="BC810" s="1">
        <v>174.52</v>
      </c>
      <c r="BD810" s="1">
        <v>173.97</v>
      </c>
      <c r="BE810" s="1">
        <v>173.98</v>
      </c>
      <c r="BF810" s="1">
        <v>179.26</v>
      </c>
      <c r="BG810" s="1">
        <v>180.78</v>
      </c>
      <c r="BH810" s="1">
        <v>164.11</v>
      </c>
      <c r="BI810" s="1">
        <v>174.06</v>
      </c>
      <c r="BJ810" s="1">
        <v>180.73</v>
      </c>
      <c r="BK810" s="1">
        <v>162.56</v>
      </c>
      <c r="BL810" s="1">
        <v>159.26</v>
      </c>
      <c r="BN810" s="1">
        <v>160.01</v>
      </c>
    </row>
    <row r="811" spans="1:66" x14ac:dyDescent="0.3">
      <c r="A811" s="2"/>
      <c r="C811" s="14" t="str">
        <f t="shared" si="13"/>
        <v>202212</v>
      </c>
      <c r="D811" s="3">
        <v>44924</v>
      </c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>
        <v>7389.39</v>
      </c>
      <c r="R811" s="20">
        <v>169.36</v>
      </c>
      <c r="S811" s="20">
        <v>147.52000000000001</v>
      </c>
      <c r="T811" s="21">
        <v>164.7</v>
      </c>
      <c r="V811" s="1">
        <v>157.69</v>
      </c>
      <c r="W811" s="1">
        <v>168.15</v>
      </c>
      <c r="X811" s="1">
        <v>171.77</v>
      </c>
      <c r="Y811" s="1">
        <v>164.88</v>
      </c>
      <c r="Z811" s="1">
        <v>163.98</v>
      </c>
      <c r="AA811" s="1">
        <v>167.15</v>
      </c>
      <c r="AB811" s="1">
        <v>171.16</v>
      </c>
      <c r="AE811" s="1">
        <v>179.6</v>
      </c>
      <c r="AF811" s="1">
        <v>168.33</v>
      </c>
      <c r="AG811" s="1">
        <v>162.19999999999999</v>
      </c>
      <c r="AU811" s="1">
        <v>3185.38</v>
      </c>
      <c r="BB811" s="1">
        <v>177.21</v>
      </c>
      <c r="BC811" s="1">
        <v>174.18</v>
      </c>
      <c r="BD811" s="1">
        <v>174.26</v>
      </c>
      <c r="BE811" s="1">
        <v>173.86</v>
      </c>
      <c r="BF811" s="1">
        <v>173.14</v>
      </c>
      <c r="BG811" s="1">
        <v>180.34</v>
      </c>
      <c r="BH811" s="1">
        <v>164.11</v>
      </c>
      <c r="BI811" s="1">
        <v>174.06</v>
      </c>
      <c r="BJ811" s="1">
        <v>180.66</v>
      </c>
      <c r="BK811" s="1">
        <v>162.31</v>
      </c>
      <c r="BL811" s="1">
        <v>158.76</v>
      </c>
      <c r="BN811" s="1">
        <v>159.52000000000001</v>
      </c>
    </row>
    <row r="812" spans="1:66" x14ac:dyDescent="0.3">
      <c r="A812" s="2"/>
      <c r="C812" s="14" t="str">
        <f t="shared" si="13"/>
        <v>202212</v>
      </c>
      <c r="D812" s="3">
        <v>44923</v>
      </c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>
        <v>7389.39</v>
      </c>
      <c r="R812" s="20">
        <v>169.36</v>
      </c>
      <c r="S812" s="20">
        <v>147.19</v>
      </c>
      <c r="T812" s="21">
        <v>164.12</v>
      </c>
      <c r="V812" s="1">
        <v>157.69</v>
      </c>
      <c r="W812" s="1">
        <v>167.51</v>
      </c>
      <c r="X812" s="1">
        <v>171.11</v>
      </c>
      <c r="Y812" s="1">
        <v>165.12</v>
      </c>
      <c r="Z812" s="1">
        <v>163.69999999999999</v>
      </c>
      <c r="AA812" s="1">
        <v>167.15</v>
      </c>
      <c r="AB812" s="1">
        <v>171.49</v>
      </c>
      <c r="AE812" s="1">
        <v>179.62</v>
      </c>
      <c r="AF812" s="1">
        <v>165.85</v>
      </c>
      <c r="AG812" s="1">
        <v>162.19999999999999</v>
      </c>
      <c r="AU812" s="1">
        <v>3185.38</v>
      </c>
      <c r="BB812" s="1">
        <v>179.15</v>
      </c>
      <c r="BC812" s="1">
        <v>173.87</v>
      </c>
      <c r="BD812" s="1">
        <v>173.67</v>
      </c>
      <c r="BE812" s="1">
        <v>173.83</v>
      </c>
      <c r="BF812" s="1">
        <v>173.11</v>
      </c>
      <c r="BG812" s="1">
        <v>180.56</v>
      </c>
      <c r="BH812" s="1">
        <v>164.11</v>
      </c>
      <c r="BI812" s="1">
        <v>173.46</v>
      </c>
      <c r="BJ812" s="1">
        <v>180.64</v>
      </c>
      <c r="BK812" s="1">
        <v>162.07</v>
      </c>
      <c r="BL812" s="1">
        <v>158.26</v>
      </c>
      <c r="BN812" s="1">
        <v>159.02000000000001</v>
      </c>
    </row>
    <row r="813" spans="1:66" x14ac:dyDescent="0.3">
      <c r="A813" s="2"/>
      <c r="C813" s="14" t="str">
        <f t="shared" si="13"/>
        <v>202212</v>
      </c>
      <c r="D813" s="3">
        <v>44922</v>
      </c>
      <c r="E813" s="21">
        <v>2926.82</v>
      </c>
      <c r="F813" s="21">
        <v>2806.97</v>
      </c>
      <c r="G813" s="21">
        <v>2954.32</v>
      </c>
      <c r="H813" s="21">
        <v>2788.52</v>
      </c>
      <c r="I813" s="21">
        <v>2808.49</v>
      </c>
      <c r="J813" s="21">
        <v>2926.72</v>
      </c>
      <c r="K813" s="21">
        <v>2679.68</v>
      </c>
      <c r="L813" s="21">
        <v>2862.09</v>
      </c>
      <c r="M813" s="21">
        <v>2562.64</v>
      </c>
      <c r="N813" s="21">
        <v>2689.84</v>
      </c>
      <c r="O813" s="21"/>
      <c r="P813" s="21">
        <v>2718.86</v>
      </c>
      <c r="Q813" s="21">
        <v>7389.39</v>
      </c>
      <c r="R813" s="20">
        <v>169.36</v>
      </c>
      <c r="S813" s="20">
        <v>147.19</v>
      </c>
      <c r="T813" s="21">
        <v>164.12</v>
      </c>
      <c r="V813" s="1">
        <v>157.44</v>
      </c>
      <c r="W813" s="1">
        <v>165.82</v>
      </c>
      <c r="X813" s="1">
        <v>170.44</v>
      </c>
      <c r="Y813" s="1">
        <v>164.58</v>
      </c>
      <c r="Z813" s="1">
        <v>163.27000000000001</v>
      </c>
      <c r="AA813" s="1">
        <v>167.15</v>
      </c>
      <c r="AB813" s="1">
        <v>170.15</v>
      </c>
      <c r="AE813" s="1">
        <v>179.12</v>
      </c>
      <c r="AF813" s="1">
        <v>168.25</v>
      </c>
      <c r="AG813" s="1">
        <v>162.19999999999999</v>
      </c>
      <c r="BB813" s="1">
        <v>179.43</v>
      </c>
      <c r="BC813" s="1">
        <v>175.16</v>
      </c>
      <c r="BD813" s="1">
        <v>172.88</v>
      </c>
      <c r="BE813" s="1">
        <v>181.77</v>
      </c>
      <c r="BF813" s="1">
        <v>182.23</v>
      </c>
      <c r="BG813" s="1">
        <v>180.56</v>
      </c>
      <c r="BI813" s="1">
        <v>172.86</v>
      </c>
      <c r="BJ813" s="1">
        <v>179.85</v>
      </c>
      <c r="BK813" s="1">
        <v>157.82</v>
      </c>
      <c r="BL813" s="1">
        <v>159.18</v>
      </c>
      <c r="BN813" s="1">
        <v>157.76</v>
      </c>
    </row>
    <row r="814" spans="1:66" x14ac:dyDescent="0.3">
      <c r="A814" s="2"/>
      <c r="C814" s="14" t="str">
        <f t="shared" si="13"/>
        <v>202212</v>
      </c>
      <c r="D814" s="3">
        <v>44921</v>
      </c>
      <c r="E814" s="21">
        <v>2895.01</v>
      </c>
      <c r="F814" s="21">
        <v>2812.73</v>
      </c>
      <c r="G814" s="21">
        <v>2974.21</v>
      </c>
      <c r="H814" s="21">
        <v>2874.58</v>
      </c>
      <c r="I814" s="21">
        <v>2808.49</v>
      </c>
      <c r="J814" s="21">
        <v>2926.72</v>
      </c>
      <c r="K814" s="21">
        <v>2679.68</v>
      </c>
      <c r="L814" s="21">
        <v>2862.09</v>
      </c>
      <c r="M814" s="21">
        <v>2568.91</v>
      </c>
      <c r="N814" s="21">
        <v>2699.83</v>
      </c>
      <c r="O814" s="21"/>
      <c r="P814" s="21">
        <v>2718.86</v>
      </c>
      <c r="Q814" s="21">
        <v>7348.19</v>
      </c>
      <c r="R814" s="20">
        <v>167.86</v>
      </c>
      <c r="S814" s="20">
        <v>147.19</v>
      </c>
      <c r="T814" s="21">
        <v>163.87</v>
      </c>
      <c r="V814" s="1">
        <v>155.44</v>
      </c>
      <c r="W814" s="1">
        <v>166.81</v>
      </c>
      <c r="X814" s="1">
        <v>170.44</v>
      </c>
      <c r="Y814" s="1">
        <v>163.69</v>
      </c>
      <c r="Z814" s="1">
        <v>162.41</v>
      </c>
      <c r="AA814" s="1">
        <v>165.73</v>
      </c>
      <c r="AB814" s="1">
        <v>170.25</v>
      </c>
      <c r="AE814" s="1">
        <v>179.24</v>
      </c>
      <c r="AF814" s="1">
        <v>161.49</v>
      </c>
      <c r="AG814" s="1">
        <v>162.19999999999999</v>
      </c>
      <c r="AI814" s="1">
        <v>7</v>
      </c>
      <c r="AN814" s="1">
        <v>3637.82</v>
      </c>
      <c r="BA814" s="1">
        <v>168.22</v>
      </c>
      <c r="BB814" s="1">
        <v>177.15</v>
      </c>
      <c r="BC814" s="1">
        <v>172.94</v>
      </c>
      <c r="BD814" s="1">
        <v>169.78</v>
      </c>
      <c r="BE814" s="1">
        <v>177.6</v>
      </c>
      <c r="BF814" s="1">
        <v>182.05</v>
      </c>
      <c r="BG814" s="1">
        <v>180.22</v>
      </c>
      <c r="BI814" s="1">
        <v>173.6</v>
      </c>
      <c r="BJ814" s="1">
        <v>179.13</v>
      </c>
      <c r="BK814" s="1">
        <v>157.16</v>
      </c>
      <c r="BL814" s="1">
        <v>158.52000000000001</v>
      </c>
      <c r="BN814" s="1">
        <v>156.44</v>
      </c>
    </row>
    <row r="815" spans="1:66" x14ac:dyDescent="0.3">
      <c r="A815" s="2"/>
      <c r="C815" s="14" t="str">
        <f t="shared" si="13"/>
        <v>202212</v>
      </c>
      <c r="D815" s="3">
        <v>44918</v>
      </c>
      <c r="E815" s="21">
        <v>2874.42</v>
      </c>
      <c r="F815" s="21">
        <v>2812.73</v>
      </c>
      <c r="G815" s="21">
        <v>2922.21</v>
      </c>
      <c r="H815" s="21">
        <v>2871.24</v>
      </c>
      <c r="I815" s="21">
        <v>2798.6</v>
      </c>
      <c r="J815" s="21">
        <v>2922.9</v>
      </c>
      <c r="K815" s="21">
        <v>2679.68</v>
      </c>
      <c r="L815" s="21">
        <v>2857.12</v>
      </c>
      <c r="M815" s="21">
        <v>2581.4499999999998</v>
      </c>
      <c r="N815" s="21">
        <v>2691.49</v>
      </c>
      <c r="O815" s="21"/>
      <c r="P815" s="21">
        <v>2718.86</v>
      </c>
      <c r="Q815" s="21">
        <v>7356.52</v>
      </c>
      <c r="R815" s="20">
        <v>167.86</v>
      </c>
      <c r="S815" s="20">
        <v>147.19</v>
      </c>
      <c r="T815" s="21">
        <v>163.87</v>
      </c>
      <c r="V815" s="1">
        <v>155.44</v>
      </c>
      <c r="W815" s="1">
        <v>166.81</v>
      </c>
      <c r="X815" s="1">
        <v>170.44</v>
      </c>
      <c r="Y815" s="1">
        <v>164.15</v>
      </c>
      <c r="Z815" s="1">
        <v>162.41</v>
      </c>
      <c r="AA815" s="1">
        <v>165.73</v>
      </c>
      <c r="AB815" s="1">
        <v>170.25</v>
      </c>
      <c r="AE815" s="1">
        <v>179.14</v>
      </c>
      <c r="AF815" s="1">
        <v>163.51</v>
      </c>
      <c r="AG815" s="1">
        <v>162.19999999999999</v>
      </c>
      <c r="AI815" s="1">
        <v>7</v>
      </c>
      <c r="AN815" s="1">
        <v>3637.82</v>
      </c>
      <c r="AW815" s="1">
        <v>3262.64</v>
      </c>
      <c r="BB815" s="1">
        <v>176.62</v>
      </c>
      <c r="BC815" s="1">
        <v>174.13</v>
      </c>
      <c r="BD815" s="1">
        <v>169.06</v>
      </c>
      <c r="BE815" s="1">
        <v>175.71</v>
      </c>
      <c r="BF815" s="1">
        <v>181.51</v>
      </c>
      <c r="BG815" s="1">
        <v>180.7</v>
      </c>
      <c r="BH815" s="1">
        <v>162.78</v>
      </c>
      <c r="BI815" s="1">
        <v>174.06</v>
      </c>
      <c r="BJ815" s="1">
        <v>179.08</v>
      </c>
      <c r="BK815" s="1">
        <v>157.16</v>
      </c>
      <c r="BL815" s="1">
        <v>158.52000000000001</v>
      </c>
      <c r="BN815" s="1">
        <v>156.44</v>
      </c>
    </row>
    <row r="816" spans="1:66" x14ac:dyDescent="0.3">
      <c r="A816" s="2"/>
      <c r="C816" s="14" t="str">
        <f t="shared" si="13"/>
        <v>202212</v>
      </c>
      <c r="D816" s="3">
        <v>44917</v>
      </c>
      <c r="E816" s="21">
        <v>2889.08</v>
      </c>
      <c r="F816" s="21">
        <v>2836.18</v>
      </c>
      <c r="G816" s="21">
        <v>2946.94</v>
      </c>
      <c r="H816" s="21">
        <v>2891.24</v>
      </c>
      <c r="I816" s="21">
        <v>2798.6</v>
      </c>
      <c r="J816" s="21">
        <v>2911.01</v>
      </c>
      <c r="K816" s="21">
        <v>2679.68</v>
      </c>
      <c r="L816" s="21">
        <v>2859.6</v>
      </c>
      <c r="M816" s="21">
        <v>2606.5300000000002</v>
      </c>
      <c r="N816" s="21">
        <v>2666.19</v>
      </c>
      <c r="O816" s="21"/>
      <c r="P816" s="21">
        <v>2718.86</v>
      </c>
      <c r="Q816" s="21">
        <v>7356.52</v>
      </c>
      <c r="R816" s="20">
        <v>168.86</v>
      </c>
      <c r="S816" s="20">
        <v>147.16999999999999</v>
      </c>
      <c r="T816" s="21">
        <v>164.61</v>
      </c>
      <c r="V816" s="1">
        <v>157.69</v>
      </c>
      <c r="W816" s="1">
        <v>167.04</v>
      </c>
      <c r="X816" s="1">
        <v>170.61</v>
      </c>
      <c r="Y816" s="1">
        <v>163.97</v>
      </c>
      <c r="Z816" s="1">
        <v>163.47999999999999</v>
      </c>
      <c r="AA816" s="1">
        <v>166.58</v>
      </c>
      <c r="AB816" s="1">
        <v>170.35</v>
      </c>
      <c r="AE816" s="1">
        <v>179.84</v>
      </c>
      <c r="AF816" s="1">
        <v>162.86000000000001</v>
      </c>
      <c r="AG816" s="1">
        <v>162.19999999999999</v>
      </c>
      <c r="AI816" s="1">
        <v>7</v>
      </c>
      <c r="AN816" s="1">
        <v>3637.82</v>
      </c>
      <c r="AW816" s="1">
        <v>3262.64</v>
      </c>
      <c r="BB816" s="1">
        <v>176.94</v>
      </c>
      <c r="BC816" s="1">
        <v>175.24</v>
      </c>
      <c r="BD816" s="1">
        <v>171.28</v>
      </c>
      <c r="BE816" s="1">
        <v>175.71</v>
      </c>
      <c r="BF816" s="1">
        <v>179.88</v>
      </c>
      <c r="BG816" s="1">
        <v>180.68</v>
      </c>
      <c r="BH816" s="1">
        <v>163.44</v>
      </c>
      <c r="BI816" s="1">
        <v>174.06</v>
      </c>
      <c r="BJ816" s="1">
        <v>179.06</v>
      </c>
      <c r="BK816" s="1">
        <v>157.93</v>
      </c>
      <c r="BL816" s="1">
        <v>158.52000000000001</v>
      </c>
      <c r="BN816" s="1">
        <v>156.44</v>
      </c>
    </row>
    <row r="817" spans="1:66" x14ac:dyDescent="0.3">
      <c r="A817" s="2"/>
      <c r="C817" s="14" t="str">
        <f t="shared" si="13"/>
        <v>202212</v>
      </c>
      <c r="D817" s="3">
        <v>44916</v>
      </c>
      <c r="E817" s="21">
        <v>2899.02</v>
      </c>
      <c r="F817" s="21">
        <v>2836.18</v>
      </c>
      <c r="G817" s="21">
        <v>2946.94</v>
      </c>
      <c r="H817" s="21">
        <v>2850</v>
      </c>
      <c r="I817" s="21">
        <v>2778.82</v>
      </c>
      <c r="J817" s="21">
        <v>2900.03</v>
      </c>
      <c r="K817" s="21">
        <v>2729.44</v>
      </c>
      <c r="L817" s="21">
        <v>2862.08</v>
      </c>
      <c r="M817" s="21">
        <v>2656.69</v>
      </c>
      <c r="N817" s="21">
        <v>2673.88</v>
      </c>
      <c r="O817" s="21"/>
      <c r="P817" s="21">
        <v>2793.54</v>
      </c>
      <c r="Q817" s="21">
        <v>7276.52</v>
      </c>
      <c r="R817" s="20">
        <v>169.85</v>
      </c>
      <c r="S817" s="20">
        <v>147.15</v>
      </c>
      <c r="T817" s="21">
        <v>165.65</v>
      </c>
      <c r="V817" s="1">
        <v>157.94</v>
      </c>
      <c r="W817" s="1">
        <v>168.56</v>
      </c>
      <c r="X817" s="1">
        <v>171.06</v>
      </c>
      <c r="Y817" s="1">
        <v>164.9</v>
      </c>
      <c r="Z817" s="1">
        <v>164.98</v>
      </c>
      <c r="AA817" s="1">
        <v>167.87</v>
      </c>
      <c r="AB817" s="1">
        <v>171.15</v>
      </c>
      <c r="AE817" s="1">
        <v>180.05</v>
      </c>
      <c r="AF817" s="1">
        <v>163.35</v>
      </c>
      <c r="AG817" s="1">
        <v>162.19999999999999</v>
      </c>
      <c r="AI817" s="1">
        <v>7</v>
      </c>
      <c r="AN817" s="1">
        <v>3637.82</v>
      </c>
      <c r="AW817" s="1">
        <v>3262.64</v>
      </c>
      <c r="BB817" s="1">
        <v>178.9</v>
      </c>
      <c r="BC817" s="1">
        <v>175.96</v>
      </c>
      <c r="BD817" s="1">
        <v>170.88</v>
      </c>
      <c r="BE817" s="1">
        <v>176.7</v>
      </c>
      <c r="BF817" s="1">
        <v>175</v>
      </c>
      <c r="BG817" s="1">
        <v>181.07</v>
      </c>
      <c r="BH817" s="1">
        <v>163.44</v>
      </c>
      <c r="BI817" s="1">
        <v>174.06</v>
      </c>
      <c r="BJ817" s="1">
        <v>179.04</v>
      </c>
      <c r="BK817" s="1">
        <v>160.24</v>
      </c>
      <c r="BL817" s="1">
        <v>159.76</v>
      </c>
      <c r="BN817" s="1">
        <v>159.02000000000001</v>
      </c>
    </row>
    <row r="818" spans="1:66" x14ac:dyDescent="0.3">
      <c r="A818" s="2"/>
      <c r="C818" s="14" t="str">
        <f t="shared" si="13"/>
        <v>202212</v>
      </c>
      <c r="D818" s="3">
        <v>44915</v>
      </c>
      <c r="E818" s="21">
        <v>2913.92</v>
      </c>
      <c r="F818" s="21">
        <v>2836.18</v>
      </c>
      <c r="G818" s="21">
        <v>3003.88</v>
      </c>
      <c r="H818" s="21">
        <v>2731.04</v>
      </c>
      <c r="I818" s="21">
        <v>2778.82</v>
      </c>
      <c r="J818" s="21">
        <v>2925.82</v>
      </c>
      <c r="K818" s="21">
        <v>2732.76</v>
      </c>
      <c r="L818" s="21">
        <v>2766.55</v>
      </c>
      <c r="M818" s="21">
        <v>2757.02</v>
      </c>
      <c r="N818" s="21">
        <v>2648.44</v>
      </c>
      <c r="O818" s="21"/>
      <c r="P818" s="21">
        <v>2793.54</v>
      </c>
      <c r="Q818" s="21">
        <v>7138.69</v>
      </c>
      <c r="R818" s="20">
        <v>169.1</v>
      </c>
      <c r="S818" s="20">
        <v>147.13</v>
      </c>
      <c r="T818" s="21">
        <v>162.80000000000001</v>
      </c>
      <c r="V818" s="1">
        <v>158.94</v>
      </c>
      <c r="W818" s="1">
        <v>169.96</v>
      </c>
      <c r="X818" s="1">
        <v>171.24</v>
      </c>
      <c r="Y818" s="1">
        <v>166.26</v>
      </c>
      <c r="Z818" s="1">
        <v>164.98</v>
      </c>
      <c r="AA818" s="1">
        <v>167.75</v>
      </c>
      <c r="AB818" s="1">
        <v>171.25</v>
      </c>
      <c r="AE818" s="1">
        <v>179.76</v>
      </c>
      <c r="AF818" s="1">
        <v>166.11</v>
      </c>
      <c r="AG818" s="1">
        <v>162.19</v>
      </c>
      <c r="AI818" s="1">
        <v>7</v>
      </c>
      <c r="AN818" s="1">
        <v>3637.82</v>
      </c>
      <c r="AW818" s="1">
        <v>3262.64</v>
      </c>
      <c r="BB818" s="1">
        <v>179.03</v>
      </c>
      <c r="BC818" s="1">
        <v>177.65</v>
      </c>
      <c r="BD818" s="1">
        <v>172.65</v>
      </c>
      <c r="BE818" s="1">
        <v>177.08</v>
      </c>
      <c r="BF818" s="1">
        <v>173.21</v>
      </c>
      <c r="BG818" s="1">
        <v>181.04</v>
      </c>
      <c r="BH818" s="1">
        <v>163.75</v>
      </c>
      <c r="BI818" s="1">
        <v>174.46</v>
      </c>
      <c r="BJ818" s="1">
        <v>180.52</v>
      </c>
      <c r="BK818" s="1">
        <v>164.18</v>
      </c>
      <c r="BL818" s="1">
        <v>159.41</v>
      </c>
      <c r="BN818" s="1">
        <v>159.02000000000001</v>
      </c>
    </row>
    <row r="819" spans="1:66" x14ac:dyDescent="0.3">
      <c r="A819" s="2"/>
      <c r="C819" s="14" t="str">
        <f t="shared" si="13"/>
        <v>202212</v>
      </c>
      <c r="D819" s="3">
        <v>44914</v>
      </c>
      <c r="E819" s="21">
        <v>2923.92</v>
      </c>
      <c r="F819" s="21">
        <v>2840.63</v>
      </c>
      <c r="G819" s="21">
        <v>3003.88</v>
      </c>
      <c r="H819" s="21">
        <v>2731.04</v>
      </c>
      <c r="I819" s="21">
        <v>2739.27</v>
      </c>
      <c r="J819" s="21">
        <v>2895.53</v>
      </c>
      <c r="K819" s="21">
        <v>2758.98</v>
      </c>
      <c r="L819" s="21">
        <v>2911.77</v>
      </c>
      <c r="M819" s="21">
        <v>2772.13</v>
      </c>
      <c r="N819" s="21">
        <v>2648.22</v>
      </c>
      <c r="O819" s="21">
        <v>2652.39</v>
      </c>
      <c r="P819" s="21">
        <v>2793.54</v>
      </c>
      <c r="Q819" s="21">
        <v>7167.56</v>
      </c>
      <c r="R819" s="20">
        <v>169.1</v>
      </c>
      <c r="S819" s="20">
        <v>147.78</v>
      </c>
      <c r="T819" s="21">
        <v>164.56</v>
      </c>
      <c r="V819" s="1">
        <v>159.27000000000001</v>
      </c>
      <c r="W819" s="1">
        <v>171.51</v>
      </c>
      <c r="X819" s="1">
        <v>173.43</v>
      </c>
      <c r="Y819" s="1">
        <v>167.8</v>
      </c>
      <c r="Z819" s="1">
        <v>167.98</v>
      </c>
      <c r="AA819" s="1">
        <v>165.08</v>
      </c>
      <c r="AB819" s="1">
        <v>172.5</v>
      </c>
      <c r="AE819" s="1">
        <v>181.03</v>
      </c>
      <c r="AF819" s="1">
        <v>167.25</v>
      </c>
      <c r="AG819" s="1">
        <v>162.15</v>
      </c>
      <c r="AW819" s="1">
        <v>3262.64</v>
      </c>
      <c r="AX819" s="1">
        <v>163.01</v>
      </c>
      <c r="BA819" s="1">
        <v>163.47999999999999</v>
      </c>
      <c r="BB819" s="1">
        <v>179.75</v>
      </c>
      <c r="BC819" s="1">
        <v>178.17</v>
      </c>
      <c r="BD819" s="1">
        <v>174.42</v>
      </c>
      <c r="BE819" s="1">
        <v>177.08</v>
      </c>
      <c r="BF819" s="1">
        <v>173.19</v>
      </c>
      <c r="BG819" s="1">
        <v>182.01</v>
      </c>
      <c r="BH819" s="1">
        <v>165.41</v>
      </c>
      <c r="BI819" s="1">
        <v>174.46</v>
      </c>
      <c r="BJ819" s="1">
        <v>180.5</v>
      </c>
      <c r="BK819" s="1">
        <v>166.17</v>
      </c>
      <c r="BL819" s="1">
        <v>162.75</v>
      </c>
      <c r="BN819" s="1">
        <v>161.26</v>
      </c>
    </row>
    <row r="820" spans="1:66" x14ac:dyDescent="0.3">
      <c r="A820" s="2"/>
      <c r="C820" s="14" t="str">
        <f t="shared" si="13"/>
        <v>202212</v>
      </c>
      <c r="D820" s="3">
        <v>44911</v>
      </c>
      <c r="E820" s="21">
        <v>2940.48</v>
      </c>
      <c r="F820" s="21">
        <v>2840.63</v>
      </c>
      <c r="G820" s="21">
        <v>3003.88</v>
      </c>
      <c r="H820" s="21">
        <v>2936.99</v>
      </c>
      <c r="I820" s="21">
        <v>2729.38</v>
      </c>
      <c r="J820" s="21">
        <v>2937.97</v>
      </c>
      <c r="K820" s="21">
        <v>2696.03</v>
      </c>
      <c r="L820" s="21">
        <v>2909.91</v>
      </c>
      <c r="M820" s="21">
        <v>2772.13</v>
      </c>
      <c r="N820" s="21">
        <v>2683.87</v>
      </c>
      <c r="O820" s="21">
        <v>2675.54</v>
      </c>
      <c r="P820" s="21">
        <v>2793.54</v>
      </c>
      <c r="Q820" s="21">
        <v>7119.21</v>
      </c>
      <c r="R820" s="20">
        <v>167.61</v>
      </c>
      <c r="S820" s="20">
        <v>148.57</v>
      </c>
      <c r="T820" s="21">
        <v>168.32</v>
      </c>
      <c r="V820" s="1">
        <v>159.21</v>
      </c>
      <c r="W820" s="1">
        <v>171.8</v>
      </c>
      <c r="X820" s="1">
        <v>173.43</v>
      </c>
      <c r="Y820" s="1">
        <v>168.74</v>
      </c>
      <c r="Z820" s="1">
        <v>168.99</v>
      </c>
      <c r="AA820" s="1">
        <v>164.46</v>
      </c>
      <c r="AB820" s="1">
        <v>172.83</v>
      </c>
      <c r="AE820" s="1">
        <v>181.52</v>
      </c>
      <c r="AF820" s="1">
        <v>163.83000000000001</v>
      </c>
      <c r="AG820" s="1">
        <v>161.83000000000001</v>
      </c>
      <c r="AT820" s="1">
        <v>3122.18</v>
      </c>
      <c r="AV820" s="1">
        <v>30</v>
      </c>
      <c r="AW820" s="1">
        <v>2756</v>
      </c>
      <c r="AX820" s="1">
        <v>162.96</v>
      </c>
      <c r="BA820" s="1">
        <v>163.91</v>
      </c>
      <c r="BB820" s="1">
        <v>179.86</v>
      </c>
      <c r="BC820" s="1">
        <v>178.64</v>
      </c>
      <c r="BD820" s="1">
        <v>173.3</v>
      </c>
      <c r="BE820" s="1">
        <v>179.44</v>
      </c>
      <c r="BF820" s="1">
        <v>172.46</v>
      </c>
      <c r="BG820" s="1">
        <v>182.31</v>
      </c>
      <c r="BH820" s="1">
        <v>165.41</v>
      </c>
      <c r="BI820" s="1">
        <v>174.46</v>
      </c>
      <c r="BJ820" s="1">
        <v>179.71</v>
      </c>
      <c r="BK820" s="1">
        <v>166.5</v>
      </c>
      <c r="BL820" s="1">
        <v>162.88</v>
      </c>
      <c r="BN820" s="1">
        <v>162.47999999999999</v>
      </c>
    </row>
    <row r="821" spans="1:66" x14ac:dyDescent="0.3">
      <c r="A821" s="2"/>
      <c r="C821" s="14" t="str">
        <f t="shared" si="13"/>
        <v>202212</v>
      </c>
      <c r="D821" s="3">
        <v>44910</v>
      </c>
      <c r="E821" s="21">
        <v>2940.48</v>
      </c>
      <c r="F821" s="21">
        <v>2840.63</v>
      </c>
      <c r="G821" s="21">
        <v>3003.88</v>
      </c>
      <c r="H821" s="21">
        <v>2964.68</v>
      </c>
      <c r="I821" s="21">
        <v>2719.49</v>
      </c>
      <c r="J821" s="21">
        <v>2933.93</v>
      </c>
      <c r="K821" s="21">
        <v>2685.23</v>
      </c>
      <c r="L821" s="21">
        <v>2926.57</v>
      </c>
      <c r="M821" s="21">
        <v>2661.65</v>
      </c>
      <c r="N821" s="21">
        <v>2684.86</v>
      </c>
      <c r="O821" s="21">
        <v>2744.99</v>
      </c>
      <c r="P821" s="21">
        <v>2808.05</v>
      </c>
      <c r="Q821" s="21">
        <v>7135.87</v>
      </c>
      <c r="R821" s="20">
        <v>167.61</v>
      </c>
      <c r="S821" s="20">
        <v>148.55000000000001</v>
      </c>
      <c r="T821" s="21">
        <v>168.17</v>
      </c>
      <c r="V821" s="1">
        <v>159.38999999999999</v>
      </c>
      <c r="W821" s="1">
        <v>170.32</v>
      </c>
      <c r="X821" s="1">
        <v>173.77</v>
      </c>
      <c r="Y821" s="1">
        <v>168.74</v>
      </c>
      <c r="Z821" s="1">
        <v>168.99</v>
      </c>
      <c r="AA821" s="1">
        <v>164.96</v>
      </c>
      <c r="AB821" s="1">
        <v>173.29</v>
      </c>
      <c r="AE821" s="1">
        <v>181.38</v>
      </c>
      <c r="AF821" s="1">
        <v>164.49</v>
      </c>
      <c r="AG821" s="1">
        <v>159.09</v>
      </c>
      <c r="AT821" s="1">
        <v>3122.18</v>
      </c>
      <c r="AV821" s="1">
        <v>30</v>
      </c>
      <c r="AW821" s="1">
        <v>2756</v>
      </c>
      <c r="AX821" s="1">
        <v>162.87</v>
      </c>
      <c r="BA821" s="1">
        <v>163.22</v>
      </c>
      <c r="BB821" s="1">
        <v>180.22</v>
      </c>
      <c r="BC821" s="1">
        <v>178.64</v>
      </c>
      <c r="BD821" s="1">
        <v>173.79</v>
      </c>
      <c r="BE821" s="1">
        <v>182.77</v>
      </c>
      <c r="BF821" s="1">
        <v>172.19</v>
      </c>
      <c r="BG821" s="1">
        <v>182.47</v>
      </c>
      <c r="BH821" s="1">
        <v>166.41</v>
      </c>
      <c r="BI821" s="1">
        <v>172.76</v>
      </c>
      <c r="BJ821" s="1">
        <v>179.69</v>
      </c>
      <c r="BL821" s="1">
        <v>162.88</v>
      </c>
      <c r="BN821" s="1">
        <v>162.47999999999999</v>
      </c>
    </row>
    <row r="822" spans="1:66" x14ac:dyDescent="0.3">
      <c r="A822" s="2"/>
      <c r="C822" s="14" t="str">
        <f t="shared" si="13"/>
        <v>202212</v>
      </c>
      <c r="D822" s="3">
        <v>44909</v>
      </c>
      <c r="E822" s="21">
        <v>2893.99</v>
      </c>
      <c r="F822" s="21">
        <v>2802.2</v>
      </c>
      <c r="G822" s="21">
        <v>2934.57</v>
      </c>
      <c r="H822" s="21">
        <v>2964.68</v>
      </c>
      <c r="I822" s="21">
        <v>2719.49</v>
      </c>
      <c r="J822" s="21">
        <v>2949.72</v>
      </c>
      <c r="K822" s="21">
        <v>2745</v>
      </c>
      <c r="L822" s="21">
        <v>2900.74</v>
      </c>
      <c r="M822" s="21">
        <v>2661.65</v>
      </c>
      <c r="N822" s="21">
        <v>2621.91</v>
      </c>
      <c r="O822" s="21">
        <v>2953.33</v>
      </c>
      <c r="P822" s="21">
        <v>2746.1</v>
      </c>
      <c r="Q822" s="21">
        <v>7245.96</v>
      </c>
      <c r="R822" s="20">
        <v>163.11000000000001</v>
      </c>
      <c r="S822" s="20">
        <v>148.19</v>
      </c>
      <c r="T822" s="21">
        <v>167.92</v>
      </c>
      <c r="V822" s="1">
        <v>159.59</v>
      </c>
      <c r="W822" s="1">
        <v>171.89</v>
      </c>
      <c r="X822" s="1">
        <v>172.44</v>
      </c>
      <c r="Y822" s="1">
        <v>167.64</v>
      </c>
      <c r="Z822" s="1">
        <v>167.38</v>
      </c>
      <c r="AA822" s="1">
        <v>163.5</v>
      </c>
      <c r="AB822" s="1">
        <v>172.49</v>
      </c>
      <c r="AE822" s="1">
        <v>180.88</v>
      </c>
      <c r="AF822" s="1">
        <v>166.92</v>
      </c>
      <c r="AG822" s="1">
        <v>158.49</v>
      </c>
      <c r="AT822" s="1">
        <v>3122.18</v>
      </c>
      <c r="AV822" s="1">
        <v>30</v>
      </c>
      <c r="AW822" s="1">
        <v>2756</v>
      </c>
      <c r="AX822" s="1">
        <v>162.68</v>
      </c>
      <c r="BA822" s="1">
        <v>162.28</v>
      </c>
      <c r="BB822" s="1">
        <v>181.8</v>
      </c>
      <c r="BC822" s="1">
        <v>180.23</v>
      </c>
      <c r="BD822" s="1">
        <v>176.96</v>
      </c>
      <c r="BE822" s="1">
        <v>178.78</v>
      </c>
      <c r="BF822" s="1">
        <v>168.85</v>
      </c>
      <c r="BG822" s="1">
        <v>181.75</v>
      </c>
      <c r="BH822" s="1">
        <v>167.95</v>
      </c>
      <c r="BI822" s="1">
        <v>172.76</v>
      </c>
      <c r="BJ822" s="1">
        <v>178.48</v>
      </c>
      <c r="BL822" s="1">
        <v>162.88</v>
      </c>
      <c r="BN822" s="1">
        <v>162.47999999999999</v>
      </c>
    </row>
    <row r="823" spans="1:66" x14ac:dyDescent="0.3">
      <c r="A823" s="2"/>
      <c r="C823" s="14" t="str">
        <f t="shared" si="13"/>
        <v>202212</v>
      </c>
      <c r="D823" s="3">
        <v>44908</v>
      </c>
      <c r="E823" s="21">
        <v>2875.42</v>
      </c>
      <c r="F823" s="21">
        <v>2803.54</v>
      </c>
      <c r="G823" s="21">
        <v>2909.85</v>
      </c>
      <c r="H823" s="21">
        <v>2964.68</v>
      </c>
      <c r="I823" s="21">
        <v>2719.49</v>
      </c>
      <c r="J823" s="21">
        <v>2885.86</v>
      </c>
      <c r="K823" s="21">
        <v>2671.03</v>
      </c>
      <c r="L823" s="21">
        <v>2870.93</v>
      </c>
      <c r="M823" s="21">
        <v>2540.7800000000002</v>
      </c>
      <c r="N823" s="21">
        <v>2583.64</v>
      </c>
      <c r="O823" s="21">
        <v>2941.72</v>
      </c>
      <c r="P823" s="21">
        <v>2721.1</v>
      </c>
      <c r="Q823" s="21">
        <v>7031.16</v>
      </c>
      <c r="R823" s="20">
        <v>163.11000000000001</v>
      </c>
      <c r="S823" s="20">
        <v>148.68</v>
      </c>
      <c r="T823" s="21">
        <v>167.55</v>
      </c>
      <c r="V823" s="1">
        <v>159.75</v>
      </c>
      <c r="W823" s="1">
        <v>172.06</v>
      </c>
      <c r="X823" s="1">
        <v>171.27</v>
      </c>
      <c r="Y823" s="1">
        <v>166.58</v>
      </c>
      <c r="Z823" s="1">
        <v>166.97</v>
      </c>
      <c r="AA823" s="1">
        <v>162.84</v>
      </c>
      <c r="AB823" s="1">
        <v>171.42</v>
      </c>
      <c r="AE823" s="1">
        <v>179.47</v>
      </c>
      <c r="AF823" s="1">
        <v>172.4</v>
      </c>
      <c r="AG823" s="1">
        <v>158.54</v>
      </c>
      <c r="AK823" s="1">
        <v>10</v>
      </c>
      <c r="AS823" s="1">
        <v>3862.17</v>
      </c>
      <c r="AT823" s="1">
        <v>3122.18</v>
      </c>
      <c r="AV823" s="1">
        <v>30</v>
      </c>
      <c r="AW823" s="1">
        <v>2756</v>
      </c>
      <c r="AX823" s="1">
        <v>163.29</v>
      </c>
      <c r="BA823" s="1">
        <v>162.38</v>
      </c>
      <c r="BB823" s="1">
        <v>181.62</v>
      </c>
      <c r="BC823" s="1">
        <v>178.52</v>
      </c>
      <c r="BD823" s="1">
        <v>174.27</v>
      </c>
      <c r="BE823" s="1">
        <v>176.79</v>
      </c>
      <c r="BF823" s="1">
        <v>168.83</v>
      </c>
      <c r="BG823" s="1">
        <v>180.24</v>
      </c>
      <c r="BH823" s="1">
        <v>166.39</v>
      </c>
      <c r="BI823" s="1">
        <v>172.4</v>
      </c>
      <c r="BJ823" s="1">
        <v>179.9</v>
      </c>
      <c r="BL823" s="1">
        <v>160.65</v>
      </c>
      <c r="BN823" s="1">
        <v>160.16</v>
      </c>
    </row>
    <row r="824" spans="1:66" x14ac:dyDescent="0.3">
      <c r="A824" s="2"/>
      <c r="C824" s="14" t="str">
        <f t="shared" si="13"/>
        <v>202212</v>
      </c>
      <c r="D824" s="3">
        <v>44907</v>
      </c>
      <c r="E824" s="21">
        <v>2880.39</v>
      </c>
      <c r="F824" s="21">
        <v>2803.54</v>
      </c>
      <c r="G824" s="21">
        <v>2944.43</v>
      </c>
      <c r="H824" s="21">
        <v>2986.27</v>
      </c>
      <c r="I824" s="21">
        <v>2719.49</v>
      </c>
      <c r="J824" s="21">
        <v>2804.04</v>
      </c>
      <c r="K824" s="21">
        <v>2671.03</v>
      </c>
      <c r="L824" s="21">
        <v>2876.89</v>
      </c>
      <c r="M824" s="21"/>
      <c r="N824" s="21">
        <v>2523.64</v>
      </c>
      <c r="O824" s="21">
        <v>2975</v>
      </c>
      <c r="P824" s="21">
        <v>2698.4</v>
      </c>
      <c r="Q824" s="21">
        <v>7373</v>
      </c>
      <c r="R824" s="20">
        <v>162.27000000000001</v>
      </c>
      <c r="S824" s="20">
        <v>148.66</v>
      </c>
      <c r="T824" s="21">
        <v>165.89</v>
      </c>
      <c r="V824" s="1">
        <v>160.47</v>
      </c>
      <c r="W824" s="1">
        <v>171.09</v>
      </c>
      <c r="X824" s="1">
        <v>170.85</v>
      </c>
      <c r="Y824" s="1">
        <v>165.38</v>
      </c>
      <c r="Z824" s="1">
        <v>165.56</v>
      </c>
      <c r="AA824" s="1">
        <v>162.85</v>
      </c>
      <c r="AB824" s="1">
        <v>170.5</v>
      </c>
      <c r="AE824" s="1">
        <v>179.16</v>
      </c>
      <c r="AF824" s="1">
        <v>173.25</v>
      </c>
      <c r="AG824" s="1">
        <v>158.52000000000001</v>
      </c>
      <c r="AK824" s="1">
        <v>10</v>
      </c>
      <c r="AS824" s="1">
        <v>3862.17</v>
      </c>
      <c r="AT824" s="1">
        <v>3122.18</v>
      </c>
      <c r="AV824" s="1">
        <v>30</v>
      </c>
      <c r="AW824" s="1">
        <v>2756</v>
      </c>
      <c r="AX824" s="1">
        <v>163.29</v>
      </c>
      <c r="BA824" s="1">
        <v>162.38</v>
      </c>
      <c r="BB824" s="1">
        <v>182.88</v>
      </c>
      <c r="BC824" s="1">
        <v>180.33</v>
      </c>
      <c r="BD824" s="1">
        <v>176.59</v>
      </c>
      <c r="BE824" s="1">
        <v>176.79</v>
      </c>
      <c r="BF824" s="1">
        <v>168.48</v>
      </c>
      <c r="BG824" s="1">
        <v>180.14</v>
      </c>
      <c r="BH824" s="1">
        <v>167.02</v>
      </c>
      <c r="BI824" s="1">
        <v>172.16</v>
      </c>
      <c r="BJ824" s="1">
        <v>179.64</v>
      </c>
      <c r="BL824" s="1">
        <v>160.4</v>
      </c>
      <c r="BN824" s="1">
        <v>159.74</v>
      </c>
    </row>
    <row r="825" spans="1:66" x14ac:dyDescent="0.3">
      <c r="A825" s="2"/>
      <c r="C825" s="14" t="str">
        <f t="shared" si="13"/>
        <v>202212</v>
      </c>
      <c r="D825" s="3">
        <v>44904</v>
      </c>
      <c r="E825" s="21">
        <v>2840.58</v>
      </c>
      <c r="F825" s="21">
        <v>2803.54</v>
      </c>
      <c r="G825" s="21">
        <v>2934.54</v>
      </c>
      <c r="H825" s="21">
        <v>2973.55</v>
      </c>
      <c r="I825" s="21">
        <v>2719.49</v>
      </c>
      <c r="J825" s="21">
        <v>2902.86</v>
      </c>
      <c r="K825" s="21">
        <v>2721</v>
      </c>
      <c r="L825" s="21">
        <v>2838.03</v>
      </c>
      <c r="M825" s="21"/>
      <c r="N825" s="21">
        <v>2532.44</v>
      </c>
      <c r="O825" s="21">
        <v>3006.67</v>
      </c>
      <c r="P825" s="21">
        <v>2693.4</v>
      </c>
      <c r="Q825" s="21">
        <v>7571.16</v>
      </c>
      <c r="R825" s="20">
        <v>159.5</v>
      </c>
      <c r="S825" s="20">
        <v>147.9</v>
      </c>
      <c r="T825" s="21">
        <v>167.38</v>
      </c>
      <c r="V825" s="1">
        <v>161.69</v>
      </c>
      <c r="W825" s="1">
        <v>171.82</v>
      </c>
      <c r="X825" s="1">
        <v>170.86</v>
      </c>
      <c r="Y825" s="1">
        <v>164.21</v>
      </c>
      <c r="Z825" s="1">
        <v>164.27</v>
      </c>
      <c r="AA825" s="1">
        <v>162.31</v>
      </c>
      <c r="AB825" s="1">
        <v>171.3</v>
      </c>
      <c r="AE825" s="1">
        <v>179.76</v>
      </c>
      <c r="AF825" s="1">
        <v>166.58</v>
      </c>
      <c r="AG825" s="1">
        <v>157.06</v>
      </c>
      <c r="AK825" s="1">
        <v>10</v>
      </c>
      <c r="AS825" s="1">
        <v>3862.17</v>
      </c>
      <c r="BA825" s="1">
        <v>161.72999999999999</v>
      </c>
      <c r="BB825" s="1">
        <v>183.45</v>
      </c>
      <c r="BC825" s="1">
        <v>176.4</v>
      </c>
      <c r="BD825" s="1">
        <v>176.9</v>
      </c>
      <c r="BE825" s="1">
        <v>182.16</v>
      </c>
      <c r="BF825" s="1">
        <v>165.45</v>
      </c>
      <c r="BG825" s="1">
        <v>180.44</v>
      </c>
      <c r="BH825" s="1">
        <v>166.38</v>
      </c>
      <c r="BI825" s="1">
        <v>171.57</v>
      </c>
      <c r="BJ825" s="1">
        <v>178.1</v>
      </c>
      <c r="BL825" s="1">
        <v>157.75</v>
      </c>
      <c r="BN825" s="1">
        <v>156.76</v>
      </c>
    </row>
    <row r="826" spans="1:66" x14ac:dyDescent="0.3">
      <c r="A826" s="2"/>
      <c r="C826" s="14" t="str">
        <f t="shared" si="13"/>
        <v>202212</v>
      </c>
      <c r="D826" s="3">
        <v>44903</v>
      </c>
      <c r="E826" s="21">
        <v>2839.33</v>
      </c>
      <c r="F826" s="21">
        <v>2803.54</v>
      </c>
      <c r="G826" s="21">
        <v>2934.54</v>
      </c>
      <c r="H826" s="21">
        <v>2942.18</v>
      </c>
      <c r="I826" s="21">
        <v>2689.82</v>
      </c>
      <c r="J826" s="21">
        <v>2888.96</v>
      </c>
      <c r="K826" s="21">
        <v>2626.21</v>
      </c>
      <c r="L826" s="21">
        <v>2762.13</v>
      </c>
      <c r="M826" s="21"/>
      <c r="N826" s="21">
        <v>2558.8000000000002</v>
      </c>
      <c r="O826" s="21">
        <v>2960</v>
      </c>
      <c r="P826" s="21">
        <v>2668.54</v>
      </c>
      <c r="Q826" s="21">
        <v>7571.16</v>
      </c>
      <c r="R826" s="20">
        <v>159.5</v>
      </c>
      <c r="S826" s="20">
        <v>147.09</v>
      </c>
      <c r="T826" s="21">
        <v>167.43</v>
      </c>
      <c r="V826" s="1">
        <v>161.36000000000001</v>
      </c>
      <c r="W826" s="1">
        <v>171.15</v>
      </c>
      <c r="X826" s="1">
        <v>170.19</v>
      </c>
      <c r="Y826" s="1">
        <v>163.44</v>
      </c>
      <c r="Z826" s="1">
        <v>163.58000000000001</v>
      </c>
      <c r="AA826" s="1">
        <v>162.49</v>
      </c>
      <c r="AB826" s="1">
        <v>170.28</v>
      </c>
      <c r="AE826" s="1">
        <v>177.81</v>
      </c>
      <c r="AF826" s="1">
        <v>167.61</v>
      </c>
      <c r="AG826" s="1">
        <v>157.01</v>
      </c>
      <c r="AK826" s="1">
        <v>10</v>
      </c>
      <c r="AS826" s="1">
        <v>3862.17</v>
      </c>
      <c r="AW826" s="1">
        <v>3600.33</v>
      </c>
      <c r="BA826" s="1">
        <v>159.86000000000001</v>
      </c>
      <c r="BB826" s="1">
        <v>183.84</v>
      </c>
      <c r="BC826" s="1">
        <v>176.21</v>
      </c>
      <c r="BD826" s="1">
        <v>175.93</v>
      </c>
      <c r="BE826" s="1">
        <v>179.67</v>
      </c>
      <c r="BF826" s="1">
        <v>165.91</v>
      </c>
      <c r="BG826" s="1">
        <v>178.58</v>
      </c>
      <c r="BH826" s="1">
        <v>166.38</v>
      </c>
      <c r="BI826" s="1">
        <v>170.97</v>
      </c>
      <c r="BJ826" s="1">
        <v>178.09</v>
      </c>
      <c r="BK826" s="1">
        <v>156.53</v>
      </c>
      <c r="BL826" s="1">
        <v>156.69999999999999</v>
      </c>
      <c r="BN826" s="1">
        <v>157.18</v>
      </c>
    </row>
    <row r="827" spans="1:66" x14ac:dyDescent="0.3">
      <c r="A827" s="2"/>
      <c r="C827" s="14" t="str">
        <f t="shared" si="13"/>
        <v>202212</v>
      </c>
      <c r="D827" s="3">
        <v>44902</v>
      </c>
      <c r="E827" s="21">
        <v>2818.23</v>
      </c>
      <c r="F827" s="21">
        <v>2761.74</v>
      </c>
      <c r="G827" s="21">
        <v>2924.65</v>
      </c>
      <c r="H827" s="21">
        <v>2920.71</v>
      </c>
      <c r="I827" s="21">
        <v>2632.46</v>
      </c>
      <c r="J827" s="21">
        <v>2783.95</v>
      </c>
      <c r="K827" s="21">
        <v>2576.4899999999998</v>
      </c>
      <c r="L827" s="21">
        <v>2809.04</v>
      </c>
      <c r="M827" s="21"/>
      <c r="N827" s="21">
        <v>2493.0500000000002</v>
      </c>
      <c r="O827" s="21">
        <v>2857.5</v>
      </c>
      <c r="P827" s="21">
        <v>2593.9499999999998</v>
      </c>
      <c r="Q827" s="21">
        <v>7402.73</v>
      </c>
      <c r="R827" s="20">
        <v>163.43</v>
      </c>
      <c r="S827" s="20">
        <v>146.58000000000001</v>
      </c>
      <c r="T827" s="21">
        <v>166.96</v>
      </c>
      <c r="V827" s="1">
        <v>161.02000000000001</v>
      </c>
      <c r="W827" s="1">
        <v>170.7</v>
      </c>
      <c r="X827" s="1">
        <v>170.25</v>
      </c>
      <c r="Y827" s="1">
        <v>162.32</v>
      </c>
      <c r="Z827" s="1">
        <v>162.96</v>
      </c>
      <c r="AA827" s="1">
        <v>161.71</v>
      </c>
      <c r="AB827" s="1">
        <v>170.28</v>
      </c>
      <c r="AE827" s="1">
        <v>177.61</v>
      </c>
      <c r="AF827" s="1">
        <v>167.21</v>
      </c>
      <c r="AG827" s="1">
        <v>158.91</v>
      </c>
      <c r="AK827" s="1">
        <v>10</v>
      </c>
      <c r="AS827" s="1">
        <v>3862.17</v>
      </c>
      <c r="AW827" s="1">
        <v>3600.33</v>
      </c>
      <c r="BA827" s="1">
        <v>159.86000000000001</v>
      </c>
      <c r="BB827" s="1">
        <v>183.05</v>
      </c>
      <c r="BC827" s="1">
        <v>178</v>
      </c>
      <c r="BD827" s="1">
        <v>175.08</v>
      </c>
      <c r="BE827" s="1">
        <v>176.54</v>
      </c>
      <c r="BF827" s="1">
        <v>170.53</v>
      </c>
      <c r="BG827" s="1">
        <v>178.38</v>
      </c>
      <c r="BH827" s="1">
        <v>166.38</v>
      </c>
      <c r="BI827" s="1">
        <v>170.97</v>
      </c>
      <c r="BJ827" s="1">
        <v>176.59</v>
      </c>
      <c r="BK827" s="1">
        <v>156.03</v>
      </c>
      <c r="BL827" s="1">
        <v>156.1</v>
      </c>
      <c r="BN827" s="1">
        <v>156.43</v>
      </c>
    </row>
    <row r="828" spans="1:66" x14ac:dyDescent="0.3">
      <c r="A828" s="2"/>
      <c r="C828" s="14" t="str">
        <f t="shared" si="13"/>
        <v>202212</v>
      </c>
      <c r="D828" s="3">
        <v>44901</v>
      </c>
      <c r="E828" s="21">
        <v>2809.6</v>
      </c>
      <c r="F828" s="21">
        <v>2716.79</v>
      </c>
      <c r="G828" s="21">
        <v>2835.68</v>
      </c>
      <c r="H828" s="21">
        <v>2924.16</v>
      </c>
      <c r="I828" s="21">
        <v>2622.57</v>
      </c>
      <c r="J828" s="21">
        <v>2863.82</v>
      </c>
      <c r="K828" s="21">
        <v>2556.58</v>
      </c>
      <c r="L828" s="21">
        <v>2673.85</v>
      </c>
      <c r="M828" s="21">
        <v>2312.23</v>
      </c>
      <c r="N828" s="21">
        <v>2499.7399999999998</v>
      </c>
      <c r="O828" s="21">
        <v>2835</v>
      </c>
      <c r="P828" s="21">
        <v>2598.9499999999998</v>
      </c>
      <c r="Q828" s="21">
        <v>7459.56</v>
      </c>
      <c r="R828" s="20">
        <v>162.44</v>
      </c>
      <c r="S828" s="20">
        <v>146.12</v>
      </c>
      <c r="T828" s="21">
        <v>165.82</v>
      </c>
      <c r="V828" s="1">
        <v>160.16999999999999</v>
      </c>
      <c r="W828" s="1">
        <v>168.96</v>
      </c>
      <c r="X828" s="1">
        <v>167.98</v>
      </c>
      <c r="Y828" s="1">
        <v>162.75</v>
      </c>
      <c r="Z828" s="1">
        <v>162.41999999999999</v>
      </c>
      <c r="AA828" s="1">
        <v>162.53</v>
      </c>
      <c r="AB828" s="1">
        <v>168.95</v>
      </c>
      <c r="AE828" s="1">
        <v>176.31</v>
      </c>
      <c r="AF828" s="1">
        <v>168.6</v>
      </c>
      <c r="AG828" s="1">
        <v>158.87</v>
      </c>
      <c r="AP828" s="1">
        <v>3678.69</v>
      </c>
      <c r="AW828" s="1">
        <v>3600.33</v>
      </c>
      <c r="BB828" s="1">
        <v>182.52</v>
      </c>
      <c r="BC828" s="1">
        <v>178.15</v>
      </c>
      <c r="BD828" s="1">
        <v>175.22</v>
      </c>
      <c r="BE828" s="1">
        <v>175</v>
      </c>
      <c r="BF828" s="1">
        <v>170.18</v>
      </c>
      <c r="BG828" s="1">
        <v>178.31</v>
      </c>
      <c r="BH828" s="1">
        <v>167.38</v>
      </c>
      <c r="BI828" s="1">
        <v>170.97</v>
      </c>
      <c r="BJ828" s="1">
        <v>176.57</v>
      </c>
      <c r="BK828" s="1">
        <v>156.54</v>
      </c>
      <c r="BL828" s="1">
        <v>156.41999999999999</v>
      </c>
      <c r="BN828" s="1">
        <v>157.78</v>
      </c>
    </row>
    <row r="829" spans="1:66" x14ac:dyDescent="0.3">
      <c r="A829" s="2"/>
      <c r="C829" s="14" t="str">
        <f t="shared" si="13"/>
        <v>202212</v>
      </c>
      <c r="D829" s="3">
        <v>44900</v>
      </c>
      <c r="E829" s="21">
        <v>2769.75</v>
      </c>
      <c r="F829" s="21">
        <v>2739.27</v>
      </c>
      <c r="G829" s="21">
        <v>2823.32</v>
      </c>
      <c r="H829" s="21">
        <v>2924.16</v>
      </c>
      <c r="I829" s="21">
        <v>2608.73</v>
      </c>
      <c r="J829" s="21">
        <v>2805.65</v>
      </c>
      <c r="K829" s="21">
        <v>2540</v>
      </c>
      <c r="L829" s="21">
        <v>2673.85</v>
      </c>
      <c r="M829" s="21">
        <v>2385.38</v>
      </c>
      <c r="N829" s="21">
        <v>2436.41</v>
      </c>
      <c r="O829" s="21">
        <v>2830</v>
      </c>
      <c r="P829" s="21">
        <v>2574.34</v>
      </c>
      <c r="Q829" s="21">
        <v>7556.34</v>
      </c>
      <c r="R829" s="20">
        <v>163.86</v>
      </c>
      <c r="S829" s="20">
        <v>145.66999999999999</v>
      </c>
      <c r="T829" s="21">
        <v>164.69</v>
      </c>
      <c r="V829" s="1">
        <v>158.65</v>
      </c>
      <c r="W829" s="1">
        <v>169.24</v>
      </c>
      <c r="X829" s="1">
        <v>167.86</v>
      </c>
      <c r="Y829" s="1">
        <v>161.65</v>
      </c>
      <c r="Z829" s="1">
        <v>161.53</v>
      </c>
      <c r="AA829" s="1">
        <v>162.28</v>
      </c>
      <c r="AB829" s="1">
        <v>167.95</v>
      </c>
      <c r="AE829" s="1">
        <v>175.41</v>
      </c>
      <c r="AF829" s="1">
        <v>166.55</v>
      </c>
      <c r="AG829" s="1">
        <v>160.41999999999999</v>
      </c>
      <c r="AP829" s="1">
        <v>3678.69</v>
      </c>
      <c r="AW829" s="1">
        <v>3600.33</v>
      </c>
      <c r="BB829" s="1">
        <v>179.34</v>
      </c>
      <c r="BC829" s="1">
        <v>175.41</v>
      </c>
      <c r="BD829" s="1">
        <v>171.75</v>
      </c>
      <c r="BE829" s="1">
        <v>174.46</v>
      </c>
      <c r="BF829" s="1">
        <v>172.52</v>
      </c>
      <c r="BG829" s="1">
        <v>177.22</v>
      </c>
      <c r="BH829" s="1">
        <v>168.59</v>
      </c>
      <c r="BI829" s="1">
        <v>169.77</v>
      </c>
      <c r="BJ829" s="1">
        <v>172.84</v>
      </c>
      <c r="BK829" s="1">
        <v>158.06</v>
      </c>
      <c r="BL829" s="1">
        <v>155.66999999999999</v>
      </c>
      <c r="BN829" s="1">
        <v>156.05000000000001</v>
      </c>
    </row>
    <row r="830" spans="1:66" x14ac:dyDescent="0.3">
      <c r="A830" s="2"/>
      <c r="C830" s="14" t="str">
        <f t="shared" si="13"/>
        <v>202212</v>
      </c>
      <c r="D830" s="3">
        <v>44897</v>
      </c>
      <c r="E830" s="21">
        <v>2738.87</v>
      </c>
      <c r="F830" s="21">
        <v>2739.27</v>
      </c>
      <c r="G830" s="21">
        <v>2810.96</v>
      </c>
      <c r="H830" s="21">
        <v>2894.5</v>
      </c>
      <c r="I830" s="21">
        <v>2608.73</v>
      </c>
      <c r="J830" s="21">
        <v>2805.95</v>
      </c>
      <c r="K830" s="21">
        <v>2508.11</v>
      </c>
      <c r="L830" s="21">
        <v>2648.19</v>
      </c>
      <c r="M830" s="21">
        <v>2386.64</v>
      </c>
      <c r="N830" s="21">
        <v>2448.52</v>
      </c>
      <c r="O830" s="21">
        <v>2906.67</v>
      </c>
      <c r="P830" s="21">
        <v>2532.64</v>
      </c>
      <c r="Q830" s="21">
        <v>7542.21</v>
      </c>
      <c r="R830" s="20">
        <v>157.78</v>
      </c>
      <c r="S830" s="20"/>
      <c r="T830" s="21">
        <v>163.31</v>
      </c>
      <c r="V830" s="1">
        <v>162.97999999999999</v>
      </c>
      <c r="W830" s="1">
        <v>168.56</v>
      </c>
      <c r="X830" s="1">
        <v>167.95</v>
      </c>
      <c r="Y830" s="1">
        <v>160.76</v>
      </c>
      <c r="Z830" s="1">
        <v>162.32</v>
      </c>
      <c r="AA830" s="1">
        <v>156.02000000000001</v>
      </c>
      <c r="AB830" s="1">
        <v>167.76</v>
      </c>
      <c r="AC830" s="1">
        <v>163.27000000000001</v>
      </c>
      <c r="AE830" s="1">
        <v>174.88</v>
      </c>
      <c r="AF830" s="1">
        <v>165.51</v>
      </c>
      <c r="AG830" s="1">
        <v>149.87</v>
      </c>
      <c r="AP830" s="1">
        <v>3678.69</v>
      </c>
      <c r="AT830" s="1">
        <v>3261.99</v>
      </c>
      <c r="AW830" s="1">
        <v>3553.93</v>
      </c>
      <c r="BA830" s="1">
        <v>162.03</v>
      </c>
      <c r="BB830" s="1">
        <v>177.86</v>
      </c>
      <c r="BC830" s="1">
        <v>173.43</v>
      </c>
      <c r="BD830" s="1">
        <v>171.53</v>
      </c>
      <c r="BE830" s="1">
        <v>174.34</v>
      </c>
      <c r="BF830" s="1">
        <v>169.01</v>
      </c>
      <c r="BG830" s="1">
        <v>177.11</v>
      </c>
      <c r="BH830" s="1">
        <v>169.97</v>
      </c>
      <c r="BI830" s="1">
        <v>169.57</v>
      </c>
      <c r="BJ830" s="1">
        <v>175.76</v>
      </c>
      <c r="BK830" s="1">
        <v>157.4</v>
      </c>
      <c r="BL830" s="1">
        <v>154.91999999999999</v>
      </c>
      <c r="BN830" s="1">
        <v>156.65</v>
      </c>
    </row>
    <row r="831" spans="1:66" x14ac:dyDescent="0.3">
      <c r="A831" s="2"/>
      <c r="C831" s="14" t="str">
        <f t="shared" si="13"/>
        <v>202212</v>
      </c>
      <c r="D831" s="3">
        <v>44896</v>
      </c>
      <c r="E831" s="21">
        <v>2675.2</v>
      </c>
      <c r="F831" s="21">
        <v>2731.85</v>
      </c>
      <c r="G831" s="21">
        <v>2823.32</v>
      </c>
      <c r="H831" s="21">
        <v>2789.22</v>
      </c>
      <c r="I831" s="21">
        <v>2600.8200000000002</v>
      </c>
      <c r="J831" s="21">
        <v>2885.87</v>
      </c>
      <c r="K831" s="21">
        <v>2508.11</v>
      </c>
      <c r="L831" s="21">
        <v>2623.8</v>
      </c>
      <c r="M831" s="21">
        <v>2389.15</v>
      </c>
      <c r="N831" s="21">
        <v>2377.09</v>
      </c>
      <c r="O831" s="21">
        <v>2906.67</v>
      </c>
      <c r="P831" s="21">
        <v>2532.64</v>
      </c>
      <c r="Q831" s="21">
        <v>7796.49</v>
      </c>
      <c r="R831" s="20"/>
      <c r="S831" s="20"/>
      <c r="T831" s="21">
        <v>164.7</v>
      </c>
      <c r="V831" s="1">
        <v>165.61</v>
      </c>
      <c r="W831" s="1">
        <v>168.5</v>
      </c>
      <c r="X831" s="1">
        <v>171.78</v>
      </c>
      <c r="Y831" s="1">
        <v>164.71</v>
      </c>
      <c r="Z831" s="1">
        <v>163.99</v>
      </c>
      <c r="AA831" s="1">
        <v>162.6</v>
      </c>
      <c r="AB831" s="1">
        <v>171.62</v>
      </c>
      <c r="AE831" s="1">
        <v>178.46</v>
      </c>
      <c r="AF831" s="1">
        <v>169.26</v>
      </c>
      <c r="AG831" s="1">
        <v>164.14</v>
      </c>
      <c r="AP831" s="1">
        <v>3678.69</v>
      </c>
      <c r="AT831" s="1">
        <v>3261.99</v>
      </c>
      <c r="AW831" s="1">
        <v>3340.51</v>
      </c>
      <c r="BA831" s="1">
        <v>163.02000000000001</v>
      </c>
      <c r="BB831" s="1">
        <v>178.71</v>
      </c>
      <c r="BC831" s="1">
        <v>177.71</v>
      </c>
      <c r="BD831" s="1">
        <v>173.52</v>
      </c>
      <c r="BG831" s="1">
        <v>180.35</v>
      </c>
      <c r="BH831" s="1">
        <v>169.97</v>
      </c>
      <c r="BI831" s="1">
        <v>174.16</v>
      </c>
      <c r="BJ831" s="1">
        <v>176.74</v>
      </c>
      <c r="BK831" s="1">
        <v>160.85</v>
      </c>
      <c r="BL831" s="1">
        <v>158.9</v>
      </c>
      <c r="BN831" s="1">
        <v>155.93</v>
      </c>
    </row>
    <row r="832" spans="1:66" x14ac:dyDescent="0.3">
      <c r="A832" s="2"/>
      <c r="C832" s="14" t="str">
        <f t="shared" si="13"/>
        <v>202211</v>
      </c>
      <c r="D832" s="3">
        <v>44895</v>
      </c>
      <c r="E832" s="21">
        <v>2703.01</v>
      </c>
      <c r="F832" s="21">
        <v>2803.54</v>
      </c>
      <c r="G832" s="21">
        <v>2835.68</v>
      </c>
      <c r="H832" s="21">
        <v>2826.35</v>
      </c>
      <c r="I832" s="21">
        <v>2636.42</v>
      </c>
      <c r="J832" s="21">
        <v>2757.5</v>
      </c>
      <c r="K832" s="21">
        <v>2535.9699999999998</v>
      </c>
      <c r="L832" s="21">
        <v>2660.84</v>
      </c>
      <c r="M832" s="21">
        <v>2389.15</v>
      </c>
      <c r="N832" s="21">
        <v>2401.0500000000002</v>
      </c>
      <c r="O832" s="21">
        <v>2910</v>
      </c>
      <c r="P832" s="21">
        <v>2559.13</v>
      </c>
      <c r="Q832" s="21">
        <v>7925.27</v>
      </c>
      <c r="R832" s="20">
        <v>161.6</v>
      </c>
      <c r="S832" s="20"/>
      <c r="T832" s="21">
        <v>169.24</v>
      </c>
      <c r="V832" s="1">
        <v>166.14</v>
      </c>
      <c r="W832" s="1">
        <v>173.05</v>
      </c>
      <c r="X832" s="1">
        <v>171.6</v>
      </c>
      <c r="Y832" s="1">
        <v>167.51</v>
      </c>
      <c r="Z832" s="1">
        <v>167.75</v>
      </c>
      <c r="AA832" s="1">
        <v>163.5</v>
      </c>
      <c r="AB832" s="1">
        <v>171.25</v>
      </c>
      <c r="AC832" s="1">
        <v>163.15</v>
      </c>
      <c r="AE832" s="1">
        <v>179.37</v>
      </c>
      <c r="AF832" s="1">
        <v>171.79</v>
      </c>
      <c r="AG832" s="1">
        <v>162.9</v>
      </c>
      <c r="AP832" s="1">
        <v>3678.69</v>
      </c>
      <c r="AT832" s="1">
        <v>3261.99</v>
      </c>
      <c r="AW832" s="1">
        <v>3340.51</v>
      </c>
      <c r="BA832" s="1">
        <v>159.78</v>
      </c>
      <c r="BB832" s="1">
        <v>182.6</v>
      </c>
      <c r="BC832" s="1">
        <v>178.32</v>
      </c>
      <c r="BD832" s="1">
        <v>175.39</v>
      </c>
      <c r="BE832" s="1">
        <v>176.12</v>
      </c>
      <c r="BF832" s="1">
        <v>169.8</v>
      </c>
      <c r="BG832" s="1">
        <v>180</v>
      </c>
      <c r="BH832" s="1">
        <v>169.97</v>
      </c>
      <c r="BI832" s="1">
        <v>174.36</v>
      </c>
      <c r="BJ832" s="1">
        <v>180.45</v>
      </c>
      <c r="BK832" s="1">
        <v>163.84</v>
      </c>
      <c r="BL832" s="1">
        <v>161.88</v>
      </c>
      <c r="BN832" s="1">
        <v>163.09</v>
      </c>
    </row>
    <row r="833" spans="1:66" x14ac:dyDescent="0.3">
      <c r="A833" s="2"/>
      <c r="C833" s="14" t="str">
        <f t="shared" si="13"/>
        <v>202211</v>
      </c>
      <c r="D833" s="3">
        <v>44894</v>
      </c>
      <c r="E833" s="21">
        <v>2783.83</v>
      </c>
      <c r="F833" s="21">
        <v>2810.47</v>
      </c>
      <c r="G833" s="21">
        <v>2825.43</v>
      </c>
      <c r="H833" s="21">
        <v>2824.83</v>
      </c>
      <c r="I833" s="21">
        <v>2636.42</v>
      </c>
      <c r="J833" s="21">
        <v>2793.93</v>
      </c>
      <c r="K833" s="21">
        <v>2549.98</v>
      </c>
      <c r="L833" s="21">
        <v>2633.37</v>
      </c>
      <c r="M833" s="21">
        <v>2389.15</v>
      </c>
      <c r="N833" s="21">
        <v>2436.96</v>
      </c>
      <c r="O833" s="21">
        <v>2910</v>
      </c>
      <c r="P833" s="21">
        <v>2574.35</v>
      </c>
      <c r="Q833" s="21">
        <v>7987.9</v>
      </c>
      <c r="R833" s="20">
        <v>161.6</v>
      </c>
      <c r="S833" s="20"/>
      <c r="T833" s="21">
        <v>169.84</v>
      </c>
      <c r="V833" s="1">
        <v>164.71</v>
      </c>
      <c r="W833" s="1">
        <v>173.75</v>
      </c>
      <c r="X833" s="1">
        <v>171.44</v>
      </c>
      <c r="Y833" s="1">
        <v>168.34</v>
      </c>
      <c r="Z833" s="1">
        <v>169.08</v>
      </c>
      <c r="AA833" s="1">
        <v>164.34</v>
      </c>
      <c r="AB833" s="1">
        <v>171.15</v>
      </c>
      <c r="AC833" s="1">
        <v>162.88999999999999</v>
      </c>
      <c r="AE833" s="1">
        <v>179.92</v>
      </c>
      <c r="AF833" s="1">
        <v>172.67</v>
      </c>
      <c r="AG833" s="1">
        <v>164.22</v>
      </c>
      <c r="AT833" s="1">
        <v>3261.99</v>
      </c>
      <c r="AW833" s="1">
        <v>3340.51</v>
      </c>
      <c r="AX833" s="1">
        <v>166.68</v>
      </c>
      <c r="BA833" s="1">
        <v>159.97999999999999</v>
      </c>
      <c r="BB833" s="1">
        <v>184.15</v>
      </c>
      <c r="BC833" s="1">
        <v>178.02</v>
      </c>
      <c r="BD833" s="1">
        <v>178.7</v>
      </c>
      <c r="BE833" s="1">
        <v>176.3</v>
      </c>
      <c r="BF833" s="1">
        <v>170.52</v>
      </c>
      <c r="BG833" s="1">
        <v>180.37</v>
      </c>
      <c r="BH833" s="1">
        <v>167.84</v>
      </c>
      <c r="BI833" s="1">
        <v>174.36</v>
      </c>
      <c r="BJ833" s="1">
        <v>180.43</v>
      </c>
      <c r="BK833" s="1">
        <v>162.22</v>
      </c>
      <c r="BL833" s="1">
        <v>162.47999999999999</v>
      </c>
      <c r="BN833" s="1">
        <v>163.68</v>
      </c>
    </row>
    <row r="834" spans="1:66" x14ac:dyDescent="0.3">
      <c r="A834" s="2"/>
      <c r="C834" s="14" t="str">
        <f t="shared" si="13"/>
        <v>202211</v>
      </c>
      <c r="D834" s="3">
        <v>44893</v>
      </c>
      <c r="E834" s="21">
        <v>2819.5</v>
      </c>
      <c r="F834" s="21">
        <v>2844.75</v>
      </c>
      <c r="G834" s="21">
        <v>2845.21</v>
      </c>
      <c r="H834" s="21">
        <v>2897.82</v>
      </c>
      <c r="I834" s="21">
        <v>2636.42</v>
      </c>
      <c r="J834" s="21">
        <v>2809.71</v>
      </c>
      <c r="K834" s="21">
        <v>2549.98</v>
      </c>
      <c r="L834" s="21">
        <v>2647.28</v>
      </c>
      <c r="M834" s="21">
        <v>2428.44</v>
      </c>
      <c r="N834" s="21">
        <v>2487.16</v>
      </c>
      <c r="O834" s="21">
        <v>2916.67</v>
      </c>
      <c r="P834" s="21">
        <v>2586.83</v>
      </c>
      <c r="Q834" s="21">
        <v>7987.9</v>
      </c>
      <c r="R834" s="20">
        <v>161.6</v>
      </c>
      <c r="S834" s="20"/>
      <c r="T834" s="21">
        <v>170.16</v>
      </c>
      <c r="V834" s="1">
        <v>163.86</v>
      </c>
      <c r="W834" s="1">
        <v>173.52</v>
      </c>
      <c r="X834" s="1">
        <v>171.52</v>
      </c>
      <c r="Y834" s="1">
        <v>167.64</v>
      </c>
      <c r="Z834" s="1">
        <v>168</v>
      </c>
      <c r="AA834" s="1">
        <v>164.18</v>
      </c>
      <c r="AB834" s="1">
        <v>171.49</v>
      </c>
      <c r="AC834" s="1">
        <v>162.38999999999999</v>
      </c>
      <c r="AE834" s="1">
        <v>179.61</v>
      </c>
      <c r="AF834" s="1">
        <v>172.1</v>
      </c>
      <c r="AG834" s="1">
        <v>164.1</v>
      </c>
      <c r="AT834" s="1">
        <v>3261.99</v>
      </c>
      <c r="AW834" s="1">
        <v>3340.51</v>
      </c>
      <c r="AX834" s="1">
        <v>166.9</v>
      </c>
      <c r="BA834" s="1">
        <v>160.13</v>
      </c>
      <c r="BB834" s="1">
        <v>184.67</v>
      </c>
      <c r="BC834" s="1">
        <v>180.1</v>
      </c>
      <c r="BD834" s="1">
        <v>178.04</v>
      </c>
      <c r="BE834" s="1">
        <v>174.13</v>
      </c>
      <c r="BF834" s="1">
        <v>170.52</v>
      </c>
      <c r="BG834" s="1">
        <v>180.1</v>
      </c>
      <c r="BH834" s="1">
        <v>167.84</v>
      </c>
      <c r="BI834" s="1">
        <v>174.36</v>
      </c>
      <c r="BJ834" s="1">
        <v>180.42</v>
      </c>
      <c r="BK834" s="1">
        <v>165.17</v>
      </c>
      <c r="BL834" s="1">
        <v>162.88</v>
      </c>
      <c r="BN834" s="1">
        <v>163.68</v>
      </c>
    </row>
    <row r="835" spans="1:66" x14ac:dyDescent="0.3">
      <c r="A835" s="2"/>
      <c r="C835" s="14" t="str">
        <f t="shared" si="13"/>
        <v>202211</v>
      </c>
      <c r="D835" s="3">
        <v>44890</v>
      </c>
      <c r="E835" s="21">
        <v>2760.42</v>
      </c>
      <c r="F835" s="21">
        <v>2773.88</v>
      </c>
      <c r="G835" s="21">
        <v>2797.53</v>
      </c>
      <c r="H835" s="21">
        <v>2892.87</v>
      </c>
      <c r="I835" s="21">
        <v>2636.42</v>
      </c>
      <c r="J835" s="21">
        <v>2826.03</v>
      </c>
      <c r="K835" s="21">
        <v>2548.3200000000002</v>
      </c>
      <c r="L835" s="21">
        <v>2665.17</v>
      </c>
      <c r="M835" s="21">
        <v>2428.44</v>
      </c>
      <c r="N835" s="21">
        <v>2483.25</v>
      </c>
      <c r="O835" s="21">
        <v>2916.67</v>
      </c>
      <c r="P835" s="21">
        <v>2586.83</v>
      </c>
      <c r="Q835" s="21">
        <v>7857.17</v>
      </c>
      <c r="R835" s="20">
        <v>160.6</v>
      </c>
      <c r="S835" s="20">
        <v>147.9</v>
      </c>
      <c r="T835" s="21">
        <v>170.03</v>
      </c>
      <c r="V835" s="1">
        <v>163.71</v>
      </c>
      <c r="W835" s="1">
        <v>173.17</v>
      </c>
      <c r="X835" s="1">
        <v>171.02</v>
      </c>
      <c r="Y835" s="1">
        <v>167.12</v>
      </c>
      <c r="Z835" s="1">
        <v>167</v>
      </c>
      <c r="AA835" s="1">
        <v>163.91</v>
      </c>
      <c r="AB835" s="1">
        <v>171.37</v>
      </c>
      <c r="AC835" s="1">
        <v>162.38999999999999</v>
      </c>
      <c r="AE835" s="1">
        <v>179.73</v>
      </c>
      <c r="AF835" s="1">
        <v>171.76</v>
      </c>
      <c r="AG835" s="1">
        <v>167.04</v>
      </c>
      <c r="AW835" s="1">
        <v>3266.28</v>
      </c>
      <c r="AX835" s="1">
        <v>166.17</v>
      </c>
      <c r="BA835" s="1">
        <v>160.15</v>
      </c>
      <c r="BB835" s="1">
        <v>185.29</v>
      </c>
      <c r="BC835" s="1">
        <v>179.37</v>
      </c>
      <c r="BD835" s="1">
        <v>178.12</v>
      </c>
      <c r="BE835" s="1">
        <v>174.13</v>
      </c>
      <c r="BF835" s="1">
        <v>169.53</v>
      </c>
      <c r="BG835" s="1">
        <v>180.45</v>
      </c>
      <c r="BH835" s="1">
        <v>167.84</v>
      </c>
      <c r="BI835" s="1">
        <v>174.36</v>
      </c>
      <c r="BJ835" s="1">
        <v>181.11</v>
      </c>
      <c r="BK835" s="1">
        <v>164.83</v>
      </c>
      <c r="BL835" s="1">
        <v>163.47999999999999</v>
      </c>
      <c r="BN835" s="1">
        <v>161.9</v>
      </c>
    </row>
    <row r="836" spans="1:66" x14ac:dyDescent="0.3">
      <c r="A836" s="2"/>
      <c r="C836" s="14" t="str">
        <f t="shared" si="13"/>
        <v>202211</v>
      </c>
      <c r="D836" s="3">
        <v>44889</v>
      </c>
      <c r="E836" s="21">
        <v>2776.02</v>
      </c>
      <c r="F836" s="21">
        <v>2770.73</v>
      </c>
      <c r="G836" s="21">
        <v>2795.76</v>
      </c>
      <c r="H836" s="21">
        <v>2910.58</v>
      </c>
      <c r="I836" s="21">
        <v>2674.99</v>
      </c>
      <c r="J836" s="21">
        <v>2826.03</v>
      </c>
      <c r="K836" s="21">
        <v>2548.3200000000002</v>
      </c>
      <c r="L836" s="21">
        <v>2665.17</v>
      </c>
      <c r="M836" s="21">
        <v>2428.44</v>
      </c>
      <c r="N836" s="21">
        <v>2533.66</v>
      </c>
      <c r="O836" s="21">
        <v>2916.67</v>
      </c>
      <c r="P836" s="21">
        <v>2599.3000000000002</v>
      </c>
      <c r="Q836" s="21">
        <v>7846.36</v>
      </c>
      <c r="R836" s="20">
        <v>161.27000000000001</v>
      </c>
      <c r="S836" s="20">
        <v>147.76</v>
      </c>
      <c r="T836" s="21">
        <v>170.89</v>
      </c>
      <c r="V836" s="1">
        <v>164.99</v>
      </c>
      <c r="W836" s="1">
        <v>173.45</v>
      </c>
      <c r="X836" s="1">
        <v>170.77</v>
      </c>
      <c r="Y836" s="1">
        <v>167.64</v>
      </c>
      <c r="Z836" s="1">
        <v>167.65</v>
      </c>
      <c r="AA836" s="1">
        <v>163.88</v>
      </c>
      <c r="AB836" s="1">
        <v>170.82</v>
      </c>
      <c r="AC836" s="1">
        <v>162.38999999999999</v>
      </c>
      <c r="AE836" s="1">
        <v>179.28</v>
      </c>
      <c r="AF836" s="1">
        <v>172.25</v>
      </c>
      <c r="AG836" s="1">
        <v>161.62</v>
      </c>
      <c r="AX836" s="1">
        <v>165.24</v>
      </c>
      <c r="BA836" s="1">
        <v>158.05000000000001</v>
      </c>
      <c r="BB836" s="1">
        <v>184.45</v>
      </c>
      <c r="BC836" s="1">
        <v>177.23</v>
      </c>
      <c r="BD836" s="1">
        <v>178.58</v>
      </c>
      <c r="BE836" s="1">
        <v>174.13</v>
      </c>
      <c r="BF836" s="1">
        <v>169.42</v>
      </c>
      <c r="BG836" s="1">
        <v>180.35</v>
      </c>
      <c r="BH836" s="1">
        <v>167.98</v>
      </c>
      <c r="BI836" s="1">
        <v>174.36</v>
      </c>
      <c r="BJ836" s="1">
        <v>181.09</v>
      </c>
      <c r="BK836" s="1">
        <v>164.83</v>
      </c>
      <c r="BL836" s="1">
        <v>162.51</v>
      </c>
      <c r="BN836" s="1">
        <v>160.08000000000001</v>
      </c>
    </row>
    <row r="837" spans="1:66" x14ac:dyDescent="0.3">
      <c r="A837" s="2"/>
      <c r="C837" s="14" t="str">
        <f t="shared" si="13"/>
        <v>202211</v>
      </c>
      <c r="D837" s="3">
        <v>44888</v>
      </c>
      <c r="E837" s="21">
        <v>2667.71</v>
      </c>
      <c r="F837" s="21">
        <v>2770.73</v>
      </c>
      <c r="G837" s="21">
        <v>2795.76</v>
      </c>
      <c r="H837" s="21">
        <v>2910.58</v>
      </c>
      <c r="I837" s="21">
        <v>2674.99</v>
      </c>
      <c r="J837" s="21">
        <v>2779.06</v>
      </c>
      <c r="K837" s="21">
        <v>2548.3200000000002</v>
      </c>
      <c r="L837" s="21">
        <v>2673.12</v>
      </c>
      <c r="M837" s="21">
        <v>2428.44</v>
      </c>
      <c r="N837" s="21">
        <v>2490.2800000000002</v>
      </c>
      <c r="O837" s="21">
        <v>2916.67</v>
      </c>
      <c r="P837" s="21">
        <v>2586.83</v>
      </c>
      <c r="Q837" s="21">
        <v>7824.21</v>
      </c>
      <c r="R837" s="20">
        <v>161.27000000000001</v>
      </c>
      <c r="S837" s="20">
        <v>147.35</v>
      </c>
      <c r="T837" s="21">
        <v>170.83</v>
      </c>
      <c r="V837" s="1">
        <v>165.19</v>
      </c>
      <c r="W837" s="1">
        <v>173.7</v>
      </c>
      <c r="X837" s="1">
        <v>170.77</v>
      </c>
      <c r="Y837" s="1">
        <v>167.55</v>
      </c>
      <c r="Z837" s="1">
        <v>167.75</v>
      </c>
      <c r="AA837" s="1">
        <v>163.88</v>
      </c>
      <c r="AB837" s="1">
        <v>170.5</v>
      </c>
      <c r="AC837" s="1">
        <v>162.38999999999999</v>
      </c>
      <c r="AE837" s="1">
        <v>178.39</v>
      </c>
      <c r="AF837" s="1">
        <v>171.94</v>
      </c>
      <c r="AG837" s="1">
        <v>167</v>
      </c>
      <c r="AX837" s="1">
        <v>166.66</v>
      </c>
      <c r="BA837" s="1">
        <v>160.27000000000001</v>
      </c>
      <c r="BB837" s="1">
        <v>184.58</v>
      </c>
      <c r="BC837" s="1">
        <v>178.37</v>
      </c>
      <c r="BD837" s="1">
        <v>178.75</v>
      </c>
      <c r="BE837" s="1">
        <v>174.13</v>
      </c>
      <c r="BF837" s="1">
        <v>169.53</v>
      </c>
      <c r="BG837" s="1">
        <v>180.37</v>
      </c>
      <c r="BH837" s="1">
        <v>167.98</v>
      </c>
      <c r="BI837" s="1">
        <v>174.96</v>
      </c>
      <c r="BJ837" s="1">
        <v>181.08</v>
      </c>
      <c r="BK837" s="1">
        <v>164.83</v>
      </c>
      <c r="BL837" s="1">
        <v>162.85</v>
      </c>
      <c r="BN837" s="1">
        <v>160.9</v>
      </c>
    </row>
    <row r="838" spans="1:66" x14ac:dyDescent="0.3">
      <c r="A838" s="2"/>
      <c r="C838" s="14" t="str">
        <f t="shared" ref="C838:C901" si="14">YEAR(D838)&amp;MONTH(D838)</f>
        <v>202211</v>
      </c>
      <c r="D838" s="3">
        <v>44887</v>
      </c>
      <c r="E838" s="21">
        <v>2676.35</v>
      </c>
      <c r="F838" s="21">
        <v>2815.91</v>
      </c>
      <c r="G838" s="21">
        <v>2805.65</v>
      </c>
      <c r="H838" s="21">
        <v>2829.77</v>
      </c>
      <c r="I838" s="21">
        <v>2670.04</v>
      </c>
      <c r="J838" s="21">
        <v>2765.9</v>
      </c>
      <c r="K838" s="21">
        <v>2559.98</v>
      </c>
      <c r="L838" s="21">
        <v>2631.02</v>
      </c>
      <c r="M838" s="21">
        <v>2428.44</v>
      </c>
      <c r="N838" s="21">
        <v>2445.84</v>
      </c>
      <c r="O838" s="21">
        <v>2916.67</v>
      </c>
      <c r="P838" s="21">
        <v>2600.38</v>
      </c>
      <c r="Q838" s="21">
        <v>7922.54</v>
      </c>
      <c r="R838" s="20">
        <v>159.75</v>
      </c>
      <c r="S838" s="20">
        <v>146.76</v>
      </c>
      <c r="T838" s="21">
        <v>170.21</v>
      </c>
      <c r="V838" s="1">
        <v>163.57</v>
      </c>
      <c r="W838" s="1">
        <v>172.97</v>
      </c>
      <c r="X838" s="1">
        <v>170.85</v>
      </c>
      <c r="Y838" s="1">
        <v>166.32</v>
      </c>
      <c r="Z838" s="1">
        <v>166.36</v>
      </c>
      <c r="AA838" s="1">
        <v>163.1</v>
      </c>
      <c r="AB838" s="1">
        <v>170.45</v>
      </c>
      <c r="AE838" s="1">
        <v>176.55</v>
      </c>
      <c r="AF838" s="1">
        <v>172.03</v>
      </c>
      <c r="AG838" s="1">
        <v>158.15</v>
      </c>
      <c r="AX838" s="1">
        <v>166.98</v>
      </c>
      <c r="BA838" s="1">
        <v>160.41999999999999</v>
      </c>
      <c r="BB838" s="1">
        <v>184.21</v>
      </c>
      <c r="BC838" s="1">
        <v>178.53</v>
      </c>
      <c r="BD838" s="1">
        <v>179.34</v>
      </c>
      <c r="BE838" s="1">
        <v>172.14</v>
      </c>
      <c r="BF838" s="1">
        <v>167.92</v>
      </c>
      <c r="BG838" s="1">
        <v>178.54</v>
      </c>
      <c r="BH838" s="1">
        <v>170.17</v>
      </c>
      <c r="BI838" s="1">
        <v>174.96</v>
      </c>
      <c r="BJ838" s="1">
        <v>181.06</v>
      </c>
      <c r="BK838" s="1">
        <v>163.71</v>
      </c>
      <c r="BL838" s="1">
        <v>161.88</v>
      </c>
      <c r="BN838" s="1">
        <v>160.4</v>
      </c>
    </row>
    <row r="839" spans="1:66" x14ac:dyDescent="0.3">
      <c r="A839" s="2"/>
      <c r="C839" s="14" t="str">
        <f t="shared" si="14"/>
        <v>202211</v>
      </c>
      <c r="D839" s="3">
        <v>44886</v>
      </c>
      <c r="E839" s="21">
        <v>2680.23</v>
      </c>
      <c r="F839" s="21">
        <v>2782.94</v>
      </c>
      <c r="G839" s="21">
        <v>2785.87</v>
      </c>
      <c r="H839" s="21">
        <v>2901.37</v>
      </c>
      <c r="I839" s="21">
        <v>2670.04</v>
      </c>
      <c r="J839" s="21">
        <v>2765.9</v>
      </c>
      <c r="K839" s="21">
        <v>2559.98</v>
      </c>
      <c r="L839" s="21">
        <v>2633.51</v>
      </c>
      <c r="M839" s="21">
        <v>2455.2199999999998</v>
      </c>
      <c r="N839" s="21">
        <v>2436.5500000000002</v>
      </c>
      <c r="O839" s="21">
        <v>2916.67</v>
      </c>
      <c r="P839" s="21">
        <v>2609.31</v>
      </c>
      <c r="Q839" s="21">
        <v>7857.69</v>
      </c>
      <c r="R839" s="20">
        <v>160.41999999999999</v>
      </c>
      <c r="S839" s="20">
        <v>146.76</v>
      </c>
      <c r="T839" s="21">
        <v>169.43</v>
      </c>
      <c r="V839" s="1">
        <v>166.59</v>
      </c>
      <c r="W839" s="1">
        <v>173.24</v>
      </c>
      <c r="X839" s="1">
        <v>170.53</v>
      </c>
      <c r="Y839" s="1">
        <v>167.51</v>
      </c>
      <c r="Z839" s="1">
        <v>166.42</v>
      </c>
      <c r="AA839" s="1">
        <v>163.06</v>
      </c>
      <c r="AB839" s="1">
        <v>170.71</v>
      </c>
      <c r="AE839" s="1">
        <v>176.53</v>
      </c>
      <c r="AF839" s="1">
        <v>172.56</v>
      </c>
      <c r="AG839" s="1">
        <v>157.88999999999999</v>
      </c>
      <c r="AX839" s="1">
        <v>168.32</v>
      </c>
      <c r="BA839" s="1">
        <v>160.59</v>
      </c>
      <c r="BB839" s="1">
        <v>183.04</v>
      </c>
      <c r="BC839" s="1">
        <v>178.67</v>
      </c>
      <c r="BD839" s="1">
        <v>179.8</v>
      </c>
      <c r="BE839" s="1">
        <v>166.58</v>
      </c>
      <c r="BF839" s="1">
        <v>168.03</v>
      </c>
      <c r="BG839" s="1">
        <v>178.28</v>
      </c>
      <c r="BH839" s="1">
        <v>170.17</v>
      </c>
      <c r="BI839" s="1">
        <v>174.96</v>
      </c>
      <c r="BJ839" s="1">
        <v>181.04</v>
      </c>
      <c r="BK839" s="1">
        <v>163.38</v>
      </c>
      <c r="BL839" s="1">
        <v>161.69</v>
      </c>
      <c r="BN839" s="1">
        <v>159.91</v>
      </c>
    </row>
    <row r="840" spans="1:66" x14ac:dyDescent="0.3">
      <c r="A840" s="2"/>
      <c r="C840" s="14" t="str">
        <f t="shared" si="14"/>
        <v>202211</v>
      </c>
      <c r="D840" s="3">
        <v>44883</v>
      </c>
      <c r="E840" s="21">
        <v>2682.71</v>
      </c>
      <c r="F840" s="21">
        <v>2782.94</v>
      </c>
      <c r="G840" s="21">
        <v>2786.24</v>
      </c>
      <c r="H840" s="21">
        <v>2879.26</v>
      </c>
      <c r="I840" s="21">
        <v>2679.93</v>
      </c>
      <c r="J840" s="21">
        <v>2814.9</v>
      </c>
      <c r="K840" s="21">
        <v>2549.98</v>
      </c>
      <c r="L840" s="21">
        <v>2607.89</v>
      </c>
      <c r="M840" s="21">
        <v>2497.61</v>
      </c>
      <c r="N840" s="21">
        <v>2473.46</v>
      </c>
      <c r="O840" s="21">
        <v>2916.67</v>
      </c>
      <c r="P840" s="21">
        <v>2594.31</v>
      </c>
      <c r="Q840" s="21">
        <v>7848.79</v>
      </c>
      <c r="R840" s="20">
        <v>162.6</v>
      </c>
      <c r="S840" s="20">
        <v>147.63</v>
      </c>
      <c r="T840" s="21">
        <v>170.9</v>
      </c>
      <c r="V840" s="1">
        <v>166.42</v>
      </c>
      <c r="W840" s="1">
        <v>174.33</v>
      </c>
      <c r="X840" s="1">
        <v>172.52</v>
      </c>
      <c r="Y840" s="1">
        <v>169.02</v>
      </c>
      <c r="Z840" s="1">
        <v>168.74</v>
      </c>
      <c r="AA840" s="1">
        <v>164.8</v>
      </c>
      <c r="AB840" s="1">
        <v>172.24</v>
      </c>
      <c r="AE840" s="1">
        <v>177.84</v>
      </c>
      <c r="AF840" s="1">
        <v>174.42</v>
      </c>
      <c r="AG840" s="1">
        <v>160.18</v>
      </c>
      <c r="AX840" s="1">
        <v>168.32</v>
      </c>
      <c r="BA840" s="1">
        <v>161.13999999999999</v>
      </c>
      <c r="BB840" s="1">
        <v>183.07</v>
      </c>
      <c r="BC840" s="1">
        <v>180.17</v>
      </c>
      <c r="BD840" s="1">
        <v>180.56</v>
      </c>
      <c r="BE840" s="1">
        <v>173.84</v>
      </c>
      <c r="BF840" s="1">
        <v>171.02</v>
      </c>
      <c r="BG840" s="1">
        <v>178.97</v>
      </c>
      <c r="BH840" s="1">
        <v>171.03</v>
      </c>
      <c r="BI840" s="1">
        <v>174.96</v>
      </c>
      <c r="BJ840" s="1">
        <v>180.99</v>
      </c>
      <c r="BK840" s="1">
        <v>165.93</v>
      </c>
      <c r="BL840" s="1">
        <v>163.28</v>
      </c>
      <c r="BN840" s="1">
        <v>163.38</v>
      </c>
    </row>
    <row r="841" spans="1:66" x14ac:dyDescent="0.3">
      <c r="A841" s="2"/>
      <c r="C841" s="14" t="str">
        <f t="shared" si="14"/>
        <v>202211</v>
      </c>
      <c r="D841" s="3">
        <v>44882</v>
      </c>
      <c r="E841" s="21">
        <v>2642.43</v>
      </c>
      <c r="F841" s="21">
        <v>2778.82</v>
      </c>
      <c r="G841" s="21"/>
      <c r="H841" s="21"/>
      <c r="I841" s="21">
        <v>2679.93</v>
      </c>
      <c r="J841" s="21">
        <v>2779.71</v>
      </c>
      <c r="K841" s="21"/>
      <c r="L841" s="21">
        <v>2597.9499999999998</v>
      </c>
      <c r="M841" s="21"/>
      <c r="N841" s="21">
        <v>2410.23</v>
      </c>
      <c r="O841" s="21"/>
      <c r="P841" s="21"/>
      <c r="Q841" s="21">
        <v>7890.79</v>
      </c>
      <c r="R841" s="20">
        <v>161.69999999999999</v>
      </c>
      <c r="S841" s="20"/>
      <c r="T841" s="21">
        <v>173.19</v>
      </c>
      <c r="V841" s="1">
        <v>164.52</v>
      </c>
      <c r="X841" s="1">
        <v>173.47</v>
      </c>
      <c r="Y841" s="1">
        <v>168.86</v>
      </c>
      <c r="Z841" s="1">
        <v>169.45</v>
      </c>
      <c r="AA841" s="1">
        <v>164.68</v>
      </c>
      <c r="AB841" s="1">
        <v>173.18</v>
      </c>
      <c r="AE841" s="1">
        <v>181.26</v>
      </c>
      <c r="AF841" s="1">
        <v>174.09</v>
      </c>
      <c r="BB841" s="1">
        <v>186.58</v>
      </c>
      <c r="BC841" s="1">
        <v>182.42</v>
      </c>
      <c r="BD841" s="1">
        <v>179.34</v>
      </c>
      <c r="BG841" s="1">
        <v>182.26</v>
      </c>
      <c r="BH841" s="1">
        <v>172.38</v>
      </c>
    </row>
    <row r="842" spans="1:66" x14ac:dyDescent="0.3">
      <c r="A842" s="2"/>
      <c r="C842" s="14" t="str">
        <f t="shared" si="14"/>
        <v>202211</v>
      </c>
      <c r="D842" s="3">
        <v>44881</v>
      </c>
      <c r="E842" s="21">
        <v>2657.6</v>
      </c>
      <c r="F842" s="21">
        <v>2804.89</v>
      </c>
      <c r="G842" s="21">
        <v>2801.9</v>
      </c>
      <c r="H842" s="21">
        <v>2846.11</v>
      </c>
      <c r="I842" s="21">
        <v>2687.84</v>
      </c>
      <c r="J842" s="21">
        <v>2807.32</v>
      </c>
      <c r="K842" s="21">
        <v>2558.2800000000002</v>
      </c>
      <c r="L842" s="21">
        <v>2597.9499999999998</v>
      </c>
      <c r="M842" s="21">
        <v>2511.3000000000002</v>
      </c>
      <c r="N842" s="21">
        <v>2411.7800000000002</v>
      </c>
      <c r="O842" s="21">
        <v>2916.67</v>
      </c>
      <c r="P842" s="21">
        <v>2594.31</v>
      </c>
      <c r="Q842" s="21">
        <v>7883.75</v>
      </c>
      <c r="R842" s="20">
        <v>160.27000000000001</v>
      </c>
      <c r="S842" s="20">
        <v>149.09</v>
      </c>
      <c r="T842" s="21">
        <v>172.68</v>
      </c>
      <c r="V842" s="1">
        <v>165.85</v>
      </c>
      <c r="W842" s="1">
        <v>174.44</v>
      </c>
      <c r="X842" s="1">
        <v>173.6</v>
      </c>
      <c r="Y842" s="1">
        <v>170.31</v>
      </c>
      <c r="Z842" s="1">
        <v>170.31</v>
      </c>
      <c r="AA842" s="1">
        <v>163.95</v>
      </c>
      <c r="AB842" s="1">
        <v>172.94</v>
      </c>
      <c r="AE842" s="1">
        <v>180.99</v>
      </c>
      <c r="AF842" s="1">
        <v>174.51</v>
      </c>
      <c r="AG842" s="1">
        <v>160.31</v>
      </c>
      <c r="AS842" s="1">
        <v>3235.95</v>
      </c>
      <c r="AX842" s="1">
        <v>168.26</v>
      </c>
      <c r="BA842" s="1">
        <v>161.69999999999999</v>
      </c>
      <c r="BB842" s="1">
        <v>187.61</v>
      </c>
      <c r="BC842" s="1">
        <v>181.7</v>
      </c>
      <c r="BD842" s="1">
        <v>182.23</v>
      </c>
      <c r="BE842" s="1">
        <v>171.97</v>
      </c>
      <c r="BF842" s="1">
        <v>170.24</v>
      </c>
      <c r="BG842" s="1">
        <v>181.94</v>
      </c>
      <c r="BH842" s="1">
        <v>171.63</v>
      </c>
      <c r="BI842" s="1">
        <v>176.55</v>
      </c>
      <c r="BJ842" s="1">
        <v>183.19</v>
      </c>
      <c r="BK842" s="1">
        <v>168.82</v>
      </c>
      <c r="BL842" s="1">
        <v>166.13</v>
      </c>
      <c r="BN842" s="1">
        <v>166.36</v>
      </c>
    </row>
    <row r="843" spans="1:66" x14ac:dyDescent="0.3">
      <c r="A843" s="2"/>
      <c r="C843" s="14" t="str">
        <f t="shared" si="14"/>
        <v>202211</v>
      </c>
      <c r="D843" s="3">
        <v>44879</v>
      </c>
      <c r="E843" s="21">
        <v>2664.67</v>
      </c>
      <c r="F843" s="21">
        <v>2840.85</v>
      </c>
      <c r="G843" s="21">
        <v>2851.34</v>
      </c>
      <c r="H843" s="21">
        <v>2998.09</v>
      </c>
      <c r="I843" s="21">
        <v>2679.93</v>
      </c>
      <c r="J843" s="21">
        <v>2817.34</v>
      </c>
      <c r="K843" s="21">
        <v>2563.2199999999998</v>
      </c>
      <c r="L843" s="21">
        <v>2599.7600000000002</v>
      </c>
      <c r="M843" s="21">
        <v>2511.3000000000002</v>
      </c>
      <c r="N843" s="21">
        <v>2427.7399999999998</v>
      </c>
      <c r="O843" s="21">
        <v>2920</v>
      </c>
      <c r="P843" s="21">
        <v>2614.17</v>
      </c>
      <c r="Q843" s="21">
        <v>7883.75</v>
      </c>
      <c r="R843" s="20">
        <v>162.93</v>
      </c>
      <c r="S843" s="20">
        <v>149.76</v>
      </c>
      <c r="T843" s="21">
        <v>173.9</v>
      </c>
      <c r="V843" s="1">
        <v>165.85</v>
      </c>
      <c r="W843" s="1">
        <v>175.53</v>
      </c>
      <c r="X843" s="1">
        <v>174.58</v>
      </c>
      <c r="Y843" s="1">
        <v>170.89</v>
      </c>
      <c r="Z843" s="1">
        <v>171.48</v>
      </c>
      <c r="AA843" s="1">
        <v>164.99</v>
      </c>
      <c r="AB843" s="1">
        <v>173.7</v>
      </c>
      <c r="AE843" s="1">
        <v>181.41</v>
      </c>
      <c r="AF843" s="1">
        <v>174.83</v>
      </c>
      <c r="AG843" s="1">
        <v>159.19</v>
      </c>
      <c r="AS843" s="1">
        <v>3235.95</v>
      </c>
      <c r="AV843" s="1">
        <v>30</v>
      </c>
      <c r="AW843" s="1">
        <v>3488</v>
      </c>
      <c r="AX843" s="1">
        <v>168.64</v>
      </c>
      <c r="BA843" s="1">
        <v>163.30000000000001</v>
      </c>
      <c r="BB843" s="1">
        <v>188.22</v>
      </c>
      <c r="BC843" s="1">
        <v>183.06</v>
      </c>
      <c r="BD843" s="1">
        <v>181.84</v>
      </c>
      <c r="BE843" s="1">
        <v>175.7</v>
      </c>
      <c r="BF843" s="1">
        <v>175.21</v>
      </c>
      <c r="BG843" s="1">
        <v>181.15</v>
      </c>
      <c r="BH843" s="1">
        <v>171.63</v>
      </c>
      <c r="BI843" s="1">
        <v>176.55</v>
      </c>
      <c r="BJ843" s="1">
        <v>183.16</v>
      </c>
      <c r="BK843" s="1">
        <v>166.76</v>
      </c>
      <c r="BL843" s="1">
        <v>167.38</v>
      </c>
      <c r="BN843" s="1">
        <v>167.12</v>
      </c>
    </row>
    <row r="844" spans="1:66" x14ac:dyDescent="0.3">
      <c r="A844" s="2"/>
      <c r="C844" s="14" t="str">
        <f t="shared" si="14"/>
        <v>202211</v>
      </c>
      <c r="D844" s="3">
        <v>44876</v>
      </c>
      <c r="E844" s="21">
        <v>2667.5</v>
      </c>
      <c r="F844" s="21">
        <v>2840.85</v>
      </c>
      <c r="G844" s="21">
        <v>2834.61</v>
      </c>
      <c r="H844" s="21">
        <v>2902.63</v>
      </c>
      <c r="I844" s="21">
        <v>2683.89</v>
      </c>
      <c r="J844" s="21">
        <v>2775.07</v>
      </c>
      <c r="K844" s="21">
        <v>2566.5500000000002</v>
      </c>
      <c r="L844" s="21">
        <v>2597.77</v>
      </c>
      <c r="M844" s="21">
        <v>2502.4299999999998</v>
      </c>
      <c r="N844" s="21">
        <v>2422.73</v>
      </c>
      <c r="O844" s="21">
        <v>2920</v>
      </c>
      <c r="P844" s="21">
        <v>2619.17</v>
      </c>
      <c r="Q844" s="21">
        <v>7954.79</v>
      </c>
      <c r="R844" s="20">
        <v>162.93</v>
      </c>
      <c r="S844" s="20">
        <v>154.41</v>
      </c>
      <c r="T844" s="21">
        <v>172</v>
      </c>
      <c r="V844" s="1">
        <v>165.19</v>
      </c>
      <c r="W844" s="1">
        <v>174.89</v>
      </c>
      <c r="X844" s="1">
        <v>175.69</v>
      </c>
      <c r="Y844" s="1">
        <v>172.76</v>
      </c>
      <c r="Z844" s="1">
        <v>171.25</v>
      </c>
      <c r="AA844" s="1">
        <v>165.24</v>
      </c>
      <c r="AB844" s="1">
        <v>174.84</v>
      </c>
      <c r="AE844" s="1">
        <v>182.88</v>
      </c>
      <c r="AF844" s="1">
        <v>174.5</v>
      </c>
      <c r="AG844" s="1">
        <v>157.62</v>
      </c>
      <c r="AS844" s="1">
        <v>3235.95</v>
      </c>
      <c r="AV844" s="1">
        <v>30</v>
      </c>
      <c r="AW844" s="1">
        <v>3488</v>
      </c>
      <c r="BA844" s="1">
        <v>167.27</v>
      </c>
      <c r="BB844" s="1">
        <v>188.95</v>
      </c>
      <c r="BC844" s="1">
        <v>183.57</v>
      </c>
      <c r="BD844" s="1">
        <v>180.62</v>
      </c>
      <c r="BE844" s="1">
        <v>174.71</v>
      </c>
      <c r="BF844" s="1">
        <v>174.36</v>
      </c>
      <c r="BG844" s="1">
        <v>182.84</v>
      </c>
      <c r="BH844" s="1">
        <v>171.22</v>
      </c>
      <c r="BI844" s="1">
        <v>175.95</v>
      </c>
      <c r="BJ844" s="1">
        <v>183.84</v>
      </c>
      <c r="BK844" s="1">
        <v>168.82</v>
      </c>
      <c r="BL844" s="1">
        <v>167.13</v>
      </c>
      <c r="BN844" s="1">
        <v>167.12</v>
      </c>
    </row>
    <row r="845" spans="1:66" x14ac:dyDescent="0.3">
      <c r="A845" s="2"/>
      <c r="C845" s="14" t="str">
        <f t="shared" si="14"/>
        <v>202211</v>
      </c>
      <c r="D845" s="3">
        <v>44875</v>
      </c>
      <c r="E845" s="21">
        <v>2693.04</v>
      </c>
      <c r="F845" s="21">
        <v>2818.38</v>
      </c>
      <c r="G845" s="21">
        <v>2834.61</v>
      </c>
      <c r="H845" s="21">
        <v>2896.69</v>
      </c>
      <c r="I845" s="21">
        <v>2672.02</v>
      </c>
      <c r="J845" s="21">
        <v>2788.19</v>
      </c>
      <c r="K845" s="21">
        <v>2566.5500000000002</v>
      </c>
      <c r="L845" s="21">
        <v>2607.5300000000002</v>
      </c>
      <c r="M845" s="21">
        <v>2412.2800000000002</v>
      </c>
      <c r="N845" s="21">
        <v>2421.69</v>
      </c>
      <c r="O845" s="21">
        <v>2920</v>
      </c>
      <c r="P845" s="21">
        <v>2619.17</v>
      </c>
      <c r="Q845" s="21">
        <v>8063.22</v>
      </c>
      <c r="R845" s="20">
        <v>162.93</v>
      </c>
      <c r="S845" s="20">
        <v>155.52000000000001</v>
      </c>
      <c r="T845" s="21">
        <v>170.49</v>
      </c>
      <c r="V845" s="1">
        <v>163.12</v>
      </c>
      <c r="W845" s="1">
        <v>174.43</v>
      </c>
      <c r="X845" s="1">
        <v>173.15</v>
      </c>
      <c r="Y845" s="1">
        <v>168.72</v>
      </c>
      <c r="Z845" s="1">
        <v>169.42</v>
      </c>
      <c r="AA845" s="1">
        <v>165.36</v>
      </c>
      <c r="AB845" s="1">
        <v>173.61</v>
      </c>
      <c r="AE845" s="1">
        <v>181.61</v>
      </c>
      <c r="AF845" s="1">
        <v>173.89</v>
      </c>
      <c r="AG845" s="1">
        <v>160.66999999999999</v>
      </c>
      <c r="AS845" s="1">
        <v>3235.95</v>
      </c>
      <c r="AV845" s="1">
        <v>30</v>
      </c>
      <c r="AW845" s="1">
        <v>3488</v>
      </c>
      <c r="AX845" s="1">
        <v>168.52</v>
      </c>
      <c r="BA845" s="1">
        <v>167.4</v>
      </c>
      <c r="BB845" s="1">
        <v>186.31</v>
      </c>
      <c r="BC845" s="1">
        <v>183.39</v>
      </c>
      <c r="BD845" s="1">
        <v>180.53</v>
      </c>
      <c r="BE845" s="1">
        <v>174.21</v>
      </c>
      <c r="BF845" s="1">
        <v>173.02</v>
      </c>
      <c r="BG845" s="1">
        <v>182.38</v>
      </c>
      <c r="BH845" s="1">
        <v>170.44</v>
      </c>
      <c r="BI845" s="1">
        <v>173.96</v>
      </c>
      <c r="BJ845" s="1">
        <v>183.21</v>
      </c>
      <c r="BK845" s="1">
        <v>164.77</v>
      </c>
      <c r="BL845" s="1">
        <v>165.77</v>
      </c>
      <c r="BN845" s="1">
        <v>165.63</v>
      </c>
    </row>
    <row r="846" spans="1:66" x14ac:dyDescent="0.3">
      <c r="A846" s="2"/>
      <c r="C846" s="14" t="str">
        <f t="shared" si="14"/>
        <v>202211</v>
      </c>
      <c r="D846" s="3">
        <v>44874</v>
      </c>
      <c r="E846" s="21">
        <v>2687.37</v>
      </c>
      <c r="F846" s="21">
        <v>2818.38</v>
      </c>
      <c r="G846" s="21">
        <v>2834.61</v>
      </c>
      <c r="H846" s="21">
        <v>2880.78</v>
      </c>
      <c r="I846" s="21">
        <v>2672.02</v>
      </c>
      <c r="J846" s="21">
        <v>2779.51</v>
      </c>
      <c r="K846" s="21">
        <v>2589.85</v>
      </c>
      <c r="L846" s="21">
        <v>2601.5700000000002</v>
      </c>
      <c r="M846" s="21">
        <v>2448.12</v>
      </c>
      <c r="N846" s="21">
        <v>2444.14</v>
      </c>
      <c r="O846" s="21">
        <v>2920</v>
      </c>
      <c r="P846" s="21">
        <v>2641.67</v>
      </c>
      <c r="Q846" s="21">
        <v>7893.6</v>
      </c>
      <c r="R846" s="20">
        <v>162.6</v>
      </c>
      <c r="S846" s="20">
        <v>148.97999999999999</v>
      </c>
      <c r="T846" s="21">
        <v>168.81</v>
      </c>
      <c r="V846" s="1">
        <v>162.18</v>
      </c>
      <c r="W846" s="1">
        <v>173.42</v>
      </c>
      <c r="X846" s="1">
        <v>172.52</v>
      </c>
      <c r="Y846" s="1">
        <v>168.74</v>
      </c>
      <c r="Z846" s="1">
        <v>169.36</v>
      </c>
      <c r="AA846" s="1">
        <v>165.05</v>
      </c>
      <c r="AB846" s="1">
        <v>172.15</v>
      </c>
      <c r="AE846" s="1">
        <v>180.71</v>
      </c>
      <c r="AF846" s="1">
        <v>173.54</v>
      </c>
      <c r="AG846" s="1">
        <v>160.16</v>
      </c>
      <c r="AU846" s="1">
        <v>3362.35</v>
      </c>
      <c r="AV846" s="1">
        <v>30</v>
      </c>
      <c r="AW846" s="1">
        <v>3488</v>
      </c>
      <c r="AX846" s="1">
        <v>167.19</v>
      </c>
      <c r="BA846" s="1">
        <v>165.94</v>
      </c>
      <c r="BB846" s="1">
        <v>187.06</v>
      </c>
      <c r="BC846" s="1">
        <v>182.73</v>
      </c>
      <c r="BD846" s="1">
        <v>180.37</v>
      </c>
      <c r="BE846" s="1">
        <v>173.71</v>
      </c>
      <c r="BF846" s="1">
        <v>172.77</v>
      </c>
      <c r="BG846" s="1">
        <v>181.57</v>
      </c>
      <c r="BH846" s="1">
        <v>170.44</v>
      </c>
      <c r="BI846" s="1">
        <v>173.36</v>
      </c>
      <c r="BJ846" s="1">
        <v>181.99</v>
      </c>
      <c r="BK846" s="1">
        <v>166.83</v>
      </c>
      <c r="BL846" s="1">
        <v>165.17</v>
      </c>
      <c r="BN846" s="1">
        <v>165.17</v>
      </c>
    </row>
    <row r="847" spans="1:66" x14ac:dyDescent="0.3">
      <c r="A847" s="2"/>
      <c r="C847" s="14" t="str">
        <f t="shared" si="14"/>
        <v>202211</v>
      </c>
      <c r="D847" s="3">
        <v>44873</v>
      </c>
      <c r="E847" s="21">
        <v>2671.75</v>
      </c>
      <c r="F847" s="21">
        <v>2818.38</v>
      </c>
      <c r="G847" s="21">
        <v>2822.25</v>
      </c>
      <c r="H847" s="21">
        <v>2884.74</v>
      </c>
      <c r="I847" s="21">
        <v>2711.58</v>
      </c>
      <c r="J847" s="21">
        <v>2772.05</v>
      </c>
      <c r="K847" s="21">
        <v>2589.85</v>
      </c>
      <c r="L847" s="21">
        <v>2597.0700000000002</v>
      </c>
      <c r="M847" s="21">
        <v>2448.12</v>
      </c>
      <c r="N847" s="21">
        <v>2390.69</v>
      </c>
      <c r="O847" s="21">
        <v>2777.39</v>
      </c>
      <c r="P847" s="21">
        <v>2641.67</v>
      </c>
      <c r="Q847" s="21">
        <v>7926.93</v>
      </c>
      <c r="R847" s="20">
        <v>161.93</v>
      </c>
      <c r="S847" s="20">
        <v>149.49</v>
      </c>
      <c r="T847" s="21">
        <v>168.77</v>
      </c>
      <c r="V847" s="1">
        <v>161.69</v>
      </c>
      <c r="W847" s="1">
        <v>173.27</v>
      </c>
      <c r="X847" s="1">
        <v>171.31</v>
      </c>
      <c r="Y847" s="1">
        <v>168.64</v>
      </c>
      <c r="Z847" s="1">
        <v>167.48</v>
      </c>
      <c r="AA847" s="1">
        <v>164.86</v>
      </c>
      <c r="AB847" s="1">
        <v>170.78</v>
      </c>
      <c r="AE847" s="1">
        <v>179.66</v>
      </c>
      <c r="AF847" s="1">
        <v>173.88</v>
      </c>
      <c r="AG847" s="1">
        <v>160.26</v>
      </c>
      <c r="AU847" s="1">
        <v>3362.35</v>
      </c>
      <c r="AX847" s="1">
        <v>168.14</v>
      </c>
      <c r="BA847" s="1">
        <v>166.35</v>
      </c>
      <c r="BB847" s="1">
        <v>187.13</v>
      </c>
      <c r="BC847" s="1">
        <v>181.1</v>
      </c>
      <c r="BD847" s="1">
        <v>178.87</v>
      </c>
      <c r="BE847" s="1">
        <v>172.47</v>
      </c>
      <c r="BF847" s="1">
        <v>171.52</v>
      </c>
      <c r="BG847" s="1">
        <v>180.54</v>
      </c>
      <c r="BH847" s="1">
        <v>171.03</v>
      </c>
      <c r="BI847" s="1">
        <v>172.56</v>
      </c>
      <c r="BJ847" s="1">
        <v>181.46</v>
      </c>
      <c r="BK847" s="1">
        <v>166.06</v>
      </c>
      <c r="BL847" s="1">
        <v>165.07</v>
      </c>
      <c r="BN847" s="1">
        <v>165.17</v>
      </c>
    </row>
    <row r="848" spans="1:66" x14ac:dyDescent="0.3">
      <c r="A848" s="2"/>
      <c r="C848" s="14" t="str">
        <f t="shared" si="14"/>
        <v>202211</v>
      </c>
      <c r="D848" s="3">
        <v>44872</v>
      </c>
      <c r="E848" s="21">
        <v>2651.85</v>
      </c>
      <c r="F848" s="21">
        <v>2818.38</v>
      </c>
      <c r="G848" s="21">
        <v>2822.25</v>
      </c>
      <c r="H848" s="21">
        <v>2805.19</v>
      </c>
      <c r="I848" s="21">
        <v>2711.58</v>
      </c>
      <c r="J848" s="21">
        <v>2778.85</v>
      </c>
      <c r="K848" s="21">
        <v>2589.85</v>
      </c>
      <c r="L848" s="21">
        <v>2567.2600000000002</v>
      </c>
      <c r="M848" s="21">
        <v>2449.79</v>
      </c>
      <c r="N848" s="21">
        <v>2415.21</v>
      </c>
      <c r="O848" s="21">
        <v>2777.39</v>
      </c>
      <c r="P848" s="21">
        <v>2641.67</v>
      </c>
      <c r="Q848" s="21">
        <v>7800.69</v>
      </c>
      <c r="R848" s="20">
        <v>163.4</v>
      </c>
      <c r="S848" s="20">
        <v>150.03</v>
      </c>
      <c r="T848" s="21">
        <v>167.25</v>
      </c>
      <c r="V848" s="1">
        <v>161.13999999999999</v>
      </c>
      <c r="W848" s="1">
        <v>173.11</v>
      </c>
      <c r="X848" s="1">
        <v>170.4</v>
      </c>
      <c r="Y848" s="1">
        <v>166.73</v>
      </c>
      <c r="Z848" s="1">
        <v>167.69</v>
      </c>
      <c r="AA848" s="1">
        <v>164.66</v>
      </c>
      <c r="AB848" s="1">
        <v>170.35</v>
      </c>
      <c r="AE848" s="1">
        <v>178.94</v>
      </c>
      <c r="AF848" s="1">
        <v>172.84</v>
      </c>
      <c r="AG848" s="1">
        <v>160.46</v>
      </c>
      <c r="AU848" s="1">
        <v>3362.35</v>
      </c>
      <c r="AX848" s="1">
        <v>166.59</v>
      </c>
      <c r="BA848" s="1">
        <v>165.12</v>
      </c>
      <c r="BB848" s="1">
        <v>184.98</v>
      </c>
      <c r="BC848" s="1">
        <v>180.53</v>
      </c>
      <c r="BD848" s="1">
        <v>179.92</v>
      </c>
      <c r="BE848" s="1">
        <v>170.98</v>
      </c>
      <c r="BF848" s="1">
        <v>170.48</v>
      </c>
      <c r="BG848" s="1">
        <v>180.66</v>
      </c>
      <c r="BH848" s="1">
        <v>171.03</v>
      </c>
      <c r="BI848" s="1">
        <v>172.56</v>
      </c>
      <c r="BK848" s="1">
        <v>163.9</v>
      </c>
      <c r="BL848" s="1">
        <v>162.28</v>
      </c>
      <c r="BN848" s="1">
        <v>162.38</v>
      </c>
    </row>
    <row r="849" spans="1:66" x14ac:dyDescent="0.3">
      <c r="A849" s="2"/>
      <c r="C849" s="14" t="str">
        <f t="shared" si="14"/>
        <v>202211</v>
      </c>
      <c r="D849" s="3">
        <v>44869</v>
      </c>
      <c r="E849" s="21">
        <v>2763.8</v>
      </c>
      <c r="F849" s="21">
        <v>2843.1</v>
      </c>
      <c r="G849" s="21">
        <v>2859.47</v>
      </c>
      <c r="H849" s="21">
        <v>2914.52</v>
      </c>
      <c r="I849" s="21">
        <v>2719.49</v>
      </c>
      <c r="J849" s="21">
        <v>2760.64</v>
      </c>
      <c r="K849" s="21">
        <v>2613.08</v>
      </c>
      <c r="L849" s="21">
        <v>2588.06</v>
      </c>
      <c r="M849" s="21">
        <v>2415.04</v>
      </c>
      <c r="N849" s="21">
        <v>2460.63</v>
      </c>
      <c r="O849" s="21">
        <v>2829.06</v>
      </c>
      <c r="P849" s="21">
        <v>2669.03</v>
      </c>
      <c r="Q849" s="21">
        <v>7800.69</v>
      </c>
      <c r="R849" s="20">
        <v>162.93</v>
      </c>
      <c r="S849" s="20">
        <v>151.03</v>
      </c>
      <c r="T849" s="21">
        <v>167.45</v>
      </c>
      <c r="V849" s="1">
        <v>162.01</v>
      </c>
      <c r="W849" s="1">
        <v>174.19</v>
      </c>
      <c r="X849" s="1">
        <v>170.56</v>
      </c>
      <c r="Y849" s="1">
        <v>168.26</v>
      </c>
      <c r="Z849" s="1">
        <v>169.39</v>
      </c>
      <c r="AA849" s="1">
        <v>164.35</v>
      </c>
      <c r="AB849" s="1">
        <v>170.75</v>
      </c>
      <c r="AE849" s="1">
        <v>179.18</v>
      </c>
      <c r="AF849" s="1">
        <v>172.09</v>
      </c>
      <c r="AG849" s="1">
        <v>161.41999999999999</v>
      </c>
      <c r="AT849" s="1">
        <v>2798.42</v>
      </c>
      <c r="AU849" s="1">
        <v>3362.35</v>
      </c>
      <c r="AX849" s="1">
        <v>164.65</v>
      </c>
      <c r="BA849" s="1">
        <v>160.82</v>
      </c>
      <c r="BB849" s="1">
        <v>183.91</v>
      </c>
      <c r="BC849" s="1">
        <v>180.68</v>
      </c>
      <c r="BD849" s="1">
        <v>180.23</v>
      </c>
      <c r="BE849" s="1">
        <v>172.47</v>
      </c>
      <c r="BF849" s="1">
        <v>171.2</v>
      </c>
      <c r="BG849" s="1">
        <v>180.94</v>
      </c>
      <c r="BH849" s="1">
        <v>171.23</v>
      </c>
      <c r="BI849" s="1">
        <v>174.46</v>
      </c>
      <c r="BK849" s="1">
        <v>163.9</v>
      </c>
      <c r="BL849" s="1">
        <v>163.28</v>
      </c>
      <c r="BN849" s="1">
        <v>161.88</v>
      </c>
    </row>
    <row r="850" spans="1:66" x14ac:dyDescent="0.3">
      <c r="A850" s="2"/>
      <c r="C850" s="14" t="str">
        <f t="shared" si="14"/>
        <v>202211</v>
      </c>
      <c r="D850" s="3">
        <v>44868</v>
      </c>
      <c r="E850" s="21">
        <v>2737.16</v>
      </c>
      <c r="F850" s="21">
        <v>2843.1</v>
      </c>
      <c r="G850" s="21">
        <v>2871.83</v>
      </c>
      <c r="H850" s="21">
        <v>2922.76</v>
      </c>
      <c r="I850" s="21">
        <v>2709.6</v>
      </c>
      <c r="J850" s="21">
        <v>2758.35</v>
      </c>
      <c r="K850" s="21">
        <v>2619.73</v>
      </c>
      <c r="L850" s="21">
        <v>2620.9699999999998</v>
      </c>
      <c r="M850" s="21">
        <v>2415.04</v>
      </c>
      <c r="N850" s="21">
        <v>2443.9899999999998</v>
      </c>
      <c r="O850" s="21">
        <v>2869.46</v>
      </c>
      <c r="P850" s="21">
        <v>2674.03</v>
      </c>
      <c r="Q850" s="21">
        <v>7840.25</v>
      </c>
      <c r="R850" s="20">
        <v>163.6</v>
      </c>
      <c r="S850" s="20">
        <v>152.19999999999999</v>
      </c>
      <c r="T850" s="21">
        <v>168.69</v>
      </c>
      <c r="V850" s="1">
        <v>162.99</v>
      </c>
      <c r="W850" s="1">
        <v>174.2</v>
      </c>
      <c r="X850" s="1">
        <v>171.88</v>
      </c>
      <c r="Y850" s="1">
        <v>168.74</v>
      </c>
      <c r="Z850" s="1">
        <v>168.96</v>
      </c>
      <c r="AA850" s="1">
        <v>165.12</v>
      </c>
      <c r="AB850" s="1">
        <v>172.01</v>
      </c>
      <c r="AE850" s="1">
        <v>180.72</v>
      </c>
      <c r="AF850" s="1">
        <v>172.38</v>
      </c>
      <c r="AG850" s="1">
        <v>161.54</v>
      </c>
      <c r="AT850" s="1">
        <v>2798.42</v>
      </c>
      <c r="AU850" s="1">
        <v>3362.35</v>
      </c>
      <c r="AX850" s="1">
        <v>166.44</v>
      </c>
      <c r="BA850" s="1">
        <v>164.95</v>
      </c>
      <c r="BB850" s="1">
        <v>184.45</v>
      </c>
      <c r="BC850" s="1">
        <v>180.43</v>
      </c>
      <c r="BD850" s="1">
        <v>180.42</v>
      </c>
      <c r="BE850" s="1">
        <v>173.87</v>
      </c>
      <c r="BF850" s="1">
        <v>170.85</v>
      </c>
      <c r="BG850" s="1">
        <v>181.84</v>
      </c>
      <c r="BH850" s="1">
        <v>171.23</v>
      </c>
      <c r="BI850" s="1">
        <v>174.46</v>
      </c>
      <c r="BK850" s="1">
        <v>165.56</v>
      </c>
      <c r="BL850" s="1">
        <v>164.48</v>
      </c>
      <c r="BN850" s="1">
        <v>163.27000000000001</v>
      </c>
    </row>
    <row r="851" spans="1:66" x14ac:dyDescent="0.3">
      <c r="A851" s="2"/>
      <c r="C851" s="14" t="str">
        <f t="shared" si="14"/>
        <v>202211</v>
      </c>
      <c r="D851" s="3">
        <v>44866</v>
      </c>
      <c r="E851" s="21">
        <v>2754.2</v>
      </c>
      <c r="F851" s="21">
        <v>2857.93</v>
      </c>
      <c r="G851" s="21">
        <v>2884.3</v>
      </c>
      <c r="H851" s="21">
        <v>2931.08</v>
      </c>
      <c r="I851" s="21">
        <v>2719.49</v>
      </c>
      <c r="J851" s="21">
        <v>2748.52</v>
      </c>
      <c r="K851" s="21">
        <v>2624.73</v>
      </c>
      <c r="L851" s="21">
        <v>2657.09</v>
      </c>
      <c r="M851" s="21">
        <v>2668.23</v>
      </c>
      <c r="N851" s="21">
        <v>2442.66</v>
      </c>
      <c r="O851" s="21">
        <v>2854.33</v>
      </c>
      <c r="P851" s="21">
        <v>2681.53</v>
      </c>
      <c r="Q851" s="21">
        <v>7698.38</v>
      </c>
      <c r="R851" s="20">
        <v>163.93</v>
      </c>
      <c r="S851" s="20">
        <v>152.53</v>
      </c>
      <c r="T851" s="21">
        <v>169.58</v>
      </c>
      <c r="V851" s="1">
        <v>163.03</v>
      </c>
      <c r="W851" s="1">
        <v>172.95</v>
      </c>
      <c r="X851" s="1">
        <v>172.61</v>
      </c>
      <c r="Y851" s="1">
        <v>169.47</v>
      </c>
      <c r="Z851" s="1">
        <v>169.23</v>
      </c>
      <c r="AA851" s="1">
        <v>165.91</v>
      </c>
      <c r="AB851" s="1">
        <v>172.74</v>
      </c>
      <c r="AE851" s="1">
        <v>180.69</v>
      </c>
      <c r="AF851" s="1">
        <v>175.45</v>
      </c>
      <c r="AG851" s="1">
        <v>162.96</v>
      </c>
      <c r="AT851" s="1">
        <v>2798.42</v>
      </c>
      <c r="AV851" s="1">
        <v>30</v>
      </c>
      <c r="AW851" s="1">
        <v>3311.06</v>
      </c>
      <c r="AX851" s="1">
        <v>163.61000000000001</v>
      </c>
      <c r="BA851" s="1">
        <v>164.95</v>
      </c>
      <c r="BB851" s="1">
        <v>186.74</v>
      </c>
      <c r="BC851" s="1">
        <v>179.5</v>
      </c>
      <c r="BD851" s="1">
        <v>180.72</v>
      </c>
      <c r="BE851" s="1">
        <v>175.58</v>
      </c>
      <c r="BF851" s="1">
        <v>173.1</v>
      </c>
      <c r="BG851" s="1">
        <v>182.29</v>
      </c>
      <c r="BH851" s="1">
        <v>170.53</v>
      </c>
      <c r="BI851" s="1">
        <v>174.59</v>
      </c>
      <c r="BK851" s="1">
        <v>166.16</v>
      </c>
      <c r="BL851" s="1">
        <v>166.47</v>
      </c>
      <c r="BN851" s="1">
        <v>165.27</v>
      </c>
    </row>
    <row r="852" spans="1:66" x14ac:dyDescent="0.3">
      <c r="A852" s="2"/>
      <c r="C852" s="14" t="str">
        <f t="shared" si="14"/>
        <v>202210</v>
      </c>
      <c r="D852" s="3">
        <v>44865</v>
      </c>
      <c r="E852" s="21">
        <v>2762.18</v>
      </c>
      <c r="F852" s="21">
        <v>2834.66</v>
      </c>
      <c r="G852" s="21">
        <v>2869.28</v>
      </c>
      <c r="H852" s="21">
        <v>2935.3</v>
      </c>
      <c r="I852" s="21">
        <v>2720.87</v>
      </c>
      <c r="J852" s="21">
        <v>2797.12</v>
      </c>
      <c r="K852" s="21">
        <v>2625.39</v>
      </c>
      <c r="L852" s="21">
        <v>2677.84</v>
      </c>
      <c r="M852" s="21">
        <v>2669.06</v>
      </c>
      <c r="N852" s="21">
        <v>2443.17</v>
      </c>
      <c r="O852" s="21">
        <v>2813</v>
      </c>
      <c r="P852" s="21">
        <v>2689.42</v>
      </c>
      <c r="Q852" s="21">
        <v>7700.34</v>
      </c>
      <c r="R852" s="20">
        <v>163.95</v>
      </c>
      <c r="S852" s="20">
        <v>152.75</v>
      </c>
      <c r="T852" s="21">
        <v>169.87</v>
      </c>
      <c r="V852" s="1">
        <v>162.83000000000001</v>
      </c>
      <c r="W852" s="1">
        <v>173.58</v>
      </c>
      <c r="X852" s="1">
        <v>173.16</v>
      </c>
      <c r="Y852" s="1">
        <v>170.46</v>
      </c>
      <c r="Z852" s="1">
        <v>170.23</v>
      </c>
      <c r="AA852" s="1">
        <v>165.21</v>
      </c>
      <c r="AB852" s="1">
        <v>172.35</v>
      </c>
      <c r="AC852" s="1">
        <v>166.39</v>
      </c>
      <c r="AE852" s="1">
        <v>181.31</v>
      </c>
      <c r="AF852" s="1">
        <v>176.02</v>
      </c>
      <c r="AG852" s="1">
        <v>163.15</v>
      </c>
      <c r="AT852" s="1">
        <v>2797</v>
      </c>
      <c r="AV852" s="1">
        <v>30</v>
      </c>
      <c r="AW852" s="1">
        <v>3310.16</v>
      </c>
      <c r="AX852" s="1">
        <v>165.06</v>
      </c>
      <c r="BA852" s="1">
        <v>165.37</v>
      </c>
      <c r="BB852" s="1">
        <v>185.47</v>
      </c>
      <c r="BC852" s="1">
        <v>182.67</v>
      </c>
      <c r="BD852" s="1">
        <v>181.28</v>
      </c>
      <c r="BE852" s="1">
        <v>175.62</v>
      </c>
      <c r="BF852" s="1">
        <v>173.1</v>
      </c>
      <c r="BG852" s="1">
        <v>181.9</v>
      </c>
      <c r="BH852" s="1">
        <v>170.55</v>
      </c>
      <c r="BI852" s="1">
        <v>174.61</v>
      </c>
      <c r="BK852" s="1">
        <v>166.52</v>
      </c>
      <c r="BL852" s="1">
        <v>166.89</v>
      </c>
      <c r="BN852" s="1">
        <v>165.7</v>
      </c>
    </row>
    <row r="853" spans="1:66" x14ac:dyDescent="0.3">
      <c r="A853" s="2"/>
      <c r="C853" s="14" t="str">
        <f t="shared" si="14"/>
        <v>202210</v>
      </c>
      <c r="D853" s="3">
        <v>44862</v>
      </c>
      <c r="E853" s="21">
        <v>2816.65</v>
      </c>
      <c r="F853" s="21">
        <v>2819.81</v>
      </c>
      <c r="G853" s="21">
        <v>2852.79</v>
      </c>
      <c r="H853" s="21">
        <v>2876.19</v>
      </c>
      <c r="I853" s="21">
        <v>2693.17</v>
      </c>
      <c r="J853" s="21">
        <v>2792.57</v>
      </c>
      <c r="K853" s="21">
        <v>2625.39</v>
      </c>
      <c r="L853" s="21">
        <v>2681.27</v>
      </c>
      <c r="M853" s="21">
        <v>2669.06</v>
      </c>
      <c r="N853" s="21">
        <v>2482.6799999999998</v>
      </c>
      <c r="O853" s="21">
        <v>2813</v>
      </c>
      <c r="P853" s="21">
        <v>2689.42</v>
      </c>
      <c r="Q853" s="21">
        <v>7600.83</v>
      </c>
      <c r="R853" s="20">
        <v>166.61</v>
      </c>
      <c r="S853" s="20">
        <v>153.5</v>
      </c>
      <c r="T853" s="21">
        <v>170.28</v>
      </c>
      <c r="V853" s="1">
        <v>162.66999999999999</v>
      </c>
      <c r="W853" s="1">
        <v>174.19</v>
      </c>
      <c r="X853" s="1">
        <v>171.89</v>
      </c>
      <c r="Y853" s="1">
        <v>169.97</v>
      </c>
      <c r="Z853" s="1">
        <v>170.88</v>
      </c>
      <c r="AA853" s="1">
        <v>164.96</v>
      </c>
      <c r="AB853" s="1">
        <v>171.76</v>
      </c>
      <c r="AC853" s="1">
        <v>166.61</v>
      </c>
      <c r="AE853" s="1">
        <v>181.08</v>
      </c>
      <c r="AF853" s="1">
        <v>175.92</v>
      </c>
      <c r="AG853" s="1">
        <v>162.84</v>
      </c>
      <c r="AV853" s="1">
        <v>30</v>
      </c>
      <c r="AW853" s="1">
        <v>3310.16</v>
      </c>
      <c r="AX853" s="1">
        <v>164.94</v>
      </c>
      <c r="BA853" s="1">
        <v>168.92</v>
      </c>
      <c r="BB853" s="1">
        <v>184.85</v>
      </c>
      <c r="BC853" s="1">
        <v>182.59</v>
      </c>
      <c r="BD853" s="1">
        <v>180.31</v>
      </c>
      <c r="BE853" s="1">
        <v>176.43</v>
      </c>
      <c r="BF853" s="1">
        <v>175.25</v>
      </c>
      <c r="BG853" s="1">
        <v>182.23</v>
      </c>
      <c r="BH853" s="1">
        <v>171.05</v>
      </c>
      <c r="BI853" s="1">
        <v>174.61</v>
      </c>
      <c r="BK853" s="1">
        <v>166.85</v>
      </c>
      <c r="BL853" s="1">
        <v>167.29</v>
      </c>
      <c r="BN853" s="1">
        <v>166.7</v>
      </c>
    </row>
    <row r="854" spans="1:66" x14ac:dyDescent="0.3">
      <c r="A854" s="2"/>
      <c r="C854" s="14" t="str">
        <f t="shared" si="14"/>
        <v>202210</v>
      </c>
      <c r="D854" s="3">
        <v>44861</v>
      </c>
      <c r="E854" s="21">
        <v>2834.53</v>
      </c>
      <c r="F854" s="21">
        <v>2849.5</v>
      </c>
      <c r="G854" s="21">
        <v>2852.79</v>
      </c>
      <c r="H854" s="21">
        <v>2846.98</v>
      </c>
      <c r="I854" s="21">
        <v>2693.17</v>
      </c>
      <c r="J854" s="21">
        <v>2793.23</v>
      </c>
      <c r="K854" s="21">
        <v>2641.97</v>
      </c>
      <c r="L854" s="21">
        <v>2683.22</v>
      </c>
      <c r="M854" s="21">
        <v>2609.35</v>
      </c>
      <c r="N854" s="21">
        <v>2510.66</v>
      </c>
      <c r="O854" s="21">
        <v>2838</v>
      </c>
      <c r="P854" s="21">
        <v>2714.28</v>
      </c>
      <c r="Q854" s="21">
        <v>7674.51</v>
      </c>
      <c r="R854" s="20">
        <v>164.95</v>
      </c>
      <c r="S854" s="20">
        <v>154.99</v>
      </c>
      <c r="T854" s="21">
        <v>170.84</v>
      </c>
      <c r="V854" s="1">
        <v>162.41999999999999</v>
      </c>
      <c r="W854" s="1">
        <v>174.92</v>
      </c>
      <c r="X854" s="1">
        <v>173.25</v>
      </c>
      <c r="Y854" s="1">
        <v>171.09</v>
      </c>
      <c r="Z854" s="1">
        <v>170.97</v>
      </c>
      <c r="AA854" s="1">
        <v>166.01</v>
      </c>
      <c r="AB854" s="1">
        <v>172.58</v>
      </c>
      <c r="AC854" s="1">
        <v>166.27</v>
      </c>
      <c r="AE854" s="1">
        <v>182.66</v>
      </c>
      <c r="AF854" s="1">
        <v>175.15</v>
      </c>
      <c r="AG854" s="1">
        <v>164.12</v>
      </c>
      <c r="AV854" s="1">
        <v>30</v>
      </c>
      <c r="AW854" s="1">
        <v>3063.6</v>
      </c>
      <c r="AX854" s="1">
        <v>162.91999999999999</v>
      </c>
      <c r="BA854" s="1">
        <v>173</v>
      </c>
      <c r="BB854" s="1">
        <v>184.12</v>
      </c>
      <c r="BC854" s="1">
        <v>182.52</v>
      </c>
      <c r="BD854" s="1">
        <v>181.82</v>
      </c>
      <c r="BE854" s="1">
        <v>174.56</v>
      </c>
      <c r="BF854" s="1">
        <v>175.88</v>
      </c>
      <c r="BG854" s="1">
        <v>183.24</v>
      </c>
      <c r="BH854" s="1">
        <v>170.05</v>
      </c>
      <c r="BI854" s="1">
        <v>174.61</v>
      </c>
      <c r="BK854" s="1">
        <v>168.52</v>
      </c>
      <c r="BL854" s="1">
        <v>166.49</v>
      </c>
      <c r="BN854" s="1">
        <v>166.3</v>
      </c>
    </row>
    <row r="855" spans="1:66" x14ac:dyDescent="0.3">
      <c r="A855" s="2"/>
      <c r="C855" s="14" t="str">
        <f t="shared" si="14"/>
        <v>202210</v>
      </c>
      <c r="D855" s="3">
        <v>44860</v>
      </c>
      <c r="E855" s="21">
        <v>2842.44</v>
      </c>
      <c r="F855" s="21">
        <v>2844.55</v>
      </c>
      <c r="G855" s="21">
        <v>2869.28</v>
      </c>
      <c r="H855" s="21">
        <v>2797.6</v>
      </c>
      <c r="I855" s="21">
        <v>2693.17</v>
      </c>
      <c r="J855" s="21">
        <v>2786.12</v>
      </c>
      <c r="K855" s="21">
        <v>2641.97</v>
      </c>
      <c r="L855" s="21">
        <v>2620.09</v>
      </c>
      <c r="M855" s="21">
        <v>2609.35</v>
      </c>
      <c r="N855" s="21">
        <v>2536.9899999999998</v>
      </c>
      <c r="O855" s="21">
        <v>2734.4</v>
      </c>
      <c r="P855" s="21">
        <v>2706.8</v>
      </c>
      <c r="Q855" s="21">
        <v>7695.01</v>
      </c>
      <c r="R855" s="20">
        <v>164.28</v>
      </c>
      <c r="S855" s="20">
        <v>154.97</v>
      </c>
      <c r="T855" s="21">
        <v>170.98</v>
      </c>
      <c r="V855" s="1">
        <v>161.91</v>
      </c>
      <c r="W855" s="1">
        <v>175.13</v>
      </c>
      <c r="X855" s="1">
        <v>172.53</v>
      </c>
      <c r="Y855" s="1">
        <v>170.75</v>
      </c>
      <c r="Z855" s="1">
        <v>170.96</v>
      </c>
      <c r="AA855" s="1">
        <v>165.61</v>
      </c>
      <c r="AB855" s="1">
        <v>172.26</v>
      </c>
      <c r="AC855" s="1">
        <v>166.25</v>
      </c>
      <c r="AE855" s="1">
        <v>182.27</v>
      </c>
      <c r="AF855" s="1">
        <v>174.77</v>
      </c>
      <c r="AG855" s="1">
        <v>165.11</v>
      </c>
      <c r="AX855" s="1">
        <v>165.11</v>
      </c>
      <c r="BA855" s="1">
        <v>172.97</v>
      </c>
      <c r="BB855" s="1">
        <v>184.63</v>
      </c>
      <c r="BC855" s="1">
        <v>180.77</v>
      </c>
      <c r="BD855" s="1">
        <v>180.06</v>
      </c>
      <c r="BE855" s="1">
        <v>173.72</v>
      </c>
      <c r="BF855" s="1">
        <v>175.62</v>
      </c>
      <c r="BG855" s="1">
        <v>183.14</v>
      </c>
      <c r="BH855" s="1">
        <v>170.05</v>
      </c>
      <c r="BI855" s="1">
        <v>174.21</v>
      </c>
      <c r="BK855" s="1">
        <v>169.18</v>
      </c>
      <c r="BL855" s="1">
        <v>167.09</v>
      </c>
      <c r="BN855" s="1">
        <v>166.9</v>
      </c>
    </row>
    <row r="856" spans="1:66" x14ac:dyDescent="0.3">
      <c r="A856" s="2"/>
      <c r="C856" s="14" t="str">
        <f t="shared" si="14"/>
        <v>202210</v>
      </c>
      <c r="D856" s="3">
        <v>44859</v>
      </c>
      <c r="E856" s="21">
        <v>2779.33</v>
      </c>
      <c r="F856" s="21">
        <v>2844.55</v>
      </c>
      <c r="G856" s="21">
        <v>2869.28</v>
      </c>
      <c r="H856" s="21">
        <v>2850.65</v>
      </c>
      <c r="I856" s="21">
        <v>2693.17</v>
      </c>
      <c r="J856" s="21">
        <v>2780.34</v>
      </c>
      <c r="K856" s="21">
        <v>2656.91</v>
      </c>
      <c r="L856" s="21">
        <v>2628.8</v>
      </c>
      <c r="M856" s="21">
        <v>2589.4499999999998</v>
      </c>
      <c r="N856" s="21">
        <v>2516.75</v>
      </c>
      <c r="O856" s="21">
        <v>2785.5</v>
      </c>
      <c r="P856" s="21">
        <v>2704.3</v>
      </c>
      <c r="Q856" s="21">
        <v>7530.87</v>
      </c>
      <c r="R856" s="20">
        <v>162.94999999999999</v>
      </c>
      <c r="S856" s="20">
        <v>152.04</v>
      </c>
      <c r="T856" s="21">
        <v>169.25</v>
      </c>
      <c r="V856" s="1">
        <v>160.47999999999999</v>
      </c>
      <c r="W856" s="1">
        <v>173.52</v>
      </c>
      <c r="X856" s="1">
        <v>171.8</v>
      </c>
      <c r="Y856" s="1">
        <v>168.9</v>
      </c>
      <c r="Z856" s="1">
        <v>169.11</v>
      </c>
      <c r="AA856" s="1">
        <v>164.68</v>
      </c>
      <c r="AB856" s="1">
        <v>171.36</v>
      </c>
      <c r="AC856" s="1">
        <v>166.19</v>
      </c>
      <c r="AE856" s="1">
        <v>180.36</v>
      </c>
      <c r="AF856" s="1">
        <v>173.44</v>
      </c>
      <c r="AG856" s="1">
        <v>164.14</v>
      </c>
      <c r="AX856" s="1">
        <v>165.09</v>
      </c>
      <c r="BA856" s="1">
        <v>168.38</v>
      </c>
      <c r="BB856" s="1">
        <v>184.27</v>
      </c>
      <c r="BC856" s="1">
        <v>180.49</v>
      </c>
      <c r="BD856" s="1">
        <v>178.44</v>
      </c>
      <c r="BE856" s="1">
        <v>172.28</v>
      </c>
      <c r="BF856" s="1">
        <v>173.46</v>
      </c>
      <c r="BG856" s="1">
        <v>182.47</v>
      </c>
      <c r="BH856" s="1">
        <v>169.38</v>
      </c>
      <c r="BI856" s="1">
        <v>173.08</v>
      </c>
      <c r="BK856" s="1">
        <v>167.52</v>
      </c>
      <c r="BL856" s="1">
        <v>164.52</v>
      </c>
      <c r="BN856" s="1">
        <v>164.28</v>
      </c>
    </row>
    <row r="857" spans="1:66" x14ac:dyDescent="0.3">
      <c r="A857" s="2"/>
      <c r="C857" s="14" t="str">
        <f t="shared" si="14"/>
        <v>202210</v>
      </c>
      <c r="D857" s="3">
        <v>44858</v>
      </c>
      <c r="E857" s="21">
        <v>2756.14</v>
      </c>
      <c r="F857" s="21">
        <v>2844.55</v>
      </c>
      <c r="G857" s="21">
        <v>2873.11</v>
      </c>
      <c r="H857" s="21">
        <v>2824.12</v>
      </c>
      <c r="I857" s="21">
        <v>2693.17</v>
      </c>
      <c r="J857" s="21">
        <v>2757.32</v>
      </c>
      <c r="K857" s="21">
        <v>2651.93</v>
      </c>
      <c r="L857" s="21">
        <v>2681.25</v>
      </c>
      <c r="M857" s="21">
        <v>2582.8200000000002</v>
      </c>
      <c r="N857" s="21">
        <v>2511.3200000000002</v>
      </c>
      <c r="O857" s="21">
        <v>2773</v>
      </c>
      <c r="P857" s="21">
        <v>2704.3</v>
      </c>
      <c r="Q857" s="21">
        <v>7415.8</v>
      </c>
      <c r="R857" s="20">
        <v>162.94999999999999</v>
      </c>
      <c r="S857" s="20">
        <v>154.66</v>
      </c>
      <c r="T857" s="21">
        <v>169.35</v>
      </c>
      <c r="V857" s="1">
        <v>159.69</v>
      </c>
      <c r="W857" s="1">
        <v>173.19</v>
      </c>
      <c r="X857" s="1">
        <v>170.85</v>
      </c>
      <c r="Y857" s="1">
        <v>166.78</v>
      </c>
      <c r="Z857" s="1">
        <v>168.31</v>
      </c>
      <c r="AA857" s="1">
        <v>164.02</v>
      </c>
      <c r="AB857" s="1">
        <v>170.28</v>
      </c>
      <c r="AC857" s="1">
        <v>166.19</v>
      </c>
      <c r="AE857" s="1">
        <v>179.89</v>
      </c>
      <c r="AF857" s="1">
        <v>172.71</v>
      </c>
      <c r="AG857" s="1">
        <v>161.31</v>
      </c>
      <c r="AX857" s="1">
        <v>165.07</v>
      </c>
      <c r="BA857" s="1">
        <v>168.67</v>
      </c>
      <c r="BB857" s="1">
        <v>182.46</v>
      </c>
      <c r="BC857" s="1">
        <v>177.07</v>
      </c>
      <c r="BD857" s="1">
        <v>177.78</v>
      </c>
      <c r="BE857" s="1">
        <v>171.43</v>
      </c>
      <c r="BF857" s="1">
        <v>173</v>
      </c>
      <c r="BG857" s="1">
        <v>181.33</v>
      </c>
      <c r="BH857" s="1">
        <v>169.38</v>
      </c>
      <c r="BI857" s="1">
        <v>171.88</v>
      </c>
      <c r="BK857" s="1">
        <v>164.52</v>
      </c>
      <c r="BL857" s="1">
        <v>163.5</v>
      </c>
      <c r="BN857" s="1">
        <v>161.91</v>
      </c>
    </row>
    <row r="858" spans="1:66" x14ac:dyDescent="0.3">
      <c r="A858" s="2"/>
      <c r="C858" s="14" t="str">
        <f t="shared" si="14"/>
        <v>202210</v>
      </c>
      <c r="D858" s="3">
        <v>44855</v>
      </c>
      <c r="E858" s="21">
        <v>2808.59</v>
      </c>
      <c r="F858" s="21">
        <v>2837.8</v>
      </c>
      <c r="G858" s="21">
        <v>2873.11</v>
      </c>
      <c r="H858" s="21">
        <v>2855.76</v>
      </c>
      <c r="I858" s="21">
        <v>2691.19</v>
      </c>
      <c r="J858" s="21">
        <v>2759.92</v>
      </c>
      <c r="K858" s="21">
        <v>2712.87</v>
      </c>
      <c r="L858" s="21">
        <v>2675.63</v>
      </c>
      <c r="M858" s="21">
        <v>2582.8200000000002</v>
      </c>
      <c r="N858" s="21">
        <v>2411.83</v>
      </c>
      <c r="O858" s="21">
        <v>2748.08</v>
      </c>
      <c r="P858" s="21">
        <v>2674.43</v>
      </c>
      <c r="Q858" s="21">
        <v>7076.65</v>
      </c>
      <c r="R858" s="20">
        <v>162.94999999999999</v>
      </c>
      <c r="S858" s="20">
        <v>154.53</v>
      </c>
      <c r="T858" s="21">
        <v>167.11</v>
      </c>
      <c r="V858" s="1">
        <v>160.81</v>
      </c>
      <c r="W858" s="1">
        <v>172.11</v>
      </c>
      <c r="X858" s="1">
        <v>170.78</v>
      </c>
      <c r="Y858" s="1">
        <v>165.91</v>
      </c>
      <c r="Z858" s="1">
        <v>166.41</v>
      </c>
      <c r="AA858" s="1">
        <v>164.02</v>
      </c>
      <c r="AB858" s="1">
        <v>170.62</v>
      </c>
      <c r="AC858" s="1">
        <v>165.53</v>
      </c>
      <c r="AE858" s="1">
        <v>179.87</v>
      </c>
      <c r="AF858" s="1">
        <v>173.14</v>
      </c>
      <c r="AG858" s="1">
        <v>160.91999999999999</v>
      </c>
      <c r="AX858" s="1">
        <v>164.47</v>
      </c>
      <c r="BA858" s="1">
        <v>168.63</v>
      </c>
      <c r="BB858" s="1">
        <v>182.89</v>
      </c>
      <c r="BC858" s="1">
        <v>178.6</v>
      </c>
      <c r="BD858" s="1">
        <v>176.89</v>
      </c>
      <c r="BE858" s="1">
        <v>171.19</v>
      </c>
      <c r="BF858" s="1">
        <v>172.69</v>
      </c>
      <c r="BG858" s="1">
        <v>181.15</v>
      </c>
      <c r="BH858" s="1">
        <v>168.88</v>
      </c>
      <c r="BI858" s="1">
        <v>171.88</v>
      </c>
      <c r="BK858" s="1">
        <v>163.53</v>
      </c>
      <c r="BL858" s="1">
        <v>159.51</v>
      </c>
      <c r="BN858" s="1">
        <v>160.72999999999999</v>
      </c>
    </row>
    <row r="859" spans="1:66" x14ac:dyDescent="0.3">
      <c r="A859" s="2"/>
      <c r="C859" s="14" t="str">
        <f t="shared" si="14"/>
        <v>202210</v>
      </c>
      <c r="D859" s="3">
        <v>44854</v>
      </c>
      <c r="E859" s="21">
        <v>2769.01</v>
      </c>
      <c r="F859" s="21">
        <v>2819.81</v>
      </c>
      <c r="G859" s="21">
        <v>2803.32</v>
      </c>
      <c r="H859" s="21">
        <v>2802.08</v>
      </c>
      <c r="I859" s="21">
        <v>2710.98</v>
      </c>
      <c r="J859" s="21">
        <v>2736.09</v>
      </c>
      <c r="K859" s="21">
        <v>2637</v>
      </c>
      <c r="L859" s="21">
        <v>2586.94</v>
      </c>
      <c r="M859" s="21">
        <v>2522.14</v>
      </c>
      <c r="N859" s="21">
        <v>2438.4699999999998</v>
      </c>
      <c r="O859" s="21">
        <v>2748.08</v>
      </c>
      <c r="P859" s="21">
        <v>2674.43</v>
      </c>
      <c r="Q859" s="21">
        <v>7108.97</v>
      </c>
      <c r="R859" s="20">
        <v>161.01</v>
      </c>
      <c r="S859" s="20">
        <v>154.28</v>
      </c>
      <c r="T859" s="21">
        <v>167.9</v>
      </c>
      <c r="V859" s="1">
        <v>161.93</v>
      </c>
      <c r="W859" s="1">
        <v>172.8</v>
      </c>
      <c r="X859" s="1">
        <v>170.8</v>
      </c>
      <c r="Y859" s="1">
        <v>168.22</v>
      </c>
      <c r="Z859" s="1">
        <v>167.71</v>
      </c>
      <c r="AA859" s="1">
        <v>164.2</v>
      </c>
      <c r="AB859" s="1">
        <v>170.62</v>
      </c>
      <c r="AC859" s="1">
        <v>165.53</v>
      </c>
      <c r="AE859" s="1">
        <v>179.86</v>
      </c>
      <c r="AF859" s="1">
        <v>173.57</v>
      </c>
      <c r="AG859" s="1">
        <v>160.41999999999999</v>
      </c>
      <c r="AX859" s="1">
        <v>166.72</v>
      </c>
      <c r="BA859" s="1">
        <v>168.63</v>
      </c>
      <c r="BB859" s="1">
        <v>182.79</v>
      </c>
      <c r="BC859" s="1">
        <v>179.42</v>
      </c>
      <c r="BD859" s="1">
        <v>178.29</v>
      </c>
      <c r="BE859" s="1">
        <v>172.31</v>
      </c>
      <c r="BF859" s="1">
        <v>173.59</v>
      </c>
      <c r="BG859" s="1">
        <v>181.31</v>
      </c>
      <c r="BH859" s="1">
        <v>168.71</v>
      </c>
      <c r="BI859" s="1">
        <v>172.48</v>
      </c>
      <c r="BJ859" s="1">
        <v>179.58</v>
      </c>
      <c r="BK859" s="1">
        <v>166.19</v>
      </c>
      <c r="BL859" s="1">
        <v>163.27000000000001</v>
      </c>
      <c r="BN859" s="1">
        <v>162.44</v>
      </c>
    </row>
    <row r="860" spans="1:66" x14ac:dyDescent="0.3">
      <c r="A860" s="2"/>
      <c r="C860" s="14" t="str">
        <f t="shared" si="14"/>
        <v>202210</v>
      </c>
      <c r="D860" s="3">
        <v>44853</v>
      </c>
      <c r="E860" s="21">
        <v>2747.1</v>
      </c>
      <c r="F860" s="21">
        <v>2819.81</v>
      </c>
      <c r="G860" s="21">
        <v>2823.64</v>
      </c>
      <c r="H860" s="21">
        <v>2849.82</v>
      </c>
      <c r="I860" s="21">
        <v>2710.98</v>
      </c>
      <c r="J860" s="21">
        <v>2726.16</v>
      </c>
      <c r="K860" s="21">
        <v>2628.7</v>
      </c>
      <c r="L860" s="21">
        <v>2586.94</v>
      </c>
      <c r="M860" s="21">
        <v>2415.84</v>
      </c>
      <c r="N860" s="21">
        <v>2432.4299999999998</v>
      </c>
      <c r="O860" s="21">
        <v>2738.08</v>
      </c>
      <c r="P860" s="21">
        <v>2674.43</v>
      </c>
      <c r="Q860" s="21">
        <v>7133.71</v>
      </c>
      <c r="R860" s="20">
        <v>162.29</v>
      </c>
      <c r="S860" s="20">
        <v>153.78</v>
      </c>
      <c r="T860" s="21">
        <v>167.32</v>
      </c>
      <c r="V860" s="1">
        <v>161.27000000000001</v>
      </c>
      <c r="W860" s="1">
        <v>170.53</v>
      </c>
      <c r="X860" s="1">
        <v>170.71</v>
      </c>
      <c r="Y860" s="1">
        <v>165.4</v>
      </c>
      <c r="Z860" s="1">
        <v>166.99</v>
      </c>
      <c r="AA860" s="1">
        <v>164.55</v>
      </c>
      <c r="AB860" s="1">
        <v>170.51</v>
      </c>
      <c r="AE860" s="1">
        <v>179.62</v>
      </c>
      <c r="AF860" s="1">
        <v>173.66</v>
      </c>
      <c r="AG860" s="1">
        <v>161.07</v>
      </c>
      <c r="AX860" s="1">
        <v>167.22</v>
      </c>
      <c r="BA860" s="1">
        <v>168.33</v>
      </c>
      <c r="BB860" s="1">
        <v>182.12</v>
      </c>
      <c r="BC860" s="1">
        <v>179.55</v>
      </c>
      <c r="BD860" s="1">
        <v>178.59</v>
      </c>
      <c r="BE860" s="1">
        <v>171.97</v>
      </c>
      <c r="BF860" s="1">
        <v>172.31</v>
      </c>
      <c r="BG860" s="1">
        <v>181.29</v>
      </c>
      <c r="BH860" s="1">
        <v>168.64</v>
      </c>
      <c r="BI860" s="1">
        <v>173.58</v>
      </c>
      <c r="BJ860" s="1">
        <v>179.58</v>
      </c>
      <c r="BK860" s="1">
        <v>165.85</v>
      </c>
      <c r="BL860" s="1">
        <v>162.77000000000001</v>
      </c>
      <c r="BN860" s="1">
        <v>161.91</v>
      </c>
    </row>
    <row r="861" spans="1:66" x14ac:dyDescent="0.3">
      <c r="A861" s="2"/>
      <c r="C861" s="14" t="str">
        <f t="shared" si="14"/>
        <v>202210</v>
      </c>
      <c r="D861" s="3">
        <v>44852</v>
      </c>
      <c r="E861" s="21">
        <v>2798.81</v>
      </c>
      <c r="F861" s="21">
        <v>2854.44</v>
      </c>
      <c r="G861" s="21">
        <v>2876.31</v>
      </c>
      <c r="H861" s="21">
        <v>2835.82</v>
      </c>
      <c r="I861" s="21">
        <v>2710.98</v>
      </c>
      <c r="J861" s="21">
        <v>2740.73</v>
      </c>
      <c r="K861" s="21">
        <v>2625.37</v>
      </c>
      <c r="L861" s="21">
        <v>2574.25</v>
      </c>
      <c r="M861" s="21">
        <v>2415.84</v>
      </c>
      <c r="N861" s="21">
        <v>2448.46</v>
      </c>
      <c r="O861" s="21">
        <v>2738.08</v>
      </c>
      <c r="P861" s="21">
        <v>2669.43</v>
      </c>
      <c r="Q861" s="21">
        <v>7177.6</v>
      </c>
      <c r="R861" s="20">
        <v>162.29</v>
      </c>
      <c r="S861" s="20">
        <v>152.91999999999999</v>
      </c>
      <c r="T861" s="21">
        <v>167.62</v>
      </c>
      <c r="V861" s="1">
        <v>163.63</v>
      </c>
      <c r="W861" s="1">
        <v>174.08</v>
      </c>
      <c r="X861" s="1">
        <v>171.89</v>
      </c>
      <c r="Y861" s="1">
        <v>168.06</v>
      </c>
      <c r="Z861" s="1">
        <v>167.55</v>
      </c>
      <c r="AA861" s="1">
        <v>164.55</v>
      </c>
      <c r="AB861" s="1">
        <v>171.51</v>
      </c>
      <c r="AE861" s="1">
        <v>181.15</v>
      </c>
      <c r="AF861" s="1">
        <v>175.71</v>
      </c>
      <c r="AG861" s="1">
        <v>160.81</v>
      </c>
      <c r="AX861" s="1">
        <v>167.22</v>
      </c>
      <c r="BA861" s="1">
        <v>168.01</v>
      </c>
      <c r="BB861" s="1">
        <v>183.23</v>
      </c>
      <c r="BC861" s="1">
        <v>179.94</v>
      </c>
      <c r="BD861" s="1">
        <v>180.21</v>
      </c>
      <c r="BE861" s="1">
        <v>172.85</v>
      </c>
      <c r="BF861" s="1">
        <v>172.27</v>
      </c>
      <c r="BG861" s="1">
        <v>181.78</v>
      </c>
      <c r="BH861" s="1">
        <v>168.44</v>
      </c>
      <c r="BI861" s="1">
        <v>173.98</v>
      </c>
      <c r="BJ861" s="1">
        <v>179.58</v>
      </c>
      <c r="BK861" s="1">
        <v>165.19</v>
      </c>
      <c r="BL861" s="1">
        <v>162.77000000000001</v>
      </c>
      <c r="BN861" s="1">
        <v>161.91</v>
      </c>
    </row>
    <row r="862" spans="1:66" x14ac:dyDescent="0.3">
      <c r="A862" s="2"/>
      <c r="C862" s="14" t="str">
        <f t="shared" si="14"/>
        <v>202210</v>
      </c>
      <c r="D862" s="3">
        <v>44851</v>
      </c>
      <c r="E862" s="21">
        <v>2820.4</v>
      </c>
      <c r="F862" s="21">
        <v>2854.44</v>
      </c>
      <c r="G862" s="21">
        <v>2876.31</v>
      </c>
      <c r="H862" s="21">
        <v>2835.82</v>
      </c>
      <c r="I862" s="21">
        <v>2703.06</v>
      </c>
      <c r="J862" s="21">
        <v>2738.58</v>
      </c>
      <c r="K862" s="21">
        <v>2625.37</v>
      </c>
      <c r="L862" s="21">
        <v>2582.9699999999998</v>
      </c>
      <c r="M862" s="21">
        <v>2421.88</v>
      </c>
      <c r="N862" s="21">
        <v>2453.4499999999998</v>
      </c>
      <c r="O862" s="21">
        <v>2742.38</v>
      </c>
      <c r="P862" s="21">
        <v>2669.43</v>
      </c>
      <c r="Q862" s="21">
        <v>6969.5</v>
      </c>
      <c r="R862" s="20">
        <v>162.94999999999999</v>
      </c>
      <c r="S862" s="20">
        <v>154.07</v>
      </c>
      <c r="T862" s="21">
        <v>169.17</v>
      </c>
      <c r="V862" s="1">
        <v>163.78</v>
      </c>
      <c r="W862" s="1">
        <v>174.91</v>
      </c>
      <c r="X862" s="1">
        <v>171.95</v>
      </c>
      <c r="Y862" s="1">
        <v>168.28</v>
      </c>
      <c r="Z862" s="1">
        <v>169.43</v>
      </c>
      <c r="AA862" s="1">
        <v>165.28</v>
      </c>
      <c r="AB862" s="1">
        <v>171.73</v>
      </c>
      <c r="AE862" s="1">
        <v>181.26</v>
      </c>
      <c r="AF862" s="1">
        <v>173.36</v>
      </c>
      <c r="AG862" s="1">
        <v>161.19999999999999</v>
      </c>
      <c r="AX862" s="1">
        <v>169.07</v>
      </c>
      <c r="BA862" s="1">
        <v>168.6</v>
      </c>
      <c r="BB862" s="1">
        <v>185.1</v>
      </c>
      <c r="BC862" s="1">
        <v>180.76</v>
      </c>
      <c r="BD862" s="1">
        <v>181.07</v>
      </c>
      <c r="BE862" s="1">
        <v>170.78</v>
      </c>
      <c r="BF862" s="1">
        <v>172.99</v>
      </c>
      <c r="BG862" s="1">
        <v>181.7</v>
      </c>
      <c r="BH862" s="1">
        <v>170.53</v>
      </c>
      <c r="BI862" s="1">
        <v>174.58</v>
      </c>
      <c r="BJ862" s="1">
        <v>182.55</v>
      </c>
      <c r="BK862" s="1">
        <v>165.19</v>
      </c>
      <c r="BL862" s="1">
        <v>164.52</v>
      </c>
      <c r="BN862" s="1">
        <v>161.66999999999999</v>
      </c>
    </row>
    <row r="863" spans="1:66" x14ac:dyDescent="0.3">
      <c r="A863" s="2"/>
      <c r="C863" s="14" t="str">
        <f t="shared" si="14"/>
        <v>202210</v>
      </c>
      <c r="D863" s="3">
        <v>44848</v>
      </c>
      <c r="E863" s="21">
        <v>2802.93</v>
      </c>
      <c r="F863" s="21">
        <v>2837.95</v>
      </c>
      <c r="G863" s="21">
        <v>2866.41</v>
      </c>
      <c r="H863" s="21">
        <v>2825.91</v>
      </c>
      <c r="I863" s="21">
        <v>2703.06</v>
      </c>
      <c r="J863" s="21">
        <v>2751.64</v>
      </c>
      <c r="K863" s="21">
        <v>2677.96</v>
      </c>
      <c r="L863" s="21">
        <v>2590.3200000000002</v>
      </c>
      <c r="M863" s="21">
        <v>2421.88</v>
      </c>
      <c r="N863" s="21">
        <v>2431.2199999999998</v>
      </c>
      <c r="O863" s="21">
        <v>2734.88</v>
      </c>
      <c r="P863" s="21">
        <v>2664.43</v>
      </c>
      <c r="Q863" s="21">
        <v>7150.94</v>
      </c>
      <c r="R863" s="20">
        <v>164.28</v>
      </c>
      <c r="S863" s="20">
        <v>154.07</v>
      </c>
      <c r="T863" s="21">
        <v>171.14</v>
      </c>
      <c r="V863" s="1">
        <v>161.93</v>
      </c>
      <c r="W863" s="1">
        <v>175.29</v>
      </c>
      <c r="X863" s="1">
        <v>171.85</v>
      </c>
      <c r="Y863" s="1">
        <v>168.55</v>
      </c>
      <c r="Z863" s="1">
        <v>169.93</v>
      </c>
      <c r="AA863" s="1">
        <v>166.06</v>
      </c>
      <c r="AB863" s="1">
        <v>171.51</v>
      </c>
      <c r="AE863" s="1">
        <v>181.08</v>
      </c>
      <c r="AF863" s="1">
        <v>175.84</v>
      </c>
      <c r="AG863" s="1">
        <v>162.75</v>
      </c>
      <c r="AX863" s="1">
        <v>168.14</v>
      </c>
      <c r="BA863" s="1">
        <v>168.6</v>
      </c>
      <c r="BB863" s="1">
        <v>186.11</v>
      </c>
      <c r="BC863" s="1">
        <v>181.16</v>
      </c>
      <c r="BD863" s="1">
        <v>181.39</v>
      </c>
      <c r="BE863" s="1">
        <v>172.11</v>
      </c>
      <c r="BF863" s="1">
        <v>173.15</v>
      </c>
      <c r="BG863" s="1">
        <v>181.78</v>
      </c>
      <c r="BH863" s="1">
        <v>172.03</v>
      </c>
      <c r="BI863" s="1">
        <v>173.68</v>
      </c>
      <c r="BJ863" s="1">
        <v>183.5</v>
      </c>
      <c r="BK863" s="1">
        <v>166.52</v>
      </c>
      <c r="BL863" s="1">
        <v>165.27</v>
      </c>
      <c r="BN863" s="1">
        <v>162.78</v>
      </c>
    </row>
    <row r="864" spans="1:66" x14ac:dyDescent="0.3">
      <c r="A864" s="2"/>
      <c r="C864" s="14" t="str">
        <f t="shared" si="14"/>
        <v>202210</v>
      </c>
      <c r="D864" s="3">
        <v>44847</v>
      </c>
      <c r="E864" s="21">
        <v>2800.43</v>
      </c>
      <c r="F864" s="21">
        <v>2858.57</v>
      </c>
      <c r="G864" s="21">
        <v>2866.41</v>
      </c>
      <c r="H864" s="21">
        <v>2827.51</v>
      </c>
      <c r="I864" s="21">
        <v>2691.19</v>
      </c>
      <c r="J864" s="21">
        <v>2770.42</v>
      </c>
      <c r="K864" s="21">
        <v>2613.73</v>
      </c>
      <c r="L864" s="21">
        <v>2585.9899999999998</v>
      </c>
      <c r="M864" s="21">
        <v>2421.88</v>
      </c>
      <c r="N864" s="21">
        <v>2406</v>
      </c>
      <c r="O864" s="21">
        <v>2725.58</v>
      </c>
      <c r="P864" s="21">
        <v>2664.43</v>
      </c>
      <c r="Q864" s="21">
        <v>7137.71</v>
      </c>
      <c r="R864" s="20">
        <v>164.28</v>
      </c>
      <c r="S864" s="20">
        <v>153.82</v>
      </c>
      <c r="T864" s="21">
        <v>171.41</v>
      </c>
      <c r="V864" s="1">
        <v>160.1</v>
      </c>
      <c r="W864" s="1">
        <v>174.43</v>
      </c>
      <c r="X864" s="1">
        <v>170.45</v>
      </c>
      <c r="Y864" s="1">
        <v>167.8</v>
      </c>
      <c r="Z864" s="1">
        <v>170.41</v>
      </c>
      <c r="AA864" s="1">
        <v>166.24</v>
      </c>
      <c r="AB864" s="1">
        <v>171.3</v>
      </c>
      <c r="AE864" s="1">
        <v>180.96</v>
      </c>
      <c r="AF864" s="1">
        <v>173.33</v>
      </c>
      <c r="AG864" s="1">
        <v>160.33000000000001</v>
      </c>
      <c r="AX864" s="1">
        <v>167.69</v>
      </c>
      <c r="BA864" s="1">
        <v>165.28</v>
      </c>
      <c r="BB864" s="1">
        <v>186.21</v>
      </c>
      <c r="BC864" s="1">
        <v>181.02</v>
      </c>
      <c r="BD864" s="1">
        <v>179.42</v>
      </c>
      <c r="BE864" s="1">
        <v>172.94</v>
      </c>
      <c r="BF864" s="1">
        <v>173.57</v>
      </c>
      <c r="BG864" s="1">
        <v>181.43</v>
      </c>
      <c r="BH864" s="1">
        <v>171.71</v>
      </c>
      <c r="BI864" s="1">
        <v>171.09</v>
      </c>
      <c r="BJ864" s="1">
        <v>182.74</v>
      </c>
      <c r="BK864" s="1">
        <v>166.52</v>
      </c>
      <c r="BL864" s="1">
        <v>164.42</v>
      </c>
      <c r="BN864" s="1">
        <v>163.77000000000001</v>
      </c>
    </row>
    <row r="865" spans="1:66" x14ac:dyDescent="0.3">
      <c r="A865" s="2"/>
      <c r="C865" s="14" t="str">
        <f t="shared" si="14"/>
        <v>202210</v>
      </c>
      <c r="D865" s="3">
        <v>44845</v>
      </c>
      <c r="E865" s="21">
        <v>2722.11</v>
      </c>
      <c r="F865" s="21">
        <v>2821.46</v>
      </c>
      <c r="G865" s="21">
        <v>2866.46</v>
      </c>
      <c r="H865" s="21">
        <v>2784.95</v>
      </c>
      <c r="I865" s="21">
        <v>2691.19</v>
      </c>
      <c r="J865" s="21">
        <v>2711.17</v>
      </c>
      <c r="K865" s="21">
        <v>2613.73</v>
      </c>
      <c r="L865" s="21">
        <v>2478.5100000000002</v>
      </c>
      <c r="M865" s="21">
        <v>2406.77</v>
      </c>
      <c r="N865" s="21">
        <v>2401.04</v>
      </c>
      <c r="O865" s="21">
        <v>2720.58</v>
      </c>
      <c r="P865" s="21">
        <v>2664.43</v>
      </c>
      <c r="Q865" s="21">
        <v>7127.81</v>
      </c>
      <c r="R865" s="20">
        <v>160.62</v>
      </c>
      <c r="S865" s="20">
        <v>149.26</v>
      </c>
      <c r="T865" s="21">
        <v>166.8</v>
      </c>
      <c r="V865" s="1">
        <v>157.06</v>
      </c>
      <c r="W865" s="1">
        <v>168.92</v>
      </c>
      <c r="X865" s="1">
        <v>167.17</v>
      </c>
      <c r="Y865" s="1">
        <v>162.1</v>
      </c>
      <c r="Z865" s="1">
        <v>163.61000000000001</v>
      </c>
      <c r="AA865" s="1">
        <v>163.32</v>
      </c>
      <c r="AB865" s="1">
        <v>166.96</v>
      </c>
      <c r="AE865" s="1">
        <v>174.1</v>
      </c>
      <c r="AF865" s="1">
        <v>167.67</v>
      </c>
      <c r="AG865" s="1">
        <v>159.29</v>
      </c>
      <c r="AS865" s="1">
        <v>3234.3</v>
      </c>
      <c r="AW865" s="1">
        <v>3365.7</v>
      </c>
      <c r="AX865" s="1">
        <v>166.05</v>
      </c>
      <c r="BA865" s="1">
        <v>160.15</v>
      </c>
      <c r="BB865" s="1">
        <v>180.15</v>
      </c>
      <c r="BC865" s="1">
        <v>178.03</v>
      </c>
      <c r="BD865" s="1">
        <v>175.14</v>
      </c>
      <c r="BE865" s="1">
        <v>168.5</v>
      </c>
      <c r="BF865" s="1">
        <v>170.78</v>
      </c>
      <c r="BG865" s="1">
        <v>176.19</v>
      </c>
      <c r="BH865" s="1">
        <v>167.49</v>
      </c>
      <c r="BI865" s="1">
        <v>169.69</v>
      </c>
      <c r="BJ865" s="1">
        <v>175.93</v>
      </c>
      <c r="BK865" s="1">
        <v>162.21</v>
      </c>
      <c r="BL865" s="1">
        <v>157.04</v>
      </c>
      <c r="BN865" s="1">
        <v>155.22999999999999</v>
      </c>
    </row>
    <row r="866" spans="1:66" x14ac:dyDescent="0.3">
      <c r="A866" s="2"/>
      <c r="C866" s="14" t="str">
        <f t="shared" si="14"/>
        <v>202210</v>
      </c>
      <c r="D866" s="3">
        <v>44844</v>
      </c>
      <c r="E866" s="21">
        <v>2719.59</v>
      </c>
      <c r="F866" s="21">
        <v>2866.32</v>
      </c>
      <c r="G866" s="21">
        <v>2876.36</v>
      </c>
      <c r="H866" s="21">
        <v>2853.16</v>
      </c>
      <c r="I866" s="21">
        <v>2691.19</v>
      </c>
      <c r="J866" s="21">
        <v>2691.55</v>
      </c>
      <c r="K866" s="21">
        <v>2596.4699999999998</v>
      </c>
      <c r="L866" s="21">
        <v>2478.5100000000002</v>
      </c>
      <c r="M866" s="21">
        <v>2359.89</v>
      </c>
      <c r="N866" s="21">
        <v>2428.37</v>
      </c>
      <c r="O866" s="21">
        <v>2716.05</v>
      </c>
      <c r="P866" s="21">
        <v>2659.23</v>
      </c>
      <c r="Q866" s="21">
        <v>7298.09</v>
      </c>
      <c r="R866" s="20">
        <v>159.96</v>
      </c>
      <c r="S866" s="20">
        <v>150.32</v>
      </c>
      <c r="T866" s="21">
        <v>165.18</v>
      </c>
      <c r="V866" s="1">
        <v>156.03</v>
      </c>
      <c r="W866" s="1">
        <v>168.75</v>
      </c>
      <c r="X866" s="1">
        <v>167.56</v>
      </c>
      <c r="Y866" s="1">
        <v>163.24</v>
      </c>
      <c r="Z866" s="1">
        <v>163.71</v>
      </c>
      <c r="AA866" s="1">
        <v>162.72</v>
      </c>
      <c r="AB866" s="1">
        <v>167.29</v>
      </c>
      <c r="AE866" s="1">
        <v>174.78</v>
      </c>
      <c r="AF866" s="1">
        <v>168.05</v>
      </c>
      <c r="AG866" s="1">
        <v>157.30000000000001</v>
      </c>
      <c r="AS866" s="1">
        <v>3234.3</v>
      </c>
      <c r="AU866" s="1">
        <v>3456.66</v>
      </c>
      <c r="AW866" s="1">
        <v>3365.7</v>
      </c>
      <c r="AX866" s="1">
        <v>164.61</v>
      </c>
      <c r="BA866" s="1">
        <v>158.63999999999999</v>
      </c>
      <c r="BB866" s="1">
        <v>181.05</v>
      </c>
      <c r="BC866" s="1">
        <v>178.35</v>
      </c>
      <c r="BD866" s="1">
        <v>174.2</v>
      </c>
      <c r="BE866" s="1">
        <v>166.35</v>
      </c>
      <c r="BF866" s="1">
        <v>168.31</v>
      </c>
      <c r="BG866" s="1">
        <v>174.58</v>
      </c>
      <c r="BH866" s="1">
        <v>165.37</v>
      </c>
      <c r="BI866" s="1">
        <v>169.69</v>
      </c>
      <c r="BJ866" s="1">
        <v>181.71</v>
      </c>
      <c r="BK866" s="1">
        <v>162.54</v>
      </c>
      <c r="BL866" s="1">
        <v>158.13999999999999</v>
      </c>
      <c r="BN866" s="1">
        <v>156.59</v>
      </c>
    </row>
    <row r="867" spans="1:66" x14ac:dyDescent="0.3">
      <c r="A867" s="2"/>
      <c r="C867" s="14" t="str">
        <f t="shared" si="14"/>
        <v>202210</v>
      </c>
      <c r="D867" s="3">
        <v>44841</v>
      </c>
      <c r="E867" s="21">
        <v>2770.62</v>
      </c>
      <c r="F867" s="21">
        <v>2837.95</v>
      </c>
      <c r="G867" s="21">
        <v>2906.04</v>
      </c>
      <c r="H867" s="21">
        <v>2775.83</v>
      </c>
      <c r="I867" s="21">
        <v>2733.24</v>
      </c>
      <c r="J867" s="21">
        <v>2684.18</v>
      </c>
      <c r="K867" s="21">
        <v>2597.15</v>
      </c>
      <c r="L867" s="21">
        <v>2490.31</v>
      </c>
      <c r="M867" s="21">
        <v>2359.89</v>
      </c>
      <c r="N867" s="21">
        <v>2408.3000000000002</v>
      </c>
      <c r="O867" s="21">
        <v>2716.05</v>
      </c>
      <c r="P867" s="21">
        <v>2644.55</v>
      </c>
      <c r="Q867" s="21">
        <v>7015.29</v>
      </c>
      <c r="R867" s="20">
        <v>157.63</v>
      </c>
      <c r="S867" s="20">
        <v>147.13</v>
      </c>
      <c r="T867" s="21">
        <v>163.56</v>
      </c>
      <c r="V867" s="1">
        <v>154.38</v>
      </c>
      <c r="W867" s="1">
        <v>167.73</v>
      </c>
      <c r="X867" s="1">
        <v>166.15</v>
      </c>
      <c r="Y867" s="1">
        <v>160.97999999999999</v>
      </c>
      <c r="Z867" s="1">
        <v>161.32</v>
      </c>
      <c r="AA867" s="1">
        <v>161.93</v>
      </c>
      <c r="AB867" s="1">
        <v>165.41</v>
      </c>
      <c r="AE867" s="1">
        <v>172.44</v>
      </c>
      <c r="AF867" s="1">
        <v>164.53</v>
      </c>
      <c r="AG867" s="1">
        <v>155.1</v>
      </c>
      <c r="AS867" s="1">
        <v>3234.3</v>
      </c>
      <c r="AU867" s="1">
        <v>3456.66</v>
      </c>
      <c r="AW867" s="1">
        <v>3365.7</v>
      </c>
      <c r="AX867" s="1">
        <v>163.11000000000001</v>
      </c>
      <c r="BA867" s="1">
        <v>158.59</v>
      </c>
      <c r="BB867" s="1">
        <v>177.19</v>
      </c>
      <c r="BC867" s="1">
        <v>175.23</v>
      </c>
      <c r="BD867" s="1">
        <v>171.44</v>
      </c>
      <c r="BE867" s="1">
        <v>165.6</v>
      </c>
      <c r="BF867" s="1">
        <v>163.82</v>
      </c>
      <c r="BG867" s="1">
        <v>173.4</v>
      </c>
      <c r="BH867" s="1">
        <v>164.57</v>
      </c>
      <c r="BI867" s="1">
        <v>170.09</v>
      </c>
      <c r="BJ867" s="1">
        <v>173.87</v>
      </c>
      <c r="BK867" s="1">
        <v>158.21</v>
      </c>
      <c r="BL867" s="1">
        <v>156.52000000000001</v>
      </c>
      <c r="BN867" s="1">
        <v>155.1</v>
      </c>
    </row>
    <row r="868" spans="1:66" x14ac:dyDescent="0.3">
      <c r="A868" s="2"/>
      <c r="C868" s="14" t="str">
        <f t="shared" si="14"/>
        <v>202210</v>
      </c>
      <c r="D868" s="3">
        <v>44840</v>
      </c>
      <c r="E868" s="21">
        <v>2765.61</v>
      </c>
      <c r="F868" s="21">
        <v>2837.95</v>
      </c>
      <c r="G868" s="21">
        <v>2906.04</v>
      </c>
      <c r="H868" s="21">
        <v>2706.21</v>
      </c>
      <c r="I868" s="21">
        <v>2691.19</v>
      </c>
      <c r="J868" s="21">
        <v>2685.09</v>
      </c>
      <c r="K868" s="21">
        <v>2593.8200000000002</v>
      </c>
      <c r="L868" s="21">
        <v>2497.39</v>
      </c>
      <c r="M868" s="21">
        <v>2359.89</v>
      </c>
      <c r="N868" s="21">
        <v>2419.9899999999998</v>
      </c>
      <c r="O868" s="21">
        <v>2652.84</v>
      </c>
      <c r="P868" s="21">
        <v>2639.55</v>
      </c>
      <c r="Q868" s="21">
        <v>6835.3</v>
      </c>
      <c r="R868" s="20">
        <v>159.62</v>
      </c>
      <c r="S868" s="20">
        <v>146.35</v>
      </c>
      <c r="T868" s="21">
        <v>162</v>
      </c>
      <c r="V868" s="1">
        <v>155.26</v>
      </c>
      <c r="W868" s="1">
        <v>166.8</v>
      </c>
      <c r="X868" s="1">
        <v>166.2</v>
      </c>
      <c r="Y868" s="1">
        <v>159.9</v>
      </c>
      <c r="Z868" s="1">
        <v>160.63</v>
      </c>
      <c r="AA868" s="1">
        <v>161.38999999999999</v>
      </c>
      <c r="AB868" s="1">
        <v>164.96</v>
      </c>
      <c r="AE868" s="1">
        <v>172.45</v>
      </c>
      <c r="AF868" s="1">
        <v>164.03</v>
      </c>
      <c r="AG868" s="1">
        <v>155.1</v>
      </c>
      <c r="AS868" s="1">
        <v>3234.3</v>
      </c>
      <c r="AU868" s="1">
        <v>3456.66</v>
      </c>
      <c r="AW868" s="1">
        <v>3365.7</v>
      </c>
      <c r="AX868" s="1">
        <v>163.06</v>
      </c>
      <c r="BA868" s="1">
        <v>157.59</v>
      </c>
      <c r="BB868" s="1">
        <v>174.91</v>
      </c>
      <c r="BC868" s="1">
        <v>173.96</v>
      </c>
      <c r="BD868" s="1">
        <v>170.64</v>
      </c>
      <c r="BE868" s="1">
        <v>164.78</v>
      </c>
      <c r="BF868" s="1">
        <v>164.93</v>
      </c>
      <c r="BG868" s="1">
        <v>172.37</v>
      </c>
      <c r="BH868" s="1">
        <v>164.57</v>
      </c>
      <c r="BI868" s="1">
        <v>172.48</v>
      </c>
      <c r="BJ868" s="1">
        <v>172.18</v>
      </c>
      <c r="BK868" s="1">
        <v>158.62</v>
      </c>
      <c r="BL868" s="1">
        <v>157.52000000000001</v>
      </c>
      <c r="BN868" s="1">
        <v>155.49</v>
      </c>
    </row>
    <row r="869" spans="1:66" x14ac:dyDescent="0.3">
      <c r="A869" s="2"/>
      <c r="C869" s="14" t="str">
        <f t="shared" si="14"/>
        <v>202210</v>
      </c>
      <c r="D869" s="3">
        <v>44839</v>
      </c>
      <c r="E869" s="21">
        <v>2783.87</v>
      </c>
      <c r="F869" s="21">
        <v>2837.95</v>
      </c>
      <c r="G869" s="21">
        <v>2906.04</v>
      </c>
      <c r="H869" s="21">
        <v>2706.21</v>
      </c>
      <c r="I869" s="21">
        <v>2671.4</v>
      </c>
      <c r="J869" s="21">
        <v>2703.06</v>
      </c>
      <c r="K869" s="21">
        <v>2593.8200000000002</v>
      </c>
      <c r="L869" s="21">
        <v>2531.1799999999998</v>
      </c>
      <c r="M869" s="21">
        <v>2553.3200000000002</v>
      </c>
      <c r="N869" s="21">
        <v>2431.29</v>
      </c>
      <c r="O869" s="21">
        <v>2652.84</v>
      </c>
      <c r="P869" s="21">
        <v>2644.54</v>
      </c>
      <c r="Q869" s="21">
        <v>6928.8</v>
      </c>
      <c r="R869" s="20">
        <v>159.96</v>
      </c>
      <c r="S869" s="20">
        <v>146.54</v>
      </c>
      <c r="T869" s="21">
        <v>161.86000000000001</v>
      </c>
      <c r="V869" s="1">
        <v>156.97999999999999</v>
      </c>
      <c r="W869" s="1">
        <v>166.33</v>
      </c>
      <c r="X869" s="1">
        <v>164.76</v>
      </c>
      <c r="Y869" s="1">
        <v>159.41</v>
      </c>
      <c r="Z869" s="1">
        <v>160.30000000000001</v>
      </c>
      <c r="AA869" s="1">
        <v>161.59</v>
      </c>
      <c r="AB869" s="1">
        <v>163.74</v>
      </c>
      <c r="AE869" s="1">
        <v>172.8</v>
      </c>
      <c r="AF869" s="1">
        <v>165.98</v>
      </c>
      <c r="AG869" s="1">
        <v>152.47999999999999</v>
      </c>
      <c r="AS869" s="1">
        <v>3234.3</v>
      </c>
      <c r="AU869" s="1">
        <v>3456.66</v>
      </c>
      <c r="AX869" s="1">
        <v>163.47999999999999</v>
      </c>
      <c r="BA869" s="1">
        <v>154.72</v>
      </c>
      <c r="BB869" s="1">
        <v>173.14</v>
      </c>
      <c r="BC869" s="1">
        <v>173.92</v>
      </c>
      <c r="BD869" s="1">
        <v>171.48</v>
      </c>
      <c r="BE869" s="1">
        <v>165.44</v>
      </c>
      <c r="BF869" s="1">
        <v>165.05</v>
      </c>
      <c r="BG869" s="1">
        <v>172.76</v>
      </c>
      <c r="BH869" s="1">
        <v>164.57</v>
      </c>
      <c r="BI869" s="1">
        <v>170.09</v>
      </c>
      <c r="BJ869" s="1">
        <v>171.82</v>
      </c>
      <c r="BK869" s="1">
        <v>160.07</v>
      </c>
      <c r="BL869" s="1">
        <v>158.09</v>
      </c>
      <c r="BN869" s="1">
        <v>155.38999999999999</v>
      </c>
    </row>
    <row r="870" spans="1:66" x14ac:dyDescent="0.3">
      <c r="A870" s="2"/>
      <c r="C870" s="14" t="str">
        <f t="shared" si="14"/>
        <v>202210</v>
      </c>
      <c r="D870" s="3">
        <v>44838</v>
      </c>
      <c r="E870" s="21">
        <v>2724.49</v>
      </c>
      <c r="F870" s="21">
        <v>2825.59</v>
      </c>
      <c r="G870" s="21">
        <v>2906.04</v>
      </c>
      <c r="H870" s="21">
        <v>2736.97</v>
      </c>
      <c r="I870" s="21">
        <v>2691.19</v>
      </c>
      <c r="J870" s="21">
        <v>2671.22</v>
      </c>
      <c r="K870" s="21">
        <v>2593.8200000000002</v>
      </c>
      <c r="L870" s="21">
        <v>2527.21</v>
      </c>
      <c r="M870" s="21">
        <v>2535.19</v>
      </c>
      <c r="N870" s="21">
        <v>2390.8000000000002</v>
      </c>
      <c r="O870" s="21">
        <v>2796.67</v>
      </c>
      <c r="P870" s="21">
        <v>2644.54</v>
      </c>
      <c r="Q870" s="21">
        <v>6895.46</v>
      </c>
      <c r="R870" s="20">
        <v>159.77000000000001</v>
      </c>
      <c r="S870" s="20">
        <v>145.12</v>
      </c>
      <c r="T870" s="21">
        <v>161.46</v>
      </c>
      <c r="V870" s="1">
        <v>158.05000000000001</v>
      </c>
      <c r="W870" s="1">
        <v>165.93</v>
      </c>
      <c r="X870" s="1">
        <v>164.56</v>
      </c>
      <c r="Y870" s="1">
        <v>158.76</v>
      </c>
      <c r="Z870" s="1">
        <v>159.56</v>
      </c>
      <c r="AA870" s="1">
        <v>161.19</v>
      </c>
      <c r="AB870" s="1">
        <v>164.05</v>
      </c>
      <c r="AE870" s="1">
        <v>172.93</v>
      </c>
      <c r="AF870" s="1">
        <v>165.04</v>
      </c>
      <c r="AG870" s="1">
        <v>152.4</v>
      </c>
      <c r="AU870" s="1">
        <v>3456.66</v>
      </c>
      <c r="AV870" s="1">
        <v>30</v>
      </c>
      <c r="AW870" s="1">
        <v>3209</v>
      </c>
      <c r="AX870" s="1">
        <v>166.7</v>
      </c>
      <c r="BA870" s="1">
        <v>152.72</v>
      </c>
      <c r="BB870" s="1">
        <v>172.91</v>
      </c>
      <c r="BC870" s="1">
        <v>172.81</v>
      </c>
      <c r="BD870" s="1">
        <v>174.17</v>
      </c>
      <c r="BE870" s="1">
        <v>164.92</v>
      </c>
      <c r="BF870" s="1">
        <v>164.75</v>
      </c>
      <c r="BG870" s="1">
        <v>171.66</v>
      </c>
      <c r="BH870" s="1">
        <v>168.89</v>
      </c>
      <c r="BI870" s="1">
        <v>170.89</v>
      </c>
      <c r="BJ870" s="1">
        <v>173.95</v>
      </c>
      <c r="BK870" s="1">
        <v>155.87</v>
      </c>
      <c r="BL870" s="1">
        <v>156.41</v>
      </c>
      <c r="BN870" s="1">
        <v>154.74</v>
      </c>
    </row>
    <row r="871" spans="1:66" x14ac:dyDescent="0.3">
      <c r="A871" s="2"/>
      <c r="C871" s="14" t="str">
        <f t="shared" si="14"/>
        <v>202210</v>
      </c>
      <c r="D871" s="3">
        <v>44837</v>
      </c>
      <c r="E871" s="21">
        <v>2709.58</v>
      </c>
      <c r="F871" s="21">
        <v>2837.95</v>
      </c>
      <c r="G871" s="21">
        <v>2896.15</v>
      </c>
      <c r="H871" s="21">
        <v>2737.86</v>
      </c>
      <c r="I871" s="21">
        <v>2691.19</v>
      </c>
      <c r="J871" s="21">
        <v>2675.14</v>
      </c>
      <c r="K871" s="21">
        <v>2585.65</v>
      </c>
      <c r="L871" s="21">
        <v>2619.9299999999998</v>
      </c>
      <c r="M871" s="21">
        <v>2535.19</v>
      </c>
      <c r="N871" s="21">
        <v>2372.02</v>
      </c>
      <c r="O871" s="21">
        <v>2716.05</v>
      </c>
      <c r="P871" s="21">
        <v>2664.42</v>
      </c>
      <c r="Q871" s="21">
        <v>6895.46</v>
      </c>
      <c r="R871" s="20">
        <v>160.77000000000001</v>
      </c>
      <c r="S871" s="20">
        <v>147.88999999999999</v>
      </c>
      <c r="T871" s="21">
        <v>162.85</v>
      </c>
      <c r="V871" s="1">
        <v>158.19999999999999</v>
      </c>
      <c r="W871" s="1">
        <v>168.09</v>
      </c>
      <c r="X871" s="1">
        <v>170.79</v>
      </c>
      <c r="Y871" s="1">
        <v>161.47</v>
      </c>
      <c r="Z871" s="1">
        <v>160.85</v>
      </c>
      <c r="AA871" s="1">
        <v>161.72</v>
      </c>
      <c r="AB871" s="1">
        <v>170.91</v>
      </c>
      <c r="AE871" s="1">
        <v>176.67</v>
      </c>
      <c r="AF871" s="1">
        <v>168.66</v>
      </c>
      <c r="AG871" s="1">
        <v>162.36000000000001</v>
      </c>
      <c r="AV871" s="1">
        <v>30</v>
      </c>
      <c r="AW871" s="1">
        <v>3256.93</v>
      </c>
      <c r="AX871" s="1">
        <v>168.23</v>
      </c>
      <c r="BA871" s="1">
        <v>154.99</v>
      </c>
      <c r="BB871" s="1">
        <v>175.44</v>
      </c>
      <c r="BC871" s="1">
        <v>175.43</v>
      </c>
      <c r="BD871" s="1">
        <v>178.88</v>
      </c>
      <c r="BE871" s="1">
        <v>165.15</v>
      </c>
      <c r="BF871" s="1">
        <v>169.07</v>
      </c>
      <c r="BG871" s="1">
        <v>175.06</v>
      </c>
      <c r="BH871" s="1">
        <v>169.29</v>
      </c>
      <c r="BI871" s="1">
        <v>172.48</v>
      </c>
      <c r="BJ871" s="1">
        <v>179.91</v>
      </c>
      <c r="BK871" s="1">
        <v>156.62</v>
      </c>
      <c r="BL871" s="1">
        <v>157.74</v>
      </c>
      <c r="BN871" s="1">
        <v>156.72</v>
      </c>
    </row>
    <row r="872" spans="1:66" x14ac:dyDescent="0.3">
      <c r="A872" s="2"/>
      <c r="C872" s="14" t="str">
        <f t="shared" si="14"/>
        <v>20229</v>
      </c>
      <c r="D872" s="3">
        <v>44834</v>
      </c>
      <c r="E872" s="21">
        <v>2751.71</v>
      </c>
      <c r="F872" s="21">
        <v>2824.15</v>
      </c>
      <c r="G872" s="21">
        <v>2884.88</v>
      </c>
      <c r="H872" s="21">
        <v>2749.78</v>
      </c>
      <c r="I872" s="21">
        <v>2689.82</v>
      </c>
      <c r="J872" s="21">
        <v>2707.55</v>
      </c>
      <c r="K872" s="21">
        <v>2588.33</v>
      </c>
      <c r="L872" s="21">
        <v>2594.92</v>
      </c>
      <c r="M872" s="21">
        <v>2534.46</v>
      </c>
      <c r="N872" s="21">
        <v>2392.9499999999998</v>
      </c>
      <c r="O872" s="21">
        <v>2715.73</v>
      </c>
      <c r="P872" s="21">
        <v>2669.02</v>
      </c>
      <c r="Q872" s="21">
        <v>6877.4</v>
      </c>
      <c r="R872" s="20">
        <v>162.49</v>
      </c>
      <c r="S872" s="20">
        <v>148.65</v>
      </c>
      <c r="T872" s="21">
        <v>167.14</v>
      </c>
      <c r="V872" s="1">
        <v>160.19</v>
      </c>
      <c r="W872" s="1">
        <v>173.31</v>
      </c>
      <c r="X872" s="1">
        <v>171.57</v>
      </c>
      <c r="Y872" s="1">
        <v>163.56</v>
      </c>
      <c r="Z872" s="1">
        <v>163.86</v>
      </c>
      <c r="AA872" s="1">
        <v>166.31</v>
      </c>
      <c r="AB872" s="1">
        <v>171.23</v>
      </c>
      <c r="AE872" s="1">
        <v>178.72</v>
      </c>
      <c r="AF872" s="1">
        <v>172.74</v>
      </c>
      <c r="AG872" s="1">
        <v>161.04</v>
      </c>
      <c r="AV872" s="1">
        <v>30</v>
      </c>
      <c r="AW872" s="1">
        <v>3258.04</v>
      </c>
      <c r="AX872" s="1">
        <v>168.13</v>
      </c>
      <c r="BA872" s="1">
        <v>158.99</v>
      </c>
      <c r="BB872" s="1">
        <v>180.42</v>
      </c>
      <c r="BC872" s="1">
        <v>180.63</v>
      </c>
      <c r="BD872" s="1">
        <v>179.48</v>
      </c>
      <c r="BE872" s="1">
        <v>171.42</v>
      </c>
      <c r="BF872" s="1">
        <v>173.36</v>
      </c>
      <c r="BG872" s="1">
        <v>180.75</v>
      </c>
      <c r="BH872" s="1">
        <v>169.86</v>
      </c>
      <c r="BI872" s="1">
        <v>173.66</v>
      </c>
      <c r="BJ872" s="1">
        <v>182.78</v>
      </c>
      <c r="BK872" s="1">
        <v>161.34</v>
      </c>
      <c r="BL872" s="1">
        <v>160.38</v>
      </c>
      <c r="BN872" s="1">
        <v>159.41999999999999</v>
      </c>
    </row>
    <row r="873" spans="1:66" x14ac:dyDescent="0.3">
      <c r="A873" s="2"/>
      <c r="C873" s="14" t="str">
        <f t="shared" si="14"/>
        <v>20229</v>
      </c>
      <c r="D873" s="3">
        <v>44833</v>
      </c>
      <c r="E873" s="21">
        <v>2746.06</v>
      </c>
      <c r="F873" s="21">
        <v>2824.15</v>
      </c>
      <c r="G873" s="21">
        <v>2885.13</v>
      </c>
      <c r="H873" s="21">
        <v>2790.76</v>
      </c>
      <c r="I873" s="21">
        <v>2689.82</v>
      </c>
      <c r="J873" s="21">
        <v>2679.33</v>
      </c>
      <c r="K873" s="21">
        <v>2588.33</v>
      </c>
      <c r="L873" s="21">
        <v>2613.69</v>
      </c>
      <c r="M873" s="21">
        <v>2516.37</v>
      </c>
      <c r="N873" s="21">
        <v>2420.61</v>
      </c>
      <c r="O873" s="21">
        <v>2713.23</v>
      </c>
      <c r="P873" s="21">
        <v>2669.02</v>
      </c>
      <c r="Q873" s="21">
        <v>6702.34</v>
      </c>
      <c r="R873" s="20">
        <v>164.26</v>
      </c>
      <c r="S873" s="20">
        <v>151.24</v>
      </c>
      <c r="T873" s="21">
        <v>168.24</v>
      </c>
      <c r="V873" s="1">
        <v>160.44</v>
      </c>
      <c r="W873" s="1">
        <v>171.11</v>
      </c>
      <c r="X873" s="1">
        <v>170.25</v>
      </c>
      <c r="Y873" s="1">
        <v>163.44</v>
      </c>
      <c r="Z873" s="1">
        <v>163.91</v>
      </c>
      <c r="AA873" s="1">
        <v>166.45</v>
      </c>
      <c r="AB873" s="1">
        <v>170.55</v>
      </c>
      <c r="AE873" s="1">
        <v>178.57</v>
      </c>
      <c r="AF873" s="1">
        <v>172.41</v>
      </c>
      <c r="AG873" s="1">
        <v>162.93</v>
      </c>
      <c r="AV873" s="1">
        <v>30</v>
      </c>
      <c r="AW873" s="1">
        <v>3258.04</v>
      </c>
      <c r="AX873" s="1">
        <v>169.72</v>
      </c>
      <c r="BA873" s="1">
        <v>162.51</v>
      </c>
      <c r="BB873" s="1">
        <v>182.22</v>
      </c>
      <c r="BC873" s="1">
        <v>180.59</v>
      </c>
      <c r="BD873" s="1">
        <v>179.07</v>
      </c>
      <c r="BE873" s="1">
        <v>170.86</v>
      </c>
      <c r="BF873" s="1">
        <v>172.03</v>
      </c>
      <c r="BG873" s="1">
        <v>178.77</v>
      </c>
      <c r="BH873" s="1">
        <v>170.66</v>
      </c>
      <c r="BI873" s="1">
        <v>172.56</v>
      </c>
      <c r="BJ873" s="1">
        <v>180.8</v>
      </c>
      <c r="BK873" s="1">
        <v>158.44999999999999</v>
      </c>
      <c r="BL873" s="1">
        <v>161.37</v>
      </c>
      <c r="BN873" s="1">
        <v>160.16</v>
      </c>
    </row>
    <row r="874" spans="1:66" x14ac:dyDescent="0.3">
      <c r="A874" s="2"/>
      <c r="C874" s="14" t="str">
        <f t="shared" si="14"/>
        <v>20229</v>
      </c>
      <c r="D874" s="3">
        <v>44832</v>
      </c>
      <c r="E874" s="21">
        <v>2749.81</v>
      </c>
      <c r="F874" s="21">
        <v>2803.54</v>
      </c>
      <c r="G874" s="21">
        <v>2872.77</v>
      </c>
      <c r="H874" s="21">
        <v>2775.79</v>
      </c>
      <c r="I874" s="21">
        <v>2689.82</v>
      </c>
      <c r="J874" s="21">
        <v>2687.36</v>
      </c>
      <c r="K874" s="21">
        <v>2588.33</v>
      </c>
      <c r="L874" s="21">
        <v>2643.35</v>
      </c>
      <c r="M874" s="21">
        <v>2516.37</v>
      </c>
      <c r="N874" s="21">
        <v>2419.79</v>
      </c>
      <c r="O874" s="21">
        <v>2767.43</v>
      </c>
      <c r="P874" s="21">
        <v>2664.03</v>
      </c>
      <c r="Q874" s="21">
        <v>6652.9</v>
      </c>
      <c r="R874" s="20">
        <v>164.26</v>
      </c>
      <c r="S874" s="20">
        <v>151.22999999999999</v>
      </c>
      <c r="T874" s="21">
        <v>168.03</v>
      </c>
      <c r="V874" s="1">
        <v>160.56</v>
      </c>
      <c r="W874" s="1">
        <v>170.49</v>
      </c>
      <c r="X874" s="1">
        <v>170.34</v>
      </c>
      <c r="Y874" s="1">
        <v>163.46</v>
      </c>
      <c r="Z874" s="1">
        <v>163.66999999999999</v>
      </c>
      <c r="AA874" s="1">
        <v>165.9</v>
      </c>
      <c r="AB874" s="1">
        <v>170.35</v>
      </c>
      <c r="AE874" s="1">
        <v>178.61</v>
      </c>
      <c r="AF874" s="1">
        <v>170.97</v>
      </c>
      <c r="AG874" s="1">
        <v>161.71</v>
      </c>
      <c r="AV874" s="1">
        <v>30</v>
      </c>
      <c r="AW874" s="1">
        <v>3258.04</v>
      </c>
      <c r="AX874" s="1">
        <v>169.7</v>
      </c>
      <c r="BA874" s="1">
        <v>162.66</v>
      </c>
      <c r="BB874" s="1">
        <v>181.17</v>
      </c>
      <c r="BC874" s="1">
        <v>179.83</v>
      </c>
      <c r="BD874" s="1">
        <v>175.25</v>
      </c>
      <c r="BE874" s="1">
        <v>171.07</v>
      </c>
      <c r="BF874" s="1">
        <v>172.36</v>
      </c>
      <c r="BG874" s="1">
        <v>178.76</v>
      </c>
      <c r="BH874" s="1">
        <v>170.55</v>
      </c>
      <c r="BI874" s="1">
        <v>172.56</v>
      </c>
      <c r="BJ874" s="1">
        <v>180.8</v>
      </c>
      <c r="BK874" s="1">
        <v>158.44999999999999</v>
      </c>
      <c r="BL874" s="1">
        <v>161.87</v>
      </c>
      <c r="BN874" s="1">
        <v>160.16</v>
      </c>
    </row>
    <row r="875" spans="1:66" x14ac:dyDescent="0.3">
      <c r="A875" s="2"/>
      <c r="C875" s="14" t="str">
        <f t="shared" si="14"/>
        <v>20229</v>
      </c>
      <c r="D875" s="3">
        <v>44831</v>
      </c>
      <c r="E875" s="21">
        <v>2756.02</v>
      </c>
      <c r="F875" s="21">
        <v>2778.82</v>
      </c>
      <c r="G875" s="21">
        <v>2872.77</v>
      </c>
      <c r="H875" s="21">
        <v>2790.89</v>
      </c>
      <c r="I875" s="21">
        <v>2624.55</v>
      </c>
      <c r="J875" s="21">
        <v>2692.37</v>
      </c>
      <c r="K875" s="21">
        <v>2576.66</v>
      </c>
      <c r="L875" s="21">
        <v>2669.18</v>
      </c>
      <c r="M875" s="21">
        <v>2394.67</v>
      </c>
      <c r="N875" s="21">
        <v>2474.9899999999998</v>
      </c>
      <c r="O875" s="21">
        <v>2783.33</v>
      </c>
      <c r="P875" s="21">
        <v>2646.53</v>
      </c>
      <c r="Q875" s="21">
        <v>6804.05</v>
      </c>
      <c r="R875" s="20">
        <v>164.59</v>
      </c>
      <c r="S875" s="20">
        <v>153.54</v>
      </c>
      <c r="T875" s="21">
        <v>169.52</v>
      </c>
      <c r="V875" s="1">
        <v>160.47</v>
      </c>
      <c r="W875" s="1">
        <v>172.71</v>
      </c>
      <c r="X875" s="1">
        <v>171.22</v>
      </c>
      <c r="Y875" s="1">
        <v>166.27</v>
      </c>
      <c r="Z875" s="1">
        <v>166.65</v>
      </c>
      <c r="AA875" s="1">
        <v>166.61</v>
      </c>
      <c r="AB875" s="1">
        <v>170.5</v>
      </c>
      <c r="AE875" s="1">
        <v>178.97</v>
      </c>
      <c r="AF875" s="1">
        <v>174.75</v>
      </c>
      <c r="AG875" s="1">
        <v>162.43</v>
      </c>
      <c r="AW875" s="1">
        <v>3378.6</v>
      </c>
      <c r="AX875" s="1">
        <v>167.78</v>
      </c>
      <c r="BA875" s="1">
        <v>165.27</v>
      </c>
      <c r="BB875" s="1">
        <v>181.18</v>
      </c>
      <c r="BC875" s="1">
        <v>180.12</v>
      </c>
      <c r="BD875" s="1">
        <v>178.83</v>
      </c>
      <c r="BE875" s="1">
        <v>172.82</v>
      </c>
      <c r="BF875" s="1">
        <v>172.69</v>
      </c>
      <c r="BG875" s="1">
        <v>179.84</v>
      </c>
      <c r="BH875" s="1">
        <v>170.35</v>
      </c>
      <c r="BI875" s="1">
        <v>172.16</v>
      </c>
      <c r="BJ875" s="1">
        <v>180.8</v>
      </c>
      <c r="BK875" s="1">
        <v>162.03</v>
      </c>
      <c r="BL875" s="1">
        <v>162.44999999999999</v>
      </c>
      <c r="BN875" s="1">
        <v>161.02000000000001</v>
      </c>
    </row>
    <row r="876" spans="1:66" x14ac:dyDescent="0.3">
      <c r="A876" s="2"/>
      <c r="C876" s="14" t="str">
        <f t="shared" si="14"/>
        <v>20229</v>
      </c>
      <c r="D876" s="3">
        <v>44830</v>
      </c>
      <c r="E876" s="21">
        <v>2738.78</v>
      </c>
      <c r="F876" s="21">
        <v>2731.35</v>
      </c>
      <c r="G876" s="21">
        <v>2795.71</v>
      </c>
      <c r="H876" s="21">
        <v>2791.91</v>
      </c>
      <c r="I876" s="21">
        <v>2624.55</v>
      </c>
      <c r="J876" s="21">
        <v>2652.51</v>
      </c>
      <c r="K876" s="21">
        <v>2611.59</v>
      </c>
      <c r="L876" s="21">
        <v>2666.64</v>
      </c>
      <c r="M876" s="21">
        <v>2523.0700000000002</v>
      </c>
      <c r="N876" s="21">
        <v>2487.3200000000002</v>
      </c>
      <c r="O876" s="21">
        <v>2764.9</v>
      </c>
      <c r="P876" s="21">
        <v>2601.71</v>
      </c>
      <c r="Q876" s="21">
        <v>7126.18</v>
      </c>
      <c r="R876" s="20">
        <v>162.97999999999999</v>
      </c>
      <c r="S876" s="20">
        <v>153.33000000000001</v>
      </c>
      <c r="T876" s="21">
        <v>169.08</v>
      </c>
      <c r="V876" s="1">
        <v>159.91999999999999</v>
      </c>
      <c r="W876" s="1">
        <v>172.67</v>
      </c>
      <c r="X876" s="1">
        <v>169.71</v>
      </c>
      <c r="Y876" s="1">
        <v>163.63999999999999</v>
      </c>
      <c r="Z876" s="1">
        <v>166.33</v>
      </c>
      <c r="AA876" s="1">
        <v>166.16</v>
      </c>
      <c r="AB876" s="1">
        <v>169.45</v>
      </c>
      <c r="AC876" s="1">
        <v>163.57</v>
      </c>
      <c r="AE876" s="1">
        <v>175.18</v>
      </c>
      <c r="AF876" s="1">
        <v>172.32</v>
      </c>
      <c r="AG876" s="1">
        <v>163.06</v>
      </c>
      <c r="AN876" s="1">
        <v>3589.88</v>
      </c>
      <c r="AW876" s="1">
        <v>3570.66</v>
      </c>
      <c r="AX876" s="1">
        <v>167.66</v>
      </c>
      <c r="AY876" s="1">
        <v>3993.11</v>
      </c>
      <c r="BA876" s="1">
        <v>165.43</v>
      </c>
      <c r="BB876" s="1">
        <v>180.03</v>
      </c>
      <c r="BC876" s="1">
        <v>180.27</v>
      </c>
      <c r="BD876" s="1">
        <v>179.48</v>
      </c>
      <c r="BE876" s="1">
        <v>174.65</v>
      </c>
      <c r="BF876" s="1">
        <v>175.1</v>
      </c>
      <c r="BG876" s="1">
        <v>179.39</v>
      </c>
      <c r="BH876" s="1">
        <v>170.35</v>
      </c>
      <c r="BI876" s="1">
        <v>172.16</v>
      </c>
      <c r="BJ876" s="1">
        <v>180.8</v>
      </c>
      <c r="BK876" s="1">
        <v>161.79</v>
      </c>
      <c r="BL876" s="1">
        <v>162.37</v>
      </c>
      <c r="BN876" s="1">
        <v>160.9</v>
      </c>
    </row>
    <row r="877" spans="1:66" x14ac:dyDescent="0.3">
      <c r="A877" s="2"/>
      <c r="C877" s="14" t="str">
        <f t="shared" si="14"/>
        <v>20229</v>
      </c>
      <c r="D877" s="3">
        <v>44827</v>
      </c>
      <c r="E877" s="21">
        <v>2719.06</v>
      </c>
      <c r="F877" s="21">
        <v>2696.41</v>
      </c>
      <c r="G877" s="21">
        <v>2766.04</v>
      </c>
      <c r="H877" s="21">
        <v>2789.71</v>
      </c>
      <c r="I877" s="21">
        <v>2594.89</v>
      </c>
      <c r="J877" s="21">
        <v>2641.59</v>
      </c>
      <c r="K877" s="21">
        <v>2611.59</v>
      </c>
      <c r="L877" s="21">
        <v>2610.98</v>
      </c>
      <c r="M877" s="21">
        <v>2523.0700000000002</v>
      </c>
      <c r="N877" s="21">
        <v>2387.41</v>
      </c>
      <c r="O877" s="21">
        <v>2764.9</v>
      </c>
      <c r="P877" s="21">
        <v>2601.71</v>
      </c>
      <c r="Q877" s="21">
        <v>7091.47</v>
      </c>
      <c r="R877" s="20">
        <v>162.97999999999999</v>
      </c>
      <c r="S877" s="20">
        <v>152.21</v>
      </c>
      <c r="T877" s="21">
        <v>167.21</v>
      </c>
      <c r="V877" s="1">
        <v>159.5</v>
      </c>
      <c r="W877" s="1">
        <v>171.88</v>
      </c>
      <c r="X877" s="1">
        <v>169.66</v>
      </c>
      <c r="Y877" s="1">
        <v>162.65</v>
      </c>
      <c r="Z877" s="1">
        <v>163.47</v>
      </c>
      <c r="AA877" s="1">
        <v>165.93</v>
      </c>
      <c r="AB877" s="1">
        <v>169.55</v>
      </c>
      <c r="AC877" s="1">
        <v>163.13999999999999</v>
      </c>
      <c r="AE877" s="1">
        <v>175.78</v>
      </c>
      <c r="AF877" s="1">
        <v>171.36</v>
      </c>
      <c r="AG877" s="1">
        <v>161.57</v>
      </c>
      <c r="AN877" s="1">
        <v>3589.88</v>
      </c>
      <c r="AW877" s="1">
        <v>3570.66</v>
      </c>
      <c r="AX877" s="1">
        <v>168.46</v>
      </c>
      <c r="AY877" s="1">
        <v>3993.11</v>
      </c>
      <c r="BA877" s="1">
        <v>165.61</v>
      </c>
      <c r="BB877" s="1">
        <v>179.27</v>
      </c>
      <c r="BC877" s="1">
        <v>177.76</v>
      </c>
      <c r="BD877" s="1">
        <v>178.54</v>
      </c>
      <c r="BE877" s="1">
        <v>172.37</v>
      </c>
      <c r="BF877" s="1">
        <v>174.98</v>
      </c>
      <c r="BG877" s="1">
        <v>178.5</v>
      </c>
      <c r="BH877" s="1">
        <v>170.13</v>
      </c>
      <c r="BI877" s="1">
        <v>173.86</v>
      </c>
      <c r="BJ877" s="1">
        <v>182.45</v>
      </c>
      <c r="BK877" s="1">
        <v>161.54</v>
      </c>
      <c r="BL877" s="1">
        <v>159.58000000000001</v>
      </c>
      <c r="BN877" s="1">
        <v>157.76</v>
      </c>
    </row>
    <row r="878" spans="1:66" x14ac:dyDescent="0.3">
      <c r="A878" s="2"/>
      <c r="C878" s="14" t="str">
        <f t="shared" si="14"/>
        <v>20229</v>
      </c>
      <c r="D878" s="3">
        <v>44826</v>
      </c>
      <c r="E878" s="21">
        <v>2709.04</v>
      </c>
      <c r="F878" s="21">
        <v>2701.69</v>
      </c>
      <c r="G878" s="21">
        <v>2775.99</v>
      </c>
      <c r="H878" s="21">
        <v>2833.05</v>
      </c>
      <c r="I878" s="21">
        <v>2594.89</v>
      </c>
      <c r="J878" s="21">
        <v>2668.03</v>
      </c>
      <c r="K878" s="21">
        <v>2553.4299999999998</v>
      </c>
      <c r="L878" s="21">
        <v>2666.62</v>
      </c>
      <c r="M878" s="21">
        <v>2523.0700000000002</v>
      </c>
      <c r="N878" s="21">
        <v>2433.23</v>
      </c>
      <c r="O878" s="21">
        <v>2674.65</v>
      </c>
      <c r="P878" s="21">
        <v>2596.71</v>
      </c>
      <c r="Q878" s="21">
        <v>7395.6</v>
      </c>
      <c r="R878" s="20">
        <v>165.26</v>
      </c>
      <c r="S878" s="20">
        <v>152.6</v>
      </c>
      <c r="T878" s="21">
        <v>168.3</v>
      </c>
      <c r="V878" s="1">
        <v>161.36000000000001</v>
      </c>
      <c r="W878" s="1">
        <v>174.03</v>
      </c>
      <c r="X878" s="1">
        <v>171.75</v>
      </c>
      <c r="Y878" s="1">
        <v>165.37</v>
      </c>
      <c r="Z878" s="1">
        <v>166.41</v>
      </c>
      <c r="AA878" s="1">
        <v>166.04</v>
      </c>
      <c r="AB878" s="1">
        <v>171.85</v>
      </c>
      <c r="AC878" s="1">
        <v>163.85</v>
      </c>
      <c r="AE878" s="1">
        <v>179.77</v>
      </c>
      <c r="AF878" s="1">
        <v>173.3</v>
      </c>
      <c r="AG878" s="1">
        <v>161.54</v>
      </c>
      <c r="AN878" s="1">
        <v>3589.88</v>
      </c>
      <c r="AW878" s="1">
        <v>3618.19</v>
      </c>
      <c r="AX878" s="1">
        <v>170.23</v>
      </c>
      <c r="AY878" s="1">
        <v>3993.11</v>
      </c>
      <c r="BA878" s="1">
        <v>166.39</v>
      </c>
      <c r="BB878" s="1">
        <v>183.11</v>
      </c>
      <c r="BC878" s="1">
        <v>179.88</v>
      </c>
      <c r="BD878" s="1">
        <v>180.17</v>
      </c>
      <c r="BE878" s="1">
        <v>172.25</v>
      </c>
      <c r="BF878" s="1">
        <v>174.95</v>
      </c>
      <c r="BG878" s="1">
        <v>181.68</v>
      </c>
      <c r="BH878" s="1">
        <v>169.44</v>
      </c>
      <c r="BI878" s="1">
        <v>174.46</v>
      </c>
      <c r="BJ878" s="1">
        <v>183.11</v>
      </c>
      <c r="BK878" s="1">
        <v>162.04</v>
      </c>
      <c r="BL878" s="1">
        <v>161.54</v>
      </c>
      <c r="BN878" s="1">
        <v>160.91</v>
      </c>
    </row>
    <row r="879" spans="1:66" x14ac:dyDescent="0.3">
      <c r="A879" s="2"/>
      <c r="C879" s="14" t="str">
        <f t="shared" si="14"/>
        <v>20229</v>
      </c>
      <c r="D879" s="3">
        <v>44825</v>
      </c>
      <c r="E879" s="21">
        <v>2750.19</v>
      </c>
      <c r="F879" s="21">
        <v>2696.74</v>
      </c>
      <c r="G879" s="21">
        <v>2775.99</v>
      </c>
      <c r="H879" s="21">
        <v>2801.23</v>
      </c>
      <c r="I879" s="21">
        <v>2579.06</v>
      </c>
      <c r="J879" s="21">
        <v>2656.48</v>
      </c>
      <c r="K879" s="21">
        <v>2553.4299999999998</v>
      </c>
      <c r="L879" s="21">
        <v>2654.7</v>
      </c>
      <c r="M879" s="21">
        <v>2516.37</v>
      </c>
      <c r="N879" s="21">
        <v>2430.65</v>
      </c>
      <c r="O879" s="21">
        <v>2712.59</v>
      </c>
      <c r="P879" s="21">
        <v>2596.71</v>
      </c>
      <c r="Q879" s="21">
        <v>7395.6</v>
      </c>
      <c r="R879" s="20">
        <v>165.26</v>
      </c>
      <c r="S879" s="20">
        <v>154.44</v>
      </c>
      <c r="T879" s="21">
        <v>168.67</v>
      </c>
      <c r="V879" s="1">
        <v>161.35</v>
      </c>
      <c r="W879" s="1">
        <v>174.87</v>
      </c>
      <c r="X879" s="1">
        <v>172.53</v>
      </c>
      <c r="Y879" s="1">
        <v>165.55</v>
      </c>
      <c r="Z879" s="1">
        <v>166.63</v>
      </c>
      <c r="AA879" s="1">
        <v>166.26</v>
      </c>
      <c r="AB879" s="1">
        <v>171.64</v>
      </c>
      <c r="AC879" s="1">
        <v>164.19</v>
      </c>
      <c r="AE879" s="1">
        <v>180.96</v>
      </c>
      <c r="AF879" s="1">
        <v>174.62</v>
      </c>
      <c r="AG879" s="1">
        <v>161.34</v>
      </c>
      <c r="AN879" s="1">
        <v>3589.88</v>
      </c>
      <c r="AW879" s="1">
        <v>3618.19</v>
      </c>
      <c r="AX879" s="1">
        <v>170.13</v>
      </c>
      <c r="AY879" s="1">
        <v>3993.11</v>
      </c>
      <c r="BA879" s="1">
        <v>168.09</v>
      </c>
      <c r="BB879" s="1">
        <v>184.58</v>
      </c>
      <c r="BC879" s="1">
        <v>179.87</v>
      </c>
      <c r="BD879" s="1">
        <v>179.74</v>
      </c>
      <c r="BE879" s="1">
        <v>173.04</v>
      </c>
      <c r="BF879" s="1">
        <v>176.14</v>
      </c>
      <c r="BG879" s="1">
        <v>181.4</v>
      </c>
      <c r="BH879" s="1">
        <v>169.78</v>
      </c>
      <c r="BI879" s="1">
        <v>174.46</v>
      </c>
      <c r="BJ879" s="1">
        <v>183.11</v>
      </c>
      <c r="BK879" s="1">
        <v>159.78</v>
      </c>
      <c r="BL879" s="1">
        <v>161.71</v>
      </c>
      <c r="BN879" s="1">
        <v>161.4</v>
      </c>
    </row>
    <row r="880" spans="1:66" x14ac:dyDescent="0.3">
      <c r="A880" s="2"/>
      <c r="C880" s="14" t="str">
        <f t="shared" si="14"/>
        <v>20229</v>
      </c>
      <c r="D880" s="3">
        <v>44824</v>
      </c>
      <c r="E880" s="21">
        <v>2715.22</v>
      </c>
      <c r="F880" s="21">
        <v>2696.74</v>
      </c>
      <c r="G880" s="21">
        <v>2756.21</v>
      </c>
      <c r="H880" s="21">
        <v>2744.38</v>
      </c>
      <c r="I880" s="21">
        <v>2571.15</v>
      </c>
      <c r="J880" s="21">
        <v>2658.1</v>
      </c>
      <c r="K880" s="21">
        <v>2558.64</v>
      </c>
      <c r="L880" s="21">
        <v>2661.55</v>
      </c>
      <c r="M880" s="21">
        <v>2516.37</v>
      </c>
      <c r="N880" s="21">
        <v>2426.85</v>
      </c>
      <c r="O880" s="21">
        <v>2739.22</v>
      </c>
      <c r="P880" s="21">
        <v>2610.1999999999998</v>
      </c>
      <c r="Q880" s="21">
        <v>7339.73</v>
      </c>
      <c r="R880" s="20">
        <v>165.92</v>
      </c>
      <c r="S880" s="20">
        <v>155.32</v>
      </c>
      <c r="T880" s="21">
        <v>169.97</v>
      </c>
      <c r="V880" s="1">
        <v>161.84</v>
      </c>
      <c r="W880" s="1">
        <v>174.35</v>
      </c>
      <c r="X880" s="1">
        <v>171.6</v>
      </c>
      <c r="Y880" s="1">
        <v>164.94</v>
      </c>
      <c r="Z880" s="1">
        <v>166.36</v>
      </c>
      <c r="AA880" s="1">
        <v>166.61</v>
      </c>
      <c r="AB880" s="1">
        <v>171.35</v>
      </c>
      <c r="AC880" s="1">
        <v>162.52000000000001</v>
      </c>
      <c r="AE880" s="1">
        <v>180.93</v>
      </c>
      <c r="AF880" s="1">
        <v>173.7</v>
      </c>
      <c r="AG880" s="1">
        <v>161.57</v>
      </c>
      <c r="AN880" s="1">
        <v>3589.88</v>
      </c>
      <c r="AW880" s="1">
        <v>3665.72</v>
      </c>
      <c r="AX880" s="1">
        <v>170.65</v>
      </c>
      <c r="AY880" s="1">
        <v>3993.11</v>
      </c>
      <c r="BA880" s="1">
        <v>166.66</v>
      </c>
      <c r="BB880" s="1">
        <v>183.18</v>
      </c>
      <c r="BC880" s="1">
        <v>179.37</v>
      </c>
      <c r="BD880" s="1">
        <v>176.36</v>
      </c>
      <c r="BE880" s="1">
        <v>172.92</v>
      </c>
      <c r="BF880" s="1">
        <v>176.13</v>
      </c>
      <c r="BG880" s="1">
        <v>181.29</v>
      </c>
      <c r="BH880" s="1">
        <v>168.95</v>
      </c>
      <c r="BI880" s="1">
        <v>175.06</v>
      </c>
      <c r="BJ880" s="1">
        <v>184.73</v>
      </c>
      <c r="BK880" s="1">
        <v>160.11000000000001</v>
      </c>
      <c r="BL880" s="1">
        <v>162.37</v>
      </c>
      <c r="BN880" s="1">
        <v>161.4</v>
      </c>
    </row>
    <row r="881" spans="1:66" x14ac:dyDescent="0.3">
      <c r="A881" s="2"/>
      <c r="C881" s="14" t="str">
        <f t="shared" si="14"/>
        <v>20229</v>
      </c>
      <c r="D881" s="3">
        <v>44823</v>
      </c>
      <c r="E881" s="21">
        <v>2716.42</v>
      </c>
      <c r="F881" s="21">
        <v>2729.38</v>
      </c>
      <c r="G881" s="21">
        <v>2772.06</v>
      </c>
      <c r="H881" s="21">
        <v>2743.14</v>
      </c>
      <c r="I881" s="21">
        <v>2547.42</v>
      </c>
      <c r="J881" s="21">
        <v>2649.26</v>
      </c>
      <c r="K881" s="21">
        <v>2607.59</v>
      </c>
      <c r="L881" s="21">
        <v>2664.27</v>
      </c>
      <c r="M881" s="21">
        <v>2395.85</v>
      </c>
      <c r="N881" s="21">
        <v>2429.08</v>
      </c>
      <c r="O881" s="21">
        <v>2724.23</v>
      </c>
      <c r="P881" s="21">
        <v>2596.71</v>
      </c>
      <c r="Q881" s="21">
        <v>7197.26</v>
      </c>
      <c r="R881" s="20">
        <v>163.98</v>
      </c>
      <c r="S881" s="20">
        <v>155.13</v>
      </c>
      <c r="T881" s="21">
        <v>169.94</v>
      </c>
      <c r="V881" s="1">
        <v>162.53</v>
      </c>
      <c r="W881" s="1">
        <v>174.38</v>
      </c>
      <c r="X881" s="1">
        <v>171.38</v>
      </c>
      <c r="Y881" s="1">
        <v>166.52</v>
      </c>
      <c r="Z881" s="1">
        <v>166.59</v>
      </c>
      <c r="AA881" s="1">
        <v>167.11</v>
      </c>
      <c r="AB881" s="1">
        <v>171.25</v>
      </c>
      <c r="AE881" s="1">
        <v>181.11</v>
      </c>
      <c r="AF881" s="1">
        <v>173.3</v>
      </c>
      <c r="AG881" s="1">
        <v>161.19999999999999</v>
      </c>
      <c r="AW881" s="1">
        <v>3665.72</v>
      </c>
      <c r="AX881" s="1">
        <v>171.52</v>
      </c>
      <c r="BA881" s="1">
        <v>167.86</v>
      </c>
      <c r="BB881" s="1">
        <v>183.98</v>
      </c>
      <c r="BC881" s="1">
        <v>181.14</v>
      </c>
      <c r="BD881" s="1">
        <v>178.4</v>
      </c>
      <c r="BE881" s="1">
        <v>173.17</v>
      </c>
      <c r="BF881" s="1">
        <v>176.62</v>
      </c>
      <c r="BG881" s="1">
        <v>181.49</v>
      </c>
      <c r="BH881" s="1">
        <v>169.74</v>
      </c>
      <c r="BI881" s="1">
        <v>175.66</v>
      </c>
      <c r="BJ881" s="1">
        <v>184.73</v>
      </c>
      <c r="BK881" s="1">
        <v>160.77000000000001</v>
      </c>
      <c r="BL881" s="1">
        <v>163.04</v>
      </c>
      <c r="BN881" s="1">
        <v>162.4</v>
      </c>
    </row>
    <row r="882" spans="1:66" x14ac:dyDescent="0.3">
      <c r="A882" s="2"/>
      <c r="C882" s="14" t="str">
        <f t="shared" si="14"/>
        <v>20229</v>
      </c>
      <c r="D882" s="3">
        <v>44820</v>
      </c>
      <c r="E882" s="21">
        <v>2684.05</v>
      </c>
      <c r="F882" s="21">
        <v>2729.38</v>
      </c>
      <c r="G882" s="21">
        <v>2746.21</v>
      </c>
      <c r="H882" s="21">
        <v>2809.27</v>
      </c>
      <c r="I882" s="21">
        <v>2547.42</v>
      </c>
      <c r="J882" s="21">
        <v>2666.84</v>
      </c>
      <c r="K882" s="21">
        <v>2597.61</v>
      </c>
      <c r="L882" s="21">
        <v>2624.51</v>
      </c>
      <c r="M882" s="21">
        <v>2417</v>
      </c>
      <c r="N882" s="21">
        <v>2400.5</v>
      </c>
      <c r="O882" s="21">
        <v>2676.67</v>
      </c>
      <c r="P882" s="21">
        <v>2589.21</v>
      </c>
      <c r="Q882" s="21">
        <v>7474.54</v>
      </c>
      <c r="R882" s="20">
        <v>165.59</v>
      </c>
      <c r="S882" s="20">
        <v>155.53</v>
      </c>
      <c r="T882" s="21">
        <v>170.44</v>
      </c>
      <c r="V882" s="1">
        <v>162.34</v>
      </c>
      <c r="W882" s="1">
        <v>174.3</v>
      </c>
      <c r="X882" s="1">
        <v>171.22</v>
      </c>
      <c r="Y882" s="1">
        <v>166.02</v>
      </c>
      <c r="Z882" s="1">
        <v>166.95</v>
      </c>
      <c r="AA882" s="1">
        <v>167.2</v>
      </c>
      <c r="AB882" s="1">
        <v>170.75</v>
      </c>
      <c r="AE882" s="1">
        <v>180.37</v>
      </c>
      <c r="AF882" s="1">
        <v>173.07</v>
      </c>
      <c r="AG882" s="1">
        <v>161.77000000000001</v>
      </c>
      <c r="AW882" s="1">
        <v>3665.72</v>
      </c>
      <c r="AX882" s="1">
        <v>171.65</v>
      </c>
      <c r="BA882" s="1">
        <v>167.36</v>
      </c>
      <c r="BB882" s="1">
        <v>183.97</v>
      </c>
      <c r="BC882" s="1">
        <v>180.6</v>
      </c>
      <c r="BD882" s="1">
        <v>178.15</v>
      </c>
      <c r="BE882" s="1">
        <v>171.54</v>
      </c>
      <c r="BF882" s="1">
        <v>173.66</v>
      </c>
      <c r="BG882" s="1">
        <v>182.38</v>
      </c>
      <c r="BH882" s="1">
        <v>170.17</v>
      </c>
      <c r="BI882" s="1">
        <v>175.66</v>
      </c>
      <c r="BJ882" s="1">
        <v>184.73</v>
      </c>
      <c r="BK882" s="1">
        <v>163.58000000000001</v>
      </c>
      <c r="BL882" s="1">
        <v>163.37</v>
      </c>
      <c r="BN882" s="1">
        <v>162.63999999999999</v>
      </c>
    </row>
    <row r="883" spans="1:66" x14ac:dyDescent="0.3">
      <c r="A883" s="2"/>
      <c r="C883" s="14" t="str">
        <f t="shared" si="14"/>
        <v>20229</v>
      </c>
      <c r="D883" s="3">
        <v>44819</v>
      </c>
      <c r="E883" s="21">
        <v>2639.94</v>
      </c>
      <c r="F883" s="21">
        <v>2721.14</v>
      </c>
      <c r="G883" s="21">
        <v>2716.54</v>
      </c>
      <c r="H883" s="21">
        <v>2737.67</v>
      </c>
      <c r="I883" s="21">
        <v>2547.42</v>
      </c>
      <c r="J883" s="21">
        <v>2660.78</v>
      </c>
      <c r="K883" s="21">
        <v>2597.61</v>
      </c>
      <c r="L883" s="21">
        <v>2598.67</v>
      </c>
      <c r="M883" s="21"/>
      <c r="N883" s="21">
        <v>2400.5</v>
      </c>
      <c r="O883" s="21">
        <v>2676.67</v>
      </c>
      <c r="P883" s="21">
        <v>2589.21</v>
      </c>
      <c r="Q883" s="21">
        <v>7490.77</v>
      </c>
      <c r="R883" s="20">
        <v>165.59</v>
      </c>
      <c r="S883" s="20">
        <v>154.31</v>
      </c>
      <c r="T883" s="21">
        <v>169.75</v>
      </c>
      <c r="V883" s="1">
        <v>163.61000000000001</v>
      </c>
      <c r="W883" s="1">
        <v>174.24</v>
      </c>
      <c r="X883" s="1">
        <v>171.35</v>
      </c>
      <c r="Y883" s="1">
        <v>165.26</v>
      </c>
      <c r="Z883" s="1">
        <v>166.73</v>
      </c>
      <c r="AA883" s="1">
        <v>167.2</v>
      </c>
      <c r="AB883" s="1">
        <v>170.95</v>
      </c>
      <c r="AE883" s="1">
        <v>180.77</v>
      </c>
      <c r="AF883" s="1">
        <v>173.07</v>
      </c>
      <c r="AG883" s="1">
        <v>162.02000000000001</v>
      </c>
      <c r="AX883" s="1">
        <v>169.99</v>
      </c>
      <c r="AY883" s="1">
        <v>3185.38</v>
      </c>
      <c r="AZ883" s="1">
        <v>3707.85</v>
      </c>
      <c r="BA883" s="1">
        <v>167.36</v>
      </c>
      <c r="BB883" s="1">
        <v>182.15</v>
      </c>
      <c r="BC883" s="1">
        <v>181.12</v>
      </c>
      <c r="BD883" s="1">
        <v>180.41</v>
      </c>
      <c r="BE883" s="1">
        <v>171.53</v>
      </c>
      <c r="BF883" s="1">
        <v>174.19</v>
      </c>
      <c r="BG883" s="1">
        <v>182.36</v>
      </c>
      <c r="BH883" s="1">
        <v>170.17</v>
      </c>
      <c r="BI883" s="1">
        <v>176.25</v>
      </c>
      <c r="BJ883" s="1">
        <v>184.43</v>
      </c>
      <c r="BK883" s="1">
        <v>163.08000000000001</v>
      </c>
      <c r="BL883" s="1">
        <v>162.47999999999999</v>
      </c>
      <c r="BN883" s="1">
        <v>162.63999999999999</v>
      </c>
    </row>
    <row r="884" spans="1:66" x14ac:dyDescent="0.3">
      <c r="A884" s="2"/>
      <c r="C884" s="14" t="str">
        <f t="shared" si="14"/>
        <v>20229</v>
      </c>
      <c r="D884" s="3">
        <v>44818</v>
      </c>
      <c r="E884" s="21">
        <v>2661.75</v>
      </c>
      <c r="F884" s="21">
        <v>2721.14</v>
      </c>
      <c r="G884" s="21">
        <v>2722.51</v>
      </c>
      <c r="H884" s="21">
        <v>2741.81</v>
      </c>
      <c r="I884" s="21">
        <v>2547.42</v>
      </c>
      <c r="J884" s="21">
        <v>2653.35</v>
      </c>
      <c r="K884" s="21">
        <v>2508.86</v>
      </c>
      <c r="L884" s="21">
        <v>2580.7800000000002</v>
      </c>
      <c r="M884" s="21">
        <v>2410.42</v>
      </c>
      <c r="N884" s="21">
        <v>2373.9</v>
      </c>
      <c r="O884" s="21">
        <v>2681.74</v>
      </c>
      <c r="P884" s="21">
        <v>2539.4899999999998</v>
      </c>
      <c r="Q884" s="21">
        <v>7617.49</v>
      </c>
      <c r="R884" s="20">
        <v>165.59</v>
      </c>
      <c r="S884" s="20">
        <v>155.74</v>
      </c>
      <c r="T884" s="21">
        <v>169.89</v>
      </c>
      <c r="V884" s="1">
        <v>161.47</v>
      </c>
      <c r="W884" s="1">
        <v>171.96</v>
      </c>
      <c r="X884" s="1">
        <v>172.02</v>
      </c>
      <c r="Y884" s="1">
        <v>166.09</v>
      </c>
      <c r="Z884" s="1">
        <v>166.17</v>
      </c>
      <c r="AA884" s="1">
        <v>167.2</v>
      </c>
      <c r="AB884" s="1">
        <v>171.05</v>
      </c>
      <c r="AE884" s="1">
        <v>179.92</v>
      </c>
      <c r="AF884" s="1">
        <v>173.53</v>
      </c>
      <c r="AG884" s="1">
        <v>162.25</v>
      </c>
      <c r="AX884" s="1">
        <v>165.4</v>
      </c>
      <c r="AY884" s="1">
        <v>3185.38</v>
      </c>
      <c r="AZ884" s="1">
        <v>3707.85</v>
      </c>
      <c r="BA884" s="1">
        <v>168.25</v>
      </c>
      <c r="BB884" s="1">
        <v>181.7</v>
      </c>
      <c r="BC884" s="1">
        <v>181.1</v>
      </c>
      <c r="BD884" s="1">
        <v>181.24</v>
      </c>
      <c r="BE884" s="1">
        <v>172</v>
      </c>
      <c r="BF884" s="1">
        <v>175.39</v>
      </c>
      <c r="BG884" s="1">
        <v>181.56</v>
      </c>
      <c r="BH884" s="1">
        <v>170.62</v>
      </c>
      <c r="BI884" s="1">
        <v>176.45</v>
      </c>
      <c r="BJ884" s="1">
        <v>184.43</v>
      </c>
      <c r="BK884" s="1">
        <v>162.59</v>
      </c>
      <c r="BL884" s="1">
        <v>161.04</v>
      </c>
      <c r="BN884" s="1">
        <v>161.16</v>
      </c>
    </row>
    <row r="885" spans="1:66" x14ac:dyDescent="0.3">
      <c r="A885" s="2"/>
      <c r="C885" s="14" t="str">
        <f t="shared" si="14"/>
        <v>20229</v>
      </c>
      <c r="D885" s="3">
        <v>44817</v>
      </c>
      <c r="E885" s="21">
        <v>2542.62</v>
      </c>
      <c r="F885" s="21">
        <v>2622.25</v>
      </c>
      <c r="G885" s="21">
        <v>2653.25</v>
      </c>
      <c r="H885" s="21">
        <v>2636.68</v>
      </c>
      <c r="I885" s="21">
        <v>2513.8000000000002</v>
      </c>
      <c r="J885" s="21">
        <v>2632.74</v>
      </c>
      <c r="K885" s="21">
        <v>2488.66</v>
      </c>
      <c r="L885" s="21">
        <v>2657.15</v>
      </c>
      <c r="M885" s="21">
        <v>2344.33</v>
      </c>
      <c r="N885" s="21">
        <v>2308.3200000000002</v>
      </c>
      <c r="O885" s="21">
        <v>2679.25</v>
      </c>
      <c r="P885" s="21">
        <v>2525.98</v>
      </c>
      <c r="Q885" s="21">
        <v>7564.39</v>
      </c>
      <c r="R885" s="20">
        <v>166.59</v>
      </c>
      <c r="S885" s="20">
        <v>156.97</v>
      </c>
      <c r="T885" s="21">
        <v>171.22</v>
      </c>
      <c r="V885" s="1">
        <v>162.27000000000001</v>
      </c>
      <c r="W885" s="1">
        <v>172.53</v>
      </c>
      <c r="X885" s="1">
        <v>172.02</v>
      </c>
      <c r="Y885" s="1">
        <v>166.93</v>
      </c>
      <c r="Z885" s="1">
        <v>168.5</v>
      </c>
      <c r="AA885" s="1">
        <v>166.86</v>
      </c>
      <c r="AB885" s="1">
        <v>170.15</v>
      </c>
      <c r="AE885" s="1">
        <v>178.08</v>
      </c>
      <c r="AF885" s="1">
        <v>174.57</v>
      </c>
      <c r="AG885" s="1">
        <v>164.03</v>
      </c>
      <c r="AX885" s="1">
        <v>167.77</v>
      </c>
      <c r="AY885" s="1">
        <v>3185.38</v>
      </c>
      <c r="AZ885" s="1">
        <v>3707.85</v>
      </c>
      <c r="BA885" s="1">
        <v>168.44</v>
      </c>
      <c r="BB885" s="1">
        <v>183.87</v>
      </c>
      <c r="BC885" s="1">
        <v>182.94</v>
      </c>
      <c r="BD885" s="1">
        <v>181.99</v>
      </c>
      <c r="BE885" s="1">
        <v>172.52</v>
      </c>
      <c r="BF885" s="1">
        <v>175.46</v>
      </c>
      <c r="BG885" s="1">
        <v>179.15</v>
      </c>
      <c r="BH885" s="1">
        <v>169.52</v>
      </c>
      <c r="BI885" s="1">
        <v>176.45</v>
      </c>
      <c r="BJ885" s="1">
        <v>184.43</v>
      </c>
      <c r="BK885" s="1">
        <v>164.83</v>
      </c>
      <c r="BL885" s="1">
        <v>162.28</v>
      </c>
      <c r="BN885" s="1">
        <v>162.63999999999999</v>
      </c>
    </row>
    <row r="886" spans="1:66" x14ac:dyDescent="0.3">
      <c r="A886" s="2"/>
      <c r="C886" s="14" t="str">
        <f t="shared" si="14"/>
        <v>20229</v>
      </c>
      <c r="D886" s="3">
        <v>44816</v>
      </c>
      <c r="E886" s="21">
        <v>2532.1999999999998</v>
      </c>
      <c r="F886" s="21">
        <v>2527.48</v>
      </c>
      <c r="G886" s="21">
        <v>2587.9299999999998</v>
      </c>
      <c r="H886" s="21">
        <v>2420.96</v>
      </c>
      <c r="I886" s="21">
        <v>2513.8000000000002</v>
      </c>
      <c r="J886" s="21">
        <v>2620.94</v>
      </c>
      <c r="K886" s="21">
        <v>2478.6999999999998</v>
      </c>
      <c r="L886" s="21">
        <v>2561.5700000000002</v>
      </c>
      <c r="M886" s="21">
        <v>2368.59</v>
      </c>
      <c r="N886" s="21">
        <v>2289.67</v>
      </c>
      <c r="O886" s="21">
        <v>2613.4</v>
      </c>
      <c r="P886" s="21">
        <v>2525.98</v>
      </c>
      <c r="Q886" s="21">
        <v>7605.86</v>
      </c>
      <c r="R886" s="20">
        <v>165.59</v>
      </c>
      <c r="S886" s="20">
        <v>155.77000000000001</v>
      </c>
      <c r="T886" s="21">
        <v>168.57</v>
      </c>
      <c r="V886" s="1">
        <v>160.26</v>
      </c>
      <c r="W886" s="1">
        <v>170.25</v>
      </c>
      <c r="X886" s="1">
        <v>170.39</v>
      </c>
      <c r="Y886" s="1">
        <v>164.15</v>
      </c>
      <c r="Z886" s="1">
        <v>165.07</v>
      </c>
      <c r="AA886" s="1">
        <v>166.29</v>
      </c>
      <c r="AB886" s="1">
        <v>169.25</v>
      </c>
      <c r="AE886" s="1">
        <v>178.17</v>
      </c>
      <c r="AF886" s="1">
        <v>173.98</v>
      </c>
      <c r="AG886" s="1">
        <v>160.81</v>
      </c>
      <c r="AW886" s="1">
        <v>3759.63</v>
      </c>
      <c r="AX886" s="1">
        <v>167.31</v>
      </c>
      <c r="AY886" s="1">
        <v>3185.38</v>
      </c>
      <c r="AZ886" s="1">
        <v>3792.12</v>
      </c>
      <c r="BA886" s="1">
        <v>166.92</v>
      </c>
      <c r="BB886" s="1">
        <v>182.16</v>
      </c>
      <c r="BC886" s="1">
        <v>180.12</v>
      </c>
      <c r="BD886" s="1">
        <v>179.7</v>
      </c>
      <c r="BE886" s="1">
        <v>172.51</v>
      </c>
      <c r="BF886" s="1">
        <v>173.66</v>
      </c>
      <c r="BG886" s="1">
        <v>178.85</v>
      </c>
      <c r="BH886" s="1">
        <v>169.52</v>
      </c>
      <c r="BI886" s="1">
        <v>175.26</v>
      </c>
      <c r="BJ886" s="1">
        <v>184.43</v>
      </c>
      <c r="BK886" s="1">
        <v>161.84</v>
      </c>
      <c r="BL886" s="1">
        <v>160.71</v>
      </c>
      <c r="BN886" s="1">
        <v>160.9</v>
      </c>
    </row>
    <row r="887" spans="1:66" x14ac:dyDescent="0.3">
      <c r="A887" s="2"/>
      <c r="C887" s="14" t="str">
        <f t="shared" si="14"/>
        <v>20229</v>
      </c>
      <c r="D887" s="3">
        <v>44813</v>
      </c>
      <c r="E887" s="21">
        <v>2577.25</v>
      </c>
      <c r="F887" s="21">
        <v>2564.56</v>
      </c>
      <c r="G887" s="21">
        <v>2597.8200000000002</v>
      </c>
      <c r="H887" s="21">
        <v>2495.8000000000002</v>
      </c>
      <c r="I887" s="21">
        <v>2492.04</v>
      </c>
      <c r="J887" s="21">
        <v>2601.69</v>
      </c>
      <c r="K887" s="21">
        <v>2458.81</v>
      </c>
      <c r="L887" s="21">
        <v>2451.31</v>
      </c>
      <c r="M887" s="21">
        <v>2441.37</v>
      </c>
      <c r="N887" s="21">
        <v>2299.12</v>
      </c>
      <c r="O887" s="21">
        <v>2613.4</v>
      </c>
      <c r="P887" s="21">
        <v>2492.83</v>
      </c>
      <c r="Q887" s="21">
        <v>7604.27</v>
      </c>
      <c r="R887" s="20">
        <v>163.6</v>
      </c>
      <c r="S887" s="20">
        <v>154.04</v>
      </c>
      <c r="T887" s="21">
        <v>168.01</v>
      </c>
      <c r="V887" s="1">
        <v>158.88999999999999</v>
      </c>
      <c r="W887" s="1">
        <v>169.23</v>
      </c>
      <c r="X887" s="1">
        <v>168.71</v>
      </c>
      <c r="Y887" s="1">
        <v>163.53</v>
      </c>
      <c r="Z887" s="1">
        <v>164.47</v>
      </c>
      <c r="AA887" s="1">
        <v>164.3</v>
      </c>
      <c r="AB887" s="1">
        <v>168.75</v>
      </c>
      <c r="AE887" s="1">
        <v>178.2</v>
      </c>
      <c r="AF887" s="1">
        <v>170.34</v>
      </c>
      <c r="AG887" s="1">
        <v>163.22</v>
      </c>
      <c r="AI887" s="1">
        <v>23</v>
      </c>
      <c r="AN887" s="1">
        <v>3659.53</v>
      </c>
      <c r="AW887" s="1">
        <v>3759.63</v>
      </c>
      <c r="AX887" s="1">
        <v>167.22</v>
      </c>
      <c r="AY887" s="1">
        <v>3185.38</v>
      </c>
      <c r="AZ887" s="1">
        <v>3792.12</v>
      </c>
      <c r="BA887" s="1">
        <v>164.13</v>
      </c>
      <c r="BB887" s="1">
        <v>178.57</v>
      </c>
      <c r="BC887" s="1">
        <v>179.58</v>
      </c>
      <c r="BD887" s="1">
        <v>176.68</v>
      </c>
      <c r="BE887" s="1">
        <v>170.04</v>
      </c>
      <c r="BF887" s="1">
        <v>171.7</v>
      </c>
      <c r="BG887" s="1">
        <v>178.23</v>
      </c>
      <c r="BH887" s="1">
        <v>167.76</v>
      </c>
      <c r="BI887" s="1">
        <v>174.66</v>
      </c>
      <c r="BJ887" s="1">
        <v>184.68</v>
      </c>
      <c r="BK887" s="1">
        <v>160.84</v>
      </c>
      <c r="BL887" s="1">
        <v>159.29</v>
      </c>
      <c r="BN887" s="1">
        <v>158.91999999999999</v>
      </c>
    </row>
    <row r="888" spans="1:66" x14ac:dyDescent="0.3">
      <c r="A888" s="2"/>
      <c r="C888" s="14" t="str">
        <f t="shared" si="14"/>
        <v>20229</v>
      </c>
      <c r="D888" s="3">
        <v>44812</v>
      </c>
      <c r="E888" s="21">
        <v>2575.58</v>
      </c>
      <c r="F888" s="21">
        <v>2572.9499999999998</v>
      </c>
      <c r="G888" s="21">
        <v>2603.75</v>
      </c>
      <c r="H888" s="21">
        <v>2513.19</v>
      </c>
      <c r="I888" s="21">
        <v>2492.04</v>
      </c>
      <c r="J888" s="21">
        <v>2605.11</v>
      </c>
      <c r="K888" s="21">
        <v>2498.62</v>
      </c>
      <c r="L888" s="21">
        <v>2478.7399999999998</v>
      </c>
      <c r="M888" s="21">
        <v>2401.4299999999998</v>
      </c>
      <c r="N888" s="21">
        <v>2290.7800000000002</v>
      </c>
      <c r="O888" s="21">
        <v>2613.4</v>
      </c>
      <c r="P888" s="21">
        <v>2525.98</v>
      </c>
      <c r="Q888" s="21">
        <v>7621.78</v>
      </c>
      <c r="R888" s="20">
        <v>163.93</v>
      </c>
      <c r="S888" s="20">
        <v>153.22</v>
      </c>
      <c r="T888" s="21">
        <v>166.91</v>
      </c>
      <c r="V888" s="1">
        <v>159.6</v>
      </c>
      <c r="W888" s="1">
        <v>168.86</v>
      </c>
      <c r="X888" s="1">
        <v>172.08</v>
      </c>
      <c r="Y888" s="1">
        <v>164.27</v>
      </c>
      <c r="Z888" s="1">
        <v>164.59</v>
      </c>
      <c r="AA888" s="1">
        <v>165.4</v>
      </c>
      <c r="AB888" s="1">
        <v>171.95</v>
      </c>
      <c r="AC888" s="1">
        <v>163.08000000000001</v>
      </c>
      <c r="AE888" s="1">
        <v>180.23</v>
      </c>
      <c r="AF888" s="1">
        <v>171.94</v>
      </c>
      <c r="AG888" s="1">
        <v>161.19</v>
      </c>
      <c r="AI888" s="1">
        <v>23</v>
      </c>
      <c r="AN888" s="1">
        <v>3659.53</v>
      </c>
      <c r="AW888" s="1">
        <v>3759.63</v>
      </c>
      <c r="AX888" s="1">
        <v>168.6</v>
      </c>
      <c r="BA888" s="1">
        <v>164.72</v>
      </c>
      <c r="BB888" s="1">
        <v>179.72</v>
      </c>
      <c r="BC888" s="1">
        <v>179.84</v>
      </c>
      <c r="BD888" s="1">
        <v>178.95</v>
      </c>
      <c r="BE888" s="1">
        <v>169.98</v>
      </c>
      <c r="BF888" s="1">
        <v>172.19</v>
      </c>
      <c r="BG888" s="1">
        <v>180.82</v>
      </c>
      <c r="BH888" s="1">
        <v>169.03</v>
      </c>
      <c r="BI888" s="1">
        <v>174.66</v>
      </c>
      <c r="BK888" s="1">
        <v>160.59</v>
      </c>
      <c r="BL888" s="1">
        <v>159.96</v>
      </c>
      <c r="BN888" s="1">
        <v>158.79</v>
      </c>
    </row>
    <row r="889" spans="1:66" x14ac:dyDescent="0.3">
      <c r="A889" s="2"/>
      <c r="C889" s="14" t="str">
        <f t="shared" si="14"/>
        <v>20229</v>
      </c>
      <c r="D889" s="3">
        <v>44810</v>
      </c>
      <c r="E889" s="21">
        <v>2599.41</v>
      </c>
      <c r="F889" s="21">
        <v>2642.85</v>
      </c>
      <c r="G889" s="21">
        <v>2643.31</v>
      </c>
      <c r="H889" s="21">
        <v>2553.4</v>
      </c>
      <c r="I889" s="21">
        <v>2501.9299999999998</v>
      </c>
      <c r="J889" s="21">
        <v>2555.0700000000002</v>
      </c>
      <c r="K889" s="21">
        <v>2526.9</v>
      </c>
      <c r="L889" s="21">
        <v>2458.86</v>
      </c>
      <c r="M889" s="21">
        <v>2401.4299999999998</v>
      </c>
      <c r="N889" s="21">
        <v>2301.62</v>
      </c>
      <c r="O889" s="21">
        <v>2674.24</v>
      </c>
      <c r="P889" s="21">
        <v>2505.83</v>
      </c>
      <c r="Q889" s="21">
        <v>7683.03</v>
      </c>
      <c r="R889" s="20">
        <v>161.99</v>
      </c>
      <c r="S889" s="20">
        <v>156.38999999999999</v>
      </c>
      <c r="T889" s="21">
        <v>169.55</v>
      </c>
      <c r="V889" s="1">
        <v>160.77000000000001</v>
      </c>
      <c r="W889" s="1">
        <v>172.3</v>
      </c>
      <c r="X889" s="1">
        <v>172.44</v>
      </c>
      <c r="Y889" s="1">
        <v>166.65</v>
      </c>
      <c r="Z889" s="1">
        <v>167.62</v>
      </c>
      <c r="AA889" s="1">
        <v>165.36</v>
      </c>
      <c r="AB889" s="1">
        <v>172.55</v>
      </c>
      <c r="AC889" s="1">
        <v>163.69</v>
      </c>
      <c r="AE889" s="1">
        <v>181.14</v>
      </c>
      <c r="AF889" s="1">
        <v>173.78</v>
      </c>
      <c r="AG889" s="1">
        <v>163.86</v>
      </c>
      <c r="AI889" s="1">
        <v>23</v>
      </c>
      <c r="AN889" s="1">
        <v>3659.53</v>
      </c>
      <c r="AW889" s="1">
        <v>3759.63</v>
      </c>
      <c r="AX889" s="1">
        <v>170.04</v>
      </c>
      <c r="AZ889" s="1">
        <v>3741.56</v>
      </c>
      <c r="BA889" s="1">
        <v>168.13</v>
      </c>
      <c r="BB889" s="1">
        <v>182.37</v>
      </c>
      <c r="BC889" s="1">
        <v>181.37</v>
      </c>
      <c r="BD889" s="1">
        <v>181.07</v>
      </c>
      <c r="BE889" s="1">
        <v>171.41</v>
      </c>
      <c r="BF889" s="1">
        <v>175.98</v>
      </c>
      <c r="BG889" s="1">
        <v>183.37</v>
      </c>
      <c r="BH889" s="1">
        <v>169.63</v>
      </c>
      <c r="BI889" s="1">
        <v>175.26</v>
      </c>
      <c r="BJ889" s="1">
        <v>182.64</v>
      </c>
      <c r="BK889" s="1">
        <v>164.5</v>
      </c>
      <c r="BL889" s="1">
        <v>162.18</v>
      </c>
      <c r="BN889" s="1">
        <v>160.78</v>
      </c>
    </row>
    <row r="890" spans="1:66" x14ac:dyDescent="0.3">
      <c r="A890" s="2"/>
      <c r="C890" s="14" t="str">
        <f t="shared" si="14"/>
        <v>20229</v>
      </c>
      <c r="D890" s="3">
        <v>44809</v>
      </c>
      <c r="E890" s="21">
        <v>2667.1</v>
      </c>
      <c r="F890" s="21">
        <v>2626.37</v>
      </c>
      <c r="G890" s="21">
        <v>2637.37</v>
      </c>
      <c r="H890" s="21">
        <v>2606.9299999999998</v>
      </c>
      <c r="I890" s="21">
        <v>2501.9299999999998</v>
      </c>
      <c r="J890" s="21">
        <v>2625.27</v>
      </c>
      <c r="K890" s="21">
        <v>2543.4699999999998</v>
      </c>
      <c r="L890" s="21">
        <v>2477.5100000000002</v>
      </c>
      <c r="M890" s="21">
        <v>2411.4499999999998</v>
      </c>
      <c r="N890" s="21">
        <v>2294.25</v>
      </c>
      <c r="O890" s="21">
        <v>2684.24</v>
      </c>
      <c r="P890" s="21">
        <v>2525.7199999999998</v>
      </c>
      <c r="Q890" s="21">
        <v>7745.8</v>
      </c>
      <c r="R890" s="20">
        <v>161.99</v>
      </c>
      <c r="S890" s="20">
        <v>155.22</v>
      </c>
      <c r="T890" s="21">
        <v>169.86</v>
      </c>
      <c r="V890" s="1">
        <v>161.69999999999999</v>
      </c>
      <c r="W890" s="1">
        <v>173.08</v>
      </c>
      <c r="X890" s="1">
        <v>173.19</v>
      </c>
      <c r="Y890" s="1">
        <v>168.7</v>
      </c>
      <c r="Z890" s="1">
        <v>169.54</v>
      </c>
      <c r="AA890" s="1">
        <v>164.09</v>
      </c>
      <c r="AB890" s="1">
        <v>173.05</v>
      </c>
      <c r="AC890" s="1">
        <v>163.51</v>
      </c>
      <c r="AE890" s="1">
        <v>182.18</v>
      </c>
      <c r="AF890" s="1">
        <v>173.93</v>
      </c>
      <c r="AG890" s="1">
        <v>160.75</v>
      </c>
      <c r="AI890" s="1">
        <v>23</v>
      </c>
      <c r="AN890" s="1">
        <v>3659.53</v>
      </c>
      <c r="AW890" s="1">
        <v>3722.69</v>
      </c>
      <c r="AX890" s="1">
        <v>172.12</v>
      </c>
      <c r="AZ890" s="1">
        <v>3741.56</v>
      </c>
      <c r="BA890" s="1">
        <v>163.71</v>
      </c>
      <c r="BB890" s="1">
        <v>185.01</v>
      </c>
      <c r="BC890" s="1">
        <v>182.56</v>
      </c>
      <c r="BD890" s="1">
        <v>182.7</v>
      </c>
      <c r="BE890" s="1">
        <v>172.01</v>
      </c>
      <c r="BF890" s="1">
        <v>170.59</v>
      </c>
      <c r="BG890" s="1">
        <v>183.43</v>
      </c>
      <c r="BH890" s="1">
        <v>170.41</v>
      </c>
      <c r="BI890" s="1">
        <v>175.46</v>
      </c>
      <c r="BJ890" s="1">
        <v>184.68</v>
      </c>
      <c r="BK890" s="1">
        <v>168.33</v>
      </c>
      <c r="BL890" s="1">
        <v>165.62</v>
      </c>
      <c r="BN890" s="1">
        <v>166.51</v>
      </c>
    </row>
    <row r="891" spans="1:66" x14ac:dyDescent="0.3">
      <c r="A891" s="2"/>
      <c r="C891" s="14" t="str">
        <f t="shared" si="14"/>
        <v>20229</v>
      </c>
      <c r="D891" s="3">
        <v>44806</v>
      </c>
      <c r="E891" s="21">
        <v>2639.25</v>
      </c>
      <c r="F891" s="21">
        <v>2626.37</v>
      </c>
      <c r="G891" s="21">
        <v>2637.37</v>
      </c>
      <c r="H891" s="21">
        <v>2587.04</v>
      </c>
      <c r="I891" s="21">
        <v>2501.9299999999998</v>
      </c>
      <c r="J891" s="21">
        <v>2599.0500000000002</v>
      </c>
      <c r="K891" s="21">
        <v>2518.6</v>
      </c>
      <c r="L891" s="21">
        <v>2470.88</v>
      </c>
      <c r="M891" s="21">
        <v>2411.4499999999998</v>
      </c>
      <c r="N891" s="21">
        <v>2285.1799999999998</v>
      </c>
      <c r="O891" s="21">
        <v>2618.4299999999998</v>
      </c>
      <c r="P891" s="21">
        <v>2505.83</v>
      </c>
      <c r="Q891" s="21">
        <v>7761.84</v>
      </c>
      <c r="R891" s="20">
        <v>161.49</v>
      </c>
      <c r="S891" s="20">
        <v>154.88</v>
      </c>
      <c r="T891" s="21">
        <v>170.4</v>
      </c>
      <c r="V891" s="1">
        <v>161.87</v>
      </c>
      <c r="W891" s="1">
        <v>174.76</v>
      </c>
      <c r="X891" s="1">
        <v>173.19</v>
      </c>
      <c r="Y891" s="1">
        <v>169.32</v>
      </c>
      <c r="Z891" s="1">
        <v>169.59</v>
      </c>
      <c r="AA891" s="1">
        <v>164.2</v>
      </c>
      <c r="AB891" s="1">
        <v>173.05</v>
      </c>
      <c r="AC891" s="1">
        <v>165.52</v>
      </c>
      <c r="AE891" s="1">
        <v>182.39</v>
      </c>
      <c r="AF891" s="1">
        <v>173.73</v>
      </c>
      <c r="AG891" s="1">
        <v>161.84</v>
      </c>
      <c r="AT891" s="1">
        <v>3134.82</v>
      </c>
      <c r="AW891" s="1">
        <v>3722.69</v>
      </c>
      <c r="AX891" s="1">
        <v>173.25</v>
      </c>
      <c r="AZ891" s="1">
        <v>3741.56</v>
      </c>
      <c r="BA891" s="1">
        <v>165.37</v>
      </c>
      <c r="BB891" s="1">
        <v>185.1</v>
      </c>
      <c r="BC891" s="1">
        <v>182.49</v>
      </c>
      <c r="BD891" s="1">
        <v>182.25</v>
      </c>
      <c r="BE891" s="1">
        <v>172.02</v>
      </c>
      <c r="BF891" s="1">
        <v>173.02</v>
      </c>
      <c r="BG891" s="1">
        <v>182.91</v>
      </c>
      <c r="BH891" s="1">
        <v>171.29</v>
      </c>
      <c r="BI891" s="1">
        <v>175.76</v>
      </c>
      <c r="BJ891" s="1">
        <v>184.68</v>
      </c>
      <c r="BK891" s="1">
        <v>168.83</v>
      </c>
      <c r="BL891" s="1">
        <v>165.37</v>
      </c>
      <c r="BN891" s="1">
        <v>166.14</v>
      </c>
    </row>
    <row r="892" spans="1:66" x14ac:dyDescent="0.3">
      <c r="A892" s="2"/>
      <c r="C892" s="14" t="str">
        <f t="shared" si="14"/>
        <v>20229</v>
      </c>
      <c r="D892" s="3">
        <v>44805</v>
      </c>
      <c r="E892" s="21">
        <v>2642.57</v>
      </c>
      <c r="F892" s="21">
        <v>2626.37</v>
      </c>
      <c r="G892" s="21">
        <v>2637.37</v>
      </c>
      <c r="H892" s="21">
        <v>2573.77</v>
      </c>
      <c r="I892" s="21">
        <v>2494.02</v>
      </c>
      <c r="J892" s="21">
        <v>2600.37</v>
      </c>
      <c r="K892" s="21">
        <v>2560.0500000000002</v>
      </c>
      <c r="L892" s="21">
        <v>2460.5</v>
      </c>
      <c r="M892" s="21">
        <v>2376.63</v>
      </c>
      <c r="N892" s="21">
        <v>2300.34</v>
      </c>
      <c r="O892" s="21">
        <v>2626.43</v>
      </c>
      <c r="P892" s="21">
        <v>2545.61</v>
      </c>
      <c r="Q892" s="21">
        <v>7745.34</v>
      </c>
      <c r="R892" s="20">
        <v>159.99</v>
      </c>
      <c r="S892" s="20">
        <v>154.22</v>
      </c>
      <c r="T892" s="21">
        <v>168.78</v>
      </c>
      <c r="V892" s="1">
        <v>161.03</v>
      </c>
      <c r="W892" s="1">
        <v>176.13</v>
      </c>
      <c r="X892" s="1">
        <v>172.85</v>
      </c>
      <c r="Y892" s="1">
        <v>167.74</v>
      </c>
      <c r="Z892" s="1">
        <v>168.67</v>
      </c>
      <c r="AA892" s="1">
        <v>163.19999999999999</v>
      </c>
      <c r="AB892" s="1">
        <v>172.65</v>
      </c>
      <c r="AC892" s="1">
        <v>165.52</v>
      </c>
      <c r="AE892" s="1">
        <v>182.51</v>
      </c>
      <c r="AF892" s="1">
        <v>173.71</v>
      </c>
      <c r="AG892" s="1">
        <v>160.91</v>
      </c>
      <c r="AT892" s="1">
        <v>3134.82</v>
      </c>
      <c r="AW892" s="1">
        <v>3722.69</v>
      </c>
      <c r="AX892" s="1">
        <v>171.88</v>
      </c>
      <c r="AZ892" s="1">
        <v>3741.56</v>
      </c>
      <c r="BA892" s="1">
        <v>165.43</v>
      </c>
      <c r="BB892" s="1">
        <v>184.15</v>
      </c>
      <c r="BC892" s="1">
        <v>182.78</v>
      </c>
      <c r="BD892" s="1">
        <v>182.39</v>
      </c>
      <c r="BE892" s="1">
        <v>170.63</v>
      </c>
      <c r="BF892" s="1">
        <v>174.3</v>
      </c>
      <c r="BG892" s="1">
        <v>183.54</v>
      </c>
      <c r="BH892" s="1">
        <v>171.12</v>
      </c>
      <c r="BI892" s="1">
        <v>175.76</v>
      </c>
      <c r="BJ892" s="1">
        <v>184.68</v>
      </c>
      <c r="BK892" s="1">
        <v>163.33000000000001</v>
      </c>
      <c r="BL892" s="1">
        <v>163.19999999999999</v>
      </c>
      <c r="BN892" s="1">
        <v>162.38999999999999</v>
      </c>
    </row>
    <row r="893" spans="1:66" x14ac:dyDescent="0.3">
      <c r="A893" s="2"/>
      <c r="C893" s="14" t="str">
        <f t="shared" si="14"/>
        <v>20228</v>
      </c>
      <c r="D893" s="3">
        <v>44804</v>
      </c>
      <c r="E893" s="21">
        <v>2611.91</v>
      </c>
      <c r="F893" s="21">
        <v>2625.03</v>
      </c>
      <c r="G893" s="21">
        <v>2636.16</v>
      </c>
      <c r="H893" s="21">
        <v>2534.66</v>
      </c>
      <c r="I893" s="21">
        <v>2508.56</v>
      </c>
      <c r="J893" s="21">
        <v>2593.5300000000002</v>
      </c>
      <c r="K893" s="21">
        <v>2559.3200000000002</v>
      </c>
      <c r="L893" s="21">
        <v>2454.63</v>
      </c>
      <c r="M893" s="21">
        <v>2381.0700000000002</v>
      </c>
      <c r="N893" s="21">
        <v>2282.79</v>
      </c>
      <c r="O893" s="21">
        <v>2636.16</v>
      </c>
      <c r="P893" s="21">
        <v>2545.0500000000002</v>
      </c>
      <c r="Q893" s="21">
        <v>7855.66</v>
      </c>
      <c r="R893" s="20">
        <v>159.97</v>
      </c>
      <c r="S893" s="20">
        <v>153.91</v>
      </c>
      <c r="T893" s="21">
        <v>168.72</v>
      </c>
      <c r="V893" s="1">
        <v>161.19</v>
      </c>
      <c r="W893" s="1">
        <v>176.13</v>
      </c>
      <c r="X893" s="1">
        <v>172.15</v>
      </c>
      <c r="Y893" s="1">
        <v>165.36</v>
      </c>
      <c r="Z893" s="1">
        <v>167.41</v>
      </c>
      <c r="AA893" s="1">
        <v>163.53</v>
      </c>
      <c r="AB893" s="1">
        <v>171.94</v>
      </c>
      <c r="AE893" s="1">
        <v>180.17</v>
      </c>
      <c r="AF893" s="1">
        <v>174.13</v>
      </c>
      <c r="AG893" s="1">
        <v>160.43</v>
      </c>
      <c r="AT893" s="1">
        <v>3136.41</v>
      </c>
      <c r="AW893" s="1">
        <v>3724.58</v>
      </c>
      <c r="AX893" s="1">
        <v>171.39</v>
      </c>
      <c r="BA893" s="1">
        <v>165.35</v>
      </c>
      <c r="BB893" s="1">
        <v>183.97</v>
      </c>
      <c r="BC893" s="1">
        <v>181.22</v>
      </c>
      <c r="BD893" s="1">
        <v>181.35</v>
      </c>
      <c r="BE893" s="1">
        <v>171.13</v>
      </c>
      <c r="BF893" s="1">
        <v>173.92</v>
      </c>
      <c r="BG893" s="1">
        <v>183.46</v>
      </c>
      <c r="BH893" s="1">
        <v>172.32</v>
      </c>
      <c r="BI893" s="1">
        <v>175.44</v>
      </c>
      <c r="BJ893" s="1">
        <v>184.58</v>
      </c>
      <c r="BK893" s="1">
        <v>162.31</v>
      </c>
      <c r="BL893" s="1">
        <v>162.18</v>
      </c>
      <c r="BN893" s="1">
        <v>161.59</v>
      </c>
    </row>
    <row r="894" spans="1:66" x14ac:dyDescent="0.3">
      <c r="A894" s="2"/>
      <c r="C894" s="14" t="str">
        <f t="shared" si="14"/>
        <v>20228</v>
      </c>
      <c r="D894" s="3">
        <v>44803</v>
      </c>
      <c r="E894" s="21">
        <v>2617.9499999999998</v>
      </c>
      <c r="F894" s="21">
        <v>2625.03</v>
      </c>
      <c r="G894" s="21">
        <v>2636.11</v>
      </c>
      <c r="H894" s="21">
        <v>2558.63</v>
      </c>
      <c r="I894" s="21">
        <v>2508.56</v>
      </c>
      <c r="J894" s="21">
        <v>2584.13</v>
      </c>
      <c r="K894" s="21">
        <v>2551.14</v>
      </c>
      <c r="L894" s="21">
        <v>2469.9899999999998</v>
      </c>
      <c r="M894" s="21">
        <v>2404.6</v>
      </c>
      <c r="N894" s="21">
        <v>2294.5100000000002</v>
      </c>
      <c r="O894" s="21">
        <v>2640.16</v>
      </c>
      <c r="P894" s="21">
        <v>2584.83</v>
      </c>
      <c r="Q894" s="21">
        <v>7847.37</v>
      </c>
      <c r="R894" s="20">
        <v>159.97</v>
      </c>
      <c r="S894" s="20">
        <v>153.91</v>
      </c>
      <c r="T894" s="21">
        <v>166.12</v>
      </c>
      <c r="V894" s="1">
        <v>161.19</v>
      </c>
      <c r="W894" s="1">
        <v>171.47</v>
      </c>
      <c r="X894" s="1">
        <v>173.35</v>
      </c>
      <c r="Y894" s="1">
        <v>163.54</v>
      </c>
      <c r="Z894" s="1">
        <v>165.07</v>
      </c>
      <c r="AA894" s="1">
        <v>162.9</v>
      </c>
      <c r="AB894" s="1">
        <v>173.37</v>
      </c>
      <c r="AE894" s="1">
        <v>179.59</v>
      </c>
      <c r="AF894" s="1">
        <v>171.62</v>
      </c>
      <c r="AG894" s="1">
        <v>160.44</v>
      </c>
      <c r="AT894" s="1">
        <v>3136.41</v>
      </c>
      <c r="AW894" s="1">
        <v>3724.58</v>
      </c>
      <c r="AX894" s="1">
        <v>169.3</v>
      </c>
      <c r="BA894" s="1">
        <v>164.42</v>
      </c>
      <c r="BB894" s="1">
        <v>180</v>
      </c>
      <c r="BC894" s="1">
        <v>179.32</v>
      </c>
      <c r="BD894" s="1">
        <v>179.35</v>
      </c>
      <c r="BE894" s="1">
        <v>169.63</v>
      </c>
      <c r="BF894" s="1">
        <v>173.07</v>
      </c>
      <c r="BG894" s="1">
        <v>182.03</v>
      </c>
      <c r="BH894" s="1">
        <v>170.52</v>
      </c>
      <c r="BI894" s="1">
        <v>175.44</v>
      </c>
      <c r="BK894" s="1">
        <v>160.57</v>
      </c>
      <c r="BL894" s="1">
        <v>160.86000000000001</v>
      </c>
      <c r="BN894" s="1">
        <v>159.62</v>
      </c>
    </row>
    <row r="895" spans="1:66" x14ac:dyDescent="0.3">
      <c r="A895" s="2"/>
      <c r="C895" s="14" t="str">
        <f t="shared" si="14"/>
        <v>20228</v>
      </c>
      <c r="D895" s="3">
        <v>44802</v>
      </c>
      <c r="E895" s="21">
        <v>2606.9499999999998</v>
      </c>
      <c r="F895" s="21">
        <v>2641.5</v>
      </c>
      <c r="G895" s="21">
        <v>2626.28</v>
      </c>
      <c r="H895" s="21">
        <v>2593.42</v>
      </c>
      <c r="I895" s="21">
        <v>2534.2600000000002</v>
      </c>
      <c r="J895" s="21">
        <v>2624.71</v>
      </c>
      <c r="K895" s="21">
        <v>2585.84</v>
      </c>
      <c r="L895" s="21">
        <v>2479.92</v>
      </c>
      <c r="M895" s="21">
        <v>2418</v>
      </c>
      <c r="N895" s="21">
        <v>2297.71</v>
      </c>
      <c r="O895" s="21">
        <v>2724.21</v>
      </c>
      <c r="P895" s="21">
        <v>2686.66</v>
      </c>
      <c r="Q895" s="21">
        <v>7832.37</v>
      </c>
      <c r="R895" s="20">
        <v>165.24</v>
      </c>
      <c r="S895" s="20">
        <v>154.65</v>
      </c>
      <c r="T895" s="21">
        <v>167.4</v>
      </c>
      <c r="V895" s="1">
        <v>162.18</v>
      </c>
      <c r="W895" s="1">
        <v>174.05</v>
      </c>
      <c r="X895" s="1">
        <v>174.09</v>
      </c>
      <c r="Y895" s="1">
        <v>166.4</v>
      </c>
      <c r="Z895" s="1">
        <v>167.5</v>
      </c>
      <c r="AA895" s="1">
        <v>165.99</v>
      </c>
      <c r="AB895" s="1">
        <v>174.63</v>
      </c>
      <c r="AE895" s="1">
        <v>179.78</v>
      </c>
      <c r="AF895" s="1">
        <v>176.72</v>
      </c>
      <c r="AG895" s="1">
        <v>161.71</v>
      </c>
      <c r="AT895" s="1">
        <v>3136.41</v>
      </c>
      <c r="AX895" s="1">
        <v>169.27</v>
      </c>
      <c r="BA895" s="1">
        <v>166.59</v>
      </c>
      <c r="BB895" s="1">
        <v>183.98</v>
      </c>
      <c r="BC895" s="1">
        <v>182.01</v>
      </c>
      <c r="BD895" s="1">
        <v>182.11</v>
      </c>
      <c r="BE895" s="1">
        <v>174.36</v>
      </c>
      <c r="BF895" s="1">
        <v>173.32</v>
      </c>
      <c r="BG895" s="1">
        <v>182.4</v>
      </c>
      <c r="BH895" s="1">
        <v>170.52</v>
      </c>
      <c r="BI895" s="1">
        <v>175.44</v>
      </c>
      <c r="BK895" s="1">
        <v>161.80000000000001</v>
      </c>
      <c r="BL895" s="1">
        <v>162.09</v>
      </c>
      <c r="BN895" s="1">
        <v>161.22999999999999</v>
      </c>
    </row>
    <row r="896" spans="1:66" x14ac:dyDescent="0.3">
      <c r="A896" s="2"/>
      <c r="C896" s="14" t="str">
        <f t="shared" si="14"/>
        <v>20228</v>
      </c>
      <c r="D896" s="3">
        <v>44799</v>
      </c>
      <c r="E896" s="21">
        <v>2600.27</v>
      </c>
      <c r="F896" s="21">
        <v>2633.26</v>
      </c>
      <c r="G896" s="21">
        <v>2606.5100000000002</v>
      </c>
      <c r="H896" s="21">
        <v>2556.06</v>
      </c>
      <c r="I896" s="21">
        <v>2534.2600000000002</v>
      </c>
      <c r="J896" s="21">
        <v>2575.92</v>
      </c>
      <c r="K896" s="21">
        <v>2579.21</v>
      </c>
      <c r="L896" s="21">
        <v>2488.35</v>
      </c>
      <c r="M896" s="21">
        <v>2543.98</v>
      </c>
      <c r="N896" s="21">
        <v>2294.56</v>
      </c>
      <c r="O896" s="21">
        <v>2736.67</v>
      </c>
      <c r="P896" s="21">
        <v>2678.71</v>
      </c>
      <c r="Q896" s="21">
        <v>7787.89</v>
      </c>
      <c r="R896" s="20">
        <v>164.91</v>
      </c>
      <c r="S896" s="20">
        <v>156.52000000000001</v>
      </c>
      <c r="T896" s="21">
        <v>168.15</v>
      </c>
      <c r="V896" s="1">
        <v>162.86000000000001</v>
      </c>
      <c r="W896" s="1">
        <v>174.34</v>
      </c>
      <c r="X896" s="1">
        <v>173.92</v>
      </c>
      <c r="Y896" s="1">
        <v>166.73</v>
      </c>
      <c r="Z896" s="1">
        <v>167.67</v>
      </c>
      <c r="AA896" s="1">
        <v>166.23</v>
      </c>
      <c r="AB896" s="1">
        <v>173.73</v>
      </c>
      <c r="AE896" s="1">
        <v>181.39</v>
      </c>
      <c r="AF896" s="1">
        <v>177.11</v>
      </c>
      <c r="AG896" s="1">
        <v>157.88999999999999</v>
      </c>
      <c r="AS896" s="1">
        <v>3439.94</v>
      </c>
      <c r="AX896" s="1">
        <v>170.95</v>
      </c>
      <c r="BA896" s="1">
        <v>167.56</v>
      </c>
      <c r="BB896" s="1">
        <v>183.77</v>
      </c>
      <c r="BC896" s="1">
        <v>183.3</v>
      </c>
      <c r="BD896" s="1">
        <v>181.59</v>
      </c>
      <c r="BE896" s="1">
        <v>171.09</v>
      </c>
      <c r="BF896" s="1">
        <v>172.6</v>
      </c>
      <c r="BG896" s="1">
        <v>183.64</v>
      </c>
      <c r="BH896" s="1">
        <v>172.27</v>
      </c>
      <c r="BI896" s="1">
        <v>176.03</v>
      </c>
      <c r="BJ896" s="1">
        <v>187.05</v>
      </c>
      <c r="BK896" s="1">
        <v>162.03</v>
      </c>
      <c r="BL896" s="1">
        <v>162.58000000000001</v>
      </c>
      <c r="BN896" s="1">
        <v>161.72</v>
      </c>
    </row>
    <row r="897" spans="1:66" x14ac:dyDescent="0.3">
      <c r="A897" s="2"/>
      <c r="C897" s="14" t="str">
        <f t="shared" si="14"/>
        <v>20228</v>
      </c>
      <c r="D897" s="3">
        <v>44798</v>
      </c>
      <c r="E897" s="21">
        <v>2589.13</v>
      </c>
      <c r="F897" s="21">
        <v>2620.91</v>
      </c>
      <c r="G897" s="21">
        <v>2616.39</v>
      </c>
      <c r="H897" s="21">
        <v>2556.66</v>
      </c>
      <c r="I897" s="21">
        <v>2498.6799999999998</v>
      </c>
      <c r="J897" s="21">
        <v>2615.12</v>
      </c>
      <c r="K897" s="21">
        <v>2582.5300000000002</v>
      </c>
      <c r="L897" s="21">
        <v>2499.52</v>
      </c>
      <c r="M897" s="21">
        <v>2437.71</v>
      </c>
      <c r="N897" s="21">
        <v>2295.23</v>
      </c>
      <c r="O897" s="21">
        <v>2736.7</v>
      </c>
      <c r="P897" s="21">
        <v>2678.71</v>
      </c>
      <c r="Q897" s="21">
        <v>7766.44</v>
      </c>
      <c r="R897" s="20">
        <v>162.91</v>
      </c>
      <c r="S897" s="20">
        <v>156.51</v>
      </c>
      <c r="T897" s="21">
        <v>170.4</v>
      </c>
      <c r="V897" s="1">
        <v>162.44</v>
      </c>
      <c r="W897" s="1">
        <v>174.29</v>
      </c>
      <c r="X897" s="1">
        <v>174.88</v>
      </c>
      <c r="Y897" s="1">
        <v>167.18</v>
      </c>
      <c r="Z897" s="1">
        <v>167.75</v>
      </c>
      <c r="AA897" s="1">
        <v>165.39</v>
      </c>
      <c r="AB897" s="1">
        <v>174.26</v>
      </c>
      <c r="AE897" s="1">
        <v>181.43</v>
      </c>
      <c r="AF897" s="1">
        <v>177.02</v>
      </c>
      <c r="AG897" s="1">
        <v>157.72999999999999</v>
      </c>
      <c r="AS897" s="1">
        <v>3439.94</v>
      </c>
      <c r="AX897" s="1">
        <v>170.08</v>
      </c>
      <c r="BA897" s="1">
        <v>167.48</v>
      </c>
      <c r="BB897" s="1">
        <v>184.78</v>
      </c>
      <c r="BC897" s="1">
        <v>183.07</v>
      </c>
      <c r="BD897" s="1">
        <v>182.09</v>
      </c>
      <c r="BE897" s="1">
        <v>172.42</v>
      </c>
      <c r="BF897" s="1">
        <v>170.59</v>
      </c>
      <c r="BG897" s="1">
        <v>184.45</v>
      </c>
      <c r="BH897" s="1">
        <v>171.46</v>
      </c>
      <c r="BI897" s="1">
        <v>176.63</v>
      </c>
      <c r="BK897" s="1">
        <v>162.9</v>
      </c>
      <c r="BL897" s="1">
        <v>162.83000000000001</v>
      </c>
      <c r="BN897" s="1">
        <v>160.85</v>
      </c>
    </row>
    <row r="898" spans="1:66" x14ac:dyDescent="0.3">
      <c r="A898" s="2"/>
      <c r="C898" s="14" t="str">
        <f t="shared" si="14"/>
        <v>20228</v>
      </c>
      <c r="D898" s="3">
        <v>44797</v>
      </c>
      <c r="E898" s="21">
        <v>2590.4299999999998</v>
      </c>
      <c r="F898" s="21">
        <v>2563.25</v>
      </c>
      <c r="G898" s="21">
        <v>2626.45</v>
      </c>
      <c r="H898" s="21">
        <v>2568.02</v>
      </c>
      <c r="I898" s="21">
        <v>2498.6799999999998</v>
      </c>
      <c r="J898" s="21">
        <v>2622.4</v>
      </c>
      <c r="K898" s="21">
        <v>2600.7600000000002</v>
      </c>
      <c r="L898" s="21">
        <v>2503.36</v>
      </c>
      <c r="M898" s="21">
        <v>2358.15</v>
      </c>
      <c r="N898" s="21">
        <v>2288.0500000000002</v>
      </c>
      <c r="O898" s="21">
        <v>2749.2</v>
      </c>
      <c r="P898" s="21">
        <v>2698.59</v>
      </c>
      <c r="Q898" s="21">
        <v>7718.14</v>
      </c>
      <c r="R898" s="20">
        <v>162.91</v>
      </c>
      <c r="S898" s="20">
        <v>159.19</v>
      </c>
      <c r="T898" s="21">
        <v>170.54</v>
      </c>
      <c r="V898" s="1">
        <v>162.54</v>
      </c>
      <c r="W898" s="1">
        <v>174.86</v>
      </c>
      <c r="X898" s="1">
        <v>174.88</v>
      </c>
      <c r="Y898" s="1">
        <v>167.51</v>
      </c>
      <c r="Z898" s="1">
        <v>168.74</v>
      </c>
      <c r="AA898" s="1">
        <v>165.86</v>
      </c>
      <c r="AB898" s="1">
        <v>174.53</v>
      </c>
      <c r="AE898" s="1">
        <v>182.54</v>
      </c>
      <c r="AF898" s="1">
        <v>172.49</v>
      </c>
      <c r="AG898" s="1">
        <v>158.21</v>
      </c>
      <c r="AO898" s="1">
        <v>15</v>
      </c>
      <c r="AS898" s="1">
        <v>3439.94</v>
      </c>
      <c r="AT898" s="1">
        <v>2962.25</v>
      </c>
      <c r="AX898" s="1">
        <v>170.05</v>
      </c>
      <c r="BA898" s="1">
        <v>169.48</v>
      </c>
      <c r="BB898" s="1">
        <v>185.93</v>
      </c>
      <c r="BC898" s="1">
        <v>183.87</v>
      </c>
      <c r="BD898" s="1">
        <v>175.63</v>
      </c>
      <c r="BE898" s="1">
        <v>172.16</v>
      </c>
      <c r="BF898" s="1">
        <v>170.33</v>
      </c>
      <c r="BG898" s="1">
        <v>184.35</v>
      </c>
      <c r="BH898" s="1">
        <v>171.46</v>
      </c>
      <c r="BI898" s="1">
        <v>176.63</v>
      </c>
      <c r="BK898" s="1">
        <v>162.88999999999999</v>
      </c>
      <c r="BL898" s="1">
        <v>162.97999999999999</v>
      </c>
      <c r="BN898" s="1">
        <v>161.68</v>
      </c>
    </row>
    <row r="899" spans="1:66" x14ac:dyDescent="0.3">
      <c r="A899" s="2"/>
      <c r="C899" s="14" t="str">
        <f t="shared" si="14"/>
        <v>20228</v>
      </c>
      <c r="D899" s="3">
        <v>44796</v>
      </c>
      <c r="E899" s="21">
        <v>2588.54</v>
      </c>
      <c r="F899" s="21">
        <v>2563.25</v>
      </c>
      <c r="G899" s="21">
        <v>2626.45</v>
      </c>
      <c r="H899" s="21">
        <v>2587.6799999999998</v>
      </c>
      <c r="I899" s="21">
        <v>2498.6799999999998</v>
      </c>
      <c r="J899" s="21">
        <v>2572.6999999999998</v>
      </c>
      <c r="K899" s="21">
        <v>2532.67</v>
      </c>
      <c r="L899" s="21">
        <v>2493.7199999999998</v>
      </c>
      <c r="M899" s="21">
        <v>2364.37</v>
      </c>
      <c r="N899" s="21">
        <v>2301.9</v>
      </c>
      <c r="O899" s="21">
        <v>2721.36</v>
      </c>
      <c r="P899" s="21">
        <v>2666.78</v>
      </c>
      <c r="Q899" s="21">
        <v>7638.14</v>
      </c>
      <c r="R899" s="20">
        <v>164.57</v>
      </c>
      <c r="S899" s="20">
        <v>157.93</v>
      </c>
      <c r="T899" s="21">
        <v>168.69</v>
      </c>
      <c r="V899" s="1">
        <v>160.44999999999999</v>
      </c>
      <c r="W899" s="1">
        <v>174.27</v>
      </c>
      <c r="X899" s="1">
        <v>173.39</v>
      </c>
      <c r="Y899" s="1">
        <v>167.72</v>
      </c>
      <c r="Z899" s="1">
        <v>166.84</v>
      </c>
      <c r="AA899" s="1">
        <v>166.16</v>
      </c>
      <c r="AB899" s="1">
        <v>173.54</v>
      </c>
      <c r="AC899" s="1">
        <v>163.79</v>
      </c>
      <c r="AE899" s="1">
        <v>181.97</v>
      </c>
      <c r="AF899" s="1">
        <v>176.41</v>
      </c>
      <c r="AG899" s="1">
        <v>157.68</v>
      </c>
      <c r="AS899" s="1">
        <v>3439.94</v>
      </c>
      <c r="AX899" s="1">
        <v>170.03</v>
      </c>
      <c r="BA899" s="1">
        <v>167.32</v>
      </c>
      <c r="BB899" s="1">
        <v>185.41</v>
      </c>
      <c r="BC899" s="1">
        <v>183.21</v>
      </c>
      <c r="BD899" s="1">
        <v>180.95</v>
      </c>
      <c r="BE899" s="1">
        <v>171.59</v>
      </c>
      <c r="BF899" s="1">
        <v>169.34</v>
      </c>
      <c r="BG899" s="1">
        <v>184.17</v>
      </c>
      <c r="BH899" s="1">
        <v>169.46</v>
      </c>
      <c r="BI899" s="1">
        <v>176.43</v>
      </c>
      <c r="BK899" s="1">
        <v>161.5</v>
      </c>
      <c r="BL899" s="1">
        <v>162.56</v>
      </c>
      <c r="BN899" s="1">
        <v>161.97999999999999</v>
      </c>
    </row>
    <row r="900" spans="1:66" x14ac:dyDescent="0.3">
      <c r="A900" s="2"/>
      <c r="C900" s="14" t="str">
        <f t="shared" si="14"/>
        <v>20228</v>
      </c>
      <c r="D900" s="3">
        <v>44795</v>
      </c>
      <c r="E900" s="21">
        <v>2585.59</v>
      </c>
      <c r="F900" s="21">
        <v>2522.0700000000002</v>
      </c>
      <c r="G900" s="21">
        <v>2606.6799999999998</v>
      </c>
      <c r="H900" s="21">
        <v>2474.06</v>
      </c>
      <c r="I900" s="21">
        <v>2530.3000000000002</v>
      </c>
      <c r="J900" s="21">
        <v>2587.5300000000002</v>
      </c>
      <c r="K900" s="21">
        <v>2565.9499999999998</v>
      </c>
      <c r="L900" s="21">
        <v>2505.64</v>
      </c>
      <c r="M900" s="21">
        <v>2428.67</v>
      </c>
      <c r="N900" s="21">
        <v>2246.96</v>
      </c>
      <c r="O900" s="21">
        <v>2658.62</v>
      </c>
      <c r="P900" s="21">
        <v>2666.78</v>
      </c>
      <c r="Q900" s="21">
        <v>7535.17</v>
      </c>
      <c r="R900" s="20">
        <v>164.08</v>
      </c>
      <c r="S900" s="20">
        <v>155.88999999999999</v>
      </c>
      <c r="T900" s="21">
        <v>168.39</v>
      </c>
      <c r="V900" s="1">
        <v>158.88999999999999</v>
      </c>
      <c r="W900" s="1">
        <v>174.22</v>
      </c>
      <c r="X900" s="1">
        <v>172.57</v>
      </c>
      <c r="Y900" s="1">
        <v>165.04</v>
      </c>
      <c r="Z900" s="1">
        <v>166.34</v>
      </c>
      <c r="AA900" s="1">
        <v>165.87</v>
      </c>
      <c r="AB900" s="1">
        <v>172.04</v>
      </c>
      <c r="AC900" s="1">
        <v>163.82</v>
      </c>
      <c r="AE900" s="1">
        <v>181.26</v>
      </c>
      <c r="AF900" s="1">
        <v>173.95</v>
      </c>
      <c r="AG900" s="1">
        <v>157.91999999999999</v>
      </c>
      <c r="AS900" s="1">
        <v>3439.94</v>
      </c>
      <c r="AW900" s="1">
        <v>3266.68</v>
      </c>
      <c r="AX900" s="1">
        <v>170.27</v>
      </c>
      <c r="BA900" s="1">
        <v>167.4</v>
      </c>
      <c r="BB900" s="1">
        <v>183.84</v>
      </c>
      <c r="BC900" s="1">
        <v>181.75</v>
      </c>
      <c r="BD900" s="1">
        <v>178.53</v>
      </c>
      <c r="BE900" s="1">
        <v>170.6</v>
      </c>
      <c r="BF900" s="1">
        <v>168.84</v>
      </c>
      <c r="BG900" s="1">
        <v>183.62</v>
      </c>
      <c r="BH900" s="1">
        <v>169.46</v>
      </c>
      <c r="BI900" s="1">
        <v>174.44</v>
      </c>
      <c r="BK900" s="1">
        <v>161.75</v>
      </c>
      <c r="BL900" s="1">
        <v>161.76</v>
      </c>
      <c r="BN900" s="1">
        <v>159.79</v>
      </c>
    </row>
    <row r="901" spans="1:66" x14ac:dyDescent="0.3">
      <c r="A901" s="2"/>
      <c r="C901" s="14" t="str">
        <f t="shared" si="14"/>
        <v>20228</v>
      </c>
      <c r="D901" s="3">
        <v>44792</v>
      </c>
      <c r="E901" s="21">
        <v>2548.6799999999998</v>
      </c>
      <c r="F901" s="21">
        <v>2534.42</v>
      </c>
      <c r="G901" s="21">
        <v>2606.6799999999998</v>
      </c>
      <c r="H901" s="21">
        <v>2454.29</v>
      </c>
      <c r="I901" s="21">
        <v>2498.6799999999998</v>
      </c>
      <c r="J901" s="21">
        <v>2565.29</v>
      </c>
      <c r="K901" s="21">
        <v>2549.38</v>
      </c>
      <c r="L901" s="21">
        <v>2440.96</v>
      </c>
      <c r="M901" s="21">
        <v>2402.75</v>
      </c>
      <c r="N901" s="21">
        <v>2231.2199999999998</v>
      </c>
      <c r="O901" s="21">
        <v>2572.34</v>
      </c>
      <c r="P901" s="21">
        <v>2559.06</v>
      </c>
      <c r="Q901" s="21">
        <v>7758.14</v>
      </c>
      <c r="R901" s="20">
        <v>163.08000000000001</v>
      </c>
      <c r="S901" s="20">
        <v>159.13999999999999</v>
      </c>
      <c r="T901" s="21">
        <v>167.47</v>
      </c>
      <c r="V901" s="1">
        <v>157.46</v>
      </c>
      <c r="W901" s="1">
        <v>172.19</v>
      </c>
      <c r="X901" s="1">
        <v>171.22</v>
      </c>
      <c r="Y901" s="1">
        <v>163.63</v>
      </c>
      <c r="Z901" s="1">
        <v>164.67</v>
      </c>
      <c r="AA901" s="1">
        <v>164.83</v>
      </c>
      <c r="AB901" s="1">
        <v>170.84</v>
      </c>
      <c r="AC901" s="1">
        <v>163.91</v>
      </c>
      <c r="AE901" s="1">
        <v>181.31</v>
      </c>
      <c r="AF901" s="1">
        <v>173.04</v>
      </c>
      <c r="AG901" s="1">
        <v>159.46</v>
      </c>
      <c r="AW901" s="1">
        <v>3462.7</v>
      </c>
      <c r="AX901" s="1">
        <v>170.95</v>
      </c>
      <c r="BA901" s="1">
        <v>167.82</v>
      </c>
      <c r="BB901" s="1">
        <v>181.29</v>
      </c>
      <c r="BC901" s="1">
        <v>179.11</v>
      </c>
      <c r="BD901" s="1">
        <v>177.74</v>
      </c>
      <c r="BE901" s="1">
        <v>169.56</v>
      </c>
      <c r="BF901" s="1">
        <v>169.12</v>
      </c>
      <c r="BG901" s="1">
        <v>182.72</v>
      </c>
      <c r="BH901" s="1">
        <v>168.71</v>
      </c>
      <c r="BI901" s="1">
        <v>174.48</v>
      </c>
      <c r="BJ901" s="1">
        <v>181.37</v>
      </c>
      <c r="BK901" s="1">
        <v>161.32</v>
      </c>
      <c r="BL901" s="1">
        <v>159.94</v>
      </c>
      <c r="BN901" s="1">
        <v>158.88999999999999</v>
      </c>
    </row>
    <row r="902" spans="1:66" x14ac:dyDescent="0.3">
      <c r="A902" s="2"/>
      <c r="C902" s="14" t="str">
        <f t="shared" ref="C902:C965" si="15">YEAR(D902)&amp;MONTH(D902)</f>
        <v>20228</v>
      </c>
      <c r="D902" s="3">
        <v>44791</v>
      </c>
      <c r="E902" s="21">
        <v>2551.52</v>
      </c>
      <c r="F902" s="21">
        <v>2534.42</v>
      </c>
      <c r="G902" s="21">
        <v>2606.6799999999998</v>
      </c>
      <c r="H902" s="21">
        <v>2492.6999999999998</v>
      </c>
      <c r="I902" s="21">
        <v>2518.44</v>
      </c>
      <c r="J902" s="21">
        <v>2523.3000000000002</v>
      </c>
      <c r="K902" s="21">
        <v>2559.3200000000002</v>
      </c>
      <c r="L902" s="21">
        <v>2428.13</v>
      </c>
      <c r="M902" s="21">
        <v>2343.0700000000002</v>
      </c>
      <c r="N902" s="21">
        <v>2226.2199999999998</v>
      </c>
      <c r="O902" s="21">
        <v>2622.34</v>
      </c>
      <c r="P902" s="21">
        <v>2571</v>
      </c>
      <c r="Q902" s="21">
        <v>7808.02</v>
      </c>
      <c r="R902" s="20">
        <v>161.41</v>
      </c>
      <c r="S902" s="20">
        <v>153.04</v>
      </c>
      <c r="T902" s="21">
        <v>167.79</v>
      </c>
      <c r="V902" s="1">
        <v>157.31</v>
      </c>
      <c r="W902" s="1">
        <v>172.86</v>
      </c>
      <c r="X902" s="1">
        <v>170.8</v>
      </c>
      <c r="Y902" s="1">
        <v>163.13</v>
      </c>
      <c r="Z902" s="1">
        <v>164.59</v>
      </c>
      <c r="AA902" s="1">
        <v>163.9</v>
      </c>
      <c r="AB902" s="1">
        <v>169.94</v>
      </c>
      <c r="AC902" s="1">
        <v>164.18</v>
      </c>
      <c r="AE902" s="1">
        <v>181.11</v>
      </c>
      <c r="AF902" s="1">
        <v>172.18</v>
      </c>
      <c r="AG902" s="1">
        <v>157.72</v>
      </c>
      <c r="AW902" s="1">
        <v>3462.7</v>
      </c>
      <c r="AX902" s="1">
        <v>168.29</v>
      </c>
      <c r="BA902" s="1">
        <v>163.93</v>
      </c>
      <c r="BB902" s="1">
        <v>180.46</v>
      </c>
      <c r="BC902" s="1">
        <v>178.83</v>
      </c>
      <c r="BD902" s="1">
        <v>177.13</v>
      </c>
      <c r="BE902" s="1">
        <v>167.49</v>
      </c>
      <c r="BF902" s="1">
        <v>166.79</v>
      </c>
      <c r="BG902" s="1">
        <v>182.78</v>
      </c>
      <c r="BH902" s="1">
        <v>168.17</v>
      </c>
      <c r="BI902" s="1">
        <v>174.48</v>
      </c>
      <c r="BK902" s="1">
        <v>161.31</v>
      </c>
      <c r="BL902" s="1">
        <v>159.93</v>
      </c>
      <c r="BN902" s="1">
        <v>159.12</v>
      </c>
    </row>
    <row r="903" spans="1:66" x14ac:dyDescent="0.3">
      <c r="A903" s="2"/>
      <c r="C903" s="14" t="str">
        <f t="shared" si="15"/>
        <v>20228</v>
      </c>
      <c r="D903" s="3">
        <v>44790</v>
      </c>
      <c r="E903" s="21">
        <v>2541.59</v>
      </c>
      <c r="F903" s="21">
        <v>2534.42</v>
      </c>
      <c r="G903" s="21">
        <v>2606.6799999999998</v>
      </c>
      <c r="H903" s="21">
        <v>2477.0500000000002</v>
      </c>
      <c r="I903" s="21">
        <v>2534.2600000000002</v>
      </c>
      <c r="J903" s="21">
        <v>2518.35</v>
      </c>
      <c r="K903" s="21">
        <v>2524.14</v>
      </c>
      <c r="L903" s="21">
        <v>2424.15</v>
      </c>
      <c r="M903" s="21">
        <v>2343.0700000000002</v>
      </c>
      <c r="N903" s="21">
        <v>2229.4499999999998</v>
      </c>
      <c r="O903" s="21">
        <v>2574.34</v>
      </c>
      <c r="P903" s="21">
        <v>2571</v>
      </c>
      <c r="Q903" s="21">
        <v>7728.02</v>
      </c>
      <c r="R903" s="20">
        <v>161.41</v>
      </c>
      <c r="S903" s="20">
        <v>153.08000000000001</v>
      </c>
      <c r="T903" s="21">
        <v>167.44</v>
      </c>
      <c r="V903" s="1">
        <v>157.02000000000001</v>
      </c>
      <c r="W903" s="1">
        <v>173.01</v>
      </c>
      <c r="X903" s="1">
        <v>169.92</v>
      </c>
      <c r="Y903" s="1">
        <v>163.72999999999999</v>
      </c>
      <c r="Z903" s="1">
        <v>164.41</v>
      </c>
      <c r="AA903" s="1">
        <v>163.72999999999999</v>
      </c>
      <c r="AB903" s="1">
        <v>169.44</v>
      </c>
      <c r="AC903" s="1">
        <v>164.18</v>
      </c>
      <c r="AE903" s="1">
        <v>181.42</v>
      </c>
      <c r="AF903" s="1">
        <v>172.42</v>
      </c>
      <c r="AG903" s="1">
        <v>156.54</v>
      </c>
      <c r="AW903" s="1">
        <v>3462.7</v>
      </c>
      <c r="AX903" s="1">
        <v>168.82</v>
      </c>
      <c r="BA903" s="1">
        <v>163.82</v>
      </c>
      <c r="BB903" s="1">
        <v>180.2</v>
      </c>
      <c r="BC903" s="1">
        <v>178.21</v>
      </c>
      <c r="BD903" s="1">
        <v>176.07</v>
      </c>
      <c r="BE903" s="1">
        <v>168.1</v>
      </c>
      <c r="BF903" s="1">
        <v>166.79</v>
      </c>
      <c r="BG903" s="1">
        <v>182.45</v>
      </c>
      <c r="BH903" s="1">
        <v>168.35</v>
      </c>
      <c r="BI903" s="1">
        <v>174.68</v>
      </c>
      <c r="BJ903" s="1">
        <v>182.58</v>
      </c>
      <c r="BK903" s="1">
        <v>160.9</v>
      </c>
      <c r="BL903" s="1">
        <v>159.91999999999999</v>
      </c>
      <c r="BN903" s="1">
        <v>158.87</v>
      </c>
    </row>
    <row r="904" spans="1:66" x14ac:dyDescent="0.3">
      <c r="A904" s="2"/>
      <c r="C904" s="14" t="str">
        <f t="shared" si="15"/>
        <v>20228</v>
      </c>
      <c r="D904" s="3">
        <v>44789</v>
      </c>
      <c r="E904" s="21">
        <v>2531.41</v>
      </c>
      <c r="F904" s="21">
        <v>2534.42</v>
      </c>
      <c r="G904" s="21">
        <v>2616.5700000000002</v>
      </c>
      <c r="H904" s="21">
        <v>2500.09</v>
      </c>
      <c r="I904" s="21">
        <v>2540.19</v>
      </c>
      <c r="J904" s="21">
        <v>2527.35</v>
      </c>
      <c r="K904" s="21">
        <v>2559.3200000000002</v>
      </c>
      <c r="L904" s="21">
        <v>2481.4499999999998</v>
      </c>
      <c r="M904" s="21"/>
      <c r="N904" s="21">
        <v>2232.98</v>
      </c>
      <c r="O904" s="21">
        <v>2600.64</v>
      </c>
      <c r="P904" s="21">
        <v>2571</v>
      </c>
      <c r="Q904" s="21">
        <v>7764.02</v>
      </c>
      <c r="R904" s="20">
        <v>161.41</v>
      </c>
      <c r="S904" s="20">
        <v>153.75</v>
      </c>
      <c r="T904" s="21">
        <v>166.23</v>
      </c>
      <c r="V904" s="1">
        <v>156.88999999999999</v>
      </c>
      <c r="W904" s="1">
        <v>172.11</v>
      </c>
      <c r="X904" s="1">
        <v>171.8</v>
      </c>
      <c r="Y904" s="1">
        <v>163.63</v>
      </c>
      <c r="Z904" s="1">
        <v>164.72</v>
      </c>
      <c r="AA904" s="1">
        <v>163.6</v>
      </c>
      <c r="AB904" s="1">
        <v>171.63</v>
      </c>
      <c r="AC904" s="1">
        <v>162.85</v>
      </c>
      <c r="AE904" s="1">
        <v>180.13</v>
      </c>
      <c r="AF904" s="1">
        <v>173.4</v>
      </c>
      <c r="AG904" s="1">
        <v>154.24</v>
      </c>
      <c r="AW904" s="1">
        <v>3462.7</v>
      </c>
      <c r="AX904" s="1">
        <v>170.14</v>
      </c>
      <c r="BA904" s="1">
        <v>164.03</v>
      </c>
      <c r="BB904" s="1">
        <v>179.13</v>
      </c>
      <c r="BC904" s="1">
        <v>175.48</v>
      </c>
      <c r="BD904" s="1">
        <v>179.91</v>
      </c>
      <c r="BE904" s="1">
        <v>167.19</v>
      </c>
      <c r="BF904" s="1">
        <v>166.15</v>
      </c>
      <c r="BG904" s="1">
        <v>182.32</v>
      </c>
      <c r="BH904" s="1">
        <v>167.55</v>
      </c>
      <c r="BI904" s="1">
        <v>175.33</v>
      </c>
      <c r="BJ904" s="1">
        <v>189.83</v>
      </c>
      <c r="BK904" s="1">
        <v>160.88</v>
      </c>
      <c r="BL904" s="1">
        <v>159.91</v>
      </c>
      <c r="BN904" s="1">
        <v>158.87</v>
      </c>
    </row>
    <row r="905" spans="1:66" x14ac:dyDescent="0.3">
      <c r="A905" s="2"/>
      <c r="C905" s="14" t="str">
        <f t="shared" si="15"/>
        <v>20228</v>
      </c>
      <c r="D905" s="3">
        <v>44788</v>
      </c>
      <c r="E905" s="21">
        <v>2562.39</v>
      </c>
      <c r="F905" s="21">
        <v>2542.66</v>
      </c>
      <c r="G905" s="21">
        <v>2646.22</v>
      </c>
      <c r="H905" s="21">
        <v>2551.2199999999998</v>
      </c>
      <c r="I905" s="21">
        <v>2540.19</v>
      </c>
      <c r="J905" s="21">
        <v>2653.95</v>
      </c>
      <c r="K905" s="21">
        <v>2559.3200000000002</v>
      </c>
      <c r="L905" s="21">
        <v>2481.4499999999998</v>
      </c>
      <c r="M905" s="21">
        <v>2422.3200000000002</v>
      </c>
      <c r="N905" s="21">
        <v>2240.31</v>
      </c>
      <c r="O905" s="21">
        <v>2628.63</v>
      </c>
      <c r="P905" s="21">
        <v>2571</v>
      </c>
      <c r="Q905" s="21">
        <v>7859.67</v>
      </c>
      <c r="R905" s="20">
        <v>163.91</v>
      </c>
      <c r="S905" s="20">
        <v>151.05000000000001</v>
      </c>
      <c r="T905" s="21">
        <v>168.42</v>
      </c>
      <c r="V905" s="1">
        <v>156.88999999999999</v>
      </c>
      <c r="W905" s="1">
        <v>172.86</v>
      </c>
      <c r="X905" s="1">
        <v>172.76</v>
      </c>
      <c r="Y905" s="1">
        <v>165.63</v>
      </c>
      <c r="Z905" s="1">
        <v>165.59</v>
      </c>
      <c r="AA905" s="1">
        <v>164.56</v>
      </c>
      <c r="AB905" s="1">
        <v>172.33</v>
      </c>
      <c r="AC905" s="1">
        <v>162.52000000000001</v>
      </c>
      <c r="AE905" s="1">
        <v>181.63</v>
      </c>
      <c r="AF905" s="1">
        <v>171.63</v>
      </c>
      <c r="AG905" s="1">
        <v>156.87</v>
      </c>
      <c r="AI905" s="1">
        <v>30</v>
      </c>
      <c r="AN905" s="1">
        <v>2433.35</v>
      </c>
      <c r="AW905" s="1">
        <v>3854.76</v>
      </c>
      <c r="AX905" s="1">
        <v>170.45</v>
      </c>
      <c r="BA905" s="1">
        <v>165.11</v>
      </c>
      <c r="BB905" s="1">
        <v>180.76</v>
      </c>
      <c r="BC905" s="1">
        <v>179.14</v>
      </c>
      <c r="BD905" s="1">
        <v>179.23</v>
      </c>
      <c r="BE905" s="1">
        <v>167.7</v>
      </c>
      <c r="BF905" s="1">
        <v>170.78</v>
      </c>
      <c r="BG905" s="1">
        <v>183.63</v>
      </c>
      <c r="BH905" s="1">
        <v>168.89</v>
      </c>
      <c r="BI905" s="1">
        <v>176.17</v>
      </c>
      <c r="BJ905" s="1">
        <v>189.83</v>
      </c>
      <c r="BK905" s="1">
        <v>163.06</v>
      </c>
      <c r="BL905" s="1">
        <v>161.56</v>
      </c>
      <c r="BN905" s="1">
        <v>161.22</v>
      </c>
    </row>
    <row r="906" spans="1:66" x14ac:dyDescent="0.3">
      <c r="A906" s="2"/>
      <c r="C906" s="14" t="str">
        <f t="shared" si="15"/>
        <v>20228</v>
      </c>
      <c r="D906" s="3">
        <v>44785</v>
      </c>
      <c r="E906" s="21">
        <v>2613.12</v>
      </c>
      <c r="F906" s="21">
        <v>2600.3200000000002</v>
      </c>
      <c r="G906" s="21">
        <v>2636.56</v>
      </c>
      <c r="H906" s="21">
        <v>2618.5700000000002</v>
      </c>
      <c r="I906" s="21">
        <v>2550.0700000000002</v>
      </c>
      <c r="J906" s="21">
        <v>2575.91</v>
      </c>
      <c r="K906" s="21">
        <v>2575.89</v>
      </c>
      <c r="L906" s="21">
        <v>2555.9</v>
      </c>
      <c r="M906" s="21">
        <v>2423.5</v>
      </c>
      <c r="N906" s="21">
        <v>2284.31</v>
      </c>
      <c r="O906" s="21">
        <v>2630.63</v>
      </c>
      <c r="P906" s="21">
        <v>2574.89</v>
      </c>
      <c r="Q906" s="21">
        <v>7859.44</v>
      </c>
      <c r="R906" s="20">
        <v>165.9</v>
      </c>
      <c r="S906" s="20">
        <v>155.07</v>
      </c>
      <c r="T906" s="21">
        <v>171.35</v>
      </c>
      <c r="V906" s="1">
        <v>159.88999999999999</v>
      </c>
      <c r="W906" s="1">
        <v>174.4</v>
      </c>
      <c r="X906" s="1">
        <v>175.26</v>
      </c>
      <c r="Y906" s="1">
        <v>168.93</v>
      </c>
      <c r="Z906" s="1">
        <v>170</v>
      </c>
      <c r="AA906" s="1">
        <v>168.2</v>
      </c>
      <c r="AB906" s="1">
        <v>174.43</v>
      </c>
      <c r="AC906" s="1">
        <v>163.02000000000001</v>
      </c>
      <c r="AE906" s="1">
        <v>182.1</v>
      </c>
      <c r="AF906" s="1">
        <v>176.02</v>
      </c>
      <c r="AG906" s="1">
        <v>161.27000000000001</v>
      </c>
      <c r="AI906" s="1">
        <v>30</v>
      </c>
      <c r="AN906" s="1">
        <v>2433.35</v>
      </c>
      <c r="AX906" s="1">
        <v>171.01</v>
      </c>
      <c r="BA906" s="1">
        <v>166.48</v>
      </c>
      <c r="BB906" s="1">
        <v>184.56</v>
      </c>
      <c r="BC906" s="1">
        <v>181.03</v>
      </c>
      <c r="BD906" s="1">
        <v>182.61</v>
      </c>
      <c r="BE906" s="1">
        <v>173.11</v>
      </c>
      <c r="BF906" s="1">
        <v>172.03</v>
      </c>
      <c r="BG906" s="1">
        <v>183.69</v>
      </c>
      <c r="BH906" s="1">
        <v>170.22</v>
      </c>
      <c r="BI906" s="1">
        <v>177.27</v>
      </c>
      <c r="BJ906" s="1">
        <v>190.02</v>
      </c>
      <c r="BK906" s="1">
        <v>164.22</v>
      </c>
      <c r="BL906" s="1">
        <v>162.97</v>
      </c>
      <c r="BN906" s="1">
        <v>162.52000000000001</v>
      </c>
    </row>
    <row r="907" spans="1:66" x14ac:dyDescent="0.3">
      <c r="A907" s="2"/>
      <c r="C907" s="14" t="str">
        <f t="shared" si="15"/>
        <v>20228</v>
      </c>
      <c r="D907" s="3">
        <v>44784</v>
      </c>
      <c r="E907" s="21">
        <v>2640.11</v>
      </c>
      <c r="F907" s="21">
        <v>2600.3200000000002</v>
      </c>
      <c r="G907" s="21">
        <v>2646.16</v>
      </c>
      <c r="H907" s="21">
        <v>2601.63</v>
      </c>
      <c r="I907" s="21">
        <v>2550.0700000000002</v>
      </c>
      <c r="J907" s="21">
        <v>2572.6</v>
      </c>
      <c r="K907" s="21">
        <v>2582.5300000000002</v>
      </c>
      <c r="L907" s="21">
        <v>2510.38</v>
      </c>
      <c r="M907" s="21">
        <v>2440.62</v>
      </c>
      <c r="N907" s="21">
        <v>2307.4899999999998</v>
      </c>
      <c r="O907" s="21">
        <v>2657.19</v>
      </c>
      <c r="P907" s="21">
        <v>2592.86</v>
      </c>
      <c r="Q907" s="21">
        <v>7798.07</v>
      </c>
      <c r="R907" s="20">
        <v>165.68</v>
      </c>
      <c r="S907" s="20">
        <v>154.47</v>
      </c>
      <c r="T907" s="21">
        <v>172.52</v>
      </c>
      <c r="V907" s="1">
        <v>161.02000000000001</v>
      </c>
      <c r="W907" s="1">
        <v>176.6</v>
      </c>
      <c r="X907" s="1">
        <v>175.3</v>
      </c>
      <c r="Y907" s="1">
        <v>167.88</v>
      </c>
      <c r="Z907" s="1">
        <v>169.61</v>
      </c>
      <c r="AA907" s="1">
        <v>168.27</v>
      </c>
      <c r="AB907" s="1">
        <v>175.15</v>
      </c>
      <c r="AC907" s="1">
        <v>163.52000000000001</v>
      </c>
      <c r="AE907" s="1">
        <v>183.53</v>
      </c>
      <c r="AF907" s="1">
        <v>172.74</v>
      </c>
      <c r="AG907" s="1">
        <v>159.54</v>
      </c>
      <c r="AI907" s="1">
        <v>30</v>
      </c>
      <c r="AN907" s="1">
        <v>2433.35</v>
      </c>
      <c r="AX907" s="1">
        <v>170.99</v>
      </c>
      <c r="BA907" s="1">
        <v>166.46</v>
      </c>
      <c r="BB907" s="1">
        <v>184.12</v>
      </c>
      <c r="BC907" s="1">
        <v>180.61</v>
      </c>
      <c r="BD907" s="1">
        <v>180.14</v>
      </c>
      <c r="BE907" s="1">
        <v>173.5</v>
      </c>
      <c r="BF907" s="1">
        <v>173.25</v>
      </c>
      <c r="BG907" s="1">
        <v>184.79</v>
      </c>
      <c r="BH907" s="1">
        <v>169.08</v>
      </c>
      <c r="BI907" s="1">
        <v>177.17</v>
      </c>
      <c r="BJ907" s="1">
        <v>190.02</v>
      </c>
      <c r="BK907" s="1">
        <v>163.55000000000001</v>
      </c>
      <c r="BL907" s="1">
        <v>163.13</v>
      </c>
      <c r="BN907" s="1">
        <v>162.52000000000001</v>
      </c>
    </row>
    <row r="908" spans="1:66" x14ac:dyDescent="0.3">
      <c r="A908" s="2"/>
      <c r="C908" s="14" t="str">
        <f t="shared" si="15"/>
        <v>20228</v>
      </c>
      <c r="D908" s="3">
        <v>44783</v>
      </c>
      <c r="E908" s="21">
        <v>2648.79</v>
      </c>
      <c r="F908" s="21">
        <v>2600.3200000000002</v>
      </c>
      <c r="G908" s="21">
        <v>2646.16</v>
      </c>
      <c r="H908" s="21">
        <v>2618.6799999999998</v>
      </c>
      <c r="I908" s="21">
        <v>2546.12</v>
      </c>
      <c r="J908" s="21">
        <v>2542.86</v>
      </c>
      <c r="K908" s="21">
        <v>2582.5300000000002</v>
      </c>
      <c r="L908" s="21">
        <v>2510.38</v>
      </c>
      <c r="M908" s="21">
        <v>2421.23</v>
      </c>
      <c r="N908" s="21">
        <v>2324.1999999999998</v>
      </c>
      <c r="O908" s="21">
        <v>2690.79</v>
      </c>
      <c r="P908" s="21">
        <v>2592.86</v>
      </c>
      <c r="Q908" s="21">
        <v>7858.58</v>
      </c>
      <c r="R908" s="20">
        <v>165.24</v>
      </c>
      <c r="S908" s="20">
        <v>153.80000000000001</v>
      </c>
      <c r="T908" s="21">
        <v>169.75</v>
      </c>
      <c r="V908" s="1">
        <v>160.87</v>
      </c>
      <c r="W908" s="1">
        <v>175.41</v>
      </c>
      <c r="X908" s="1">
        <v>176.05</v>
      </c>
      <c r="Y908" s="1">
        <v>167.47</v>
      </c>
      <c r="Z908" s="1">
        <v>168.47</v>
      </c>
      <c r="AA908" s="1">
        <v>168.02</v>
      </c>
      <c r="AB908" s="1">
        <v>175.81</v>
      </c>
      <c r="AC908" s="1">
        <v>163.52000000000001</v>
      </c>
      <c r="AE908" s="1">
        <v>184.43</v>
      </c>
      <c r="AF908" s="1">
        <v>173.88</v>
      </c>
      <c r="AG908" s="1">
        <v>158.5</v>
      </c>
      <c r="AI908" s="1">
        <v>30</v>
      </c>
      <c r="AN908" s="1">
        <v>2433.35</v>
      </c>
      <c r="AX908" s="1">
        <v>170.95</v>
      </c>
      <c r="AY908" s="1">
        <v>4097.57</v>
      </c>
      <c r="BA908" s="1">
        <v>165.26</v>
      </c>
      <c r="BB908" s="1">
        <v>182.35</v>
      </c>
      <c r="BC908" s="1">
        <v>180.03</v>
      </c>
      <c r="BD908" s="1">
        <v>178.9</v>
      </c>
      <c r="BE908" s="1">
        <v>172.99</v>
      </c>
      <c r="BF908" s="1">
        <v>169.34</v>
      </c>
      <c r="BG908" s="1">
        <v>184.31</v>
      </c>
      <c r="BH908" s="1">
        <v>169.08</v>
      </c>
      <c r="BI908" s="1">
        <v>177.17</v>
      </c>
      <c r="BJ908" s="1">
        <v>190.02</v>
      </c>
      <c r="BK908" s="1">
        <v>161.74</v>
      </c>
      <c r="BL908" s="1">
        <v>162.29</v>
      </c>
      <c r="BN908" s="1">
        <v>161.53</v>
      </c>
    </row>
    <row r="909" spans="1:66" x14ac:dyDescent="0.3">
      <c r="A909" s="2"/>
      <c r="C909" s="14" t="str">
        <f t="shared" si="15"/>
        <v>20228</v>
      </c>
      <c r="D909" s="3">
        <v>44782</v>
      </c>
      <c r="E909" s="21">
        <v>2638.57</v>
      </c>
      <c r="F909" s="21">
        <v>2600.3200000000002</v>
      </c>
      <c r="G909" s="21">
        <v>2646.16</v>
      </c>
      <c r="H909" s="21">
        <v>2567.85</v>
      </c>
      <c r="I909" s="21">
        <v>2546.12</v>
      </c>
      <c r="J909" s="21">
        <v>2555.73</v>
      </c>
      <c r="K909" s="21">
        <v>2577.5300000000002</v>
      </c>
      <c r="L909" s="21">
        <v>2471.69</v>
      </c>
      <c r="M909" s="21">
        <v>2421.23</v>
      </c>
      <c r="N909" s="21">
        <v>2350.94</v>
      </c>
      <c r="O909" s="21">
        <v>2608.63</v>
      </c>
      <c r="P909" s="21">
        <v>2600.81</v>
      </c>
      <c r="Q909" s="21">
        <v>7708.78</v>
      </c>
      <c r="R909" s="20">
        <v>165.9</v>
      </c>
      <c r="S909" s="20">
        <v>151.88</v>
      </c>
      <c r="T909" s="21">
        <v>168.17</v>
      </c>
      <c r="V909" s="1">
        <v>160.72999999999999</v>
      </c>
      <c r="W909" s="1">
        <v>174.67</v>
      </c>
      <c r="X909" s="1">
        <v>174.09</v>
      </c>
      <c r="Y909" s="1">
        <v>165.89</v>
      </c>
      <c r="Z909" s="1">
        <v>168.11</v>
      </c>
      <c r="AA909" s="1">
        <v>167.72</v>
      </c>
      <c r="AB909" s="1">
        <v>174.13</v>
      </c>
      <c r="AC909" s="1">
        <v>167.92</v>
      </c>
      <c r="AE909" s="1">
        <v>182.36</v>
      </c>
      <c r="AF909" s="1">
        <v>171.07</v>
      </c>
      <c r="AG909" s="1">
        <v>157.53</v>
      </c>
      <c r="AI909" s="1">
        <v>30</v>
      </c>
      <c r="AJ909" s="1">
        <v>0</v>
      </c>
      <c r="AN909" s="1">
        <v>2433.35</v>
      </c>
      <c r="AR909" s="1">
        <v>4873</v>
      </c>
      <c r="AX909" s="1">
        <v>166.91</v>
      </c>
      <c r="AY909" s="1">
        <v>4097.57</v>
      </c>
      <c r="BA909" s="1">
        <v>164.34</v>
      </c>
      <c r="BB909" s="1">
        <v>183.64</v>
      </c>
      <c r="BC909" s="1">
        <v>180.3</v>
      </c>
      <c r="BD909" s="1">
        <v>177.22</v>
      </c>
      <c r="BE909" s="1">
        <v>169.85</v>
      </c>
      <c r="BF909" s="1">
        <v>169.68</v>
      </c>
      <c r="BG909" s="1">
        <v>184.2</v>
      </c>
      <c r="BH909" s="1">
        <v>169.46</v>
      </c>
      <c r="BI909" s="1">
        <v>177.47</v>
      </c>
      <c r="BJ909" s="1">
        <v>190.02</v>
      </c>
      <c r="BK909" s="1">
        <v>158.79</v>
      </c>
      <c r="BL909" s="1">
        <v>163.5</v>
      </c>
      <c r="BN909" s="1">
        <v>160.52000000000001</v>
      </c>
    </row>
    <row r="910" spans="1:66" x14ac:dyDescent="0.3">
      <c r="A910" s="2"/>
      <c r="C910" s="14" t="str">
        <f t="shared" si="15"/>
        <v>20228</v>
      </c>
      <c r="D910" s="3">
        <v>44781</v>
      </c>
      <c r="E910" s="21">
        <v>2645.23</v>
      </c>
      <c r="F910" s="21">
        <v>2612.67</v>
      </c>
      <c r="G910" s="21">
        <v>2656.05</v>
      </c>
      <c r="H910" s="21">
        <v>2550.81</v>
      </c>
      <c r="I910" s="21">
        <v>2577.75</v>
      </c>
      <c r="J910" s="21">
        <v>2585.7800000000002</v>
      </c>
      <c r="K910" s="21">
        <v>2602.41</v>
      </c>
      <c r="L910" s="21">
        <v>2519.8200000000002</v>
      </c>
      <c r="M910" s="21">
        <v>2421.23</v>
      </c>
      <c r="N910" s="21">
        <v>2340.96</v>
      </c>
      <c r="O910" s="21">
        <v>2634.33</v>
      </c>
      <c r="P910" s="21">
        <v>2620.6999999999998</v>
      </c>
      <c r="Q910" s="21">
        <v>7704.34</v>
      </c>
      <c r="R910" s="20">
        <v>165.57</v>
      </c>
      <c r="S910" s="20">
        <v>150.88</v>
      </c>
      <c r="T910" s="21">
        <v>167.86</v>
      </c>
      <c r="V910" s="1">
        <v>160.72999999999999</v>
      </c>
      <c r="W910" s="1">
        <v>172.88</v>
      </c>
      <c r="X910" s="1">
        <v>174.09</v>
      </c>
      <c r="Y910" s="1">
        <v>165.94</v>
      </c>
      <c r="Z910" s="1">
        <v>167.82</v>
      </c>
      <c r="AA910" s="1">
        <v>168.39</v>
      </c>
      <c r="AB910" s="1">
        <v>173.93</v>
      </c>
      <c r="AC910" s="1">
        <v>169.35</v>
      </c>
      <c r="AE910" s="1">
        <v>182.75</v>
      </c>
      <c r="AF910" s="1">
        <v>171.93</v>
      </c>
      <c r="AG910" s="1">
        <v>156.41999999999999</v>
      </c>
      <c r="AJ910" s="1">
        <v>0</v>
      </c>
      <c r="AR910" s="1">
        <v>4873</v>
      </c>
      <c r="AX910" s="1">
        <v>165.9</v>
      </c>
      <c r="AY910" s="1">
        <v>4097.57</v>
      </c>
      <c r="BA910" s="1">
        <v>164.34</v>
      </c>
      <c r="BB910" s="1">
        <v>180.96</v>
      </c>
      <c r="BC910" s="1">
        <v>180.51</v>
      </c>
      <c r="BD910" s="1">
        <v>176.06</v>
      </c>
      <c r="BE910" s="1">
        <v>169.17</v>
      </c>
      <c r="BF910" s="1">
        <v>168.29</v>
      </c>
      <c r="BG910" s="1">
        <v>184.03</v>
      </c>
      <c r="BH910" s="1">
        <v>170.92</v>
      </c>
      <c r="BI910" s="1">
        <v>178.67</v>
      </c>
      <c r="BJ910" s="1">
        <v>190.02</v>
      </c>
      <c r="BK910" s="1">
        <v>158.58000000000001</v>
      </c>
      <c r="BL910" s="1">
        <v>162.30000000000001</v>
      </c>
      <c r="BN910" s="1">
        <v>159.91999999999999</v>
      </c>
    </row>
    <row r="911" spans="1:66" x14ac:dyDescent="0.3">
      <c r="A911" s="2"/>
      <c r="C911" s="14" t="str">
        <f t="shared" si="15"/>
        <v>20228</v>
      </c>
      <c r="D911" s="3">
        <v>44778</v>
      </c>
      <c r="E911" s="21">
        <v>2622.03</v>
      </c>
      <c r="F911" s="21">
        <v>2612.67</v>
      </c>
      <c r="G911" s="21">
        <v>2665.93</v>
      </c>
      <c r="H911" s="21">
        <v>2562.0700000000002</v>
      </c>
      <c r="I911" s="21">
        <v>2587.63</v>
      </c>
      <c r="J911" s="21">
        <v>2681.87</v>
      </c>
      <c r="K911" s="21">
        <v>2635.58</v>
      </c>
      <c r="L911" s="21">
        <v>2488.39</v>
      </c>
      <c r="M911" s="21">
        <v>2514.06</v>
      </c>
      <c r="N911" s="21">
        <v>2350.8200000000002</v>
      </c>
      <c r="O911" s="21">
        <v>2682.67</v>
      </c>
      <c r="P911" s="21">
        <v>2640.58</v>
      </c>
      <c r="Q911" s="21">
        <v>7774.08</v>
      </c>
      <c r="R911" s="20">
        <v>165.57</v>
      </c>
      <c r="S911" s="20">
        <v>153.49</v>
      </c>
      <c r="T911" s="21">
        <v>170.13</v>
      </c>
      <c r="V911" s="1">
        <v>161.22</v>
      </c>
      <c r="W911" s="1">
        <v>174.41</v>
      </c>
      <c r="X911" s="1">
        <v>174.99</v>
      </c>
      <c r="Y911" s="1">
        <v>166.46</v>
      </c>
      <c r="Z911" s="1">
        <v>167.63</v>
      </c>
      <c r="AA911" s="1">
        <v>167.55</v>
      </c>
      <c r="AB911" s="1">
        <v>174.53</v>
      </c>
      <c r="AC911" s="1">
        <v>165.85</v>
      </c>
      <c r="AE911" s="1">
        <v>182.9</v>
      </c>
      <c r="AF911" s="1">
        <v>176.13</v>
      </c>
      <c r="AG911" s="1">
        <v>157.21</v>
      </c>
      <c r="AJ911" s="1">
        <v>0</v>
      </c>
      <c r="AN911" s="1">
        <v>3703.8</v>
      </c>
      <c r="AR911" s="1">
        <v>4873</v>
      </c>
      <c r="AT911" s="1">
        <v>3768.76</v>
      </c>
      <c r="AW911" s="1">
        <v>3524.79</v>
      </c>
      <c r="AX911" s="1">
        <v>167.82</v>
      </c>
      <c r="AY911" s="1">
        <v>4097.57</v>
      </c>
      <c r="BA911" s="1">
        <v>164.87</v>
      </c>
      <c r="BB911" s="1">
        <v>183.48</v>
      </c>
      <c r="BC911" s="1">
        <v>179.76</v>
      </c>
      <c r="BD911" s="1">
        <v>181.01</v>
      </c>
      <c r="BE911" s="1">
        <v>172.91</v>
      </c>
      <c r="BF911" s="1">
        <v>171.42</v>
      </c>
      <c r="BG911" s="1">
        <v>185.01</v>
      </c>
      <c r="BH911" s="1">
        <v>172.01</v>
      </c>
      <c r="BI911" s="1">
        <v>179.47</v>
      </c>
      <c r="BJ911" s="1">
        <v>190.02</v>
      </c>
      <c r="BK911" s="1">
        <v>160.47</v>
      </c>
      <c r="BL911" s="1">
        <v>163.09</v>
      </c>
      <c r="BN911" s="1">
        <v>162.15</v>
      </c>
    </row>
    <row r="912" spans="1:66" x14ac:dyDescent="0.3">
      <c r="A912" s="2"/>
      <c r="C912" s="14" t="str">
        <f t="shared" si="15"/>
        <v>20228</v>
      </c>
      <c r="D912" s="3">
        <v>44777</v>
      </c>
      <c r="E912" s="21">
        <v>2590.58</v>
      </c>
      <c r="F912" s="21">
        <v>2560.13</v>
      </c>
      <c r="G912" s="21">
        <v>2631.27</v>
      </c>
      <c r="H912" s="21">
        <v>2574.39</v>
      </c>
      <c r="I912" s="21">
        <v>2588.64</v>
      </c>
      <c r="J912" s="21">
        <v>2683.72</v>
      </c>
      <c r="K912" s="21">
        <v>2583.0100000000002</v>
      </c>
      <c r="L912" s="21">
        <v>2453.8000000000002</v>
      </c>
      <c r="M912" s="21">
        <v>2527.63</v>
      </c>
      <c r="N912" s="21">
        <v>2355.91</v>
      </c>
      <c r="O912" s="21">
        <v>2627.59</v>
      </c>
      <c r="P912" s="21">
        <v>2601.25</v>
      </c>
      <c r="Q912" s="21">
        <v>7698.59</v>
      </c>
      <c r="R912" s="20">
        <v>165.92</v>
      </c>
      <c r="S912" s="20">
        <v>153.5</v>
      </c>
      <c r="T912" s="21">
        <v>170.01</v>
      </c>
      <c r="V912" s="1">
        <v>160.44999999999999</v>
      </c>
      <c r="W912" s="1">
        <v>174.15</v>
      </c>
      <c r="X912" s="1">
        <v>173.08</v>
      </c>
      <c r="Y912" s="1">
        <v>166.14</v>
      </c>
      <c r="Z912" s="1">
        <v>167.36</v>
      </c>
      <c r="AA912" s="1">
        <v>167.9</v>
      </c>
      <c r="AB912" s="1">
        <v>173.23</v>
      </c>
      <c r="AE912" s="1">
        <v>181.28</v>
      </c>
      <c r="AF912" s="1">
        <v>173.61</v>
      </c>
      <c r="AG912" s="1">
        <v>157.12</v>
      </c>
      <c r="AJ912" s="1">
        <v>0</v>
      </c>
      <c r="AN912" s="1">
        <v>4036.46</v>
      </c>
      <c r="AR912" s="1">
        <v>4871.04</v>
      </c>
      <c r="AT912" s="1">
        <v>3767.24</v>
      </c>
      <c r="AW912" s="1">
        <v>3523.37</v>
      </c>
      <c r="AX912" s="1">
        <v>166.43</v>
      </c>
      <c r="AY912" s="1">
        <v>4095.93</v>
      </c>
      <c r="BA912" s="1">
        <v>164.73</v>
      </c>
      <c r="BB912" s="1">
        <v>182.71</v>
      </c>
      <c r="BC912" s="1">
        <v>180.35</v>
      </c>
      <c r="BD912" s="1">
        <v>177.75</v>
      </c>
      <c r="BE912" s="1">
        <v>172.74</v>
      </c>
      <c r="BF912" s="1">
        <v>171.43</v>
      </c>
      <c r="BG912" s="1">
        <v>182.29</v>
      </c>
      <c r="BH912" s="1">
        <v>168.27</v>
      </c>
      <c r="BI912" s="1">
        <v>176.09</v>
      </c>
      <c r="BJ912" s="1">
        <v>185.64</v>
      </c>
      <c r="BL912" s="1">
        <v>163.12</v>
      </c>
      <c r="BN912" s="1">
        <v>162.19</v>
      </c>
    </row>
    <row r="913" spans="1:66" x14ac:dyDescent="0.3">
      <c r="A913" s="2"/>
      <c r="C913" s="14" t="str">
        <f t="shared" si="15"/>
        <v>20228</v>
      </c>
      <c r="D913" s="3">
        <v>44776</v>
      </c>
      <c r="E913" s="21">
        <v>2611.9699999999998</v>
      </c>
      <c r="F913" s="21">
        <v>2568.37</v>
      </c>
      <c r="G913" s="21">
        <v>2651.04</v>
      </c>
      <c r="H913" s="21">
        <v>2487.36</v>
      </c>
      <c r="I913" s="21">
        <v>2588.64</v>
      </c>
      <c r="J913" s="21">
        <v>2625.05</v>
      </c>
      <c r="K913" s="21">
        <v>2583.0100000000002</v>
      </c>
      <c r="L913" s="21">
        <v>2453.8000000000002</v>
      </c>
      <c r="M913" s="21">
        <v>2494.4699999999998</v>
      </c>
      <c r="N913" s="21">
        <v>2322.39</v>
      </c>
      <c r="O913" s="21">
        <v>2653</v>
      </c>
      <c r="P913" s="21">
        <v>2601.25</v>
      </c>
      <c r="Q913" s="21">
        <v>7747.54</v>
      </c>
      <c r="R913" s="20">
        <v>165.25</v>
      </c>
      <c r="S913" s="20">
        <v>151.9</v>
      </c>
      <c r="T913" s="21">
        <v>169.92</v>
      </c>
      <c r="V913" s="1">
        <v>160.02000000000001</v>
      </c>
      <c r="W913" s="1">
        <v>173.1</v>
      </c>
      <c r="X913" s="1">
        <v>175.42</v>
      </c>
      <c r="Y913" s="1">
        <v>166.39</v>
      </c>
      <c r="Z913" s="1">
        <v>167.86</v>
      </c>
      <c r="AA913" s="1">
        <v>167.28</v>
      </c>
      <c r="AB913" s="1">
        <v>174.25</v>
      </c>
      <c r="AE913" s="1">
        <v>180.46</v>
      </c>
      <c r="AF913" s="1">
        <v>173.61</v>
      </c>
      <c r="AG913" s="1">
        <v>156.63999999999999</v>
      </c>
      <c r="AN913" s="1">
        <v>4036.46</v>
      </c>
      <c r="AT913" s="1">
        <v>3767.24</v>
      </c>
      <c r="AW913" s="1">
        <v>3523.37</v>
      </c>
      <c r="AX913" s="1">
        <v>166.41</v>
      </c>
      <c r="BA913" s="1">
        <v>165.8</v>
      </c>
      <c r="BB913" s="1">
        <v>181.46</v>
      </c>
      <c r="BC913" s="1">
        <v>179.98</v>
      </c>
      <c r="BD913" s="1">
        <v>177.01</v>
      </c>
      <c r="BE913" s="1">
        <v>171.4</v>
      </c>
      <c r="BF913" s="1">
        <v>168.43</v>
      </c>
      <c r="BG913" s="1">
        <v>180.89</v>
      </c>
      <c r="BH913" s="1">
        <v>168.82</v>
      </c>
      <c r="BI913" s="1">
        <v>177.69</v>
      </c>
      <c r="BJ913" s="1">
        <v>185.64</v>
      </c>
      <c r="BK913" s="1">
        <v>159.76</v>
      </c>
      <c r="BL913" s="1">
        <v>162.63</v>
      </c>
      <c r="BN913" s="1">
        <v>160.06</v>
      </c>
    </row>
    <row r="914" spans="1:66" x14ac:dyDescent="0.3">
      <c r="A914" s="2"/>
      <c r="C914" s="14" t="str">
        <f t="shared" si="15"/>
        <v>20228</v>
      </c>
      <c r="D914" s="3">
        <v>44775</v>
      </c>
      <c r="E914" s="21">
        <v>2601.98</v>
      </c>
      <c r="F914" s="21">
        <v>2588.9699999999998</v>
      </c>
      <c r="G914" s="21">
        <v>2627.14</v>
      </c>
      <c r="H914" s="21">
        <v>2577.4499999999998</v>
      </c>
      <c r="I914" s="21">
        <v>2580.73</v>
      </c>
      <c r="J914" s="21">
        <v>2681.12</v>
      </c>
      <c r="K914" s="21">
        <v>2621.83</v>
      </c>
      <c r="L914" s="21">
        <v>2583.92</v>
      </c>
      <c r="M914" s="21">
        <v>2511.64</v>
      </c>
      <c r="N914" s="21">
        <v>2306.1</v>
      </c>
      <c r="O914" s="21">
        <v>2729.53</v>
      </c>
      <c r="P914" s="21">
        <v>2645.01</v>
      </c>
      <c r="Q914" s="21">
        <v>7817.41</v>
      </c>
      <c r="R914" s="20">
        <v>163.59</v>
      </c>
      <c r="S914" s="20">
        <v>153.22</v>
      </c>
      <c r="T914" s="21">
        <v>170.63</v>
      </c>
      <c r="V914" s="1">
        <v>160.02000000000001</v>
      </c>
      <c r="W914" s="1">
        <v>172.59</v>
      </c>
      <c r="X914" s="1">
        <v>176.27</v>
      </c>
      <c r="Y914" s="1">
        <v>166.34</v>
      </c>
      <c r="Z914" s="1">
        <v>167.84</v>
      </c>
      <c r="AA914" s="1">
        <v>167.07</v>
      </c>
      <c r="AB914" s="1">
        <v>175.22</v>
      </c>
      <c r="AE914" s="1">
        <v>181.77</v>
      </c>
      <c r="AF914" s="1">
        <v>174.99</v>
      </c>
      <c r="AG914" s="1">
        <v>156.79</v>
      </c>
      <c r="AN914" s="1">
        <v>4059.65</v>
      </c>
      <c r="AT914" s="1">
        <v>3767.24</v>
      </c>
      <c r="AW914" s="1">
        <v>3523.37</v>
      </c>
      <c r="AX914" s="1">
        <v>165.7</v>
      </c>
      <c r="BA914" s="1">
        <v>165.3</v>
      </c>
      <c r="BB914" s="1">
        <v>182.76</v>
      </c>
      <c r="BC914" s="1">
        <v>182.34</v>
      </c>
      <c r="BD914" s="1">
        <v>182.5</v>
      </c>
      <c r="BE914" s="1">
        <v>172.11</v>
      </c>
      <c r="BF914" s="1">
        <v>167.83</v>
      </c>
      <c r="BG914" s="1">
        <v>181.99</v>
      </c>
      <c r="BH914" s="1">
        <v>170.47</v>
      </c>
      <c r="BI914" s="1">
        <v>177.69</v>
      </c>
      <c r="BJ914" s="1">
        <v>187.87</v>
      </c>
      <c r="BK914" s="1">
        <v>159.76</v>
      </c>
      <c r="BL914" s="1">
        <v>161.93</v>
      </c>
      <c r="BN914" s="1">
        <v>160.16</v>
      </c>
    </row>
    <row r="915" spans="1:66" x14ac:dyDescent="0.3">
      <c r="A915" s="2"/>
      <c r="C915" s="14" t="str">
        <f t="shared" si="15"/>
        <v>20228</v>
      </c>
      <c r="D915" s="3">
        <v>44774</v>
      </c>
      <c r="E915" s="21">
        <v>2718.96</v>
      </c>
      <c r="F915" s="21">
        <v>2617.81</v>
      </c>
      <c r="G915" s="21">
        <v>2676.69</v>
      </c>
      <c r="H915" s="21">
        <v>2744.23</v>
      </c>
      <c r="I915" s="21">
        <v>2610.39</v>
      </c>
      <c r="J915" s="21">
        <v>2804.21</v>
      </c>
      <c r="K915" s="21">
        <v>2621.83</v>
      </c>
      <c r="L915" s="21">
        <v>2658.28</v>
      </c>
      <c r="M915" s="21">
        <v>2524.9</v>
      </c>
      <c r="N915" s="21">
        <v>2389.2800000000002</v>
      </c>
      <c r="O915" s="21">
        <v>2677.94</v>
      </c>
      <c r="P915" s="21">
        <v>2645.01</v>
      </c>
      <c r="Q915" s="21">
        <v>7881.24</v>
      </c>
      <c r="R915" s="20">
        <v>167.18</v>
      </c>
      <c r="S915" s="20">
        <v>153.69999999999999</v>
      </c>
      <c r="T915" s="21">
        <v>171.83</v>
      </c>
      <c r="V915" s="1">
        <v>164.75</v>
      </c>
      <c r="W915" s="1">
        <v>176</v>
      </c>
      <c r="X915" s="1">
        <v>178.71</v>
      </c>
      <c r="Y915" s="1">
        <v>167.63</v>
      </c>
      <c r="Z915" s="1">
        <v>173.41</v>
      </c>
      <c r="AA915" s="1">
        <v>169.53</v>
      </c>
      <c r="AB915" s="1">
        <v>177</v>
      </c>
      <c r="AE915" s="1">
        <v>183.48</v>
      </c>
      <c r="AF915" s="1">
        <v>177.99</v>
      </c>
      <c r="AG915" s="1">
        <v>155.26</v>
      </c>
      <c r="AN915" s="1">
        <v>4059.65</v>
      </c>
      <c r="AT915" s="1">
        <v>3767.24</v>
      </c>
      <c r="AW915" s="1">
        <v>3869.18</v>
      </c>
      <c r="AX915" s="1">
        <v>167.76</v>
      </c>
      <c r="BA915" s="1">
        <v>165.3</v>
      </c>
      <c r="BB915" s="1">
        <v>184.77</v>
      </c>
      <c r="BC915" s="1">
        <v>182.93</v>
      </c>
      <c r="BD915" s="1">
        <v>186.48</v>
      </c>
      <c r="BE915" s="1">
        <v>174.35</v>
      </c>
      <c r="BF915" s="1">
        <v>169.51</v>
      </c>
      <c r="BG915" s="1">
        <v>183.63</v>
      </c>
      <c r="BH915" s="1">
        <v>170.47</v>
      </c>
      <c r="BI915" s="1">
        <v>180.58</v>
      </c>
      <c r="BJ915" s="1">
        <v>187.87</v>
      </c>
      <c r="BK915" s="1">
        <v>159.78</v>
      </c>
      <c r="BL915" s="1">
        <v>161.63</v>
      </c>
      <c r="BN915" s="1">
        <v>161.33000000000001</v>
      </c>
    </row>
    <row r="916" spans="1:66" x14ac:dyDescent="0.3">
      <c r="A916" s="2"/>
      <c r="C916" s="14" t="str">
        <f t="shared" si="15"/>
        <v>20227</v>
      </c>
      <c r="D916" s="3">
        <v>44771</v>
      </c>
      <c r="E916" s="21">
        <v>2775.29</v>
      </c>
      <c r="F916" s="21">
        <v>2678.14</v>
      </c>
      <c r="G916" s="21">
        <v>2688.98</v>
      </c>
      <c r="H916" s="21">
        <v>2838.52</v>
      </c>
      <c r="I916" s="21">
        <v>2612.98</v>
      </c>
      <c r="J916" s="21">
        <v>2753.75</v>
      </c>
      <c r="K916" s="21">
        <v>2643.16</v>
      </c>
      <c r="L916" s="21">
        <v>2783.18</v>
      </c>
      <c r="M916" s="21">
        <v>2546.42</v>
      </c>
      <c r="N916" s="21">
        <v>2480.15</v>
      </c>
      <c r="O916" s="21">
        <v>2767.42</v>
      </c>
      <c r="P916" s="21">
        <v>2670.02</v>
      </c>
      <c r="Q916" s="21">
        <v>7869.96</v>
      </c>
      <c r="R916" s="20">
        <v>169.45</v>
      </c>
      <c r="S916" s="20">
        <v>157.80000000000001</v>
      </c>
      <c r="T916" s="21">
        <v>174.01</v>
      </c>
      <c r="V916" s="1">
        <v>163.16999999999999</v>
      </c>
      <c r="W916" s="1">
        <v>179.59</v>
      </c>
      <c r="X916" s="1">
        <v>179.21</v>
      </c>
      <c r="Y916" s="1">
        <v>170.66</v>
      </c>
      <c r="Z916" s="1">
        <v>172.19</v>
      </c>
      <c r="AA916" s="1">
        <v>171.76</v>
      </c>
      <c r="AB916" s="1">
        <v>179.46</v>
      </c>
      <c r="AE916" s="1">
        <v>188.06</v>
      </c>
      <c r="AF916" s="1">
        <v>180.04</v>
      </c>
      <c r="AG916" s="1">
        <v>161.79</v>
      </c>
      <c r="AN916" s="1">
        <v>3819.12</v>
      </c>
      <c r="AW916" s="1">
        <v>3777.39</v>
      </c>
      <c r="AX916" s="1">
        <v>169.01</v>
      </c>
      <c r="BA916" s="1">
        <v>171.3</v>
      </c>
      <c r="BB916" s="1">
        <v>188.54</v>
      </c>
      <c r="BC916" s="1">
        <v>187.83</v>
      </c>
      <c r="BD916" s="1">
        <v>184.54</v>
      </c>
      <c r="BE916" s="1">
        <v>175.72</v>
      </c>
      <c r="BF916" s="1">
        <v>175.21</v>
      </c>
      <c r="BG916" s="1">
        <v>188.78</v>
      </c>
      <c r="BH916" s="1">
        <v>175.05</v>
      </c>
      <c r="BI916" s="1">
        <v>182.05</v>
      </c>
      <c r="BJ916" s="1">
        <v>189.54</v>
      </c>
      <c r="BK916" s="1">
        <v>160.82</v>
      </c>
      <c r="BL916" s="1">
        <v>166.14</v>
      </c>
      <c r="BN916" s="1">
        <v>165.67</v>
      </c>
    </row>
    <row r="917" spans="1:66" x14ac:dyDescent="0.3">
      <c r="A917" s="2"/>
      <c r="C917" s="14" t="str">
        <f t="shared" si="15"/>
        <v>20227</v>
      </c>
      <c r="D917" s="3">
        <v>44770</v>
      </c>
      <c r="E917" s="21">
        <v>2709.57</v>
      </c>
      <c r="F917" s="21">
        <v>2608.0300000000002</v>
      </c>
      <c r="G917" s="21">
        <v>2649.39</v>
      </c>
      <c r="H917" s="21">
        <v>2784.83</v>
      </c>
      <c r="I917" s="21">
        <v>2515.98</v>
      </c>
      <c r="J917" s="21">
        <v>2712.19</v>
      </c>
      <c r="K917" s="21">
        <v>2610</v>
      </c>
      <c r="L917" s="21">
        <v>2727.19</v>
      </c>
      <c r="M917" s="21">
        <v>2548.98</v>
      </c>
      <c r="N917" s="21">
        <v>2432.37</v>
      </c>
      <c r="O917" s="21">
        <v>2739.42</v>
      </c>
      <c r="P917" s="21">
        <v>2630.22</v>
      </c>
      <c r="Q917" s="21">
        <v>8119.74</v>
      </c>
      <c r="R917" s="20">
        <v>167.62</v>
      </c>
      <c r="S917" s="20">
        <v>157.37</v>
      </c>
      <c r="T917" s="21">
        <v>173.35</v>
      </c>
      <c r="V917" s="1">
        <v>161.32</v>
      </c>
      <c r="W917" s="1">
        <v>178.93</v>
      </c>
      <c r="X917" s="1">
        <v>178.78</v>
      </c>
      <c r="Y917" s="1">
        <v>169.66</v>
      </c>
      <c r="Z917" s="1">
        <v>171.44</v>
      </c>
      <c r="AA917" s="1">
        <v>168.9</v>
      </c>
      <c r="AB917" s="1">
        <v>179.38</v>
      </c>
      <c r="AC917" s="1">
        <v>165.06</v>
      </c>
      <c r="AE917" s="1">
        <v>186.95</v>
      </c>
      <c r="AF917" s="1">
        <v>178.91</v>
      </c>
      <c r="AG917" s="1">
        <v>162.21</v>
      </c>
      <c r="AN917" s="1">
        <v>3819.12</v>
      </c>
      <c r="AW917" s="1">
        <v>3777.39</v>
      </c>
      <c r="AX917" s="1">
        <v>168.95</v>
      </c>
      <c r="BA917" s="1">
        <v>171.23</v>
      </c>
      <c r="BB917" s="1">
        <v>186.86</v>
      </c>
      <c r="BC917" s="1">
        <v>183.58</v>
      </c>
      <c r="BD917" s="1">
        <v>183.62</v>
      </c>
      <c r="BE917" s="1">
        <v>172.92</v>
      </c>
      <c r="BF917" s="1">
        <v>173.88</v>
      </c>
      <c r="BG917" s="1">
        <v>187.25</v>
      </c>
      <c r="BH917" s="1">
        <v>171.04</v>
      </c>
      <c r="BI917" s="1">
        <v>179.52</v>
      </c>
      <c r="BJ917" s="1">
        <v>189.54</v>
      </c>
      <c r="BK917" s="1">
        <v>159.82</v>
      </c>
      <c r="BL917" s="1">
        <v>165.08</v>
      </c>
      <c r="BN917" s="1">
        <v>165.14</v>
      </c>
    </row>
    <row r="918" spans="1:66" x14ac:dyDescent="0.3">
      <c r="A918" s="2"/>
      <c r="C918" s="14" t="str">
        <f t="shared" si="15"/>
        <v>20227</v>
      </c>
      <c r="D918" s="3">
        <v>44769</v>
      </c>
      <c r="E918" s="21">
        <v>2714.63</v>
      </c>
      <c r="F918" s="21">
        <v>2570.91</v>
      </c>
      <c r="G918" s="21">
        <v>2635.53</v>
      </c>
      <c r="H918" s="21">
        <v>2768.38</v>
      </c>
      <c r="I918" s="21">
        <v>2515.98</v>
      </c>
      <c r="J918" s="21">
        <v>2765.47</v>
      </c>
      <c r="K918" s="21">
        <v>2552.4299999999998</v>
      </c>
      <c r="L918" s="21">
        <v>2752.04</v>
      </c>
      <c r="M918" s="21">
        <v>2562.25</v>
      </c>
      <c r="N918" s="21">
        <v>2415.75</v>
      </c>
      <c r="O918" s="21">
        <v>2701.45</v>
      </c>
      <c r="P918" s="21">
        <v>2610.3200000000002</v>
      </c>
      <c r="Q918" s="21">
        <v>7915.17</v>
      </c>
      <c r="R918" s="20">
        <v>167.12</v>
      </c>
      <c r="S918" s="20">
        <v>156.87</v>
      </c>
      <c r="T918" s="21">
        <v>172.67</v>
      </c>
      <c r="V918" s="1">
        <v>160.22999999999999</v>
      </c>
      <c r="W918" s="1">
        <v>178.68</v>
      </c>
      <c r="X918" s="1">
        <v>178.62</v>
      </c>
      <c r="Y918" s="1">
        <v>169.76</v>
      </c>
      <c r="Z918" s="1">
        <v>171.33</v>
      </c>
      <c r="AA918" s="1">
        <v>168.96</v>
      </c>
      <c r="AB918" s="1">
        <v>178.65</v>
      </c>
      <c r="AE918" s="1">
        <v>186.39</v>
      </c>
      <c r="AF918" s="1">
        <v>177.67</v>
      </c>
      <c r="AG918" s="1">
        <v>161.85</v>
      </c>
      <c r="AN918" s="1">
        <v>3819.12</v>
      </c>
      <c r="AO918" s="1">
        <v>0</v>
      </c>
      <c r="AS918" s="1">
        <v>3940.36</v>
      </c>
      <c r="AT918" s="1">
        <v>3839.32</v>
      </c>
      <c r="AW918" s="1">
        <v>3777.39</v>
      </c>
      <c r="AX918" s="1">
        <v>168.68</v>
      </c>
      <c r="BA918" s="1">
        <v>170.99</v>
      </c>
      <c r="BB918" s="1">
        <v>186.73</v>
      </c>
      <c r="BC918" s="1">
        <v>184.35</v>
      </c>
      <c r="BD918" s="1">
        <v>183.67</v>
      </c>
      <c r="BE918" s="1">
        <v>172.43</v>
      </c>
      <c r="BF918" s="1">
        <v>172.55</v>
      </c>
      <c r="BG918" s="1">
        <v>186.8</v>
      </c>
      <c r="BH918" s="1">
        <v>171.78</v>
      </c>
      <c r="BI918" s="1">
        <v>179.52</v>
      </c>
      <c r="BJ918" s="1">
        <v>189.54</v>
      </c>
      <c r="BL918" s="1">
        <v>164.68</v>
      </c>
      <c r="BN918" s="1">
        <v>164.74</v>
      </c>
    </row>
    <row r="919" spans="1:66" x14ac:dyDescent="0.3">
      <c r="A919" s="2"/>
      <c r="C919" s="14" t="str">
        <f t="shared" si="15"/>
        <v>20227</v>
      </c>
      <c r="D919" s="3">
        <v>44768</v>
      </c>
      <c r="E919" s="21">
        <v>2593.6</v>
      </c>
      <c r="F919" s="21">
        <v>2537.92</v>
      </c>
      <c r="G919" s="21">
        <v>2580.1</v>
      </c>
      <c r="H919" s="21">
        <v>2654.18</v>
      </c>
      <c r="I919" s="21">
        <v>2515.98</v>
      </c>
      <c r="J919" s="21">
        <v>2674.6</v>
      </c>
      <c r="K919" s="21">
        <v>2549.58</v>
      </c>
      <c r="L919" s="21">
        <v>2625.76</v>
      </c>
      <c r="M919" s="21">
        <v>2469.37</v>
      </c>
      <c r="N919" s="21">
        <v>2302.39</v>
      </c>
      <c r="O919" s="21">
        <v>2703.44</v>
      </c>
      <c r="P919" s="21">
        <v>2610.3200000000002</v>
      </c>
      <c r="Q919" s="21">
        <v>7697.59</v>
      </c>
      <c r="R919" s="20">
        <v>164.96</v>
      </c>
      <c r="S919" s="20">
        <v>155.27000000000001</v>
      </c>
      <c r="T919" s="21">
        <v>171.28</v>
      </c>
      <c r="V919" s="1">
        <v>158.75</v>
      </c>
      <c r="W919" s="1">
        <v>174.59</v>
      </c>
      <c r="X919" s="1">
        <v>172.88</v>
      </c>
      <c r="Y919" s="1">
        <v>168.04</v>
      </c>
      <c r="Z919" s="1">
        <v>169.49</v>
      </c>
      <c r="AA919" s="1">
        <v>167</v>
      </c>
      <c r="AB919" s="1">
        <v>172.81</v>
      </c>
      <c r="AE919" s="1">
        <v>184.09</v>
      </c>
      <c r="AF919" s="1">
        <v>178.39</v>
      </c>
      <c r="AG919" s="1">
        <v>160.52000000000001</v>
      </c>
      <c r="AO919" s="1">
        <v>0</v>
      </c>
      <c r="AP919" s="1">
        <v>4066.47</v>
      </c>
      <c r="AS919" s="1">
        <v>3940.36</v>
      </c>
      <c r="AT919" s="1">
        <v>3839.32</v>
      </c>
      <c r="AW919" s="1">
        <v>3777.39</v>
      </c>
      <c r="AX919" s="1">
        <v>166</v>
      </c>
      <c r="BA919" s="1">
        <v>168.64</v>
      </c>
      <c r="BB919" s="1">
        <v>183.76</v>
      </c>
      <c r="BC919" s="1">
        <v>179.98</v>
      </c>
      <c r="BD919" s="1">
        <v>181.32</v>
      </c>
      <c r="BE919" s="1">
        <v>169.67</v>
      </c>
      <c r="BF919" s="1">
        <v>170.22</v>
      </c>
      <c r="BG919" s="1">
        <v>186.05</v>
      </c>
      <c r="BH919" s="1">
        <v>169.29</v>
      </c>
      <c r="BI919" s="1">
        <v>175.33</v>
      </c>
      <c r="BJ919" s="1">
        <v>186.57</v>
      </c>
      <c r="BK919" s="1">
        <v>161.59</v>
      </c>
      <c r="BL919" s="1">
        <v>163.69</v>
      </c>
      <c r="BN919" s="1">
        <v>162.31</v>
      </c>
    </row>
    <row r="920" spans="1:66" x14ac:dyDescent="0.3">
      <c r="A920" s="2"/>
      <c r="C920" s="14" t="str">
        <f t="shared" si="15"/>
        <v>20227</v>
      </c>
      <c r="D920" s="3">
        <v>44767</v>
      </c>
      <c r="E920" s="21">
        <v>2567.9299999999998</v>
      </c>
      <c r="F920" s="21">
        <v>2513.1799999999998</v>
      </c>
      <c r="G920" s="21">
        <v>2580.1</v>
      </c>
      <c r="H920" s="21">
        <v>2560.4699999999998</v>
      </c>
      <c r="I920" s="21">
        <v>2512.02</v>
      </c>
      <c r="J920" s="21">
        <v>2622.98</v>
      </c>
      <c r="K920" s="21">
        <v>2573.5100000000002</v>
      </c>
      <c r="L920" s="21">
        <v>2610.84</v>
      </c>
      <c r="M920" s="21">
        <v>2397.44</v>
      </c>
      <c r="N920" s="21">
        <v>2306.63</v>
      </c>
      <c r="O920" s="21">
        <v>2687.45</v>
      </c>
      <c r="P920" s="21">
        <v>2590.4299999999998</v>
      </c>
      <c r="Q920" s="21">
        <v>7872.05</v>
      </c>
      <c r="R920" s="20">
        <v>164.62</v>
      </c>
      <c r="S920" s="20">
        <v>152.6</v>
      </c>
      <c r="T920" s="21">
        <v>170.07</v>
      </c>
      <c r="V920" s="1">
        <v>158.61000000000001</v>
      </c>
      <c r="W920" s="1">
        <v>173.81</v>
      </c>
      <c r="X920" s="1">
        <v>171.55</v>
      </c>
      <c r="Y920" s="1">
        <v>166.76</v>
      </c>
      <c r="Z920" s="1">
        <v>169.35</v>
      </c>
      <c r="AA920" s="1">
        <v>165.75</v>
      </c>
      <c r="AB920" s="1">
        <v>170.52</v>
      </c>
      <c r="AE920" s="1">
        <v>182.23</v>
      </c>
      <c r="AF920" s="1">
        <v>176.34</v>
      </c>
      <c r="AG920" s="1">
        <v>157.24</v>
      </c>
      <c r="AO920" s="1">
        <v>0</v>
      </c>
      <c r="AP920" s="1">
        <v>4066.47</v>
      </c>
      <c r="AS920" s="1">
        <v>3940.36</v>
      </c>
      <c r="AT920" s="1">
        <v>3839.32</v>
      </c>
      <c r="AW920" s="1">
        <v>3777.39</v>
      </c>
      <c r="AX920" s="1">
        <v>166.78</v>
      </c>
      <c r="BA920" s="1">
        <v>162.9</v>
      </c>
      <c r="BB920" s="1">
        <v>181.55</v>
      </c>
      <c r="BC920" s="1">
        <v>178.44</v>
      </c>
      <c r="BD920" s="1">
        <v>178.35</v>
      </c>
      <c r="BE920" s="1">
        <v>170.44</v>
      </c>
      <c r="BF920" s="1">
        <v>168.56</v>
      </c>
      <c r="BG920" s="1">
        <v>181.3</v>
      </c>
      <c r="BH920" s="1">
        <v>168.43</v>
      </c>
      <c r="BI920" s="1">
        <v>175.33</v>
      </c>
      <c r="BJ920" s="1">
        <v>186.57</v>
      </c>
      <c r="BK920" s="1">
        <v>160.15</v>
      </c>
      <c r="BL920" s="1">
        <v>161.5</v>
      </c>
      <c r="BN920" s="1">
        <v>160.13</v>
      </c>
    </row>
    <row r="921" spans="1:66" x14ac:dyDescent="0.3">
      <c r="A921" s="2"/>
      <c r="C921" s="14" t="str">
        <f t="shared" si="15"/>
        <v>20227</v>
      </c>
      <c r="D921" s="3">
        <v>44764</v>
      </c>
      <c r="E921" s="21">
        <v>2566.6799999999998</v>
      </c>
      <c r="F921" s="21">
        <v>2513.1799999999998</v>
      </c>
      <c r="G921" s="21">
        <v>2580.1</v>
      </c>
      <c r="H921" s="21">
        <v>2545.16</v>
      </c>
      <c r="I921" s="21">
        <v>2558.54</v>
      </c>
      <c r="J921" s="21">
        <v>2650.96</v>
      </c>
      <c r="K921" s="21">
        <v>2575.17</v>
      </c>
      <c r="L921" s="21">
        <v>2640.99</v>
      </c>
      <c r="M921" s="21">
        <v>2390.81</v>
      </c>
      <c r="N921" s="21">
        <v>2311.73</v>
      </c>
      <c r="O921" s="21">
        <v>2624.81</v>
      </c>
      <c r="P921" s="21">
        <v>2590.4299999999998</v>
      </c>
      <c r="Q921" s="21">
        <v>8047.93</v>
      </c>
      <c r="R921" s="20">
        <v>165.29</v>
      </c>
      <c r="S921" s="20">
        <v>151.81</v>
      </c>
      <c r="T921" s="21">
        <v>168.92</v>
      </c>
      <c r="V921" s="1">
        <v>156.63</v>
      </c>
      <c r="W921" s="1">
        <v>172.93</v>
      </c>
      <c r="X921" s="1">
        <v>173.21</v>
      </c>
      <c r="Y921" s="1">
        <v>165.76</v>
      </c>
      <c r="Z921" s="1">
        <v>169.66</v>
      </c>
      <c r="AA921" s="1">
        <v>166.91</v>
      </c>
      <c r="AB921" s="1">
        <v>172.67</v>
      </c>
      <c r="AE921" s="1">
        <v>184.02</v>
      </c>
      <c r="AF921" s="1">
        <v>174.32</v>
      </c>
      <c r="AG921" s="1">
        <v>155.25</v>
      </c>
      <c r="AO921" s="1">
        <v>0</v>
      </c>
      <c r="AP921" s="1">
        <v>4066.47</v>
      </c>
      <c r="AS921" s="1">
        <v>3940.36</v>
      </c>
      <c r="AT921" s="1">
        <v>3839.32</v>
      </c>
      <c r="AW921" s="1">
        <v>3945.41</v>
      </c>
      <c r="AX921" s="1">
        <v>165.56</v>
      </c>
      <c r="BA921" s="1">
        <v>166.23</v>
      </c>
      <c r="BB921" s="1">
        <v>181.7</v>
      </c>
      <c r="BC921" s="1">
        <v>177.19</v>
      </c>
      <c r="BD921" s="1">
        <v>176.39</v>
      </c>
      <c r="BE921" s="1">
        <v>168.97</v>
      </c>
      <c r="BF921" s="1">
        <v>169.56</v>
      </c>
      <c r="BG921" s="1">
        <v>184.32</v>
      </c>
      <c r="BH921" s="1">
        <v>168.4</v>
      </c>
      <c r="BI921" s="1">
        <v>174.53</v>
      </c>
      <c r="BJ921" s="1">
        <v>186.57</v>
      </c>
      <c r="BK921" s="1">
        <v>160.81</v>
      </c>
      <c r="BL921" s="1">
        <v>161.69999999999999</v>
      </c>
      <c r="BN921" s="1">
        <v>159.33000000000001</v>
      </c>
    </row>
    <row r="922" spans="1:66" x14ac:dyDescent="0.3">
      <c r="A922" s="2"/>
      <c r="C922" s="14" t="str">
        <f t="shared" si="15"/>
        <v>20227</v>
      </c>
      <c r="D922" s="3">
        <v>44763</v>
      </c>
      <c r="E922" s="21">
        <v>2551.84</v>
      </c>
      <c r="F922" s="21">
        <v>2471.94</v>
      </c>
      <c r="G922" s="21">
        <v>2560.31</v>
      </c>
      <c r="H922" s="21">
        <v>2550.5700000000002</v>
      </c>
      <c r="I922" s="21">
        <v>2512.02</v>
      </c>
      <c r="J922" s="21">
        <v>2655.01</v>
      </c>
      <c r="K922" s="21">
        <v>2575.17</v>
      </c>
      <c r="L922" s="21">
        <v>2655.47</v>
      </c>
      <c r="M922" s="21">
        <v>2410.71</v>
      </c>
      <c r="N922" s="21">
        <v>2322.9899999999998</v>
      </c>
      <c r="O922" s="21">
        <v>2626.48</v>
      </c>
      <c r="P922" s="21">
        <v>2592.42</v>
      </c>
      <c r="Q922" s="21">
        <v>8080.03</v>
      </c>
      <c r="R922" s="20">
        <v>164.96</v>
      </c>
      <c r="S922" s="20">
        <v>150.56</v>
      </c>
      <c r="T922" s="21">
        <v>169.54</v>
      </c>
      <c r="V922" s="1">
        <v>156.91999999999999</v>
      </c>
      <c r="W922" s="1">
        <v>173.69</v>
      </c>
      <c r="X922" s="1">
        <v>174.86</v>
      </c>
      <c r="Y922" s="1">
        <v>166.67</v>
      </c>
      <c r="Z922" s="1">
        <v>168.44</v>
      </c>
      <c r="AA922" s="1">
        <v>166.17</v>
      </c>
      <c r="AB922" s="1">
        <v>174.56</v>
      </c>
      <c r="AE922" s="1">
        <v>184.94</v>
      </c>
      <c r="AF922" s="1">
        <v>175.88</v>
      </c>
      <c r="AG922" s="1">
        <v>156.1</v>
      </c>
      <c r="AO922" s="1">
        <v>0</v>
      </c>
      <c r="AP922" s="1">
        <v>4066.47</v>
      </c>
      <c r="AS922" s="1">
        <v>3940.36</v>
      </c>
      <c r="AT922" s="1">
        <v>3839.32</v>
      </c>
      <c r="AW922" s="1">
        <v>3945.41</v>
      </c>
      <c r="AX922" s="1">
        <v>168.06</v>
      </c>
      <c r="BA922" s="1">
        <v>166.23</v>
      </c>
      <c r="BB922" s="1">
        <v>182.65</v>
      </c>
      <c r="BC922" s="1">
        <v>178.08</v>
      </c>
      <c r="BD922" s="1">
        <v>180.67</v>
      </c>
      <c r="BE922" s="1">
        <v>170.81</v>
      </c>
      <c r="BF922" s="1">
        <v>169.78</v>
      </c>
      <c r="BG922" s="1">
        <v>185.22</v>
      </c>
      <c r="BH922" s="1">
        <v>168.8</v>
      </c>
      <c r="BI922" s="1">
        <v>177.52</v>
      </c>
      <c r="BJ922" s="1">
        <v>188.8</v>
      </c>
      <c r="BK922" s="1">
        <v>163.76</v>
      </c>
      <c r="BL922" s="1">
        <v>162.11000000000001</v>
      </c>
      <c r="BN922" s="1">
        <v>161.04</v>
      </c>
    </row>
    <row r="923" spans="1:66" x14ac:dyDescent="0.3">
      <c r="A923" s="2"/>
      <c r="C923" s="14" t="str">
        <f t="shared" si="15"/>
        <v>20227</v>
      </c>
      <c r="D923" s="3">
        <v>44762</v>
      </c>
      <c r="E923" s="21">
        <v>2551.84</v>
      </c>
      <c r="F923" s="21">
        <v>2496.6799999999998</v>
      </c>
      <c r="G923" s="21">
        <v>2528.85</v>
      </c>
      <c r="H923" s="21">
        <v>2536.1799999999998</v>
      </c>
      <c r="I923" s="21">
        <v>2523.9</v>
      </c>
      <c r="J923" s="21">
        <v>2623.6</v>
      </c>
      <c r="K923" s="21">
        <v>2573.5100000000002</v>
      </c>
      <c r="L923" s="21">
        <v>2588.41</v>
      </c>
      <c r="M923" s="21">
        <v>2410.71</v>
      </c>
      <c r="N923" s="21">
        <v>2285.27</v>
      </c>
      <c r="O923" s="21">
        <v>2634.8</v>
      </c>
      <c r="P923" s="21">
        <v>2592.42</v>
      </c>
      <c r="Q923" s="21">
        <v>8119.62</v>
      </c>
      <c r="R923" s="20">
        <v>165.29</v>
      </c>
      <c r="S923" s="20">
        <v>151.84</v>
      </c>
      <c r="T923" s="21">
        <v>169.99</v>
      </c>
      <c r="V923" s="1">
        <v>158.07</v>
      </c>
      <c r="W923" s="1">
        <v>176.67</v>
      </c>
      <c r="X923" s="1">
        <v>175.82</v>
      </c>
      <c r="Y923" s="1">
        <v>169.43</v>
      </c>
      <c r="Z923" s="1">
        <v>170.25</v>
      </c>
      <c r="AA923" s="1">
        <v>166.67</v>
      </c>
      <c r="AB923" s="1">
        <v>175.46</v>
      </c>
      <c r="AE923" s="1">
        <v>185.38</v>
      </c>
      <c r="AF923" s="1">
        <v>175.76</v>
      </c>
      <c r="AG923" s="1">
        <v>157.63999999999999</v>
      </c>
      <c r="AP923" s="1">
        <v>4066.47</v>
      </c>
      <c r="AW923" s="1">
        <v>3945.41</v>
      </c>
      <c r="AX923" s="1">
        <v>168.46</v>
      </c>
      <c r="BA923" s="1">
        <v>170.94</v>
      </c>
      <c r="BB923" s="1">
        <v>184.67</v>
      </c>
      <c r="BC923" s="1">
        <v>178.82</v>
      </c>
      <c r="BD923" s="1">
        <v>182.33</v>
      </c>
      <c r="BE923" s="1">
        <v>175.04</v>
      </c>
      <c r="BF923" s="1">
        <v>169.77</v>
      </c>
      <c r="BG923" s="1">
        <v>186.03</v>
      </c>
      <c r="BH923" s="1">
        <v>168.8</v>
      </c>
      <c r="BI923" s="1">
        <v>177.52</v>
      </c>
      <c r="BJ923" s="1">
        <v>187.77</v>
      </c>
      <c r="BK923" s="1">
        <v>168.15</v>
      </c>
      <c r="BL923" s="1">
        <v>165.91</v>
      </c>
      <c r="BN923" s="1">
        <v>163.92</v>
      </c>
    </row>
    <row r="924" spans="1:66" x14ac:dyDescent="0.3">
      <c r="A924" s="2"/>
      <c r="C924" s="14" t="str">
        <f t="shared" si="15"/>
        <v>20227</v>
      </c>
      <c r="D924" s="3">
        <v>44761</v>
      </c>
      <c r="E924" s="21">
        <v>2580.4299999999998</v>
      </c>
      <c r="F924" s="21">
        <v>2517.3000000000002</v>
      </c>
      <c r="G924" s="21">
        <v>2570.21</v>
      </c>
      <c r="H924" s="21">
        <v>2536.23</v>
      </c>
      <c r="I924" s="21">
        <v>2525.88</v>
      </c>
      <c r="J924" s="21">
        <v>2617.7800000000002</v>
      </c>
      <c r="K924" s="21">
        <v>2565.63</v>
      </c>
      <c r="L924" s="21">
        <v>2547.16</v>
      </c>
      <c r="M924" s="21">
        <v>2410.71</v>
      </c>
      <c r="N924" s="21">
        <v>2289.42</v>
      </c>
      <c r="O924" s="21">
        <v>2683.77</v>
      </c>
      <c r="P924" s="21">
        <v>2600.38</v>
      </c>
      <c r="Q924" s="21">
        <v>8192.0300000000007</v>
      </c>
      <c r="R924" s="20">
        <v>166.02</v>
      </c>
      <c r="S924" s="20">
        <v>156.72</v>
      </c>
      <c r="T924" s="21">
        <v>171.59</v>
      </c>
      <c r="V924" s="1">
        <v>159.18</v>
      </c>
      <c r="W924" s="1">
        <v>176.53</v>
      </c>
      <c r="X924" s="1">
        <v>176.53</v>
      </c>
      <c r="Y924" s="1">
        <v>172.16</v>
      </c>
      <c r="Z924" s="1">
        <v>171.74</v>
      </c>
      <c r="AA924" s="1">
        <v>168.1</v>
      </c>
      <c r="AB924" s="1">
        <v>176.56</v>
      </c>
      <c r="AE924" s="1">
        <v>185.61</v>
      </c>
      <c r="AF924" s="1">
        <v>177.49</v>
      </c>
      <c r="AG924" s="1">
        <v>161.43</v>
      </c>
      <c r="AP924" s="1">
        <v>4029.33</v>
      </c>
      <c r="AW924" s="1">
        <v>3950.26</v>
      </c>
      <c r="AX924" s="1">
        <v>170.3</v>
      </c>
      <c r="AZ924" s="1">
        <v>3788.81</v>
      </c>
      <c r="BA924" s="1">
        <v>171.74</v>
      </c>
      <c r="BB924" s="1">
        <v>184.77</v>
      </c>
      <c r="BC924" s="1">
        <v>181.15</v>
      </c>
      <c r="BD924" s="1">
        <v>181.43</v>
      </c>
      <c r="BE924" s="1">
        <v>179.48</v>
      </c>
      <c r="BF924" s="1">
        <v>174.45</v>
      </c>
      <c r="BG924" s="1">
        <v>187.92</v>
      </c>
      <c r="BH924" s="1">
        <v>169.24</v>
      </c>
      <c r="BI924" s="1">
        <v>179.52</v>
      </c>
      <c r="BJ924" s="1">
        <v>187.77</v>
      </c>
      <c r="BK924" s="1">
        <v>166.15</v>
      </c>
      <c r="BL924" s="1">
        <v>165.4</v>
      </c>
      <c r="BN924" s="1">
        <v>164.11</v>
      </c>
    </row>
    <row r="925" spans="1:66" x14ac:dyDescent="0.3">
      <c r="A925" s="2"/>
      <c r="C925" s="14" t="str">
        <f t="shared" si="15"/>
        <v>20227</v>
      </c>
      <c r="D925" s="3">
        <v>44760</v>
      </c>
      <c r="E925" s="21">
        <v>2595.94</v>
      </c>
      <c r="F925" s="21">
        <v>2496.6799999999998</v>
      </c>
      <c r="G925" s="21">
        <v>2560.31</v>
      </c>
      <c r="H925" s="21">
        <v>2592.58</v>
      </c>
      <c r="I925" s="21">
        <v>2525.88</v>
      </c>
      <c r="J925" s="21">
        <v>2633</v>
      </c>
      <c r="K925" s="21">
        <v>2582.21</v>
      </c>
      <c r="L925" s="21">
        <v>2549.63</v>
      </c>
      <c r="M925" s="21">
        <v>2441.87</v>
      </c>
      <c r="N925" s="21">
        <v>2339.2199999999998</v>
      </c>
      <c r="O925" s="21">
        <v>2609.6</v>
      </c>
      <c r="P925" s="21">
        <v>2611.4899999999998</v>
      </c>
      <c r="Q925" s="21">
        <v>8208.51</v>
      </c>
      <c r="R925" s="20">
        <v>168.01</v>
      </c>
      <c r="S925" s="20">
        <v>157.21</v>
      </c>
      <c r="T925" s="21">
        <v>174.73</v>
      </c>
      <c r="V925" s="1">
        <v>159.88999999999999</v>
      </c>
      <c r="W925" s="1">
        <v>177.51</v>
      </c>
      <c r="X925" s="1">
        <v>176.87</v>
      </c>
      <c r="Y925" s="1">
        <v>171.93</v>
      </c>
      <c r="Z925" s="1">
        <v>172.85</v>
      </c>
      <c r="AA925" s="1">
        <v>170.67</v>
      </c>
      <c r="AB925" s="1">
        <v>176.86</v>
      </c>
      <c r="AE925" s="1">
        <v>186.18</v>
      </c>
      <c r="AF925" s="1">
        <v>177.71</v>
      </c>
      <c r="AG925" s="1">
        <v>162.28</v>
      </c>
      <c r="AP925" s="1">
        <v>4029.33</v>
      </c>
      <c r="AW925" s="1">
        <v>3853.61</v>
      </c>
      <c r="AX925" s="1">
        <v>170.09</v>
      </c>
      <c r="AY925" s="1">
        <v>3940.36</v>
      </c>
      <c r="AZ925" s="1">
        <v>3788.81</v>
      </c>
      <c r="BA925" s="1">
        <v>172.1</v>
      </c>
      <c r="BB925" s="1">
        <v>185.77</v>
      </c>
      <c r="BC925" s="1">
        <v>183.01</v>
      </c>
      <c r="BD925" s="1">
        <v>182.51</v>
      </c>
      <c r="BE925" s="1">
        <v>179.62</v>
      </c>
      <c r="BF925" s="1">
        <v>174.05</v>
      </c>
      <c r="BG925" s="1">
        <v>187.74</v>
      </c>
      <c r="BH925" s="1">
        <v>169.24</v>
      </c>
      <c r="BI925" s="1">
        <v>179.52</v>
      </c>
      <c r="BJ925" s="1">
        <v>189.54</v>
      </c>
      <c r="BK925" s="1">
        <v>168.93</v>
      </c>
      <c r="BL925" s="1">
        <v>167.39</v>
      </c>
      <c r="BN925" s="1">
        <v>165.69</v>
      </c>
    </row>
    <row r="926" spans="1:66" x14ac:dyDescent="0.3">
      <c r="A926" s="2"/>
      <c r="C926" s="14" t="str">
        <f t="shared" si="15"/>
        <v>20227</v>
      </c>
      <c r="D926" s="3">
        <v>44757</v>
      </c>
      <c r="E926" s="21">
        <v>2610.27</v>
      </c>
      <c r="F926" s="21">
        <v>2480.71</v>
      </c>
      <c r="G926" s="21">
        <v>2590</v>
      </c>
      <c r="H926" s="21">
        <v>2634.22</v>
      </c>
      <c r="I926" s="21">
        <v>2533.8000000000002</v>
      </c>
      <c r="J926" s="21">
        <v>2619.4699999999998</v>
      </c>
      <c r="K926" s="21">
        <v>2592.16</v>
      </c>
      <c r="L926" s="21">
        <v>2586.59</v>
      </c>
      <c r="M926" s="21">
        <v>2441.87</v>
      </c>
      <c r="N926" s="21">
        <v>2332.6</v>
      </c>
      <c r="O926" s="21">
        <v>2643.77</v>
      </c>
      <c r="P926" s="21">
        <v>2616.25</v>
      </c>
      <c r="Q926" s="21">
        <v>8109.53</v>
      </c>
      <c r="R926" s="20">
        <v>166.51</v>
      </c>
      <c r="S926" s="20">
        <v>155.72999999999999</v>
      </c>
      <c r="T926" s="21">
        <v>174.01</v>
      </c>
      <c r="V926" s="1">
        <v>157.88999999999999</v>
      </c>
      <c r="W926" s="1">
        <v>177.84</v>
      </c>
      <c r="X926" s="1">
        <v>176.45</v>
      </c>
      <c r="Y926" s="1">
        <v>172.34</v>
      </c>
      <c r="Z926" s="1">
        <v>172.69</v>
      </c>
      <c r="AA926" s="1">
        <v>169.39</v>
      </c>
      <c r="AB926" s="1">
        <v>177.06</v>
      </c>
      <c r="AE926" s="1">
        <v>185.66</v>
      </c>
      <c r="AF926" s="1">
        <v>176.97</v>
      </c>
      <c r="AG926" s="1">
        <v>161.13999999999999</v>
      </c>
      <c r="AP926" s="1">
        <v>4029.33</v>
      </c>
      <c r="AW926" s="1">
        <v>3816.89</v>
      </c>
      <c r="AX926" s="1">
        <v>165.15</v>
      </c>
      <c r="AY926" s="1">
        <v>3940.36</v>
      </c>
      <c r="AZ926" s="1">
        <v>3788.81</v>
      </c>
      <c r="BA926" s="1">
        <v>169.98</v>
      </c>
      <c r="BB926" s="1">
        <v>184.23</v>
      </c>
      <c r="BC926" s="1">
        <v>182.06</v>
      </c>
      <c r="BD926" s="1">
        <v>180.92</v>
      </c>
      <c r="BE926" s="1">
        <v>176.95</v>
      </c>
      <c r="BF926" s="1">
        <v>172.1</v>
      </c>
      <c r="BG926" s="1">
        <v>187.39</v>
      </c>
      <c r="BH926" s="1">
        <v>169.12</v>
      </c>
      <c r="BI926" s="1">
        <v>179.02</v>
      </c>
      <c r="BJ926" s="1">
        <v>189.54</v>
      </c>
      <c r="BK926" s="1">
        <v>165.69</v>
      </c>
      <c r="BL926" s="1">
        <v>166.89</v>
      </c>
      <c r="BN926" s="1">
        <v>163.9</v>
      </c>
    </row>
    <row r="927" spans="1:66" x14ac:dyDescent="0.3">
      <c r="A927" s="2"/>
      <c r="C927" s="14" t="str">
        <f t="shared" si="15"/>
        <v>20227</v>
      </c>
      <c r="D927" s="3">
        <v>44756</v>
      </c>
      <c r="E927" s="21">
        <v>2622.7</v>
      </c>
      <c r="F927" s="21">
        <v>2476.21</v>
      </c>
      <c r="G927" s="21">
        <v>2570.21</v>
      </c>
      <c r="H927" s="21">
        <v>2624.33</v>
      </c>
      <c r="I927" s="21">
        <v>2472.4299999999998</v>
      </c>
      <c r="J927" s="21">
        <v>2635.06</v>
      </c>
      <c r="K927" s="21">
        <v>2602.11</v>
      </c>
      <c r="L927" s="21">
        <v>2600.84</v>
      </c>
      <c r="M927" s="21">
        <v>2514.86</v>
      </c>
      <c r="N927" s="21">
        <v>2310.58</v>
      </c>
      <c r="O927" s="21">
        <v>2598.14</v>
      </c>
      <c r="P927" s="21">
        <v>2628.18</v>
      </c>
      <c r="Q927" s="21">
        <v>8039.62</v>
      </c>
      <c r="R927" s="20">
        <v>165.95</v>
      </c>
      <c r="S927" s="20">
        <v>154.84</v>
      </c>
      <c r="T927" s="21">
        <v>174.3</v>
      </c>
      <c r="V927" s="1">
        <v>158.18</v>
      </c>
      <c r="W927" s="1">
        <v>175.91</v>
      </c>
      <c r="X927" s="1">
        <v>175.27</v>
      </c>
      <c r="Y927" s="1">
        <v>172.32</v>
      </c>
      <c r="Z927" s="1">
        <v>172.99</v>
      </c>
      <c r="AA927" s="1">
        <v>168.75</v>
      </c>
      <c r="AB927" s="1">
        <v>175.23</v>
      </c>
      <c r="AE927" s="1">
        <v>184.98</v>
      </c>
      <c r="AF927" s="1">
        <v>178.06</v>
      </c>
      <c r="AG927" s="1">
        <v>161.02000000000001</v>
      </c>
      <c r="AP927" s="1">
        <v>4029.33</v>
      </c>
      <c r="AW927" s="1">
        <v>3816.89</v>
      </c>
      <c r="AX927" s="1">
        <v>168.53</v>
      </c>
      <c r="AY927" s="1">
        <v>3940.36</v>
      </c>
      <c r="AZ927" s="1">
        <v>3788.81</v>
      </c>
      <c r="BA927" s="1">
        <v>169.98</v>
      </c>
      <c r="BB927" s="1">
        <v>185.76</v>
      </c>
      <c r="BC927" s="1">
        <v>183.82</v>
      </c>
      <c r="BD927" s="1">
        <v>184.01</v>
      </c>
      <c r="BE927" s="1">
        <v>173.75</v>
      </c>
      <c r="BF927" s="1">
        <v>171.32</v>
      </c>
      <c r="BG927" s="1">
        <v>188.7</v>
      </c>
      <c r="BH927" s="1">
        <v>169.48</v>
      </c>
      <c r="BI927" s="1">
        <v>177.82</v>
      </c>
      <c r="BJ927" s="1">
        <v>189.54</v>
      </c>
      <c r="BK927" s="1">
        <v>168.47</v>
      </c>
      <c r="BL927" s="1">
        <v>168.38</v>
      </c>
      <c r="BN927" s="1">
        <v>166.29</v>
      </c>
    </row>
    <row r="928" spans="1:66" x14ac:dyDescent="0.3">
      <c r="A928" s="2"/>
      <c r="C928" s="14" t="str">
        <f t="shared" si="15"/>
        <v>20227</v>
      </c>
      <c r="D928" s="3">
        <v>44755</v>
      </c>
      <c r="E928" s="21">
        <v>2609</v>
      </c>
      <c r="F928" s="21">
        <v>2500.81</v>
      </c>
      <c r="G928" s="21">
        <v>2580.1</v>
      </c>
      <c r="H928" s="21">
        <v>2608.4</v>
      </c>
      <c r="I928" s="21">
        <v>2486.29</v>
      </c>
      <c r="J928" s="21">
        <v>2625.99</v>
      </c>
      <c r="K928" s="21">
        <v>2618.7199999999998</v>
      </c>
      <c r="L928" s="21">
        <v>2578.4699999999998</v>
      </c>
      <c r="M928" s="21">
        <v>2513.3200000000002</v>
      </c>
      <c r="N928" s="21">
        <v>2325.5300000000002</v>
      </c>
      <c r="O928" s="21">
        <v>2639.44</v>
      </c>
      <c r="P928" s="21">
        <v>2628.18</v>
      </c>
      <c r="Q928" s="21">
        <v>8039.62</v>
      </c>
      <c r="R928" s="20">
        <v>166.28</v>
      </c>
      <c r="S928" s="20">
        <v>156</v>
      </c>
      <c r="T928" s="21">
        <v>173.64</v>
      </c>
      <c r="V928" s="1">
        <v>158.61000000000001</v>
      </c>
      <c r="W928" s="1">
        <v>175.92</v>
      </c>
      <c r="X928" s="1">
        <v>176.02</v>
      </c>
      <c r="Y928" s="1">
        <v>172.69</v>
      </c>
      <c r="Z928" s="1">
        <v>172.48</v>
      </c>
      <c r="AA928" s="1">
        <v>168.68</v>
      </c>
      <c r="AB928" s="1">
        <v>176.06</v>
      </c>
      <c r="AE928" s="1">
        <v>186.12</v>
      </c>
      <c r="AF928" s="1">
        <v>179.92</v>
      </c>
      <c r="AG928" s="1">
        <v>160.29</v>
      </c>
      <c r="AP928" s="1">
        <v>4029.33</v>
      </c>
      <c r="AW928" s="1">
        <v>3816.89</v>
      </c>
      <c r="AX928" s="1">
        <v>168.57</v>
      </c>
      <c r="AY928" s="1">
        <v>3940.36</v>
      </c>
      <c r="AZ928" s="1">
        <v>3771.97</v>
      </c>
      <c r="BA928" s="1">
        <v>169.32</v>
      </c>
      <c r="BB928" s="1">
        <v>185.63</v>
      </c>
      <c r="BC928" s="1">
        <v>182.62</v>
      </c>
      <c r="BD928" s="1">
        <v>182.67</v>
      </c>
      <c r="BE928" s="1">
        <v>176.24</v>
      </c>
      <c r="BF928" s="1">
        <v>171.74</v>
      </c>
      <c r="BG928" s="1">
        <v>189.72</v>
      </c>
      <c r="BH928" s="1">
        <v>169.91</v>
      </c>
      <c r="BI928" s="1">
        <v>177.82</v>
      </c>
      <c r="BJ928" s="1">
        <v>189.54</v>
      </c>
      <c r="BK928" s="1">
        <v>167.8</v>
      </c>
      <c r="BL928" s="1">
        <v>167.39</v>
      </c>
      <c r="BN928" s="1">
        <v>165.49</v>
      </c>
    </row>
    <row r="929" spans="1:66" x14ac:dyDescent="0.3">
      <c r="A929" s="2"/>
      <c r="C929" s="14" t="str">
        <f t="shared" si="15"/>
        <v>20227</v>
      </c>
      <c r="D929" s="3">
        <v>44754</v>
      </c>
      <c r="E929" s="21">
        <v>2602.8000000000002</v>
      </c>
      <c r="F929" s="21">
        <v>2476.39</v>
      </c>
      <c r="G929" s="21">
        <v>2560.2600000000002</v>
      </c>
      <c r="H929" s="21">
        <v>2561.52</v>
      </c>
      <c r="I929" s="21">
        <v>2460.56</v>
      </c>
      <c r="J929" s="21">
        <v>2605.79</v>
      </c>
      <c r="K929" s="21">
        <v>2532.44</v>
      </c>
      <c r="L929" s="21">
        <v>2535.1799999999998</v>
      </c>
      <c r="M929" s="21">
        <v>2466.87</v>
      </c>
      <c r="N929" s="21">
        <v>2329.73</v>
      </c>
      <c r="O929" s="21">
        <v>2639.44</v>
      </c>
      <c r="P929" s="21">
        <v>2560.5300000000002</v>
      </c>
      <c r="Q929" s="21">
        <v>8250.52</v>
      </c>
      <c r="R929" s="20">
        <v>170.94</v>
      </c>
      <c r="S929" s="20">
        <v>155.38999999999999</v>
      </c>
      <c r="T929" s="21">
        <v>177.27</v>
      </c>
      <c r="V929" s="1">
        <v>159.9</v>
      </c>
      <c r="W929" s="1">
        <v>178.75</v>
      </c>
      <c r="X929" s="1">
        <v>176.78</v>
      </c>
      <c r="Y929" s="1">
        <v>174.1</v>
      </c>
      <c r="Z929" s="1">
        <v>174.59</v>
      </c>
      <c r="AA929" s="1">
        <v>172.36</v>
      </c>
      <c r="AB929" s="1">
        <v>177.16</v>
      </c>
      <c r="AE929" s="1">
        <v>187.69</v>
      </c>
      <c r="AF929" s="1">
        <v>181.54</v>
      </c>
      <c r="AG929" s="1">
        <v>159.05000000000001</v>
      </c>
      <c r="AV929" s="1">
        <v>30</v>
      </c>
      <c r="AW929" s="1">
        <v>3634.2</v>
      </c>
      <c r="AX929" s="1">
        <v>166.2</v>
      </c>
      <c r="AY929" s="1">
        <v>3940.36</v>
      </c>
      <c r="AZ929" s="1">
        <v>3738.29</v>
      </c>
      <c r="BA929" s="1">
        <v>170.83</v>
      </c>
      <c r="BB929" s="1">
        <v>187.8</v>
      </c>
      <c r="BC929" s="1">
        <v>184.87</v>
      </c>
      <c r="BD929" s="1">
        <v>185.02</v>
      </c>
      <c r="BE929" s="1">
        <v>178.48</v>
      </c>
      <c r="BF929" s="1">
        <v>174.51</v>
      </c>
      <c r="BG929" s="1">
        <v>190.61</v>
      </c>
      <c r="BH929" s="1">
        <v>171.63</v>
      </c>
      <c r="BI929" s="1">
        <v>180.22</v>
      </c>
      <c r="BJ929" s="1">
        <v>190.78</v>
      </c>
      <c r="BK929" s="1">
        <v>167.8</v>
      </c>
      <c r="BL929" s="1">
        <v>167.68</v>
      </c>
      <c r="BN929" s="1">
        <v>165.89</v>
      </c>
    </row>
    <row r="930" spans="1:66" x14ac:dyDescent="0.3">
      <c r="A930" s="2"/>
      <c r="C930" s="14" t="str">
        <f t="shared" si="15"/>
        <v>20227</v>
      </c>
      <c r="D930" s="3">
        <v>44753</v>
      </c>
      <c r="E930" s="21">
        <v>2597.86</v>
      </c>
      <c r="F930" s="21">
        <v>2474.41</v>
      </c>
      <c r="G930" s="21">
        <v>2560.31</v>
      </c>
      <c r="H930" s="21">
        <v>2572.2800000000002</v>
      </c>
      <c r="I930" s="21">
        <v>2464.5100000000002</v>
      </c>
      <c r="J930" s="21">
        <v>2644.58</v>
      </c>
      <c r="K930" s="21">
        <v>2515.86</v>
      </c>
      <c r="L930" s="21">
        <v>2556.6799999999998</v>
      </c>
      <c r="M930" s="21">
        <v>2447.04</v>
      </c>
      <c r="N930" s="21">
        <v>2337.7600000000002</v>
      </c>
      <c r="O930" s="21">
        <v>2615.4499999999998</v>
      </c>
      <c r="P930" s="21">
        <v>2540.64</v>
      </c>
      <c r="Q930" s="21">
        <v>8270.18</v>
      </c>
      <c r="R930" s="20">
        <v>170.94</v>
      </c>
      <c r="S930" s="20">
        <v>155.19999999999999</v>
      </c>
      <c r="T930" s="21">
        <v>177.23</v>
      </c>
      <c r="V930" s="1">
        <v>160.07</v>
      </c>
      <c r="W930" s="1">
        <v>179.67</v>
      </c>
      <c r="X930" s="1">
        <v>176.37</v>
      </c>
      <c r="Y930" s="1">
        <v>174.79</v>
      </c>
      <c r="Z930" s="1">
        <v>174.84</v>
      </c>
      <c r="AA930" s="1">
        <v>172.51</v>
      </c>
      <c r="AB930" s="1">
        <v>176.96</v>
      </c>
      <c r="AE930" s="1">
        <v>187.62</v>
      </c>
      <c r="AF930" s="1">
        <v>180.98</v>
      </c>
      <c r="AG930" s="1">
        <v>159.13</v>
      </c>
      <c r="AN930" s="1">
        <v>3978.25</v>
      </c>
      <c r="AP930" s="1">
        <v>4077</v>
      </c>
      <c r="AV930" s="1">
        <v>30</v>
      </c>
      <c r="AW930" s="1">
        <v>3649</v>
      </c>
      <c r="AX930" s="1">
        <v>167.43</v>
      </c>
      <c r="AZ930" s="1">
        <v>3738.29</v>
      </c>
      <c r="BA930" s="1">
        <v>168.32</v>
      </c>
      <c r="BB930" s="1">
        <v>188.69</v>
      </c>
      <c r="BC930" s="1">
        <v>185.29</v>
      </c>
      <c r="BD930" s="1">
        <v>183.85</v>
      </c>
      <c r="BE930" s="1">
        <v>179.96</v>
      </c>
      <c r="BF930" s="1">
        <v>177.46</v>
      </c>
      <c r="BG930" s="1">
        <v>190.29</v>
      </c>
      <c r="BH930" s="1">
        <v>171.63</v>
      </c>
      <c r="BI930" s="1">
        <v>180.22</v>
      </c>
      <c r="BJ930" s="1">
        <v>190.78</v>
      </c>
      <c r="BK930" s="1">
        <v>168.33</v>
      </c>
      <c r="BL930" s="1">
        <v>170.26</v>
      </c>
      <c r="BN930" s="1">
        <v>168.47</v>
      </c>
    </row>
    <row r="931" spans="1:66" x14ac:dyDescent="0.3">
      <c r="A931" s="2"/>
      <c r="C931" s="14" t="str">
        <f t="shared" si="15"/>
        <v>20227</v>
      </c>
      <c r="D931" s="3">
        <v>44750</v>
      </c>
      <c r="E931" s="21">
        <v>2585</v>
      </c>
      <c r="F931" s="21">
        <v>2463.69</v>
      </c>
      <c r="G931" s="21">
        <v>2550.41</v>
      </c>
      <c r="H931" s="21">
        <v>2577.71</v>
      </c>
      <c r="I931" s="21">
        <v>2434.8200000000002</v>
      </c>
      <c r="J931" s="21">
        <v>2592.4</v>
      </c>
      <c r="K931" s="21">
        <v>2500.9499999999998</v>
      </c>
      <c r="L931" s="21">
        <v>2504.67</v>
      </c>
      <c r="M931" s="21">
        <v>2400.6</v>
      </c>
      <c r="N931" s="21">
        <v>2261.77</v>
      </c>
      <c r="O931" s="21">
        <v>2636.82</v>
      </c>
      <c r="P931" s="21">
        <v>2512.7600000000002</v>
      </c>
      <c r="Q931" s="21">
        <v>8074.02</v>
      </c>
      <c r="R931" s="20">
        <v>167.51</v>
      </c>
      <c r="S931" s="20">
        <v>151.80000000000001</v>
      </c>
      <c r="T931" s="21">
        <v>175.72</v>
      </c>
      <c r="V931" s="1">
        <v>157.03</v>
      </c>
      <c r="W931" s="1">
        <v>176.06</v>
      </c>
      <c r="X931" s="1">
        <v>176.03</v>
      </c>
      <c r="Y931" s="1">
        <v>172.97</v>
      </c>
      <c r="Z931" s="1">
        <v>173.57</v>
      </c>
      <c r="AA931" s="1">
        <v>168.82</v>
      </c>
      <c r="AB931" s="1">
        <v>176.27</v>
      </c>
      <c r="AE931" s="1">
        <v>185.64</v>
      </c>
      <c r="AF931" s="1">
        <v>180.91</v>
      </c>
      <c r="AG931" s="1">
        <v>157.9</v>
      </c>
      <c r="AN931" s="1">
        <v>3978.25</v>
      </c>
      <c r="AP931" s="1">
        <v>4034</v>
      </c>
      <c r="AV931" s="1">
        <v>30</v>
      </c>
      <c r="AW931" s="1">
        <v>3649</v>
      </c>
      <c r="AZ931" s="1">
        <v>3738.29</v>
      </c>
      <c r="BA931" s="1">
        <v>164.88</v>
      </c>
      <c r="BB931" s="1">
        <v>186.05</v>
      </c>
      <c r="BC931" s="1">
        <v>183.15</v>
      </c>
      <c r="BD931" s="1">
        <v>183.43</v>
      </c>
      <c r="BE931" s="1">
        <v>176.69</v>
      </c>
      <c r="BF931" s="1">
        <v>172.41</v>
      </c>
      <c r="BG931" s="1">
        <v>186.77</v>
      </c>
      <c r="BH931" s="1">
        <v>167.66</v>
      </c>
      <c r="BI931" s="1">
        <v>179.82</v>
      </c>
      <c r="BJ931" s="1">
        <v>187.07</v>
      </c>
      <c r="BK931" s="1">
        <v>166.42</v>
      </c>
      <c r="BL931" s="1">
        <v>168.01</v>
      </c>
      <c r="BN931" s="1">
        <v>165.59</v>
      </c>
    </row>
    <row r="932" spans="1:66" x14ac:dyDescent="0.3">
      <c r="A932" s="2"/>
      <c r="C932" s="14" t="str">
        <f t="shared" si="15"/>
        <v>20227</v>
      </c>
      <c r="D932" s="3">
        <v>44749</v>
      </c>
      <c r="E932" s="21">
        <v>2594.17</v>
      </c>
      <c r="F932" s="21">
        <v>2474.41</v>
      </c>
      <c r="G932" s="21">
        <v>2539.5300000000002</v>
      </c>
      <c r="H932" s="21">
        <v>2530.81</v>
      </c>
      <c r="I932" s="21">
        <v>2434.8200000000002</v>
      </c>
      <c r="J932" s="21">
        <v>2572.2600000000002</v>
      </c>
      <c r="K932" s="21">
        <v>2514.21</v>
      </c>
      <c r="L932" s="21">
        <v>2523.48</v>
      </c>
      <c r="M932" s="21">
        <v>2374.1999999999998</v>
      </c>
      <c r="N932" s="21">
        <v>2288.1799999999998</v>
      </c>
      <c r="O932" s="21">
        <v>2589.46</v>
      </c>
      <c r="P932" s="21">
        <v>2528.6799999999998</v>
      </c>
      <c r="Q932" s="21">
        <v>8150.7</v>
      </c>
      <c r="R932" s="20">
        <v>167.28</v>
      </c>
      <c r="S932" s="20">
        <v>151.12</v>
      </c>
      <c r="T932" s="21">
        <v>174.42</v>
      </c>
      <c r="V932" s="1">
        <v>156.61000000000001</v>
      </c>
      <c r="W932" s="1">
        <v>177.11</v>
      </c>
      <c r="X932" s="1">
        <v>175.45</v>
      </c>
      <c r="Y932" s="1">
        <v>173.63</v>
      </c>
      <c r="Z932" s="1">
        <v>173</v>
      </c>
      <c r="AA932" s="1">
        <v>168.98</v>
      </c>
      <c r="AB932" s="1">
        <v>176.49</v>
      </c>
      <c r="AE932" s="1">
        <v>185.95</v>
      </c>
      <c r="AF932" s="1">
        <v>177.22</v>
      </c>
      <c r="AG932" s="1">
        <v>156.11000000000001</v>
      </c>
      <c r="AN932" s="1">
        <v>3978.25</v>
      </c>
      <c r="AP932" s="1">
        <v>4034</v>
      </c>
      <c r="AV932" s="1">
        <v>30</v>
      </c>
      <c r="AW932" s="1">
        <v>3649</v>
      </c>
      <c r="AZ932" s="1">
        <v>3738.29</v>
      </c>
      <c r="BA932" s="1">
        <v>164.35</v>
      </c>
      <c r="BB932" s="1">
        <v>184.52</v>
      </c>
      <c r="BC932" s="1">
        <v>182.13</v>
      </c>
      <c r="BD932" s="1">
        <v>182.5</v>
      </c>
      <c r="BE932" s="1">
        <v>174.5</v>
      </c>
      <c r="BF932" s="1">
        <v>170.76</v>
      </c>
      <c r="BG932" s="1">
        <v>186.16</v>
      </c>
      <c r="BH932" s="1">
        <v>165.65</v>
      </c>
      <c r="BI932" s="1">
        <v>179.82</v>
      </c>
      <c r="BJ932" s="1">
        <v>187.07</v>
      </c>
      <c r="BK932" s="1">
        <v>164.69</v>
      </c>
      <c r="BL932" s="1">
        <v>167.38</v>
      </c>
      <c r="BN932" s="1">
        <v>164.8</v>
      </c>
    </row>
    <row r="933" spans="1:66" x14ac:dyDescent="0.3">
      <c r="A933" s="2"/>
      <c r="C933" s="14" t="str">
        <f t="shared" si="15"/>
        <v>20227</v>
      </c>
      <c r="D933" s="3">
        <v>44748</v>
      </c>
      <c r="E933" s="21">
        <v>2581.4299999999998</v>
      </c>
      <c r="F933" s="21">
        <v>2424.92</v>
      </c>
      <c r="G933" s="21">
        <v>2474.41</v>
      </c>
      <c r="H933" s="21">
        <v>2518.41</v>
      </c>
      <c r="I933" s="21">
        <v>2436.8000000000002</v>
      </c>
      <c r="J933" s="21">
        <v>2571.12</v>
      </c>
      <c r="K933" s="21">
        <v>2514.21</v>
      </c>
      <c r="L933" s="21">
        <v>2516.8200000000002</v>
      </c>
      <c r="M933" s="21">
        <v>2387.4699999999998</v>
      </c>
      <c r="N933" s="21">
        <v>2269.09</v>
      </c>
      <c r="O933" s="21">
        <v>2599.4499999999998</v>
      </c>
      <c r="P933" s="21">
        <v>2528.6799999999998</v>
      </c>
      <c r="Q933" s="21">
        <v>8329.17</v>
      </c>
      <c r="R933" s="20">
        <v>165.82</v>
      </c>
      <c r="S933" s="20">
        <v>148.62</v>
      </c>
      <c r="T933" s="21">
        <v>172.59</v>
      </c>
      <c r="V933" s="1">
        <v>155.47999999999999</v>
      </c>
      <c r="W933" s="1">
        <v>174.3</v>
      </c>
      <c r="X933" s="1">
        <v>173.7</v>
      </c>
      <c r="Y933" s="1">
        <v>170.51</v>
      </c>
      <c r="Z933" s="1">
        <v>171</v>
      </c>
      <c r="AA933" s="1">
        <v>167.04</v>
      </c>
      <c r="AB933" s="1">
        <v>173.57</v>
      </c>
      <c r="AE933" s="1">
        <v>183.36</v>
      </c>
      <c r="AF933" s="1">
        <v>175.81</v>
      </c>
      <c r="AG933" s="1">
        <v>155.83000000000001</v>
      </c>
      <c r="AN933" s="1">
        <v>4035.08</v>
      </c>
      <c r="AP933" s="1">
        <v>4034</v>
      </c>
      <c r="AV933" s="1">
        <v>30</v>
      </c>
      <c r="AW933" s="1">
        <v>3649</v>
      </c>
      <c r="BA933" s="1">
        <v>164.6</v>
      </c>
      <c r="BB933" s="1">
        <v>182.41</v>
      </c>
      <c r="BC933" s="1">
        <v>180.56</v>
      </c>
      <c r="BD933" s="1">
        <v>180.53</v>
      </c>
      <c r="BE933" s="1">
        <v>172.2</v>
      </c>
      <c r="BF933" s="1">
        <v>169.55</v>
      </c>
      <c r="BG933" s="1">
        <v>185.73</v>
      </c>
      <c r="BH933" s="1">
        <v>165.65</v>
      </c>
      <c r="BI933" s="1">
        <v>176.72</v>
      </c>
      <c r="BJ933" s="1">
        <v>184.94</v>
      </c>
      <c r="BK933" s="1">
        <v>159.49</v>
      </c>
      <c r="BL933" s="1">
        <v>165.68</v>
      </c>
      <c r="BN933" s="1">
        <v>163.1</v>
      </c>
    </row>
    <row r="934" spans="1:66" x14ac:dyDescent="0.3">
      <c r="A934" s="2"/>
      <c r="C934" s="14" t="str">
        <f t="shared" si="15"/>
        <v>20227</v>
      </c>
      <c r="D934" s="3">
        <v>44747</v>
      </c>
      <c r="E934" s="21">
        <v>2538.7399999999998</v>
      </c>
      <c r="F934" s="21">
        <v>2424.92</v>
      </c>
      <c r="G934" s="21">
        <v>2502.41</v>
      </c>
      <c r="H934" s="21">
        <v>2488.96</v>
      </c>
      <c r="I934" s="21">
        <v>2438.7800000000002</v>
      </c>
      <c r="J934" s="21">
        <v>2563.84</v>
      </c>
      <c r="K934" s="21">
        <v>2514.21</v>
      </c>
      <c r="L934" s="21">
        <v>2543.33</v>
      </c>
      <c r="M934" s="21">
        <v>2427.2800000000002</v>
      </c>
      <c r="N934" s="21">
        <v>2232.63</v>
      </c>
      <c r="O934" s="21">
        <v>2649.31</v>
      </c>
      <c r="P934" s="21">
        <v>2512.71</v>
      </c>
      <c r="Q934" s="21">
        <v>8409.8700000000008</v>
      </c>
      <c r="R934" s="20">
        <v>165.13</v>
      </c>
      <c r="S934" s="20">
        <v>149.18</v>
      </c>
      <c r="T934" s="21">
        <v>172.41</v>
      </c>
      <c r="V934" s="1">
        <v>158.46</v>
      </c>
      <c r="W934" s="1">
        <v>173.86</v>
      </c>
      <c r="X934" s="1">
        <v>177.9</v>
      </c>
      <c r="Y934" s="1">
        <v>173.07</v>
      </c>
      <c r="Z934" s="1">
        <v>171</v>
      </c>
      <c r="AA934" s="1">
        <v>167.13</v>
      </c>
      <c r="AB934" s="1">
        <v>177.71</v>
      </c>
      <c r="AE934" s="1">
        <v>186.48</v>
      </c>
      <c r="AF934" s="1">
        <v>174.14</v>
      </c>
      <c r="AG934" s="1">
        <v>153.82</v>
      </c>
      <c r="AN934" s="1">
        <v>4035.08</v>
      </c>
      <c r="AP934" s="1">
        <v>4034</v>
      </c>
      <c r="AW934" s="1">
        <v>3223.01</v>
      </c>
      <c r="BA934" s="1">
        <v>162.66999999999999</v>
      </c>
      <c r="BB934" s="1">
        <v>182.88</v>
      </c>
      <c r="BC934" s="1">
        <v>183.04</v>
      </c>
      <c r="BD934" s="1">
        <v>179.78</v>
      </c>
      <c r="BE934" s="1">
        <v>170.19</v>
      </c>
      <c r="BF934" s="1">
        <v>168.56</v>
      </c>
      <c r="BG934" s="1">
        <v>186.91</v>
      </c>
      <c r="BH934" s="1">
        <v>162.78</v>
      </c>
      <c r="BI934" s="1">
        <v>179.51</v>
      </c>
      <c r="BK934" s="1">
        <v>159.82</v>
      </c>
      <c r="BL934" s="1">
        <v>166.68</v>
      </c>
      <c r="BN934" s="1">
        <v>163.30000000000001</v>
      </c>
    </row>
    <row r="935" spans="1:66" x14ac:dyDescent="0.3">
      <c r="A935" s="2"/>
      <c r="C935" s="14" t="str">
        <f t="shared" si="15"/>
        <v>20227</v>
      </c>
      <c r="D935" s="3">
        <v>44746</v>
      </c>
      <c r="E935" s="21">
        <v>2562.54</v>
      </c>
      <c r="F935" s="21">
        <v>2424.92</v>
      </c>
      <c r="G935" s="21">
        <v>2502.41</v>
      </c>
      <c r="H935" s="21">
        <v>2574.41</v>
      </c>
      <c r="I935" s="21">
        <v>2430.86</v>
      </c>
      <c r="J935" s="21">
        <v>2552.6799999999998</v>
      </c>
      <c r="K935" s="21">
        <v>2514.21</v>
      </c>
      <c r="L935" s="21">
        <v>2515.84</v>
      </c>
      <c r="M935" s="21">
        <v>2394.0700000000002</v>
      </c>
      <c r="N935" s="21">
        <v>2256.69</v>
      </c>
      <c r="O935" s="21">
        <v>2623.33</v>
      </c>
      <c r="P935" s="21">
        <v>2512.71</v>
      </c>
      <c r="Q935" s="21">
        <v>8843.33</v>
      </c>
      <c r="R935" s="20">
        <v>168.76</v>
      </c>
      <c r="S935" s="20">
        <v>154.28</v>
      </c>
      <c r="T935" s="21">
        <v>176.01</v>
      </c>
      <c r="V935" s="1">
        <v>163.93</v>
      </c>
      <c r="W935" s="1">
        <v>178.52</v>
      </c>
      <c r="X935" s="1">
        <v>178.55</v>
      </c>
      <c r="Y935" s="1">
        <v>173.68</v>
      </c>
      <c r="Z935" s="1">
        <v>174</v>
      </c>
      <c r="AA935" s="1">
        <v>170.87</v>
      </c>
      <c r="AB935" s="1">
        <v>178.06</v>
      </c>
      <c r="AE935" s="1">
        <v>187.41</v>
      </c>
      <c r="AF935" s="1">
        <v>179.7</v>
      </c>
      <c r="AG935" s="1">
        <v>158.18</v>
      </c>
      <c r="AN935" s="1">
        <v>4091.91</v>
      </c>
      <c r="AP935" s="1">
        <v>3991</v>
      </c>
      <c r="AT935" s="1">
        <v>3949.96</v>
      </c>
      <c r="AW935" s="1">
        <v>3223.01</v>
      </c>
      <c r="BA935" s="1">
        <v>170.64</v>
      </c>
      <c r="BB935" s="1">
        <v>189.12</v>
      </c>
      <c r="BC935" s="1">
        <v>185.53</v>
      </c>
      <c r="BD935" s="1">
        <v>185.56</v>
      </c>
      <c r="BE935" s="1">
        <v>178.94</v>
      </c>
      <c r="BF935" s="1">
        <v>175.38</v>
      </c>
      <c r="BG935" s="1">
        <v>188.84</v>
      </c>
      <c r="BH935" s="1">
        <v>170.73</v>
      </c>
      <c r="BI935" s="1">
        <v>179.52</v>
      </c>
      <c r="BJ935" s="1">
        <v>192.16</v>
      </c>
      <c r="BL935" s="1">
        <v>168.67</v>
      </c>
      <c r="BN935" s="1">
        <v>167.9</v>
      </c>
    </row>
    <row r="936" spans="1:66" x14ac:dyDescent="0.3">
      <c r="A936" s="2"/>
      <c r="C936" s="14" t="str">
        <f t="shared" si="15"/>
        <v>20227</v>
      </c>
      <c r="D936" s="3">
        <v>44743</v>
      </c>
      <c r="E936" s="21">
        <v>2524.77</v>
      </c>
      <c r="F936" s="21">
        <v>2424.92</v>
      </c>
      <c r="G936" s="21">
        <v>2527.2800000000002</v>
      </c>
      <c r="H936" s="21">
        <v>2574.41</v>
      </c>
      <c r="I936" s="21">
        <v>2430.86</v>
      </c>
      <c r="J936" s="21">
        <v>2552.6799999999998</v>
      </c>
      <c r="K936" s="21">
        <v>2500.9499999999998</v>
      </c>
      <c r="L936" s="21">
        <v>2660.9</v>
      </c>
      <c r="M936" s="21">
        <v>2380.84</v>
      </c>
      <c r="N936" s="21">
        <v>2285.6799999999998</v>
      </c>
      <c r="O936" s="21">
        <v>2568.02</v>
      </c>
      <c r="P936" s="21">
        <v>2508.77</v>
      </c>
      <c r="Q936" s="21">
        <v>8785.49</v>
      </c>
      <c r="R936" s="20">
        <v>169.26</v>
      </c>
      <c r="S936" s="20">
        <v>154.65</v>
      </c>
      <c r="T936" s="21">
        <v>177.55</v>
      </c>
      <c r="V936" s="1">
        <v>164.2</v>
      </c>
      <c r="W936" s="1">
        <v>178.84</v>
      </c>
      <c r="X936" s="1">
        <v>180.7</v>
      </c>
      <c r="Y936" s="1">
        <v>174.33</v>
      </c>
      <c r="Z936" s="1">
        <v>174</v>
      </c>
      <c r="AA936" s="1">
        <v>171.68</v>
      </c>
      <c r="AB936" s="1">
        <v>179.51</v>
      </c>
      <c r="AE936" s="1">
        <v>189.14</v>
      </c>
      <c r="AF936" s="1">
        <v>180.66</v>
      </c>
      <c r="AG936" s="1">
        <v>161.21</v>
      </c>
      <c r="AN936" s="1">
        <v>4091.91</v>
      </c>
      <c r="AT936" s="1">
        <v>3949.96</v>
      </c>
      <c r="AW936" s="1">
        <v>3223.01</v>
      </c>
      <c r="AX936" s="1">
        <v>168.09</v>
      </c>
      <c r="BA936" s="1">
        <v>169.96</v>
      </c>
      <c r="BB936" s="1">
        <v>189.15</v>
      </c>
      <c r="BC936" s="1">
        <v>186.36</v>
      </c>
      <c r="BD936" s="1">
        <v>186.91</v>
      </c>
      <c r="BE936" s="1">
        <v>178.94</v>
      </c>
      <c r="BF936" s="1">
        <v>175.52</v>
      </c>
      <c r="BG936" s="1">
        <v>189.45</v>
      </c>
      <c r="BH936" s="1">
        <v>171.2</v>
      </c>
      <c r="BI936" s="1">
        <v>180.52</v>
      </c>
      <c r="BJ936" s="1">
        <v>191.31</v>
      </c>
      <c r="BL936" s="1">
        <v>168.87</v>
      </c>
      <c r="BN936" s="1">
        <v>167.9</v>
      </c>
    </row>
    <row r="937" spans="1:66" x14ac:dyDescent="0.3">
      <c r="A937" s="2"/>
      <c r="C937" s="14" t="str">
        <f t="shared" si="15"/>
        <v>20226</v>
      </c>
      <c r="D937" s="3">
        <v>44742</v>
      </c>
      <c r="E937" s="21">
        <v>2584.87</v>
      </c>
      <c r="F937" s="21">
        <v>2423.69</v>
      </c>
      <c r="G937" s="21">
        <v>2526.16</v>
      </c>
      <c r="H937" s="21">
        <v>2559.86</v>
      </c>
      <c r="I937" s="21">
        <v>2419.73</v>
      </c>
      <c r="J937" s="21">
        <v>2552</v>
      </c>
      <c r="K937" s="21">
        <v>2467.06</v>
      </c>
      <c r="L937" s="21">
        <v>2557.35</v>
      </c>
      <c r="M937" s="21">
        <v>2380.06</v>
      </c>
      <c r="N937" s="21">
        <v>2297.09</v>
      </c>
      <c r="O937" s="21">
        <v>2552.98</v>
      </c>
      <c r="P937" s="21">
        <v>2484.35</v>
      </c>
      <c r="Q937" s="21">
        <v>8618.48</v>
      </c>
      <c r="R937" s="20">
        <v>170.23</v>
      </c>
      <c r="S937" s="20">
        <v>157.38</v>
      </c>
      <c r="T937" s="21">
        <v>178.72</v>
      </c>
      <c r="V937" s="1">
        <v>165.45</v>
      </c>
      <c r="W937" s="1">
        <v>179.42</v>
      </c>
      <c r="X937" s="1">
        <v>181.2</v>
      </c>
      <c r="Y937" s="1">
        <v>174.77</v>
      </c>
      <c r="Z937" s="1">
        <v>176</v>
      </c>
      <c r="AA937" s="1">
        <v>173.16</v>
      </c>
      <c r="AB937" s="1">
        <v>179.92</v>
      </c>
      <c r="AE937" s="1">
        <v>189.39</v>
      </c>
      <c r="AF937" s="1">
        <v>182.16</v>
      </c>
      <c r="AG937" s="1">
        <v>163.58000000000001</v>
      </c>
      <c r="AN937" s="1">
        <v>4093.92</v>
      </c>
      <c r="AT937" s="1">
        <v>3830.9</v>
      </c>
      <c r="AW937" s="1">
        <v>3224.59</v>
      </c>
      <c r="AX937" s="1">
        <v>169.29</v>
      </c>
      <c r="BA937" s="1">
        <v>169.37</v>
      </c>
      <c r="BB937" s="1">
        <v>190.65</v>
      </c>
      <c r="BC937" s="1">
        <v>188.37</v>
      </c>
      <c r="BD937" s="1">
        <v>188.09</v>
      </c>
      <c r="BE937" s="1">
        <v>181.38</v>
      </c>
      <c r="BF937" s="1">
        <v>177.4</v>
      </c>
      <c r="BG937" s="1">
        <v>190.75</v>
      </c>
      <c r="BH937" s="1">
        <v>174.19</v>
      </c>
      <c r="BI937" s="1">
        <v>180.5</v>
      </c>
      <c r="BJ937" s="1">
        <v>190.96</v>
      </c>
      <c r="BL937" s="1">
        <v>170.03</v>
      </c>
      <c r="BN937" s="1">
        <v>169.62</v>
      </c>
    </row>
    <row r="938" spans="1:66" x14ac:dyDescent="0.3">
      <c r="A938" s="2"/>
      <c r="C938" s="14" t="str">
        <f t="shared" si="15"/>
        <v>20226</v>
      </c>
      <c r="D938" s="3">
        <v>44741</v>
      </c>
      <c r="E938" s="21">
        <v>2569.27</v>
      </c>
      <c r="F938" s="21">
        <v>2396.71</v>
      </c>
      <c r="G938" s="21">
        <v>2501.36</v>
      </c>
      <c r="H938" s="21">
        <v>2526.66</v>
      </c>
      <c r="I938" s="21">
        <v>2395.9899999999998</v>
      </c>
      <c r="J938" s="21">
        <v>2559.77</v>
      </c>
      <c r="K938" s="21">
        <v>2443.84</v>
      </c>
      <c r="L938" s="21">
        <v>2506.2399999999998</v>
      </c>
      <c r="M938" s="21">
        <v>2380.06</v>
      </c>
      <c r="N938" s="21">
        <v>2289.41</v>
      </c>
      <c r="O938" s="21">
        <v>2507.88</v>
      </c>
      <c r="P938" s="21">
        <v>2452.48</v>
      </c>
      <c r="Q938" s="21">
        <v>8532.15</v>
      </c>
      <c r="R938" s="20">
        <v>169.12</v>
      </c>
      <c r="S938" s="20">
        <v>156.21</v>
      </c>
      <c r="T938" s="21">
        <v>178.41</v>
      </c>
      <c r="V938" s="1">
        <v>165.45</v>
      </c>
      <c r="W938" s="1">
        <v>179</v>
      </c>
      <c r="X938" s="1">
        <v>180</v>
      </c>
      <c r="Y938" s="1">
        <v>174.87</v>
      </c>
      <c r="Z938" s="1">
        <v>175.37</v>
      </c>
      <c r="AA938" s="1">
        <v>172.76</v>
      </c>
      <c r="AB938" s="1">
        <v>179.04</v>
      </c>
      <c r="AE938" s="1">
        <v>188.3</v>
      </c>
      <c r="AF938" s="1">
        <v>181.99</v>
      </c>
      <c r="AG938" s="1">
        <v>163.04</v>
      </c>
      <c r="AT938" s="1">
        <v>3830.9</v>
      </c>
      <c r="AW938" s="1">
        <v>3224.59</v>
      </c>
      <c r="AX938" s="1">
        <v>167.8</v>
      </c>
      <c r="BA938" s="1">
        <v>169.35</v>
      </c>
      <c r="BB938" s="1">
        <v>189.95</v>
      </c>
      <c r="BC938" s="1">
        <v>187.08</v>
      </c>
      <c r="BD938" s="1">
        <v>188.03</v>
      </c>
      <c r="BE938" s="1">
        <v>181.34</v>
      </c>
      <c r="BF938" s="1">
        <v>176.72</v>
      </c>
      <c r="BG938" s="1">
        <v>188.79</v>
      </c>
      <c r="BH938" s="1">
        <v>174.19</v>
      </c>
      <c r="BI938" s="1">
        <v>180.5</v>
      </c>
      <c r="BJ938" s="1">
        <v>190.94</v>
      </c>
      <c r="BL938" s="1">
        <v>170.23</v>
      </c>
      <c r="BN938" s="1">
        <v>169.82</v>
      </c>
    </row>
    <row r="939" spans="1:66" x14ac:dyDescent="0.3">
      <c r="A939" s="2"/>
      <c r="C939" s="14" t="str">
        <f t="shared" si="15"/>
        <v>20226</v>
      </c>
      <c r="D939" s="3">
        <v>44740</v>
      </c>
      <c r="E939" s="21">
        <v>2518.15</v>
      </c>
      <c r="F939" s="21">
        <v>2324.7600000000002</v>
      </c>
      <c r="G939" s="21">
        <v>2476.63</v>
      </c>
      <c r="H939" s="21">
        <v>2436.94</v>
      </c>
      <c r="I939" s="21">
        <v>2395.9899999999998</v>
      </c>
      <c r="J939" s="21">
        <v>2531.4699999999998</v>
      </c>
      <c r="K939" s="21">
        <v>2350.4299999999998</v>
      </c>
      <c r="L939" s="21">
        <v>2550.41</v>
      </c>
      <c r="M939" s="21">
        <v>2393.3200000000002</v>
      </c>
      <c r="N939" s="21">
        <v>2221.12</v>
      </c>
      <c r="O939" s="21">
        <v>2419.19</v>
      </c>
      <c r="P939" s="21">
        <v>2414.69</v>
      </c>
      <c r="Q939" s="21">
        <v>8642.84</v>
      </c>
      <c r="R939" s="20">
        <v>166.2</v>
      </c>
      <c r="S939" s="20">
        <v>154.07</v>
      </c>
      <c r="T939" s="21">
        <v>175.49</v>
      </c>
      <c r="V939" s="1">
        <v>164.31</v>
      </c>
      <c r="W939" s="1">
        <v>177.61</v>
      </c>
      <c r="X939" s="1">
        <v>176.3</v>
      </c>
      <c r="Y939" s="1">
        <v>172.84</v>
      </c>
      <c r="Z939" s="1">
        <v>173.17</v>
      </c>
      <c r="AA939" s="1">
        <v>170.11</v>
      </c>
      <c r="AB939" s="1">
        <v>175.85</v>
      </c>
      <c r="AE939" s="1">
        <v>185.98</v>
      </c>
      <c r="AF939" s="1">
        <v>181.68</v>
      </c>
      <c r="AG939" s="1">
        <v>156.5</v>
      </c>
      <c r="AT939" s="1">
        <v>3830.9</v>
      </c>
      <c r="AU939" s="1">
        <v>3684.53</v>
      </c>
      <c r="AX939" s="1">
        <v>163.4</v>
      </c>
      <c r="BA939" s="1">
        <v>167.68</v>
      </c>
      <c r="BB939" s="1">
        <v>189.09</v>
      </c>
      <c r="BC939" s="1">
        <v>185.81</v>
      </c>
      <c r="BD939" s="1">
        <v>185.19</v>
      </c>
      <c r="BE939" s="1">
        <v>173.31</v>
      </c>
      <c r="BF939" s="1">
        <v>172.34</v>
      </c>
      <c r="BG939" s="1">
        <v>186.76</v>
      </c>
      <c r="BI939" s="1">
        <v>177.9</v>
      </c>
      <c r="BJ939" s="1">
        <v>191.11</v>
      </c>
      <c r="BK939" s="1">
        <v>166.61</v>
      </c>
      <c r="BL939" s="1">
        <v>168.33</v>
      </c>
      <c r="BN939" s="1">
        <v>167.73</v>
      </c>
    </row>
    <row r="940" spans="1:66" x14ac:dyDescent="0.3">
      <c r="A940" s="2"/>
      <c r="C940" s="14" t="str">
        <f t="shared" si="15"/>
        <v>20226</v>
      </c>
      <c r="D940" s="3">
        <v>44739</v>
      </c>
      <c r="E940" s="21">
        <v>2495.46</v>
      </c>
      <c r="F940" s="21">
        <v>2369.73</v>
      </c>
      <c r="G940" s="21">
        <v>2439.4699999999998</v>
      </c>
      <c r="H940" s="21">
        <v>2332.63</v>
      </c>
      <c r="I940" s="21">
        <v>2384.12</v>
      </c>
      <c r="J940" s="21">
        <v>2551.38</v>
      </c>
      <c r="K940" s="21">
        <v>2407.37</v>
      </c>
      <c r="L940" s="21">
        <v>2489.9499999999998</v>
      </c>
      <c r="M940" s="21">
        <v>2373.42</v>
      </c>
      <c r="N940" s="21">
        <v>2204.46</v>
      </c>
      <c r="O940" s="21">
        <v>2445.86</v>
      </c>
      <c r="P940" s="21">
        <v>2420.6799999999998</v>
      </c>
      <c r="Q940" s="21">
        <v>8442.23</v>
      </c>
      <c r="R940" s="20">
        <v>165.6</v>
      </c>
      <c r="S940" s="20">
        <v>152.62</v>
      </c>
      <c r="T940" s="21">
        <v>174.71</v>
      </c>
      <c r="V940" s="1">
        <v>162.88</v>
      </c>
      <c r="W940" s="1">
        <v>176.29</v>
      </c>
      <c r="X940" s="1">
        <v>175.68</v>
      </c>
      <c r="Y940" s="1">
        <v>171.48</v>
      </c>
      <c r="Z940" s="1">
        <v>171.95</v>
      </c>
      <c r="AA940" s="1">
        <v>168.77</v>
      </c>
      <c r="AB940" s="1">
        <v>175.45</v>
      </c>
      <c r="AE940" s="1">
        <v>185.04</v>
      </c>
      <c r="AF940" s="1">
        <v>180.12</v>
      </c>
      <c r="AG940" s="1">
        <v>155.80000000000001</v>
      </c>
      <c r="AS940" s="1">
        <v>3361.06</v>
      </c>
      <c r="AT940" s="1">
        <v>3750.23</v>
      </c>
      <c r="AU940" s="1">
        <v>3684.53</v>
      </c>
      <c r="AX940" s="1">
        <v>161.65</v>
      </c>
      <c r="BA940" s="1">
        <v>167.68</v>
      </c>
      <c r="BB940" s="1">
        <v>186.02</v>
      </c>
      <c r="BC940" s="1">
        <v>183.66</v>
      </c>
      <c r="BD940" s="1">
        <v>182.53</v>
      </c>
      <c r="BE940" s="1">
        <v>170.77</v>
      </c>
      <c r="BF940" s="1">
        <v>172.09</v>
      </c>
      <c r="BG940" s="1">
        <v>186.44</v>
      </c>
      <c r="BI940" s="1">
        <v>177.9</v>
      </c>
      <c r="BJ940" s="1">
        <v>191.09</v>
      </c>
      <c r="BK940" s="1">
        <v>165.32</v>
      </c>
      <c r="BL940" s="1">
        <v>166.44</v>
      </c>
      <c r="BN940" s="1">
        <v>165.85</v>
      </c>
    </row>
    <row r="941" spans="1:66" x14ac:dyDescent="0.3">
      <c r="A941" s="2"/>
      <c r="C941" s="14" t="str">
        <f t="shared" si="15"/>
        <v>20226</v>
      </c>
      <c r="D941" s="3">
        <v>44736</v>
      </c>
      <c r="E941" s="21">
        <v>2518.9699999999998</v>
      </c>
      <c r="F941" s="21">
        <v>2353.54</v>
      </c>
      <c r="G941" s="21">
        <v>2394.9499999999998</v>
      </c>
      <c r="H941" s="21">
        <v>2328.8000000000002</v>
      </c>
      <c r="I941" s="21">
        <v>2382.14</v>
      </c>
      <c r="J941" s="21">
        <v>2541.38</v>
      </c>
      <c r="K941" s="21">
        <v>2407.37</v>
      </c>
      <c r="L941" s="21">
        <v>2422.4</v>
      </c>
      <c r="M941" s="21">
        <v>2340.79</v>
      </c>
      <c r="N941" s="21">
        <v>2199.63</v>
      </c>
      <c r="O941" s="21">
        <v>2502.3000000000002</v>
      </c>
      <c r="P941" s="21">
        <v>2432.66</v>
      </c>
      <c r="Q941" s="21">
        <v>8690.52</v>
      </c>
      <c r="R941" s="20">
        <v>166.6</v>
      </c>
      <c r="S941" s="20">
        <v>151.82</v>
      </c>
      <c r="T941" s="21">
        <v>174.74</v>
      </c>
      <c r="V941" s="1">
        <v>162.86000000000001</v>
      </c>
      <c r="W941" s="1">
        <v>175.59</v>
      </c>
      <c r="X941" s="1">
        <v>174.19</v>
      </c>
      <c r="Y941" s="1">
        <v>169.84</v>
      </c>
      <c r="Z941" s="1">
        <v>171</v>
      </c>
      <c r="AA941" s="1">
        <v>167.99</v>
      </c>
      <c r="AB941" s="1">
        <v>173.76</v>
      </c>
      <c r="AE941" s="1">
        <v>183.62</v>
      </c>
      <c r="AF941" s="1">
        <v>180.01</v>
      </c>
      <c r="AG941" s="1">
        <v>158.81</v>
      </c>
      <c r="AS941" s="1">
        <v>3361.06</v>
      </c>
      <c r="AT941" s="1">
        <v>3750.23</v>
      </c>
      <c r="AU941" s="1">
        <v>3684.53</v>
      </c>
      <c r="AX941" s="1">
        <v>168.13</v>
      </c>
      <c r="BA941" s="1">
        <v>167.02</v>
      </c>
      <c r="BB941" s="1">
        <v>184.64</v>
      </c>
      <c r="BC941" s="1">
        <v>183.54</v>
      </c>
      <c r="BD941" s="1">
        <v>181.74</v>
      </c>
      <c r="BE941" s="1">
        <v>174.25</v>
      </c>
      <c r="BF941" s="1">
        <v>172.65</v>
      </c>
      <c r="BG941" s="1">
        <v>185.06</v>
      </c>
      <c r="BI941" s="1">
        <v>177.9</v>
      </c>
      <c r="BJ941" s="1">
        <v>186.23</v>
      </c>
      <c r="BK941" s="1">
        <v>165.44</v>
      </c>
      <c r="BL941" s="1">
        <v>167.25</v>
      </c>
      <c r="BN941" s="1">
        <v>164.85</v>
      </c>
    </row>
    <row r="942" spans="1:66" x14ac:dyDescent="0.3">
      <c r="A942" s="2"/>
      <c r="C942" s="14" t="str">
        <f t="shared" si="15"/>
        <v>20226</v>
      </c>
      <c r="D942" s="3">
        <v>44735</v>
      </c>
      <c r="E942" s="21">
        <v>2455.7800000000002</v>
      </c>
      <c r="F942" s="21">
        <v>2374.2199999999998</v>
      </c>
      <c r="G942" s="21">
        <v>2364.33</v>
      </c>
      <c r="H942" s="21">
        <v>2256.79</v>
      </c>
      <c r="I942" s="21">
        <v>2409.84</v>
      </c>
      <c r="J942" s="21">
        <v>2557.19</v>
      </c>
      <c r="K942" s="21">
        <v>2425.62</v>
      </c>
      <c r="L942" s="21">
        <v>2455.46</v>
      </c>
      <c r="M942" s="21">
        <v>2336.13</v>
      </c>
      <c r="N942" s="21">
        <v>2175.65</v>
      </c>
      <c r="O942" s="21">
        <v>2494.06</v>
      </c>
      <c r="P942" s="21">
        <v>2432.61</v>
      </c>
      <c r="Q942" s="21">
        <v>8944.41</v>
      </c>
      <c r="R942" s="20">
        <v>167.11</v>
      </c>
      <c r="S942" s="20">
        <v>151.63999999999999</v>
      </c>
      <c r="T942" s="21">
        <v>172.35</v>
      </c>
      <c r="V942" s="1">
        <v>165.52</v>
      </c>
      <c r="W942" s="1">
        <v>176.15</v>
      </c>
      <c r="X942" s="1">
        <v>178.5</v>
      </c>
      <c r="Y942" s="1">
        <v>171.06</v>
      </c>
      <c r="Z942" s="1">
        <v>171.2</v>
      </c>
      <c r="AA942" s="1">
        <v>168.5</v>
      </c>
      <c r="AB942" s="1">
        <v>176.2</v>
      </c>
      <c r="AE942" s="1">
        <v>187.32</v>
      </c>
      <c r="AF942" s="1">
        <v>182.35</v>
      </c>
      <c r="AG942" s="1">
        <v>158.06</v>
      </c>
      <c r="AS942" s="1">
        <v>3361.06</v>
      </c>
      <c r="AU942" s="1">
        <v>3684.53</v>
      </c>
      <c r="AX942" s="1">
        <v>169.39</v>
      </c>
      <c r="BA942" s="1">
        <v>168.27</v>
      </c>
      <c r="BB942" s="1">
        <v>186.32</v>
      </c>
      <c r="BC942" s="1">
        <v>183.86</v>
      </c>
      <c r="BD942" s="1">
        <v>183.57</v>
      </c>
      <c r="BE942" s="1">
        <v>174.58</v>
      </c>
      <c r="BF942" s="1">
        <v>172.9</v>
      </c>
      <c r="BG942" s="1">
        <v>187.87</v>
      </c>
      <c r="BI942" s="1">
        <v>179.1</v>
      </c>
      <c r="BJ942" s="1">
        <v>184.74</v>
      </c>
      <c r="BK942" s="1">
        <v>167.79</v>
      </c>
      <c r="BL942" s="1">
        <v>167.05</v>
      </c>
      <c r="BN942" s="1">
        <v>166.11</v>
      </c>
    </row>
    <row r="943" spans="1:66" x14ac:dyDescent="0.3">
      <c r="A943" s="2"/>
      <c r="C943" s="14" t="str">
        <f t="shared" si="15"/>
        <v>20226</v>
      </c>
      <c r="D943" s="3">
        <v>44734</v>
      </c>
      <c r="E943" s="21">
        <v>2471.33</v>
      </c>
      <c r="F943" s="21">
        <v>2389.06</v>
      </c>
      <c r="G943" s="21">
        <v>2390.71</v>
      </c>
      <c r="H943" s="21">
        <v>2291.41</v>
      </c>
      <c r="I943" s="21">
        <v>2423.69</v>
      </c>
      <c r="J943" s="21">
        <v>2517.8200000000002</v>
      </c>
      <c r="K943" s="21">
        <v>2425.62</v>
      </c>
      <c r="L943" s="21">
        <v>2523.23</v>
      </c>
      <c r="M943" s="21">
        <v>2322.16</v>
      </c>
      <c r="N943" s="21">
        <v>2188.54</v>
      </c>
      <c r="O943" s="21">
        <v>2517.17</v>
      </c>
      <c r="P943" s="21">
        <v>2432.61</v>
      </c>
      <c r="Q943" s="21">
        <v>9237.2199999999993</v>
      </c>
      <c r="R943" s="20">
        <v>170.59</v>
      </c>
      <c r="S943" s="20">
        <v>156.69</v>
      </c>
      <c r="T943" s="21">
        <v>178.88</v>
      </c>
      <c r="V943" s="1">
        <v>166.86</v>
      </c>
      <c r="W943" s="1">
        <v>181.28</v>
      </c>
      <c r="X943" s="1">
        <v>182.18</v>
      </c>
      <c r="Y943" s="1">
        <v>174.45</v>
      </c>
      <c r="Z943" s="1">
        <v>173.95</v>
      </c>
      <c r="AA943" s="1">
        <v>175</v>
      </c>
      <c r="AB943" s="1">
        <v>181.44</v>
      </c>
      <c r="AE943" s="1">
        <v>189.1</v>
      </c>
      <c r="AF943" s="1">
        <v>184.38</v>
      </c>
      <c r="AG943" s="1">
        <v>163.25</v>
      </c>
      <c r="AS943" s="1">
        <v>3361.06</v>
      </c>
      <c r="AU943" s="1">
        <v>3684.53</v>
      </c>
      <c r="AX943" s="1">
        <v>170.21</v>
      </c>
      <c r="BA943" s="1">
        <v>169.8</v>
      </c>
      <c r="BB943" s="1">
        <v>189.65</v>
      </c>
      <c r="BC943" s="1">
        <v>188.29</v>
      </c>
      <c r="BD943" s="1">
        <v>186.89</v>
      </c>
      <c r="BE943" s="1">
        <v>180.3</v>
      </c>
      <c r="BF943" s="1">
        <v>176.14</v>
      </c>
      <c r="BG943" s="1">
        <v>191.08</v>
      </c>
      <c r="BI943" s="1">
        <v>181.49</v>
      </c>
      <c r="BJ943" s="1">
        <v>191.17</v>
      </c>
      <c r="BK943" s="1">
        <v>169.1</v>
      </c>
      <c r="BL943" s="1">
        <v>169.04</v>
      </c>
      <c r="BN943" s="1">
        <v>169.43</v>
      </c>
    </row>
    <row r="944" spans="1:66" x14ac:dyDescent="0.3">
      <c r="A944" s="2"/>
      <c r="C944" s="14" t="str">
        <f t="shared" si="15"/>
        <v>20226</v>
      </c>
      <c r="D944" s="3">
        <v>44733</v>
      </c>
      <c r="E944" s="21">
        <v>2476.94</v>
      </c>
      <c r="F944" s="21">
        <v>2387.71</v>
      </c>
      <c r="G944" s="21">
        <v>2439.33</v>
      </c>
      <c r="H944" s="21">
        <v>2303.41</v>
      </c>
      <c r="I944" s="21">
        <v>2411.81</v>
      </c>
      <c r="J944" s="21">
        <v>2494.2600000000002</v>
      </c>
      <c r="K944" s="21">
        <v>2370.88</v>
      </c>
      <c r="L944" s="21">
        <v>2446.02</v>
      </c>
      <c r="M944" s="21">
        <v>2348.69</v>
      </c>
      <c r="N944" s="21">
        <v>2186.2800000000002</v>
      </c>
      <c r="O944" s="21">
        <v>2569.3200000000002</v>
      </c>
      <c r="P944" s="21">
        <v>2382.87</v>
      </c>
      <c r="Q944" s="21">
        <v>9336.75</v>
      </c>
      <c r="R944" s="20">
        <v>173.25</v>
      </c>
      <c r="S944" s="20">
        <v>156.88</v>
      </c>
      <c r="T944" s="21">
        <v>180.06</v>
      </c>
      <c r="V944" s="1">
        <v>168.74</v>
      </c>
      <c r="W944" s="1">
        <v>183.3</v>
      </c>
      <c r="X944" s="1">
        <v>183.68</v>
      </c>
      <c r="Y944" s="1">
        <v>177.38</v>
      </c>
      <c r="Z944" s="1">
        <v>177.72</v>
      </c>
      <c r="AA944" s="1">
        <v>176.36</v>
      </c>
      <c r="AB944" s="1">
        <v>183.44</v>
      </c>
      <c r="AE944" s="1">
        <v>192.13</v>
      </c>
      <c r="AF944" s="1">
        <v>186.88</v>
      </c>
      <c r="AG944" s="1">
        <v>161.54</v>
      </c>
      <c r="AS944" s="1">
        <v>3361.06</v>
      </c>
      <c r="AW944" s="1">
        <v>3740.12</v>
      </c>
      <c r="AX944" s="1">
        <v>172.69</v>
      </c>
      <c r="BA944" s="1">
        <v>173.54</v>
      </c>
      <c r="BB944" s="1">
        <v>192.11</v>
      </c>
      <c r="BC944" s="1">
        <v>188.77</v>
      </c>
      <c r="BD944" s="1">
        <v>189.77</v>
      </c>
      <c r="BE944" s="1">
        <v>181.38</v>
      </c>
      <c r="BF944" s="1">
        <v>177.85</v>
      </c>
      <c r="BG944" s="1">
        <v>193.16</v>
      </c>
      <c r="BI944" s="1">
        <v>183.49</v>
      </c>
      <c r="BJ944" s="1">
        <v>190.94</v>
      </c>
      <c r="BK944" s="1">
        <v>171.77</v>
      </c>
      <c r="BL944" s="1">
        <v>172.07</v>
      </c>
      <c r="BN944" s="1">
        <v>172</v>
      </c>
    </row>
    <row r="945" spans="1:66" x14ac:dyDescent="0.3">
      <c r="A945" s="2"/>
      <c r="C945" s="14" t="str">
        <f t="shared" si="15"/>
        <v>20226</v>
      </c>
      <c r="D945" s="3">
        <v>44732</v>
      </c>
      <c r="E945" s="21">
        <v>2528.63</v>
      </c>
      <c r="F945" s="21">
        <v>2387.71</v>
      </c>
      <c r="G945" s="21">
        <v>2451.83</v>
      </c>
      <c r="H945" s="21">
        <v>2234.87</v>
      </c>
      <c r="I945" s="21">
        <v>2411.81</v>
      </c>
      <c r="J945" s="21">
        <v>2526.36</v>
      </c>
      <c r="K945" s="21">
        <v>2370.88</v>
      </c>
      <c r="L945" s="21">
        <v>2279.67</v>
      </c>
      <c r="M945" s="21">
        <v>2348.69</v>
      </c>
      <c r="N945" s="21">
        <v>2207.84</v>
      </c>
      <c r="O945" s="21">
        <v>2561.4499999999998</v>
      </c>
      <c r="P945" s="21">
        <v>2354.92</v>
      </c>
      <c r="Q945" s="21">
        <v>9310.0400000000009</v>
      </c>
      <c r="R945" s="20">
        <v>175.96</v>
      </c>
      <c r="S945" s="20">
        <v>159.80000000000001</v>
      </c>
      <c r="T945" s="21">
        <v>182.39</v>
      </c>
      <c r="V945" s="1">
        <v>170.23</v>
      </c>
      <c r="W945" s="1">
        <v>184.48</v>
      </c>
      <c r="X945" s="1">
        <v>183.78</v>
      </c>
      <c r="Y945" s="1">
        <v>178.55</v>
      </c>
      <c r="Z945" s="1">
        <v>178.94</v>
      </c>
      <c r="AA945" s="1">
        <v>178.93</v>
      </c>
      <c r="AB945" s="1">
        <v>183.44</v>
      </c>
      <c r="AE945" s="1">
        <v>192.47</v>
      </c>
      <c r="AF945" s="1">
        <v>191.05</v>
      </c>
      <c r="AG945" s="1">
        <v>161.68</v>
      </c>
      <c r="AW945" s="1">
        <v>3740.12</v>
      </c>
      <c r="AX945" s="1">
        <v>173.05</v>
      </c>
      <c r="BA945" s="1">
        <v>174.28</v>
      </c>
      <c r="BB945" s="1">
        <v>194.82</v>
      </c>
      <c r="BC945" s="1">
        <v>191.55</v>
      </c>
      <c r="BD945" s="1">
        <v>191.68</v>
      </c>
      <c r="BE945" s="1">
        <v>186.59</v>
      </c>
      <c r="BF945" s="1">
        <v>181.5</v>
      </c>
      <c r="BG945" s="1">
        <v>193.14</v>
      </c>
      <c r="BI945" s="1">
        <v>184.09</v>
      </c>
      <c r="BJ945" s="1">
        <v>190.97</v>
      </c>
      <c r="BK945" s="1">
        <v>172.27</v>
      </c>
      <c r="BL945" s="1">
        <v>173.56</v>
      </c>
      <c r="BN945" s="1">
        <v>172.8</v>
      </c>
    </row>
    <row r="946" spans="1:66" x14ac:dyDescent="0.3">
      <c r="A946" s="2"/>
      <c r="C946" s="14" t="str">
        <f t="shared" si="15"/>
        <v>20226</v>
      </c>
      <c r="D946" s="3">
        <v>44729</v>
      </c>
      <c r="E946" s="21">
        <v>2447.6</v>
      </c>
      <c r="F946" s="21">
        <v>2388.64</v>
      </c>
      <c r="G946" s="21">
        <v>2440.23</v>
      </c>
      <c r="H946" s="21">
        <v>2320.42</v>
      </c>
      <c r="I946" s="21">
        <v>2389</v>
      </c>
      <c r="J946" s="21">
        <v>2445.13</v>
      </c>
      <c r="K946" s="21">
        <v>2384.66</v>
      </c>
      <c r="L946" s="21">
        <v>2404.91</v>
      </c>
      <c r="M946" s="21">
        <v>2309.4699999999998</v>
      </c>
      <c r="N946" s="21">
        <v>2156.4299999999998</v>
      </c>
      <c r="O946" s="21">
        <v>2544.34</v>
      </c>
      <c r="P946" s="21">
        <v>2379.21</v>
      </c>
      <c r="Q946" s="21">
        <v>9307.77</v>
      </c>
      <c r="R946" s="20">
        <v>175.59</v>
      </c>
      <c r="S946" s="20">
        <v>160.07</v>
      </c>
      <c r="T946" s="21">
        <v>182.6</v>
      </c>
      <c r="V946" s="1">
        <v>170.6</v>
      </c>
      <c r="W946" s="1">
        <v>183.93</v>
      </c>
      <c r="X946" s="1">
        <v>183.69</v>
      </c>
      <c r="Y946" s="1">
        <v>177.89</v>
      </c>
      <c r="Z946" s="1">
        <v>178.58</v>
      </c>
      <c r="AA946" s="1">
        <v>179.1</v>
      </c>
      <c r="AB946" s="1">
        <v>183.85</v>
      </c>
      <c r="AE946" s="1">
        <v>191.69</v>
      </c>
      <c r="AF946" s="1">
        <v>189.31</v>
      </c>
      <c r="AG946" s="1">
        <v>164.08</v>
      </c>
      <c r="AW946" s="1">
        <v>3900.92</v>
      </c>
      <c r="AX946" s="1">
        <v>173.07</v>
      </c>
      <c r="BA946" s="1">
        <v>172.93</v>
      </c>
      <c r="BB946" s="1">
        <v>194.1</v>
      </c>
      <c r="BC946" s="1">
        <v>191.44</v>
      </c>
      <c r="BD946" s="1">
        <v>191.06</v>
      </c>
      <c r="BE946" s="1">
        <v>184.81</v>
      </c>
      <c r="BF946" s="1">
        <v>181.05</v>
      </c>
      <c r="BG946" s="1">
        <v>194.22</v>
      </c>
      <c r="BI946" s="1">
        <v>183.68</v>
      </c>
      <c r="BJ946" s="1">
        <v>191.1</v>
      </c>
      <c r="BK946" s="1">
        <v>171.79</v>
      </c>
      <c r="BL946" s="1">
        <v>173.72</v>
      </c>
      <c r="BN946" s="1">
        <v>173.14</v>
      </c>
    </row>
    <row r="947" spans="1:66" x14ac:dyDescent="0.3">
      <c r="A947" s="2"/>
      <c r="C947" s="14" t="str">
        <f t="shared" si="15"/>
        <v>20226</v>
      </c>
      <c r="D947" s="3">
        <v>44727</v>
      </c>
      <c r="E947" s="21">
        <v>2410.6799999999998</v>
      </c>
      <c r="F947" s="21">
        <v>2388.64</v>
      </c>
      <c r="G947" s="21">
        <v>2427.86</v>
      </c>
      <c r="H947" s="21">
        <v>2310.17</v>
      </c>
      <c r="I947" s="21">
        <v>2396.92</v>
      </c>
      <c r="J947" s="21">
        <v>2437.9899999999998</v>
      </c>
      <c r="K947" s="21">
        <v>2412.86</v>
      </c>
      <c r="L947" s="21">
        <v>2382.4499999999998</v>
      </c>
      <c r="M947" s="21">
        <v>2309.4699999999998</v>
      </c>
      <c r="N947" s="21">
        <v>2116</v>
      </c>
      <c r="O947" s="21">
        <v>2516.84</v>
      </c>
      <c r="P947" s="21">
        <v>2403.09</v>
      </c>
      <c r="Q947" s="21">
        <v>9369.61</v>
      </c>
      <c r="R947" s="20">
        <v>174.43</v>
      </c>
      <c r="S947" s="20">
        <v>160.38999999999999</v>
      </c>
      <c r="T947" s="21">
        <v>181.21</v>
      </c>
      <c r="V947" s="1">
        <v>169.31</v>
      </c>
      <c r="W947" s="1">
        <v>184.29</v>
      </c>
      <c r="X947" s="1">
        <v>183.69</v>
      </c>
      <c r="Y947" s="1">
        <v>177.78</v>
      </c>
      <c r="Z947" s="1">
        <v>177.95</v>
      </c>
      <c r="AA947" s="1">
        <v>176.74</v>
      </c>
      <c r="AB947" s="1">
        <v>183.75</v>
      </c>
      <c r="AE947" s="1">
        <v>192.23</v>
      </c>
      <c r="AF947" s="1">
        <v>186.6</v>
      </c>
      <c r="AG947" s="1">
        <v>163.94</v>
      </c>
      <c r="AQ947" s="1">
        <v>4314.6400000000003</v>
      </c>
      <c r="AU947" s="1">
        <v>3683.1</v>
      </c>
      <c r="AW947" s="1">
        <v>3900.92</v>
      </c>
      <c r="AX947" s="1">
        <v>172.84</v>
      </c>
      <c r="BA947" s="1">
        <v>172.78</v>
      </c>
      <c r="BB947" s="1">
        <v>195.01</v>
      </c>
      <c r="BC947" s="1">
        <v>193.15</v>
      </c>
      <c r="BD947" s="1">
        <v>191.24</v>
      </c>
      <c r="BE947" s="1">
        <v>179.72</v>
      </c>
      <c r="BF947" s="1">
        <v>179.64</v>
      </c>
      <c r="BG947" s="1">
        <v>194.25</v>
      </c>
      <c r="BI947" s="1">
        <v>183.68</v>
      </c>
      <c r="BJ947" s="1">
        <v>191.06</v>
      </c>
      <c r="BK947" s="1">
        <v>171.79</v>
      </c>
      <c r="BL947" s="1">
        <v>173.47</v>
      </c>
      <c r="BN947" s="1">
        <v>172.97</v>
      </c>
    </row>
    <row r="948" spans="1:66" x14ac:dyDescent="0.3">
      <c r="A948" s="2"/>
      <c r="C948" s="14" t="str">
        <f t="shared" si="15"/>
        <v>20226</v>
      </c>
      <c r="D948" s="3">
        <v>44726</v>
      </c>
      <c r="E948" s="21">
        <v>2454.7600000000002</v>
      </c>
      <c r="F948" s="21">
        <v>2388.64</v>
      </c>
      <c r="G948" s="21">
        <v>2427.86</v>
      </c>
      <c r="H948" s="21">
        <v>2337.6799999999998</v>
      </c>
      <c r="I948" s="21">
        <v>2400.88</v>
      </c>
      <c r="J948" s="21">
        <v>2450.66</v>
      </c>
      <c r="K948" s="21">
        <v>2356.0300000000002</v>
      </c>
      <c r="L948" s="21">
        <v>2355.7399999999998</v>
      </c>
      <c r="M948" s="21">
        <v>2309.4699999999998</v>
      </c>
      <c r="N948" s="21">
        <v>2141.8200000000002</v>
      </c>
      <c r="O948" s="21">
        <v>2415.9699999999998</v>
      </c>
      <c r="P948" s="21">
        <v>2403.09</v>
      </c>
      <c r="Q948" s="21">
        <v>9357.2099999999991</v>
      </c>
      <c r="R948" s="20">
        <v>174.88</v>
      </c>
      <c r="S948" s="20">
        <v>162.13</v>
      </c>
      <c r="T948" s="21">
        <v>182.64</v>
      </c>
      <c r="V948" s="1">
        <v>169.31</v>
      </c>
      <c r="W948" s="1">
        <v>184.99</v>
      </c>
      <c r="X948" s="1">
        <v>183.88</v>
      </c>
      <c r="Y948" s="1">
        <v>179.32</v>
      </c>
      <c r="Z948" s="1">
        <v>179.95</v>
      </c>
      <c r="AA948" s="1">
        <v>177.82</v>
      </c>
      <c r="AB948" s="1">
        <v>183.95</v>
      </c>
      <c r="AE948" s="1">
        <v>193.16</v>
      </c>
      <c r="AF948" s="1">
        <v>187.28</v>
      </c>
      <c r="AG948" s="1">
        <v>164.72</v>
      </c>
      <c r="AQ948" s="1">
        <v>4314.6400000000003</v>
      </c>
      <c r="AU948" s="1">
        <v>3683.1</v>
      </c>
      <c r="AW948" s="1">
        <v>4009.07</v>
      </c>
      <c r="AX948" s="1">
        <v>173.3</v>
      </c>
      <c r="BA948" s="1">
        <v>173.75</v>
      </c>
      <c r="BB948" s="1">
        <v>195.6</v>
      </c>
      <c r="BC948" s="1">
        <v>192.64</v>
      </c>
      <c r="BD948" s="1">
        <v>192.23</v>
      </c>
      <c r="BE948" s="1">
        <v>179.94</v>
      </c>
      <c r="BF948" s="1">
        <v>180.05</v>
      </c>
      <c r="BG948" s="1">
        <v>194.89</v>
      </c>
      <c r="BI948" s="1">
        <v>183.18</v>
      </c>
      <c r="BJ948" s="1">
        <v>191.23</v>
      </c>
      <c r="BK948" s="1">
        <v>172.04</v>
      </c>
      <c r="BL948" s="1">
        <v>173.97</v>
      </c>
      <c r="BN948" s="1">
        <v>173.24</v>
      </c>
    </row>
    <row r="949" spans="1:66" x14ac:dyDescent="0.3">
      <c r="A949" s="2"/>
      <c r="C949" s="14" t="str">
        <f t="shared" si="15"/>
        <v>20226</v>
      </c>
      <c r="D949" s="3">
        <v>44725</v>
      </c>
      <c r="E949" s="21">
        <v>2473.2399999999998</v>
      </c>
      <c r="F949" s="21">
        <v>2388.64</v>
      </c>
      <c r="G949" s="21">
        <v>2427.86</v>
      </c>
      <c r="H949" s="21">
        <v>2247.96</v>
      </c>
      <c r="I949" s="21">
        <v>2400.88</v>
      </c>
      <c r="J949" s="21">
        <v>2435.27</v>
      </c>
      <c r="K949" s="21">
        <v>2356.48</v>
      </c>
      <c r="L949" s="21">
        <v>2418.23</v>
      </c>
      <c r="M949" s="21">
        <v>2316.11</v>
      </c>
      <c r="N949" s="21">
        <v>2171.44</v>
      </c>
      <c r="O949" s="21">
        <v>2373.9899999999998</v>
      </c>
      <c r="P949" s="21">
        <v>2345.4</v>
      </c>
      <c r="Q949" s="21">
        <v>9542.39</v>
      </c>
      <c r="R949" s="20">
        <v>175.45</v>
      </c>
      <c r="S949" s="20">
        <v>163.13</v>
      </c>
      <c r="T949" s="21">
        <v>182.6</v>
      </c>
      <c r="V949" s="1">
        <v>169.31</v>
      </c>
      <c r="W949" s="1">
        <v>183.79</v>
      </c>
      <c r="X949" s="1">
        <v>183.94</v>
      </c>
      <c r="Y949" s="1">
        <v>177.82</v>
      </c>
      <c r="Z949" s="1">
        <v>180</v>
      </c>
      <c r="AA949" s="1">
        <v>177.61</v>
      </c>
      <c r="AB949" s="1">
        <v>184.39</v>
      </c>
      <c r="AE949" s="1">
        <v>193.18</v>
      </c>
      <c r="AF949" s="1">
        <v>187.71</v>
      </c>
      <c r="AG949" s="1">
        <v>163.75</v>
      </c>
      <c r="AQ949" s="1">
        <v>4314.6400000000003</v>
      </c>
      <c r="AU949" s="1">
        <v>3614.9</v>
      </c>
      <c r="AW949" s="1">
        <v>3769.56</v>
      </c>
      <c r="AX949" s="1">
        <v>173.56</v>
      </c>
      <c r="BA949" s="1">
        <v>176.19</v>
      </c>
      <c r="BB949" s="1">
        <v>195.08</v>
      </c>
      <c r="BC949" s="1">
        <v>192.01</v>
      </c>
      <c r="BD949" s="1">
        <v>192.66</v>
      </c>
      <c r="BE949" s="1">
        <v>182.61</v>
      </c>
      <c r="BF949" s="1">
        <v>179.74</v>
      </c>
      <c r="BG949" s="1">
        <v>195.92</v>
      </c>
      <c r="BI949" s="1">
        <v>183.5</v>
      </c>
      <c r="BJ949" s="1">
        <v>191.21</v>
      </c>
      <c r="BK949" s="1">
        <v>172.36</v>
      </c>
      <c r="BL949" s="1">
        <v>174.46</v>
      </c>
      <c r="BN949" s="1">
        <v>173.43</v>
      </c>
    </row>
    <row r="950" spans="1:66" x14ac:dyDescent="0.3">
      <c r="A950" s="2"/>
      <c r="C950" s="14" t="str">
        <f t="shared" si="15"/>
        <v>20226</v>
      </c>
      <c r="D950" s="3">
        <v>44722</v>
      </c>
      <c r="E950" s="21">
        <v>2464.75</v>
      </c>
      <c r="F950" s="21">
        <v>2388.64</v>
      </c>
      <c r="G950" s="21">
        <v>2415.42</v>
      </c>
      <c r="H950" s="21">
        <v>2243.38</v>
      </c>
      <c r="I950" s="21">
        <v>2400.88</v>
      </c>
      <c r="J950" s="21">
        <v>2421.34</v>
      </c>
      <c r="K950" s="21">
        <v>2356.48</v>
      </c>
      <c r="L950" s="21">
        <v>2451.37</v>
      </c>
      <c r="M950" s="21">
        <v>2322.7399999999998</v>
      </c>
      <c r="N950" s="21">
        <v>2155.41</v>
      </c>
      <c r="O950" s="21">
        <v>2461.87</v>
      </c>
      <c r="P950" s="21">
        <v>2345.4</v>
      </c>
      <c r="Q950" s="21">
        <v>9590</v>
      </c>
      <c r="R950" s="20">
        <v>174.45</v>
      </c>
      <c r="S950" s="20">
        <v>162.52000000000001</v>
      </c>
      <c r="T950" s="21">
        <v>182.91</v>
      </c>
      <c r="V950" s="1">
        <v>168.03</v>
      </c>
      <c r="W950" s="1">
        <v>183.63</v>
      </c>
      <c r="X950" s="1">
        <v>185.1</v>
      </c>
      <c r="Y950" s="1">
        <v>179.48</v>
      </c>
      <c r="Z950" s="1">
        <v>179.2</v>
      </c>
      <c r="AA950" s="1">
        <v>177.57</v>
      </c>
      <c r="AB950" s="1">
        <v>185.45</v>
      </c>
      <c r="AE950" s="1">
        <v>193.05</v>
      </c>
      <c r="AF950" s="1">
        <v>188.26</v>
      </c>
      <c r="AG950" s="1">
        <v>162.81</v>
      </c>
      <c r="AQ950" s="1">
        <v>4314.6400000000003</v>
      </c>
      <c r="AU950" s="1">
        <v>3614.9</v>
      </c>
      <c r="AW950" s="1">
        <v>3791.58</v>
      </c>
      <c r="AX950" s="1">
        <v>176.05</v>
      </c>
      <c r="BA950" s="1">
        <v>176.65</v>
      </c>
      <c r="BB950" s="1">
        <v>195.87</v>
      </c>
      <c r="BC950" s="1">
        <v>191.68</v>
      </c>
      <c r="BD950" s="1">
        <v>193.22</v>
      </c>
      <c r="BE950" s="1">
        <v>182.51</v>
      </c>
      <c r="BF950" s="1">
        <v>179.6</v>
      </c>
      <c r="BG950" s="1">
        <v>196.12</v>
      </c>
      <c r="BH950" s="1">
        <v>174.66</v>
      </c>
      <c r="BI950" s="1">
        <v>182.68</v>
      </c>
      <c r="BJ950" s="1">
        <v>191.16</v>
      </c>
      <c r="BK950" s="1">
        <v>172.58</v>
      </c>
      <c r="BL950" s="1">
        <v>175.33</v>
      </c>
      <c r="BN950" s="1">
        <v>174.42</v>
      </c>
    </row>
    <row r="951" spans="1:66" x14ac:dyDescent="0.3">
      <c r="A951" s="2"/>
      <c r="C951" s="14" t="str">
        <f t="shared" si="15"/>
        <v>20226</v>
      </c>
      <c r="D951" s="3">
        <v>44721</v>
      </c>
      <c r="E951" s="21">
        <v>2444.83</v>
      </c>
      <c r="F951" s="21">
        <v>2388.64</v>
      </c>
      <c r="G951" s="21">
        <v>2403.0500000000002</v>
      </c>
      <c r="H951" s="21">
        <v>2206.31</v>
      </c>
      <c r="I951" s="21">
        <v>2371.19</v>
      </c>
      <c r="J951" s="21">
        <v>2375.9499999999998</v>
      </c>
      <c r="K951" s="21">
        <v>2349.85</v>
      </c>
      <c r="L951" s="21">
        <v>2380.63</v>
      </c>
      <c r="M951" s="21">
        <v>2202.7800000000002</v>
      </c>
      <c r="N951" s="21">
        <v>2103.23</v>
      </c>
      <c r="O951" s="21">
        <v>2341.9899999999998</v>
      </c>
      <c r="P951" s="21">
        <v>2325.46</v>
      </c>
      <c r="Q951" s="21">
        <v>9532.6299999999992</v>
      </c>
      <c r="R951" s="20">
        <v>173.43</v>
      </c>
      <c r="S951" s="20">
        <v>159.43</v>
      </c>
      <c r="T951" s="21">
        <v>182.33</v>
      </c>
      <c r="V951" s="1">
        <v>167.6</v>
      </c>
      <c r="W951" s="1">
        <v>182.33</v>
      </c>
      <c r="X951" s="1">
        <v>182.69</v>
      </c>
      <c r="Y951" s="1">
        <v>177.41</v>
      </c>
      <c r="Z951" s="1">
        <v>178.58</v>
      </c>
      <c r="AA951" s="1">
        <v>177.11</v>
      </c>
      <c r="AB951" s="1">
        <v>183.6</v>
      </c>
      <c r="AE951" s="1">
        <v>190.07</v>
      </c>
      <c r="AF951" s="1">
        <v>186.27</v>
      </c>
      <c r="AG951" s="1">
        <v>164.35</v>
      </c>
      <c r="AQ951" s="1">
        <v>4314.6400000000003</v>
      </c>
      <c r="AU951" s="1">
        <v>3546.69</v>
      </c>
      <c r="AW951" s="1">
        <v>3791.58</v>
      </c>
      <c r="AX951" s="1">
        <v>174.81</v>
      </c>
      <c r="AY951" s="1">
        <v>3601.26</v>
      </c>
      <c r="BA951" s="1">
        <v>174.85</v>
      </c>
      <c r="BB951" s="1">
        <v>193.91</v>
      </c>
      <c r="BC951" s="1">
        <v>190.62</v>
      </c>
      <c r="BD951" s="1">
        <v>192.16</v>
      </c>
      <c r="BE951" s="1">
        <v>182.12</v>
      </c>
      <c r="BF951" s="1">
        <v>178.55</v>
      </c>
      <c r="BG951" s="1">
        <v>192.75</v>
      </c>
      <c r="BH951" s="1">
        <v>172.42</v>
      </c>
      <c r="BI951" s="1">
        <v>181.31</v>
      </c>
      <c r="BJ951" s="1">
        <v>189.93</v>
      </c>
      <c r="BK951" s="1">
        <v>172.24</v>
      </c>
      <c r="BL951" s="1">
        <v>174.43</v>
      </c>
      <c r="BN951" s="1">
        <v>174.03</v>
      </c>
    </row>
    <row r="952" spans="1:66" x14ac:dyDescent="0.3">
      <c r="A952" s="2"/>
      <c r="C952" s="14" t="str">
        <f t="shared" si="15"/>
        <v>20226</v>
      </c>
      <c r="D952" s="3">
        <v>44720</v>
      </c>
      <c r="E952" s="21">
        <v>2422.04</v>
      </c>
      <c r="F952" s="21">
        <v>2415.63</v>
      </c>
      <c r="G952" s="21">
        <v>2358.65</v>
      </c>
      <c r="H952" s="21">
        <v>2206.31</v>
      </c>
      <c r="I952" s="21">
        <v>2390.98</v>
      </c>
      <c r="J952" s="21">
        <v>2383.0500000000002</v>
      </c>
      <c r="K952" s="21">
        <v>2272.75</v>
      </c>
      <c r="L952" s="21">
        <v>2301.11</v>
      </c>
      <c r="M952" s="21">
        <v>2199.91</v>
      </c>
      <c r="N952" s="21">
        <v>2090.16</v>
      </c>
      <c r="O952" s="21">
        <v>2333.9899999999998</v>
      </c>
      <c r="P952" s="21">
        <v>2305.56</v>
      </c>
      <c r="Q952" s="21">
        <v>9460.51</v>
      </c>
      <c r="R952" s="20">
        <v>173.2</v>
      </c>
      <c r="S952" s="20">
        <v>159.43</v>
      </c>
      <c r="T952" s="21">
        <v>180.19</v>
      </c>
      <c r="V952" s="1">
        <v>167.8</v>
      </c>
      <c r="W952" s="1">
        <v>181.2</v>
      </c>
      <c r="X952" s="1">
        <v>180.54</v>
      </c>
      <c r="Y952" s="1">
        <v>177.73</v>
      </c>
      <c r="Z952" s="1">
        <v>97.45</v>
      </c>
      <c r="AA952" s="1">
        <v>177.53</v>
      </c>
      <c r="AB952" s="1">
        <v>181.85</v>
      </c>
      <c r="AE952" s="1">
        <v>188.43</v>
      </c>
      <c r="AF952" s="1">
        <v>183.86</v>
      </c>
      <c r="AG952" s="1">
        <v>164.74</v>
      </c>
      <c r="AU952" s="1">
        <v>3546.69</v>
      </c>
      <c r="AW952" s="1">
        <v>3791.58</v>
      </c>
      <c r="AX952" s="1">
        <v>172.84</v>
      </c>
      <c r="AY952" s="1">
        <v>3601.26</v>
      </c>
      <c r="BA952" s="1">
        <v>173.18</v>
      </c>
      <c r="BB952" s="1">
        <v>191.93</v>
      </c>
      <c r="BC952" s="1">
        <v>189.73</v>
      </c>
      <c r="BD952" s="1">
        <v>189.76</v>
      </c>
      <c r="BE952" s="1">
        <v>181.27</v>
      </c>
      <c r="BF952" s="1">
        <v>177.73</v>
      </c>
      <c r="BG952" s="1">
        <v>191.43</v>
      </c>
      <c r="BH952" s="1">
        <v>172.69</v>
      </c>
      <c r="BI952" s="1">
        <v>181.31</v>
      </c>
      <c r="BJ952" s="1">
        <v>189.92</v>
      </c>
      <c r="BK952" s="1">
        <v>172.2</v>
      </c>
      <c r="BL952" s="1">
        <v>172.84</v>
      </c>
      <c r="BN952" s="1">
        <v>172.44</v>
      </c>
    </row>
    <row r="953" spans="1:66" x14ac:dyDescent="0.3">
      <c r="A953" s="2"/>
      <c r="C953" s="14" t="str">
        <f t="shared" si="15"/>
        <v>20226</v>
      </c>
      <c r="D953" s="3">
        <v>44719</v>
      </c>
      <c r="E953" s="21">
        <v>2358.1799999999998</v>
      </c>
      <c r="F953" s="21">
        <v>2370.65</v>
      </c>
      <c r="G953" s="21">
        <v>2366.0100000000002</v>
      </c>
      <c r="H953" s="21">
        <v>2114.52</v>
      </c>
      <c r="I953" s="21">
        <v>2394.94</v>
      </c>
      <c r="J953" s="21">
        <v>2370.8200000000002</v>
      </c>
      <c r="K953" s="21">
        <v>2328.69</v>
      </c>
      <c r="L953" s="21">
        <v>2299.08</v>
      </c>
      <c r="M953" s="21">
        <v>2191.3000000000002</v>
      </c>
      <c r="N953" s="21">
        <v>2017.17</v>
      </c>
      <c r="O953" s="21">
        <v>2406.88</v>
      </c>
      <c r="P953" s="21">
        <v>2292.91</v>
      </c>
      <c r="Q953" s="21">
        <v>9408.0499999999993</v>
      </c>
      <c r="R953" s="20">
        <v>173.2</v>
      </c>
      <c r="S953" s="20">
        <v>158.44999999999999</v>
      </c>
      <c r="T953" s="21">
        <v>177.92</v>
      </c>
      <c r="V953" s="1">
        <v>163.89</v>
      </c>
      <c r="W953" s="1">
        <v>180.64</v>
      </c>
      <c r="X953" s="1">
        <v>178.07</v>
      </c>
      <c r="Y953" s="1">
        <v>174.05</v>
      </c>
      <c r="Z953" s="1">
        <v>174.83</v>
      </c>
      <c r="AA953" s="1">
        <v>175.91</v>
      </c>
      <c r="AB953" s="1">
        <v>177.66</v>
      </c>
      <c r="AE953" s="1">
        <v>186.51</v>
      </c>
      <c r="AF953" s="1">
        <v>179.89</v>
      </c>
      <c r="AG953" s="1">
        <v>164.15</v>
      </c>
      <c r="AU953" s="1">
        <v>3546.69</v>
      </c>
      <c r="AW953" s="1">
        <v>3791.58</v>
      </c>
      <c r="AX953" s="1">
        <v>173.42</v>
      </c>
      <c r="AY953" s="1">
        <v>3601.26</v>
      </c>
      <c r="BA953" s="1">
        <v>172.33</v>
      </c>
      <c r="BB953" s="1">
        <v>190.21</v>
      </c>
      <c r="BC953" s="1">
        <v>187.91</v>
      </c>
      <c r="BD953" s="1">
        <v>186.57</v>
      </c>
      <c r="BE953" s="1">
        <v>179.64</v>
      </c>
      <c r="BF953" s="1">
        <v>177.9</v>
      </c>
      <c r="BG953" s="1">
        <v>188.42</v>
      </c>
      <c r="BH953" s="1">
        <v>173.38</v>
      </c>
      <c r="BI953" s="1">
        <v>178.52</v>
      </c>
      <c r="BJ953" s="1">
        <v>189.63</v>
      </c>
      <c r="BK953" s="1">
        <v>171.4</v>
      </c>
      <c r="BL953" s="1">
        <v>171.04</v>
      </c>
      <c r="BN953" s="1">
        <v>170.85</v>
      </c>
    </row>
    <row r="954" spans="1:66" x14ac:dyDescent="0.3">
      <c r="A954" s="2"/>
      <c r="C954" s="14" t="str">
        <f t="shared" si="15"/>
        <v>20226</v>
      </c>
      <c r="D954" s="3">
        <v>44718</v>
      </c>
      <c r="E954" s="21">
        <v>2357.6999999999998</v>
      </c>
      <c r="F954" s="21">
        <v>2398.2399999999998</v>
      </c>
      <c r="G954" s="21">
        <v>2403.46</v>
      </c>
      <c r="H954" s="21">
        <v>2114.52</v>
      </c>
      <c r="I954" s="21">
        <v>2394.94</v>
      </c>
      <c r="J954" s="21">
        <v>2362.73</v>
      </c>
      <c r="K954" s="21">
        <v>2275.46</v>
      </c>
      <c r="L954" s="21">
        <v>2224.04</v>
      </c>
      <c r="M954" s="21">
        <v>2165.46</v>
      </c>
      <c r="N954" s="21">
        <v>2017.55</v>
      </c>
      <c r="O954" s="21">
        <v>2341.06</v>
      </c>
      <c r="P954" s="21">
        <v>2292.91</v>
      </c>
      <c r="Q954" s="21">
        <v>9364.52</v>
      </c>
      <c r="R954" s="20">
        <v>170.27</v>
      </c>
      <c r="S954" s="20">
        <v>156.34</v>
      </c>
      <c r="T954" s="21">
        <v>176.37</v>
      </c>
      <c r="V954" s="1">
        <v>163.32</v>
      </c>
      <c r="W954" s="1">
        <v>176.86</v>
      </c>
      <c r="X954" s="1">
        <v>178.11</v>
      </c>
      <c r="Y954" s="1">
        <v>174.18</v>
      </c>
      <c r="Z954" s="1">
        <v>173.21</v>
      </c>
      <c r="AA954" s="1">
        <v>173.64</v>
      </c>
      <c r="AB954" s="1">
        <v>177.39</v>
      </c>
      <c r="AE954" s="1">
        <v>185.61</v>
      </c>
      <c r="AF954" s="1">
        <v>180.39</v>
      </c>
      <c r="AG954" s="1">
        <v>161.80000000000001</v>
      </c>
      <c r="AW954" s="1">
        <v>4117.3500000000004</v>
      </c>
      <c r="AX954" s="1">
        <v>173.12</v>
      </c>
      <c r="AY954" s="1">
        <v>3601.26</v>
      </c>
      <c r="AZ954" s="1">
        <v>3637.63</v>
      </c>
      <c r="BA954" s="1">
        <v>169.31</v>
      </c>
      <c r="BB954" s="1">
        <v>186.73</v>
      </c>
      <c r="BC954" s="1">
        <v>184.21</v>
      </c>
      <c r="BD954" s="1">
        <v>184.02</v>
      </c>
      <c r="BE954" s="1">
        <v>176.38</v>
      </c>
      <c r="BF954" s="1">
        <v>172.79</v>
      </c>
      <c r="BG954" s="1">
        <v>186.74</v>
      </c>
      <c r="BH954" s="1">
        <v>173.38</v>
      </c>
      <c r="BI954" s="1">
        <v>178.12</v>
      </c>
      <c r="BJ954" s="1">
        <v>189.56</v>
      </c>
      <c r="BL954" s="1">
        <v>167.47</v>
      </c>
      <c r="BN954" s="1">
        <v>166.4</v>
      </c>
    </row>
    <row r="955" spans="1:66" x14ac:dyDescent="0.3">
      <c r="A955" s="2"/>
      <c r="C955" s="14" t="str">
        <f t="shared" si="15"/>
        <v>20226</v>
      </c>
      <c r="D955" s="3">
        <v>44715</v>
      </c>
      <c r="E955" s="21">
        <v>2366.4</v>
      </c>
      <c r="F955" s="21">
        <v>2398.2399999999998</v>
      </c>
      <c r="G955" s="21">
        <v>2413.36</v>
      </c>
      <c r="H955" s="21">
        <v>2136.11</v>
      </c>
      <c r="I955" s="21">
        <v>2394.94</v>
      </c>
      <c r="J955" s="21">
        <v>2362.9299999999998</v>
      </c>
      <c r="K955" s="21">
        <v>2275.46</v>
      </c>
      <c r="L955" s="21">
        <v>2239.2399999999998</v>
      </c>
      <c r="M955" s="21">
        <v>2158.8200000000002</v>
      </c>
      <c r="N955" s="21">
        <v>2017.52</v>
      </c>
      <c r="O955" s="21">
        <v>2359.0500000000002</v>
      </c>
      <c r="P955" s="21">
        <v>2300.39</v>
      </c>
      <c r="Q955" s="21">
        <v>9331.59</v>
      </c>
      <c r="R955" s="20">
        <v>171.6</v>
      </c>
      <c r="S955" s="20">
        <v>155.94</v>
      </c>
      <c r="T955" s="21">
        <v>176.27</v>
      </c>
      <c r="V955" s="1">
        <v>163.32</v>
      </c>
      <c r="W955" s="1">
        <v>178.75</v>
      </c>
      <c r="X955" s="1">
        <v>180.7</v>
      </c>
      <c r="Y955" s="1">
        <v>174.64</v>
      </c>
      <c r="Z955" s="1">
        <v>173.58</v>
      </c>
      <c r="AA955" s="1">
        <v>174.19</v>
      </c>
      <c r="AB955" s="1">
        <v>177.07</v>
      </c>
      <c r="AE955" s="1">
        <v>187.44</v>
      </c>
      <c r="AF955" s="1">
        <v>179.07</v>
      </c>
      <c r="AG955" s="1">
        <v>160.91999999999999</v>
      </c>
      <c r="AT955" s="1">
        <v>3480</v>
      </c>
      <c r="AW955" s="1">
        <v>4224.7</v>
      </c>
      <c r="AX955" s="1">
        <v>171.9</v>
      </c>
      <c r="AY955" s="1">
        <v>3601.26</v>
      </c>
      <c r="AZ955" s="1">
        <v>3637.63</v>
      </c>
      <c r="BA955" s="1">
        <v>169.76</v>
      </c>
      <c r="BB955" s="1">
        <v>186.94</v>
      </c>
      <c r="BC955" s="1">
        <v>185.59</v>
      </c>
      <c r="BD955" s="1">
        <v>185.05</v>
      </c>
      <c r="BE955" s="1">
        <v>179.17</v>
      </c>
      <c r="BF955" s="1">
        <v>173.55</v>
      </c>
      <c r="BG955" s="1">
        <v>188.63</v>
      </c>
      <c r="BH955" s="1">
        <v>173.38</v>
      </c>
      <c r="BI955" s="1">
        <v>178.62</v>
      </c>
      <c r="BJ955" s="1">
        <v>188.21</v>
      </c>
      <c r="BL955" s="1">
        <v>168.13</v>
      </c>
      <c r="BN955" s="1">
        <v>168.47</v>
      </c>
    </row>
    <row r="956" spans="1:66" x14ac:dyDescent="0.3">
      <c r="A956" s="2"/>
      <c r="C956" s="14" t="str">
        <f t="shared" si="15"/>
        <v>20226</v>
      </c>
      <c r="D956" s="3">
        <v>44714</v>
      </c>
      <c r="E956" s="21">
        <v>2362.6799999999998</v>
      </c>
      <c r="F956" s="21">
        <v>2398.2399999999998</v>
      </c>
      <c r="G956" s="21">
        <v>2413.36</v>
      </c>
      <c r="H956" s="21">
        <v>2155.35</v>
      </c>
      <c r="I956" s="21">
        <v>2402.86</v>
      </c>
      <c r="J956" s="21">
        <v>2378.62</v>
      </c>
      <c r="K956" s="21">
        <v>2294.8200000000002</v>
      </c>
      <c r="L956" s="21">
        <v>2318.96</v>
      </c>
      <c r="M956" s="21">
        <v>2152.19</v>
      </c>
      <c r="N956" s="21">
        <v>2007.26</v>
      </c>
      <c r="O956" s="21">
        <v>2439.36</v>
      </c>
      <c r="P956" s="21">
        <v>2270.52</v>
      </c>
      <c r="Q956" s="21">
        <v>9356.34</v>
      </c>
      <c r="R956" s="20">
        <v>170.11</v>
      </c>
      <c r="S956" s="20">
        <v>157.85</v>
      </c>
      <c r="T956" s="21">
        <v>175.88</v>
      </c>
      <c r="V956" s="1">
        <v>163.19999999999999</v>
      </c>
      <c r="W956" s="1">
        <v>178.15</v>
      </c>
      <c r="X956" s="1">
        <v>179.4</v>
      </c>
      <c r="Y956" s="1">
        <v>173.99</v>
      </c>
      <c r="Z956" s="1">
        <v>174.08</v>
      </c>
      <c r="AA956" s="1">
        <v>174.62</v>
      </c>
      <c r="AB956" s="1">
        <v>175.58</v>
      </c>
      <c r="AE956" s="1">
        <v>186.65</v>
      </c>
      <c r="AF956" s="1">
        <v>178.37</v>
      </c>
      <c r="AG956" s="1">
        <v>160.25</v>
      </c>
      <c r="AT956" s="1">
        <v>3544.67</v>
      </c>
      <c r="AW956" s="1">
        <v>4224.7</v>
      </c>
      <c r="AX956" s="1">
        <v>172.12</v>
      </c>
      <c r="AZ956" s="1">
        <v>3637.63</v>
      </c>
      <c r="BA956" s="1">
        <v>172.8</v>
      </c>
      <c r="BB956" s="1">
        <v>185.8</v>
      </c>
      <c r="BC956" s="1">
        <v>185.56</v>
      </c>
      <c r="BD956" s="1">
        <v>184.26</v>
      </c>
      <c r="BE956" s="1">
        <v>178.37</v>
      </c>
      <c r="BF956" s="1">
        <v>171.84</v>
      </c>
      <c r="BG956" s="1">
        <v>186.61</v>
      </c>
      <c r="BH956" s="1">
        <v>172.72</v>
      </c>
      <c r="BI956" s="1">
        <v>179.11</v>
      </c>
      <c r="BJ956" s="1">
        <v>188.75</v>
      </c>
      <c r="BL956" s="1">
        <v>168.38</v>
      </c>
      <c r="BN956" s="1">
        <v>168.28</v>
      </c>
    </row>
    <row r="957" spans="1:66" x14ac:dyDescent="0.3">
      <c r="A957" s="2"/>
      <c r="C957" s="14" t="str">
        <f t="shared" si="15"/>
        <v>20226</v>
      </c>
      <c r="D957" s="3">
        <v>44713</v>
      </c>
      <c r="E957" s="21">
        <v>2357.69</v>
      </c>
      <c r="F957" s="21">
        <v>2398.2399999999998</v>
      </c>
      <c r="G957" s="21">
        <v>2413.36</v>
      </c>
      <c r="H957" s="21">
        <v>2158.23</v>
      </c>
      <c r="I957" s="21">
        <v>2471.64</v>
      </c>
      <c r="J957" s="21">
        <v>2378.62</v>
      </c>
      <c r="K957" s="21">
        <v>2247.2399999999998</v>
      </c>
      <c r="L957" s="21">
        <v>2259.48</v>
      </c>
      <c r="M957" s="21">
        <v>2178.58</v>
      </c>
      <c r="N957" s="21">
        <v>2021.5</v>
      </c>
      <c r="O957" s="21">
        <v>2327.1</v>
      </c>
      <c r="P957" s="21">
        <v>2270.52</v>
      </c>
      <c r="Q957" s="21">
        <v>9156.2199999999993</v>
      </c>
      <c r="R957" s="20">
        <v>169.27</v>
      </c>
      <c r="S957" s="20">
        <v>156.58000000000001</v>
      </c>
      <c r="T957" s="21">
        <v>176.31</v>
      </c>
      <c r="V957" s="1">
        <v>163.87</v>
      </c>
      <c r="W957" s="1">
        <v>175.2</v>
      </c>
      <c r="X957" s="1">
        <v>175.49</v>
      </c>
      <c r="Y957" s="1">
        <v>172.06</v>
      </c>
      <c r="Z957" s="1">
        <v>172.58</v>
      </c>
      <c r="AA957" s="1">
        <v>173.77</v>
      </c>
      <c r="AB957" s="1">
        <v>174.96</v>
      </c>
      <c r="AE957" s="1">
        <v>182.72</v>
      </c>
      <c r="AF957" s="1">
        <v>181.1</v>
      </c>
      <c r="AG957" s="1">
        <v>160.38999999999999</v>
      </c>
      <c r="AT957" s="1">
        <v>3544.67</v>
      </c>
      <c r="AW957" s="1">
        <v>4224.7</v>
      </c>
      <c r="AX957" s="1">
        <v>172.02</v>
      </c>
      <c r="AZ957" s="1">
        <v>3637.63</v>
      </c>
      <c r="BA957" s="1">
        <v>171.71</v>
      </c>
      <c r="BB957" s="1">
        <v>184.86</v>
      </c>
      <c r="BC957" s="1">
        <v>182.41</v>
      </c>
      <c r="BD957" s="1">
        <v>182.87</v>
      </c>
      <c r="BE957" s="1">
        <v>179.58</v>
      </c>
      <c r="BF957" s="1">
        <v>172.06</v>
      </c>
      <c r="BG957" s="1">
        <v>185.06</v>
      </c>
      <c r="BH957" s="1">
        <v>172.72</v>
      </c>
      <c r="BI957" s="1">
        <v>177.52</v>
      </c>
      <c r="BJ957" s="1">
        <v>190.9</v>
      </c>
      <c r="BL957" s="1">
        <v>166.63</v>
      </c>
      <c r="BN957" s="1">
        <v>167.48</v>
      </c>
    </row>
    <row r="958" spans="1:66" x14ac:dyDescent="0.3">
      <c r="A958" s="2"/>
      <c r="C958" s="14" t="str">
        <f t="shared" si="15"/>
        <v>20225</v>
      </c>
      <c r="D958" s="3">
        <v>44712</v>
      </c>
      <c r="E958" s="21">
        <v>2378.4699999999998</v>
      </c>
      <c r="F958" s="21">
        <v>2404.84</v>
      </c>
      <c r="G958" s="21">
        <v>2428.9299999999998</v>
      </c>
      <c r="H958" s="21">
        <v>2234.6999999999998</v>
      </c>
      <c r="I958" s="21">
        <v>2422.65</v>
      </c>
      <c r="J958" s="21">
        <v>2396.91</v>
      </c>
      <c r="K958" s="21">
        <v>2227.31</v>
      </c>
      <c r="L958" s="21">
        <v>2209.9299999999998</v>
      </c>
      <c r="M958" s="21">
        <v>2218.0300000000002</v>
      </c>
      <c r="N958" s="21">
        <v>2064.19</v>
      </c>
      <c r="O958" s="21">
        <v>2438.6799999999998</v>
      </c>
      <c r="P958" s="21">
        <v>2270.52</v>
      </c>
      <c r="Q958" s="21">
        <v>9111.16</v>
      </c>
      <c r="R958" s="20">
        <v>172.24</v>
      </c>
      <c r="S958" s="20">
        <v>157.13999999999999</v>
      </c>
      <c r="T958" s="21">
        <v>177.7</v>
      </c>
      <c r="V958" s="1">
        <v>166.2</v>
      </c>
      <c r="W958" s="1">
        <v>176.15</v>
      </c>
      <c r="X958" s="1">
        <v>178.76</v>
      </c>
      <c r="Y958" s="1">
        <v>174.24</v>
      </c>
      <c r="Z958" s="1">
        <v>173.45</v>
      </c>
      <c r="AA958" s="1">
        <v>175.4</v>
      </c>
      <c r="AB958" s="1">
        <v>177.76</v>
      </c>
      <c r="AE958" s="1">
        <v>184.72</v>
      </c>
      <c r="AF958" s="1">
        <v>177.45</v>
      </c>
      <c r="AG958" s="1">
        <v>161</v>
      </c>
      <c r="AH958" s="1">
        <v>10</v>
      </c>
      <c r="AQ958" s="1">
        <v>4370.1899999999996</v>
      </c>
      <c r="AS958" s="1">
        <v>4395.47</v>
      </c>
      <c r="AT958" s="1">
        <v>3544.67</v>
      </c>
      <c r="AW958" s="1">
        <v>4116.84</v>
      </c>
      <c r="AX958" s="1">
        <v>171.6</v>
      </c>
      <c r="AY958" s="1">
        <v>3809.41</v>
      </c>
      <c r="AZ958" s="1">
        <v>3637.63</v>
      </c>
      <c r="BA958" s="1">
        <v>171.1</v>
      </c>
      <c r="BB958" s="1">
        <v>185.02</v>
      </c>
      <c r="BC958" s="1">
        <v>185.56</v>
      </c>
      <c r="BD958" s="1">
        <v>183.22</v>
      </c>
      <c r="BE958" s="1">
        <v>179.06</v>
      </c>
      <c r="BF958" s="1">
        <v>172.41</v>
      </c>
      <c r="BG958" s="1">
        <v>186.42</v>
      </c>
      <c r="BH958" s="1">
        <v>173.05</v>
      </c>
      <c r="BI958" s="1">
        <v>180.51</v>
      </c>
      <c r="BJ958" s="1">
        <v>190.87</v>
      </c>
      <c r="BL958" s="1">
        <v>166.42</v>
      </c>
      <c r="BN958" s="1">
        <v>167.96</v>
      </c>
    </row>
    <row r="959" spans="1:66" x14ac:dyDescent="0.3">
      <c r="A959" s="2"/>
      <c r="C959" s="14" t="str">
        <f t="shared" si="15"/>
        <v>20225</v>
      </c>
      <c r="D959" s="3">
        <v>44711</v>
      </c>
      <c r="E959" s="21">
        <v>2390.79</v>
      </c>
      <c r="F959" s="21">
        <v>2406.64</v>
      </c>
      <c r="G959" s="21">
        <v>2427.86</v>
      </c>
      <c r="H959" s="21">
        <v>2262.79</v>
      </c>
      <c r="I959" s="21">
        <v>2422.65</v>
      </c>
      <c r="J959" s="21">
        <v>2377.0100000000002</v>
      </c>
      <c r="K959" s="21">
        <v>2220.64</v>
      </c>
      <c r="L959" s="21">
        <v>2289.5300000000002</v>
      </c>
      <c r="M959" s="21">
        <v>2229.16</v>
      </c>
      <c r="N959" s="21">
        <v>2071.71</v>
      </c>
      <c r="O959" s="21">
        <v>2481.86</v>
      </c>
      <c r="P959" s="21">
        <v>2260.52</v>
      </c>
      <c r="Q959" s="21">
        <v>9047.33</v>
      </c>
      <c r="R959" s="20">
        <v>172.74</v>
      </c>
      <c r="S959" s="20">
        <v>160.22</v>
      </c>
      <c r="T959" s="21">
        <v>179.14</v>
      </c>
      <c r="V959" s="1">
        <v>167.77</v>
      </c>
      <c r="W959" s="1">
        <v>180.29</v>
      </c>
      <c r="X959" s="1">
        <v>181.2</v>
      </c>
      <c r="Y959" s="1">
        <v>175.72</v>
      </c>
      <c r="Z959" s="1">
        <v>175.95</v>
      </c>
      <c r="AA959" s="1">
        <v>176.16</v>
      </c>
      <c r="AB959" s="1">
        <v>180.66</v>
      </c>
      <c r="AE959" s="1">
        <v>189.74</v>
      </c>
      <c r="AF959" s="1">
        <v>181.34</v>
      </c>
      <c r="AG959" s="1">
        <v>168.12</v>
      </c>
      <c r="AH959" s="1">
        <v>10</v>
      </c>
      <c r="AQ959" s="1">
        <v>4370.1899999999996</v>
      </c>
      <c r="AS959" s="1">
        <v>4395.47</v>
      </c>
      <c r="AT959" s="1">
        <v>3544.67</v>
      </c>
      <c r="AW959" s="1">
        <v>4008.97</v>
      </c>
      <c r="AX959" s="1">
        <v>175.39</v>
      </c>
      <c r="AY959" s="1">
        <v>3809.41</v>
      </c>
      <c r="BA959" s="1">
        <v>172.86</v>
      </c>
      <c r="BB959" s="1">
        <v>188.8</v>
      </c>
      <c r="BC959" s="1">
        <v>187.17</v>
      </c>
      <c r="BD959" s="1">
        <v>188.15</v>
      </c>
      <c r="BE959" s="1">
        <v>183.21</v>
      </c>
      <c r="BF959" s="1">
        <v>176.69</v>
      </c>
      <c r="BG959" s="1">
        <v>189.75</v>
      </c>
      <c r="BH959" s="1">
        <v>175.05</v>
      </c>
      <c r="BI959" s="1">
        <v>180.71</v>
      </c>
      <c r="BJ959" s="1">
        <v>190.85</v>
      </c>
      <c r="BL959" s="1">
        <v>170.74</v>
      </c>
      <c r="BN959" s="1">
        <v>171.02</v>
      </c>
    </row>
    <row r="960" spans="1:66" x14ac:dyDescent="0.3">
      <c r="A960" s="2"/>
      <c r="C960" s="14" t="str">
        <f t="shared" si="15"/>
        <v>20225</v>
      </c>
      <c r="D960" s="3">
        <v>44708</v>
      </c>
      <c r="E960" s="21">
        <v>2399.31</v>
      </c>
      <c r="F960" s="21">
        <v>2415.63</v>
      </c>
      <c r="G960" s="21">
        <v>2427.86</v>
      </c>
      <c r="H960" s="21">
        <v>2272.17</v>
      </c>
      <c r="I960" s="21">
        <v>2440.4699999999998</v>
      </c>
      <c r="J960" s="21">
        <v>2378.9899999999998</v>
      </c>
      <c r="K960" s="21">
        <v>2220.64</v>
      </c>
      <c r="L960" s="21">
        <v>2297.4899999999998</v>
      </c>
      <c r="M960" s="21">
        <v>2231.62</v>
      </c>
      <c r="N960" s="21">
        <v>2076.29</v>
      </c>
      <c r="O960" s="21">
        <v>2420.98</v>
      </c>
      <c r="P960" s="21">
        <v>2258.0300000000002</v>
      </c>
      <c r="Q960" s="21">
        <v>9153.52</v>
      </c>
      <c r="R960" s="20">
        <v>174.2</v>
      </c>
      <c r="S960" s="20">
        <v>160.16</v>
      </c>
      <c r="T960" s="21">
        <v>179.06</v>
      </c>
      <c r="V960" s="1">
        <v>167.31</v>
      </c>
      <c r="W960" s="1">
        <v>180.16</v>
      </c>
      <c r="X960" s="1">
        <v>181.2</v>
      </c>
      <c r="Y960" s="1">
        <v>175.86</v>
      </c>
      <c r="Z960" s="1">
        <v>175.95</v>
      </c>
      <c r="AA960" s="1">
        <v>176.33</v>
      </c>
      <c r="AB960" s="1">
        <v>180.66</v>
      </c>
      <c r="AE960" s="1">
        <v>189.65</v>
      </c>
      <c r="AF960" s="1">
        <v>181.22</v>
      </c>
      <c r="AG960" s="1">
        <v>166.08</v>
      </c>
      <c r="AH960" s="1">
        <v>10</v>
      </c>
      <c r="AQ960" s="1">
        <v>4370.1899999999996</v>
      </c>
      <c r="AS960" s="1">
        <v>4395.47</v>
      </c>
      <c r="AT960" s="1">
        <v>3738.68</v>
      </c>
      <c r="AW960" s="1">
        <v>4008.97</v>
      </c>
      <c r="AX960" s="1">
        <v>174.63</v>
      </c>
      <c r="AY960" s="1">
        <v>3809.41</v>
      </c>
      <c r="BA960" s="1">
        <v>172.86</v>
      </c>
      <c r="BB960" s="1">
        <v>188.88</v>
      </c>
      <c r="BC960" s="1">
        <v>186.9</v>
      </c>
      <c r="BD960" s="1">
        <v>187.82</v>
      </c>
      <c r="BE960" s="1">
        <v>183.63</v>
      </c>
      <c r="BF960" s="1">
        <v>177.19</v>
      </c>
      <c r="BG960" s="1">
        <v>189.63</v>
      </c>
      <c r="BH960" s="1">
        <v>175.05</v>
      </c>
      <c r="BI960" s="1">
        <v>180.71</v>
      </c>
      <c r="BJ960" s="1">
        <v>190.77</v>
      </c>
      <c r="BL960" s="1">
        <v>170.61</v>
      </c>
      <c r="BN960" s="1">
        <v>170.12</v>
      </c>
    </row>
    <row r="961" spans="1:66" x14ac:dyDescent="0.3">
      <c r="A961" s="2"/>
      <c r="C961" s="14" t="str">
        <f t="shared" si="15"/>
        <v>20225</v>
      </c>
      <c r="D961" s="3">
        <v>44707</v>
      </c>
      <c r="E961" s="21">
        <v>2390.11</v>
      </c>
      <c r="F961" s="21">
        <v>2414.73</v>
      </c>
      <c r="G961" s="21">
        <v>2428.9299999999998</v>
      </c>
      <c r="H961" s="21">
        <v>2206.5100000000002</v>
      </c>
      <c r="I961" s="21">
        <v>2440.4699999999998</v>
      </c>
      <c r="J961" s="21">
        <v>2382.9899999999998</v>
      </c>
      <c r="K961" s="21">
        <v>2169.6</v>
      </c>
      <c r="L961" s="21">
        <v>2343.8200000000002</v>
      </c>
      <c r="M961" s="21">
        <v>2225.69</v>
      </c>
      <c r="N961" s="21">
        <v>2087.5500000000002</v>
      </c>
      <c r="O961" s="21">
        <v>2491.84</v>
      </c>
      <c r="P961" s="21">
        <v>2258.0300000000002</v>
      </c>
      <c r="Q961" s="21">
        <v>9308.16</v>
      </c>
      <c r="R961" s="20">
        <v>172.6</v>
      </c>
      <c r="S961" s="20">
        <v>160.31</v>
      </c>
      <c r="T961" s="21">
        <v>177.92</v>
      </c>
      <c r="V961" s="1">
        <v>164.89</v>
      </c>
      <c r="W961" s="1">
        <v>179.06</v>
      </c>
      <c r="X961" s="1">
        <v>180.43</v>
      </c>
      <c r="Y961" s="1">
        <v>175.91</v>
      </c>
      <c r="Z961" s="1">
        <v>176.2</v>
      </c>
      <c r="AA961" s="1">
        <v>175.88</v>
      </c>
      <c r="AB961" s="1">
        <v>180.16</v>
      </c>
      <c r="AE961" s="1">
        <v>188.42</v>
      </c>
      <c r="AF961" s="1">
        <v>182.32</v>
      </c>
      <c r="AG961" s="1">
        <v>166.06</v>
      </c>
      <c r="AH961" s="1">
        <v>10</v>
      </c>
      <c r="AQ961" s="1">
        <v>4370.1899999999996</v>
      </c>
      <c r="AS961" s="1">
        <v>4395.47</v>
      </c>
      <c r="AW961" s="1">
        <v>4008.97</v>
      </c>
      <c r="AX961" s="1">
        <v>174.28</v>
      </c>
      <c r="AY961" s="1">
        <v>3809.41</v>
      </c>
      <c r="BA961" s="1">
        <v>172.1</v>
      </c>
      <c r="BB961" s="1">
        <v>189.37</v>
      </c>
      <c r="BC961" s="1">
        <v>184.9</v>
      </c>
      <c r="BD961" s="1">
        <v>186.4</v>
      </c>
      <c r="BE961" s="1">
        <v>181.16</v>
      </c>
      <c r="BF961" s="1">
        <v>176.69</v>
      </c>
      <c r="BG961" s="1">
        <v>188.77</v>
      </c>
      <c r="BH961" s="1">
        <v>172.72</v>
      </c>
      <c r="BI961" s="1">
        <v>180.71</v>
      </c>
      <c r="BJ961" s="1">
        <v>190.74</v>
      </c>
      <c r="BL961" s="1">
        <v>171.41</v>
      </c>
      <c r="BN961" s="1">
        <v>171.28</v>
      </c>
    </row>
    <row r="962" spans="1:66" x14ac:dyDescent="0.3">
      <c r="A962" s="2"/>
      <c r="C962" s="14" t="str">
        <f t="shared" si="15"/>
        <v>20225</v>
      </c>
      <c r="D962" s="3">
        <v>44706</v>
      </c>
      <c r="E962" s="21">
        <v>2401.17</v>
      </c>
      <c r="F962" s="21">
        <v>2422.98</v>
      </c>
      <c r="G962" s="21">
        <v>2471.8200000000002</v>
      </c>
      <c r="H962" s="21">
        <v>2192.3200000000002</v>
      </c>
      <c r="I962" s="21">
        <v>2503.8000000000002</v>
      </c>
      <c r="J962" s="21">
        <v>2375.33</v>
      </c>
      <c r="K962" s="21">
        <v>2217.3200000000002</v>
      </c>
      <c r="L962" s="21">
        <v>2333.88</v>
      </c>
      <c r="M962" s="21">
        <v>2208.9299999999998</v>
      </c>
      <c r="N962" s="21">
        <v>2082.14</v>
      </c>
      <c r="O962" s="21">
        <v>2426.98</v>
      </c>
      <c r="P962" s="21">
        <v>2258.0300000000002</v>
      </c>
      <c r="Q962" s="21">
        <v>9274.74</v>
      </c>
      <c r="R962" s="20">
        <v>171.6</v>
      </c>
      <c r="S962" s="20">
        <v>158.19</v>
      </c>
      <c r="T962" s="21">
        <v>177.23</v>
      </c>
      <c r="V962" s="1">
        <v>165.03</v>
      </c>
      <c r="W962" s="1">
        <v>177.83</v>
      </c>
      <c r="X962" s="1">
        <v>179.98</v>
      </c>
      <c r="Y962" s="1">
        <v>174.67</v>
      </c>
      <c r="Z962" s="1">
        <v>174.95</v>
      </c>
      <c r="AA962" s="1">
        <v>174.69</v>
      </c>
      <c r="AB962" s="1">
        <v>178.08</v>
      </c>
      <c r="AE962" s="1">
        <v>187.61</v>
      </c>
      <c r="AF962" s="1">
        <v>181.28</v>
      </c>
      <c r="AG962" s="1">
        <v>165.93</v>
      </c>
      <c r="AH962" s="1">
        <v>10</v>
      </c>
      <c r="AQ962" s="1">
        <v>4370.1899999999996</v>
      </c>
      <c r="AS962" s="1">
        <v>4395.47</v>
      </c>
      <c r="AW962" s="1">
        <v>4008.97</v>
      </c>
      <c r="AX962" s="1">
        <v>174.12</v>
      </c>
      <c r="AY962" s="1">
        <v>3809.41</v>
      </c>
      <c r="BA962" s="1">
        <v>172.85</v>
      </c>
      <c r="BB962" s="1">
        <v>188.47</v>
      </c>
      <c r="BC962" s="1">
        <v>186.72</v>
      </c>
      <c r="BD962" s="1">
        <v>186.88</v>
      </c>
      <c r="BE962" s="1">
        <v>180.82</v>
      </c>
      <c r="BF962" s="1">
        <v>175.6</v>
      </c>
      <c r="BG962" s="1">
        <v>186.24</v>
      </c>
      <c r="BH962" s="1">
        <v>172.72</v>
      </c>
      <c r="BI962" s="1">
        <v>180.71</v>
      </c>
      <c r="BJ962" s="1">
        <v>190.71</v>
      </c>
      <c r="BL962" s="1">
        <v>168.83</v>
      </c>
      <c r="BN962" s="1">
        <v>169.14</v>
      </c>
    </row>
    <row r="963" spans="1:66" x14ac:dyDescent="0.3">
      <c r="A963" s="2"/>
      <c r="C963" s="14" t="str">
        <f t="shared" si="15"/>
        <v>20225</v>
      </c>
      <c r="D963" s="3">
        <v>44705</v>
      </c>
      <c r="E963" s="21">
        <v>2398.65</v>
      </c>
      <c r="F963" s="21">
        <v>2443.6</v>
      </c>
      <c r="G963" s="21">
        <v>2462.89</v>
      </c>
      <c r="H963" s="21">
        <v>2202.3200000000002</v>
      </c>
      <c r="I963" s="21">
        <v>2466.1999999999998</v>
      </c>
      <c r="J963" s="21">
        <v>2406.1</v>
      </c>
      <c r="K963" s="21">
        <v>2228.6999999999998</v>
      </c>
      <c r="L963" s="21">
        <v>2307.9499999999998</v>
      </c>
      <c r="M963" s="21">
        <v>2218.35</v>
      </c>
      <c r="N963" s="21">
        <v>2077.52</v>
      </c>
      <c r="O963" s="21">
        <v>2437.86</v>
      </c>
      <c r="P963" s="21">
        <v>2253.87</v>
      </c>
      <c r="Q963" s="21">
        <v>9284.1200000000008</v>
      </c>
      <c r="R963" s="20">
        <v>172.6</v>
      </c>
      <c r="S963" s="20">
        <v>158.49</v>
      </c>
      <c r="T963" s="21">
        <v>178.13</v>
      </c>
      <c r="V963" s="1">
        <v>166.6</v>
      </c>
      <c r="W963" s="1">
        <v>178.24</v>
      </c>
      <c r="X963" s="1">
        <v>181.31</v>
      </c>
      <c r="Y963" s="1">
        <v>174.73</v>
      </c>
      <c r="Z963" s="1">
        <v>174.95</v>
      </c>
      <c r="AA963" s="1">
        <v>175.4</v>
      </c>
      <c r="AB963" s="1">
        <v>179.08</v>
      </c>
      <c r="AE963" s="1">
        <v>188.56</v>
      </c>
      <c r="AF963" s="1">
        <v>181.73</v>
      </c>
      <c r="AG963" s="1">
        <v>166.12</v>
      </c>
      <c r="AX963" s="1">
        <v>174.81</v>
      </c>
      <c r="BA963" s="1">
        <v>173.15</v>
      </c>
      <c r="BB963" s="1">
        <v>186.84</v>
      </c>
      <c r="BC963" s="1">
        <v>185.01</v>
      </c>
      <c r="BD963" s="1">
        <v>185.74</v>
      </c>
      <c r="BE963" s="1">
        <v>181.05</v>
      </c>
      <c r="BF963" s="1">
        <v>177.52</v>
      </c>
      <c r="BG963" s="1">
        <v>187.93</v>
      </c>
      <c r="BH963" s="1">
        <v>171.06</v>
      </c>
      <c r="BI963" s="1">
        <v>181.71</v>
      </c>
      <c r="BJ963" s="1">
        <v>193.28</v>
      </c>
      <c r="BL963" s="1">
        <v>169.86</v>
      </c>
      <c r="BN963" s="1">
        <v>169.47</v>
      </c>
    </row>
    <row r="964" spans="1:66" x14ac:dyDescent="0.3">
      <c r="A964" s="2"/>
      <c r="C964" s="14" t="str">
        <f t="shared" si="15"/>
        <v>20225</v>
      </c>
      <c r="D964" s="3">
        <v>44704</v>
      </c>
      <c r="E964" s="21">
        <v>2402.38</v>
      </c>
      <c r="F964" s="21">
        <v>2443.6</v>
      </c>
      <c r="G964" s="21">
        <v>2472.79</v>
      </c>
      <c r="H964" s="21">
        <v>2277.42</v>
      </c>
      <c r="I964" s="21">
        <v>2466.1999999999998</v>
      </c>
      <c r="J964" s="21">
        <v>2449.33</v>
      </c>
      <c r="K964" s="21">
        <v>2228.6999999999998</v>
      </c>
      <c r="L964" s="21">
        <v>2323.86</v>
      </c>
      <c r="M964" s="21">
        <v>2244.89</v>
      </c>
      <c r="N964" s="21">
        <v>2084.21</v>
      </c>
      <c r="O964" s="21">
        <v>2441.86</v>
      </c>
      <c r="P964" s="21">
        <v>2253.87</v>
      </c>
      <c r="Q964" s="21">
        <v>9532.65</v>
      </c>
      <c r="R964" s="20">
        <v>173</v>
      </c>
      <c r="S964" s="20">
        <v>157</v>
      </c>
      <c r="T964" s="21">
        <v>178.9</v>
      </c>
      <c r="V964" s="1">
        <v>168.23</v>
      </c>
      <c r="W964" s="1">
        <v>179.52</v>
      </c>
      <c r="X964" s="1">
        <v>183.85</v>
      </c>
      <c r="Y964" s="1">
        <v>176.99</v>
      </c>
      <c r="Z964" s="1">
        <v>176.5</v>
      </c>
      <c r="AA964" s="1">
        <v>176.33</v>
      </c>
      <c r="AB964" s="1">
        <v>183.85</v>
      </c>
      <c r="AE964" s="1">
        <v>190.75</v>
      </c>
      <c r="AF964" s="1">
        <v>182.02</v>
      </c>
      <c r="AG964" s="1">
        <v>167.19</v>
      </c>
      <c r="AN964" s="1">
        <v>3637.63</v>
      </c>
      <c r="AX964" s="1">
        <v>176.58</v>
      </c>
      <c r="BA964" s="1">
        <v>174.69</v>
      </c>
      <c r="BB964" s="1">
        <v>187.31</v>
      </c>
      <c r="BC964" s="1">
        <v>185.6</v>
      </c>
      <c r="BD964" s="1">
        <v>186.51</v>
      </c>
      <c r="BE964" s="1">
        <v>180.57</v>
      </c>
      <c r="BF964" s="1">
        <v>177.6</v>
      </c>
      <c r="BG964" s="1">
        <v>191.32</v>
      </c>
      <c r="BH964" s="1">
        <v>173.18</v>
      </c>
      <c r="BI964" s="1">
        <v>181.71</v>
      </c>
      <c r="BJ964" s="1">
        <v>193.27</v>
      </c>
      <c r="BL964" s="1">
        <v>170.45</v>
      </c>
      <c r="BN964" s="1">
        <v>170.06</v>
      </c>
    </row>
    <row r="965" spans="1:66" x14ac:dyDescent="0.3">
      <c r="A965" s="2"/>
      <c r="C965" s="14" t="str">
        <f t="shared" si="15"/>
        <v>20225</v>
      </c>
      <c r="D965" s="3">
        <v>44701</v>
      </c>
      <c r="E965" s="21">
        <v>2445.9299999999998</v>
      </c>
      <c r="F965" s="21">
        <v>2443.6</v>
      </c>
      <c r="G965" s="21">
        <v>2462.84</v>
      </c>
      <c r="H965" s="21">
        <v>2300.7800000000002</v>
      </c>
      <c r="I965" s="21">
        <v>2466.1999999999998</v>
      </c>
      <c r="J965" s="21">
        <v>2426.0700000000002</v>
      </c>
      <c r="K965" s="21">
        <v>2205.9499999999998</v>
      </c>
      <c r="L965" s="21">
        <v>2334.7399999999998</v>
      </c>
      <c r="M965" s="21">
        <v>2244.89</v>
      </c>
      <c r="N965" s="21">
        <v>2114.54</v>
      </c>
      <c r="O965" s="21">
        <v>2453.11</v>
      </c>
      <c r="P965" s="21">
        <v>2225.9899999999998</v>
      </c>
      <c r="Q965" s="21">
        <v>9642.5</v>
      </c>
      <c r="R965" s="20">
        <v>175.73</v>
      </c>
      <c r="S965" s="20">
        <v>162.1</v>
      </c>
      <c r="T965" s="21">
        <v>180.22</v>
      </c>
      <c r="V965" s="1">
        <v>169.23</v>
      </c>
      <c r="W965" s="1">
        <v>180.67</v>
      </c>
      <c r="X965" s="1">
        <v>184.43</v>
      </c>
      <c r="Y965" s="1">
        <v>178.4</v>
      </c>
      <c r="Z965" s="1">
        <v>178</v>
      </c>
      <c r="AA965" s="1">
        <v>178.89</v>
      </c>
      <c r="AB965" s="1">
        <v>184.35</v>
      </c>
      <c r="AE965" s="1">
        <v>192.9</v>
      </c>
      <c r="AF965" s="1">
        <v>183.21</v>
      </c>
      <c r="AG965" s="1">
        <v>167.07</v>
      </c>
      <c r="AN965" s="1">
        <v>3637.63</v>
      </c>
      <c r="AW965" s="1">
        <v>3903.96</v>
      </c>
      <c r="AX965" s="1">
        <v>176.58</v>
      </c>
      <c r="BA965" s="1">
        <v>174.22</v>
      </c>
      <c r="BB965" s="1">
        <v>191.91</v>
      </c>
      <c r="BC965" s="1">
        <v>188.1</v>
      </c>
      <c r="BD965" s="1">
        <v>189.25</v>
      </c>
      <c r="BE965" s="1">
        <v>183.96</v>
      </c>
      <c r="BF965" s="1">
        <v>178.74</v>
      </c>
      <c r="BG965" s="1">
        <v>193.11</v>
      </c>
      <c r="BH965" s="1">
        <v>174.34</v>
      </c>
      <c r="BI965" s="1">
        <v>181.71</v>
      </c>
      <c r="BJ965" s="1">
        <v>193.22</v>
      </c>
      <c r="BL965" s="1">
        <v>172.51</v>
      </c>
      <c r="BN965" s="1">
        <v>172.65</v>
      </c>
    </row>
    <row r="966" spans="1:66" x14ac:dyDescent="0.3">
      <c r="A966" s="2"/>
      <c r="C966" s="14" t="str">
        <f t="shared" ref="C966:C1029" si="16">YEAR(D966)&amp;MONTH(D966)</f>
        <v>20225</v>
      </c>
      <c r="D966" s="3">
        <v>44700</v>
      </c>
      <c r="E966" s="21">
        <v>2427.2800000000002</v>
      </c>
      <c r="F966" s="21">
        <v>2451.85</v>
      </c>
      <c r="G966" s="21">
        <v>2472.79</v>
      </c>
      <c r="H966" s="21">
        <v>2314.58</v>
      </c>
      <c r="I966" s="21">
        <v>2476.09</v>
      </c>
      <c r="J966" s="21">
        <v>2432.3000000000002</v>
      </c>
      <c r="K966" s="21">
        <v>2205.9499999999998</v>
      </c>
      <c r="L966" s="21">
        <v>2289.89</v>
      </c>
      <c r="M966" s="21">
        <v>2244.89</v>
      </c>
      <c r="N966" s="21">
        <v>2074.84</v>
      </c>
      <c r="O966" s="21">
        <v>2465.1</v>
      </c>
      <c r="P966" s="21">
        <v>2225.9899999999998</v>
      </c>
      <c r="Q966" s="21">
        <v>9716.3700000000008</v>
      </c>
      <c r="R966" s="20">
        <v>175.73</v>
      </c>
      <c r="S966" s="20">
        <v>162.06</v>
      </c>
      <c r="T966" s="21">
        <v>180.9</v>
      </c>
      <c r="V966" s="1">
        <v>169.17</v>
      </c>
      <c r="W966" s="1">
        <v>181.36</v>
      </c>
      <c r="X966" s="1">
        <v>184.52</v>
      </c>
      <c r="Y966" s="1">
        <v>177.73</v>
      </c>
      <c r="Z966" s="1">
        <v>178</v>
      </c>
      <c r="AA966" s="1">
        <v>179.19</v>
      </c>
      <c r="AB966" s="1">
        <v>184.38</v>
      </c>
      <c r="AE966" s="1">
        <v>191.94</v>
      </c>
      <c r="AF966" s="1">
        <v>183.32</v>
      </c>
      <c r="AG966" s="1">
        <v>167.9</v>
      </c>
      <c r="AN966" s="1">
        <v>3637.63</v>
      </c>
      <c r="AT966" s="1">
        <v>3738.68</v>
      </c>
      <c r="AW966" s="1">
        <v>3903.96</v>
      </c>
      <c r="BA966" s="1">
        <v>174.95</v>
      </c>
      <c r="BB966" s="1">
        <v>190.36</v>
      </c>
      <c r="BC966" s="1">
        <v>188.42</v>
      </c>
      <c r="BD966" s="1">
        <v>189.02</v>
      </c>
      <c r="BE966" s="1">
        <v>182.98</v>
      </c>
      <c r="BF966" s="1">
        <v>179.36</v>
      </c>
      <c r="BG966" s="1">
        <v>193.2</v>
      </c>
      <c r="BH966" s="1">
        <v>175.68</v>
      </c>
      <c r="BI966" s="1">
        <v>183.24</v>
      </c>
      <c r="BJ966" s="1">
        <v>197.89</v>
      </c>
      <c r="BL966" s="1">
        <v>173.71</v>
      </c>
      <c r="BN966" s="1">
        <v>173.34</v>
      </c>
    </row>
    <row r="967" spans="1:66" x14ac:dyDescent="0.3">
      <c r="A967" s="2"/>
      <c r="C967" s="14" t="str">
        <f t="shared" si="16"/>
        <v>20225</v>
      </c>
      <c r="D967" s="3">
        <v>44699</v>
      </c>
      <c r="E967" s="21">
        <v>2442.23</v>
      </c>
      <c r="F967" s="21">
        <v>2483.11</v>
      </c>
      <c r="G967" s="21">
        <v>2489.7800000000002</v>
      </c>
      <c r="H967" s="21">
        <v>2304.65</v>
      </c>
      <c r="I967" s="21">
        <v>2491.9299999999998</v>
      </c>
      <c r="J967" s="21">
        <v>2430.94</v>
      </c>
      <c r="K967" s="21">
        <v>2183.54</v>
      </c>
      <c r="L967" s="21">
        <v>2289.89</v>
      </c>
      <c r="M967" s="21">
        <v>2229.9699999999998</v>
      </c>
      <c r="N967" s="21">
        <v>2101.67</v>
      </c>
      <c r="O967" s="21">
        <v>2463.87</v>
      </c>
      <c r="P967" s="21">
        <v>2272.44</v>
      </c>
      <c r="Q967" s="21">
        <v>9889.56</v>
      </c>
      <c r="R967" s="20">
        <v>175.48</v>
      </c>
      <c r="S967" s="20">
        <v>162.88</v>
      </c>
      <c r="T967" s="21">
        <v>181.5</v>
      </c>
      <c r="V967" s="1">
        <v>169.74</v>
      </c>
      <c r="W967" s="1">
        <v>182.52</v>
      </c>
      <c r="X967" s="1">
        <v>185.72</v>
      </c>
      <c r="Y967" s="1">
        <v>178.37</v>
      </c>
      <c r="Z967" s="1">
        <v>178</v>
      </c>
      <c r="AA967" s="1">
        <v>179</v>
      </c>
      <c r="AB967" s="1">
        <v>183.74</v>
      </c>
      <c r="AE967" s="1">
        <v>191.23</v>
      </c>
      <c r="AF967" s="1">
        <v>183.98</v>
      </c>
      <c r="AG967" s="1">
        <v>165.06</v>
      </c>
      <c r="AN967" s="1">
        <v>3637.63</v>
      </c>
      <c r="AT967" s="1">
        <v>3738.68</v>
      </c>
      <c r="AV967" s="1">
        <v>30</v>
      </c>
      <c r="AW967" s="1">
        <v>3893.17</v>
      </c>
      <c r="AX967" s="1">
        <v>175.53</v>
      </c>
      <c r="AY967" s="1">
        <v>3940.77</v>
      </c>
      <c r="BA967" s="1">
        <v>173.91</v>
      </c>
      <c r="BB967" s="1">
        <v>190.84</v>
      </c>
      <c r="BC967" s="1">
        <v>187.16</v>
      </c>
      <c r="BD967" s="1">
        <v>188.74</v>
      </c>
      <c r="BE967" s="1">
        <v>184.31</v>
      </c>
      <c r="BF967" s="1">
        <v>181.19</v>
      </c>
      <c r="BG967" s="1">
        <v>193.12</v>
      </c>
      <c r="BH967" s="1">
        <v>175.68</v>
      </c>
      <c r="BI967" s="1">
        <v>183.24</v>
      </c>
      <c r="BJ967" s="1">
        <v>197.79</v>
      </c>
      <c r="BL967" s="1">
        <v>174.21</v>
      </c>
      <c r="BN967" s="1">
        <v>173.97</v>
      </c>
    </row>
    <row r="968" spans="1:66" x14ac:dyDescent="0.3">
      <c r="A968" s="2"/>
      <c r="C968" s="14" t="str">
        <f t="shared" si="16"/>
        <v>20225</v>
      </c>
      <c r="D968" s="3">
        <v>44698</v>
      </c>
      <c r="E968" s="21">
        <v>2457.37</v>
      </c>
      <c r="F968" s="21">
        <v>2514.6</v>
      </c>
      <c r="G968" s="21">
        <v>2576.56</v>
      </c>
      <c r="H968" s="21">
        <v>2325.1799999999998</v>
      </c>
      <c r="I968" s="21">
        <v>2491.9299999999998</v>
      </c>
      <c r="J968" s="21">
        <v>2422.3200000000002</v>
      </c>
      <c r="K968" s="21">
        <v>2208.79</v>
      </c>
      <c r="L968" s="21">
        <v>2301.12</v>
      </c>
      <c r="M968" s="21">
        <v>2229.9699999999998</v>
      </c>
      <c r="N968" s="21">
        <v>2104.65</v>
      </c>
      <c r="O968" s="21">
        <v>2471.1</v>
      </c>
      <c r="P968" s="21">
        <v>2249.94</v>
      </c>
      <c r="Q968" s="21">
        <v>10030.200000000001</v>
      </c>
      <c r="R968" s="20">
        <v>175.73</v>
      </c>
      <c r="S968" s="20">
        <v>162.49</v>
      </c>
      <c r="T968" s="21">
        <v>182.52</v>
      </c>
      <c r="V968" s="1">
        <v>170.88</v>
      </c>
      <c r="W968" s="1">
        <v>182.68</v>
      </c>
      <c r="X968" s="1">
        <v>184.05</v>
      </c>
      <c r="Y968" s="1">
        <v>179.86</v>
      </c>
      <c r="Z968" s="1">
        <v>179</v>
      </c>
      <c r="AA968" s="1">
        <v>179.07</v>
      </c>
      <c r="AB968" s="1">
        <v>183.72</v>
      </c>
      <c r="AE968" s="1">
        <v>192.82</v>
      </c>
      <c r="AF968" s="1">
        <v>184.05</v>
      </c>
      <c r="AG968" s="1">
        <v>168.27</v>
      </c>
      <c r="AN968" s="1">
        <v>3637.63</v>
      </c>
      <c r="AT968" s="1">
        <v>3738.68</v>
      </c>
      <c r="AV968" s="1">
        <v>30</v>
      </c>
      <c r="AW968" s="1">
        <v>3893.17</v>
      </c>
      <c r="AX968" s="1">
        <v>175.16</v>
      </c>
      <c r="AY968" s="1">
        <v>3940.77</v>
      </c>
      <c r="BA968" s="1">
        <v>176.34</v>
      </c>
      <c r="BB968" s="1">
        <v>192.66</v>
      </c>
      <c r="BC968" s="1">
        <v>188.5</v>
      </c>
      <c r="BD968" s="1">
        <v>189.51</v>
      </c>
      <c r="BE968" s="1">
        <v>185.79</v>
      </c>
      <c r="BF968" s="1">
        <v>181.03</v>
      </c>
      <c r="BG968" s="1">
        <v>193.66</v>
      </c>
      <c r="BH968" s="1">
        <v>175.93</v>
      </c>
      <c r="BI968" s="1">
        <v>183.21</v>
      </c>
      <c r="BJ968" s="1">
        <v>197.37</v>
      </c>
      <c r="BL968" s="1">
        <v>175.01</v>
      </c>
      <c r="BN968" s="1">
        <v>174.46</v>
      </c>
    </row>
    <row r="969" spans="1:66" x14ac:dyDescent="0.3">
      <c r="A969" s="2"/>
      <c r="C969" s="14" t="str">
        <f t="shared" si="16"/>
        <v>20225</v>
      </c>
      <c r="D969" s="3">
        <v>44697</v>
      </c>
      <c r="E969" s="21">
        <v>2465.89</v>
      </c>
      <c r="F969" s="21">
        <v>2514.6</v>
      </c>
      <c r="G969" s="21">
        <v>2576.56</v>
      </c>
      <c r="H969" s="21">
        <v>2279.27</v>
      </c>
      <c r="I969" s="21">
        <v>2491.9299999999998</v>
      </c>
      <c r="J969" s="21">
        <v>2437.6999999999998</v>
      </c>
      <c r="K969" s="21">
        <v>2194.58</v>
      </c>
      <c r="L969" s="21">
        <v>2281.2399999999998</v>
      </c>
      <c r="M969" s="21">
        <v>2229.9699999999998</v>
      </c>
      <c r="N969" s="21">
        <v>2099.4899999999998</v>
      </c>
      <c r="O969" s="21">
        <v>2491.08</v>
      </c>
      <c r="P969" s="21">
        <v>2230.04</v>
      </c>
      <c r="Q969" s="21">
        <v>10081.81</v>
      </c>
      <c r="R969" s="20">
        <v>176.78</v>
      </c>
      <c r="S969" s="20">
        <v>163.72999999999999</v>
      </c>
      <c r="T969" s="21">
        <v>183.25</v>
      </c>
      <c r="V969" s="1">
        <v>171.17</v>
      </c>
      <c r="W969" s="1">
        <v>184.89</v>
      </c>
      <c r="X969" s="1">
        <v>183.88</v>
      </c>
      <c r="Y969" s="1">
        <v>180.73</v>
      </c>
      <c r="Z969" s="1">
        <v>181</v>
      </c>
      <c r="AA969" s="1">
        <v>180.39</v>
      </c>
      <c r="AB969" s="1">
        <v>183.61</v>
      </c>
      <c r="AE969" s="1">
        <v>193.44</v>
      </c>
      <c r="AF969" s="1">
        <v>186.02</v>
      </c>
      <c r="AG969" s="1">
        <v>168.3</v>
      </c>
      <c r="AT969" s="1">
        <v>3738.68</v>
      </c>
      <c r="AV969" s="1">
        <v>30</v>
      </c>
      <c r="AW969" s="1">
        <v>3893.17</v>
      </c>
      <c r="AX969" s="1">
        <v>175.84</v>
      </c>
      <c r="AY969" s="1">
        <v>3940.77</v>
      </c>
      <c r="BA969" s="1">
        <v>176.81</v>
      </c>
      <c r="BB969" s="1">
        <v>192.79</v>
      </c>
      <c r="BC969" s="1">
        <v>190.02</v>
      </c>
      <c r="BD969" s="1">
        <v>189.86</v>
      </c>
      <c r="BE969" s="1">
        <v>186.13</v>
      </c>
      <c r="BF969" s="1">
        <v>181.71</v>
      </c>
      <c r="BG969" s="1">
        <v>193.74</v>
      </c>
      <c r="BH969" s="1">
        <v>176.71</v>
      </c>
      <c r="BI969" s="1">
        <v>183.3</v>
      </c>
      <c r="BJ969" s="1">
        <v>198.42</v>
      </c>
      <c r="BL969" s="1">
        <v>175.41</v>
      </c>
      <c r="BN969" s="1">
        <v>175.03</v>
      </c>
    </row>
    <row r="970" spans="1:66" x14ac:dyDescent="0.3">
      <c r="A970" s="2"/>
      <c r="C970" s="14" t="str">
        <f t="shared" si="16"/>
        <v>20225</v>
      </c>
      <c r="D970" s="3">
        <v>44694</v>
      </c>
      <c r="E970" s="21">
        <v>2448.79</v>
      </c>
      <c r="F970" s="21">
        <v>2537.09</v>
      </c>
      <c r="G970" s="21">
        <v>2564.06</v>
      </c>
      <c r="H970" s="21">
        <v>2220.92</v>
      </c>
      <c r="I970" s="21">
        <v>2497.86</v>
      </c>
      <c r="J970" s="21">
        <v>2426.84</v>
      </c>
      <c r="K970" s="21">
        <v>2171.84</v>
      </c>
      <c r="L970" s="21">
        <v>2318.9699999999998</v>
      </c>
      <c r="M970" s="21">
        <v>2208.4499999999998</v>
      </c>
      <c r="N970" s="21">
        <v>2115.7199999999998</v>
      </c>
      <c r="O970" s="21">
        <v>2487.09</v>
      </c>
      <c r="P970" s="21">
        <v>2230.04</v>
      </c>
      <c r="Q970" s="21">
        <v>10053.77</v>
      </c>
      <c r="R970" s="20">
        <v>175.43</v>
      </c>
      <c r="S970" s="20">
        <v>165.23</v>
      </c>
      <c r="T970" s="21">
        <v>180.26</v>
      </c>
      <c r="V970" s="1">
        <v>170.02</v>
      </c>
      <c r="W970" s="1">
        <v>184.82</v>
      </c>
      <c r="X970" s="1">
        <v>183.31</v>
      </c>
      <c r="Y970" s="1">
        <v>180.71</v>
      </c>
      <c r="Z970" s="1">
        <v>181</v>
      </c>
      <c r="AA970" s="1">
        <v>177.54</v>
      </c>
      <c r="AB970" s="1">
        <v>182.94</v>
      </c>
      <c r="AE970" s="1">
        <v>193.03</v>
      </c>
      <c r="AF970" s="1">
        <v>184.84</v>
      </c>
      <c r="AG970" s="1">
        <v>165.82</v>
      </c>
      <c r="AT970" s="1">
        <v>3738.68</v>
      </c>
      <c r="AV970" s="1">
        <v>30</v>
      </c>
      <c r="AW970" s="1">
        <v>3855.4</v>
      </c>
      <c r="AX970" s="1">
        <v>173.83</v>
      </c>
      <c r="AY970" s="1">
        <v>3940.77</v>
      </c>
      <c r="BA970" s="1">
        <v>176.28</v>
      </c>
      <c r="BB970" s="1">
        <v>192.09</v>
      </c>
      <c r="BC970" s="1">
        <v>190.01</v>
      </c>
      <c r="BD970" s="1">
        <v>189.33</v>
      </c>
      <c r="BE970" s="1">
        <v>180.84</v>
      </c>
      <c r="BF970" s="1">
        <v>178.63</v>
      </c>
      <c r="BG970" s="1">
        <v>193.63</v>
      </c>
      <c r="BI970" s="1">
        <v>183.3</v>
      </c>
      <c r="BJ970" s="1">
        <v>198.42</v>
      </c>
      <c r="BL970" s="1">
        <v>175.42</v>
      </c>
      <c r="BN970" s="1">
        <v>175.03</v>
      </c>
    </row>
    <row r="971" spans="1:66" x14ac:dyDescent="0.3">
      <c r="A971" s="2"/>
      <c r="C971" s="14" t="str">
        <f t="shared" si="16"/>
        <v>20225</v>
      </c>
      <c r="D971" s="3">
        <v>44693</v>
      </c>
      <c r="E971" s="21">
        <v>2460.34</v>
      </c>
      <c r="F971" s="21">
        <v>2505.6</v>
      </c>
      <c r="G971" s="21">
        <v>2551.69</v>
      </c>
      <c r="H971" s="21">
        <v>2237.2199999999998</v>
      </c>
      <c r="I971" s="21">
        <v>2511.7199999999998</v>
      </c>
      <c r="J971" s="21">
        <v>2426.7399999999998</v>
      </c>
      <c r="K971" s="21">
        <v>2221.58</v>
      </c>
      <c r="L971" s="21">
        <v>2291.0100000000002</v>
      </c>
      <c r="M971" s="21">
        <v>2201.8200000000002</v>
      </c>
      <c r="N971" s="21">
        <v>2125.3200000000002</v>
      </c>
      <c r="O971" s="21">
        <v>2476.36</v>
      </c>
      <c r="P971" s="21">
        <v>2289.73</v>
      </c>
      <c r="Q971" s="21">
        <v>10040.35</v>
      </c>
      <c r="R971" s="20">
        <v>174.6</v>
      </c>
      <c r="S971" s="20">
        <v>164.2</v>
      </c>
      <c r="T971" s="21">
        <v>180.07</v>
      </c>
      <c r="V971" s="1">
        <v>168.36</v>
      </c>
      <c r="W971" s="1">
        <v>182.48</v>
      </c>
      <c r="X971" s="1">
        <v>184.62</v>
      </c>
      <c r="Y971" s="1">
        <v>179.11</v>
      </c>
      <c r="Z971" s="1">
        <v>180</v>
      </c>
      <c r="AA971" s="1">
        <v>176.68</v>
      </c>
      <c r="AB971" s="1">
        <v>183.72</v>
      </c>
      <c r="AE971" s="1">
        <v>192.46</v>
      </c>
      <c r="AF971" s="1">
        <v>184.8</v>
      </c>
      <c r="AG971" s="1">
        <v>165.16</v>
      </c>
      <c r="AV971" s="1">
        <v>30</v>
      </c>
      <c r="AW971" s="1">
        <v>3855.4</v>
      </c>
      <c r="AX971" s="1">
        <v>170.56</v>
      </c>
      <c r="AY971" s="1">
        <v>3940.77</v>
      </c>
      <c r="BA971" s="1">
        <v>175.87</v>
      </c>
      <c r="BB971" s="1">
        <v>192.29</v>
      </c>
      <c r="BC971" s="1">
        <v>188.38</v>
      </c>
      <c r="BD971" s="1">
        <v>188.72</v>
      </c>
      <c r="BE971" s="1">
        <v>179.96</v>
      </c>
      <c r="BF971" s="1">
        <v>177.17</v>
      </c>
      <c r="BG971" s="1">
        <v>193.55</v>
      </c>
      <c r="BI971" s="1">
        <v>182.51</v>
      </c>
      <c r="BJ971" s="1">
        <v>195.02</v>
      </c>
      <c r="BL971" s="1">
        <v>173</v>
      </c>
      <c r="BN971" s="1">
        <v>174.12</v>
      </c>
    </row>
    <row r="972" spans="1:66" x14ac:dyDescent="0.3">
      <c r="A972" s="2"/>
      <c r="C972" s="14" t="str">
        <f t="shared" si="16"/>
        <v>20225</v>
      </c>
      <c r="D972" s="3">
        <v>44692</v>
      </c>
      <c r="E972" s="21">
        <v>2448.81</v>
      </c>
      <c r="F972" s="21">
        <v>2523.6</v>
      </c>
      <c r="G972" s="21">
        <v>2551.69</v>
      </c>
      <c r="H972" s="21">
        <v>2324.8200000000002</v>
      </c>
      <c r="I972" s="21">
        <v>2511.7199999999998</v>
      </c>
      <c r="J972" s="21">
        <v>2430.7399999999998</v>
      </c>
      <c r="K972" s="21">
        <v>2221.58</v>
      </c>
      <c r="L972" s="21">
        <v>2291.0100000000002</v>
      </c>
      <c r="M972" s="21">
        <v>2243.13</v>
      </c>
      <c r="N972" s="21">
        <v>2066.7800000000002</v>
      </c>
      <c r="O972" s="21">
        <v>2497.65</v>
      </c>
      <c r="P972" s="21">
        <v>2289.73</v>
      </c>
      <c r="Q972" s="21">
        <v>10039.44</v>
      </c>
      <c r="R972" s="20">
        <v>173.6</v>
      </c>
      <c r="S972" s="20">
        <v>161.25</v>
      </c>
      <c r="T972" s="21">
        <v>179.97</v>
      </c>
      <c r="V972" s="1">
        <v>167.86</v>
      </c>
      <c r="W972" s="1">
        <v>181.29</v>
      </c>
      <c r="X972" s="1">
        <v>183.9</v>
      </c>
      <c r="Y972" s="1">
        <v>178.35</v>
      </c>
      <c r="Z972" s="1">
        <v>179</v>
      </c>
      <c r="AA972" s="1">
        <v>175.74</v>
      </c>
      <c r="AB972" s="1">
        <v>183.72</v>
      </c>
      <c r="AE972" s="1">
        <v>192.35</v>
      </c>
      <c r="AF972" s="1">
        <v>181.72</v>
      </c>
      <c r="AG972" s="1">
        <v>164.69</v>
      </c>
      <c r="AX972" s="1">
        <v>169.46</v>
      </c>
      <c r="BA972" s="1">
        <v>175.07</v>
      </c>
      <c r="BB972" s="1">
        <v>188.39</v>
      </c>
      <c r="BC972" s="1">
        <v>186.5</v>
      </c>
      <c r="BD972" s="1">
        <v>186.88</v>
      </c>
      <c r="BE972" s="1">
        <v>179.96</v>
      </c>
      <c r="BF972" s="1">
        <v>177.15</v>
      </c>
      <c r="BG972" s="1">
        <v>193.53</v>
      </c>
      <c r="BI972" s="1">
        <v>182.81</v>
      </c>
      <c r="BJ972" s="1">
        <v>194.16</v>
      </c>
      <c r="BL972" s="1">
        <v>172.54</v>
      </c>
      <c r="BN972" s="1">
        <v>172.97</v>
      </c>
    </row>
    <row r="973" spans="1:66" x14ac:dyDescent="0.3">
      <c r="A973" s="2"/>
      <c r="C973" s="14" t="str">
        <f t="shared" si="16"/>
        <v>20225</v>
      </c>
      <c r="D973" s="3">
        <v>44691</v>
      </c>
      <c r="E973" s="21">
        <v>2454.4899999999998</v>
      </c>
      <c r="F973" s="21">
        <v>2523.6</v>
      </c>
      <c r="G973" s="21">
        <v>2551.69</v>
      </c>
      <c r="H973" s="21">
        <v>2348.98</v>
      </c>
      <c r="I973" s="21">
        <v>2511.23</v>
      </c>
      <c r="J973" s="21">
        <v>2432.92</v>
      </c>
      <c r="K973" s="21">
        <v>2299.3000000000002</v>
      </c>
      <c r="L973" s="21">
        <v>2322.4699999999998</v>
      </c>
      <c r="M973" s="21">
        <v>2243.13</v>
      </c>
      <c r="N973" s="21">
        <v>2135.08</v>
      </c>
      <c r="O973" s="21">
        <v>2512.16</v>
      </c>
      <c r="P973" s="21">
        <v>2329.52</v>
      </c>
      <c r="Q973" s="21">
        <v>9966.09</v>
      </c>
      <c r="R973" s="20">
        <v>173.27</v>
      </c>
      <c r="S973" s="20">
        <v>160.83000000000001</v>
      </c>
      <c r="T973" s="21">
        <v>178.48</v>
      </c>
      <c r="V973" s="1">
        <v>167.2</v>
      </c>
      <c r="W973" s="1">
        <v>180.33</v>
      </c>
      <c r="X973" s="1">
        <v>184.44</v>
      </c>
      <c r="Y973" s="1">
        <v>177.11</v>
      </c>
      <c r="Z973" s="1">
        <v>177</v>
      </c>
      <c r="AA973" s="1">
        <v>176.34</v>
      </c>
      <c r="AB973" s="1">
        <v>183.05</v>
      </c>
      <c r="AE973" s="1">
        <v>192.33</v>
      </c>
      <c r="AF973" s="1">
        <v>181.64</v>
      </c>
      <c r="AG973" s="1">
        <v>164.41</v>
      </c>
      <c r="AS973" s="1">
        <v>4365.16</v>
      </c>
      <c r="BA973" s="1">
        <v>171.46</v>
      </c>
      <c r="BB973" s="1">
        <v>187.34</v>
      </c>
      <c r="BC973" s="1">
        <v>184.69</v>
      </c>
      <c r="BD973" s="1">
        <v>186.19</v>
      </c>
      <c r="BE973" s="1">
        <v>180.21</v>
      </c>
      <c r="BF973" s="1">
        <v>177.45</v>
      </c>
      <c r="BG973" s="1">
        <v>192.43</v>
      </c>
      <c r="BI973" s="1">
        <v>182.31</v>
      </c>
      <c r="BJ973" s="1">
        <v>194.53</v>
      </c>
      <c r="BL973" s="1">
        <v>172.54</v>
      </c>
      <c r="BN973" s="1">
        <v>171.95</v>
      </c>
    </row>
    <row r="974" spans="1:66" x14ac:dyDescent="0.3">
      <c r="A974" s="2"/>
      <c r="C974" s="14" t="str">
        <f t="shared" si="16"/>
        <v>20225</v>
      </c>
      <c r="D974" s="3">
        <v>44690</v>
      </c>
      <c r="E974" s="21">
        <v>2485.15</v>
      </c>
      <c r="F974" s="21">
        <v>2546.09</v>
      </c>
      <c r="G974" s="21">
        <v>2626.05</v>
      </c>
      <c r="H974" s="21">
        <v>2259.8200000000002</v>
      </c>
      <c r="I974" s="21">
        <v>2511.23</v>
      </c>
      <c r="J974" s="21">
        <v>2467.21</v>
      </c>
      <c r="K974" s="21">
        <v>2333.69</v>
      </c>
      <c r="L974" s="21">
        <v>2368.6799999999998</v>
      </c>
      <c r="M974" s="21">
        <v>2243.13</v>
      </c>
      <c r="N974" s="21">
        <v>2166.08</v>
      </c>
      <c r="O974" s="21">
        <v>2525.1999999999998</v>
      </c>
      <c r="P974" s="21">
        <v>2406.9699999999998</v>
      </c>
      <c r="Q974" s="21">
        <v>9940.25</v>
      </c>
      <c r="R974" s="20">
        <v>174.1</v>
      </c>
      <c r="S974" s="20">
        <v>161.08000000000001</v>
      </c>
      <c r="T974" s="21">
        <v>178.59</v>
      </c>
      <c r="V974" s="1">
        <v>167.6</v>
      </c>
      <c r="W974" s="1">
        <v>180.78</v>
      </c>
      <c r="X974" s="1">
        <v>185.02</v>
      </c>
      <c r="Y974" s="1">
        <v>176.84</v>
      </c>
      <c r="Z974" s="1">
        <v>177</v>
      </c>
      <c r="AA974" s="1">
        <v>176.67</v>
      </c>
      <c r="AB974" s="1">
        <v>184.68</v>
      </c>
      <c r="AE974" s="1">
        <v>192.19</v>
      </c>
      <c r="AF974" s="1">
        <v>182.32</v>
      </c>
      <c r="AG974" s="1">
        <v>166.97</v>
      </c>
      <c r="AS974" s="1">
        <v>4365.16</v>
      </c>
      <c r="AX974" s="1">
        <v>173.51</v>
      </c>
      <c r="BA974" s="1">
        <v>172.47</v>
      </c>
      <c r="BB974" s="1">
        <v>187.31</v>
      </c>
      <c r="BC974" s="1">
        <v>186.17</v>
      </c>
      <c r="BD974" s="1">
        <v>185.84</v>
      </c>
      <c r="BE974" s="1">
        <v>181.33</v>
      </c>
      <c r="BF974" s="1">
        <v>178.11</v>
      </c>
      <c r="BG974" s="1">
        <v>193.34</v>
      </c>
      <c r="BI974" s="1">
        <v>181.71</v>
      </c>
      <c r="BJ974" s="1">
        <v>194.52</v>
      </c>
      <c r="BL974" s="1">
        <v>171.95</v>
      </c>
      <c r="BN974" s="1">
        <v>171.35</v>
      </c>
    </row>
    <row r="975" spans="1:66" x14ac:dyDescent="0.3">
      <c r="A975" s="2"/>
      <c r="C975" s="14" t="str">
        <f t="shared" si="16"/>
        <v>20225</v>
      </c>
      <c r="D975" s="3">
        <v>44687</v>
      </c>
      <c r="E975" s="21">
        <v>2511.59</v>
      </c>
      <c r="F975" s="21">
        <v>2586.5700000000002</v>
      </c>
      <c r="G975" s="21">
        <v>2601.1799999999998</v>
      </c>
      <c r="H975" s="21">
        <v>2248.4499999999998</v>
      </c>
      <c r="I975" s="21">
        <v>2527.5500000000002</v>
      </c>
      <c r="J975" s="21">
        <v>2492.06</v>
      </c>
      <c r="K975" s="21">
        <v>2387.46</v>
      </c>
      <c r="L975" s="21">
        <v>2381.1</v>
      </c>
      <c r="M975" s="21">
        <v>2304.4499999999998</v>
      </c>
      <c r="N975" s="21">
        <v>2150.89</v>
      </c>
      <c r="O975" s="21">
        <v>2559.0100000000002</v>
      </c>
      <c r="P975" s="21">
        <v>2446.7600000000002</v>
      </c>
      <c r="Q975" s="21">
        <v>10037.06</v>
      </c>
      <c r="R975" s="20">
        <v>175.65</v>
      </c>
      <c r="S975" s="20">
        <v>163.16999999999999</v>
      </c>
      <c r="T975" s="21">
        <v>180.42</v>
      </c>
      <c r="V975" s="1">
        <v>169.31</v>
      </c>
      <c r="W975" s="1">
        <v>181.29</v>
      </c>
      <c r="X975" s="1">
        <v>185.56</v>
      </c>
      <c r="Y975" s="1">
        <v>177.73</v>
      </c>
      <c r="Z975" s="1">
        <v>178</v>
      </c>
      <c r="AA975" s="1">
        <v>177.41</v>
      </c>
      <c r="AB975" s="1">
        <v>185.56</v>
      </c>
      <c r="AE975" s="1">
        <v>193.92</v>
      </c>
      <c r="AF975" s="1">
        <v>182.22</v>
      </c>
      <c r="AG975" s="1">
        <v>167.35</v>
      </c>
      <c r="AS975" s="1">
        <v>4365.16</v>
      </c>
      <c r="AW975" s="1">
        <v>4005.03</v>
      </c>
      <c r="AX975" s="1">
        <v>173.7</v>
      </c>
      <c r="BA975" s="1">
        <v>172.94</v>
      </c>
      <c r="BB975" s="1">
        <v>189.25</v>
      </c>
      <c r="BC975" s="1">
        <v>188.42</v>
      </c>
      <c r="BD975" s="1">
        <v>187.76</v>
      </c>
      <c r="BE975" s="1">
        <v>181.71</v>
      </c>
      <c r="BF975" s="1">
        <v>179.27</v>
      </c>
      <c r="BG975" s="1">
        <v>195.29</v>
      </c>
      <c r="BI975" s="1">
        <v>182.31</v>
      </c>
      <c r="BJ975" s="1">
        <v>194.47</v>
      </c>
      <c r="BL975" s="1">
        <v>171.94</v>
      </c>
      <c r="BN975" s="1">
        <v>171.98</v>
      </c>
    </row>
    <row r="976" spans="1:66" x14ac:dyDescent="0.3">
      <c r="A976" s="2"/>
      <c r="C976" s="14" t="str">
        <f t="shared" si="16"/>
        <v>20225</v>
      </c>
      <c r="D976" s="3">
        <v>44686</v>
      </c>
      <c r="E976" s="21">
        <v>2501.12</v>
      </c>
      <c r="F976" s="21">
        <v>2575.09</v>
      </c>
      <c r="G976" s="21">
        <v>2590.5700000000002</v>
      </c>
      <c r="H976" s="21">
        <v>2247.7800000000002</v>
      </c>
      <c r="I976" s="21">
        <v>2539.4299999999998</v>
      </c>
      <c r="J976" s="21">
        <v>2566.98</v>
      </c>
      <c r="K976" s="21">
        <v>2388.59</v>
      </c>
      <c r="L976" s="21">
        <v>2389.35</v>
      </c>
      <c r="M976" s="21">
        <v>2325.83</v>
      </c>
      <c r="N976" s="21">
        <v>2174.27</v>
      </c>
      <c r="O976" s="21">
        <v>2646.86</v>
      </c>
      <c r="P976" s="21">
        <v>2447.5</v>
      </c>
      <c r="Q976" s="21">
        <v>9817.76</v>
      </c>
      <c r="R976" s="20">
        <v>175.68</v>
      </c>
      <c r="S976" s="20">
        <v>163.04</v>
      </c>
      <c r="T976" s="21">
        <v>180.51</v>
      </c>
      <c r="V976" s="1">
        <v>168.88</v>
      </c>
      <c r="W976" s="1">
        <v>182.45</v>
      </c>
      <c r="X976" s="1">
        <v>185.08</v>
      </c>
      <c r="Y976" s="1">
        <v>177.63</v>
      </c>
      <c r="Z976" s="1">
        <v>177</v>
      </c>
      <c r="AA976" s="1">
        <v>178.19</v>
      </c>
      <c r="AB976" s="1">
        <v>184.83</v>
      </c>
      <c r="AE976" s="1">
        <v>194.82</v>
      </c>
      <c r="AF976" s="1">
        <v>181.12</v>
      </c>
      <c r="AG976" s="1">
        <v>168.62</v>
      </c>
      <c r="AP976" s="1">
        <v>4101.6000000000004</v>
      </c>
      <c r="AS976" s="1">
        <v>4361.76</v>
      </c>
      <c r="AT976" s="1">
        <v>3331.9</v>
      </c>
      <c r="AW976" s="1">
        <v>4001.92</v>
      </c>
      <c r="AX976" s="1">
        <v>172.56</v>
      </c>
      <c r="BA976" s="1">
        <v>172.59</v>
      </c>
      <c r="BB976" s="1">
        <v>187.62</v>
      </c>
      <c r="BC976" s="1">
        <v>188.98</v>
      </c>
      <c r="BD976" s="1">
        <v>185.83</v>
      </c>
      <c r="BE976" s="1">
        <v>181.77</v>
      </c>
      <c r="BF976" s="1">
        <v>179.32</v>
      </c>
      <c r="BG976" s="1">
        <v>195.55</v>
      </c>
      <c r="BI976" s="1">
        <v>181.74</v>
      </c>
      <c r="BJ976" s="1">
        <v>194.6</v>
      </c>
      <c r="BL976" s="1">
        <v>173.04</v>
      </c>
      <c r="BN976" s="1">
        <v>172.57</v>
      </c>
    </row>
    <row r="977" spans="1:66" x14ac:dyDescent="0.3">
      <c r="A977" s="2"/>
      <c r="C977" s="14" t="str">
        <f t="shared" si="16"/>
        <v>20225</v>
      </c>
      <c r="D977" s="3">
        <v>44685</v>
      </c>
      <c r="E977" s="21">
        <v>2522.34</v>
      </c>
      <c r="F977" s="21">
        <v>2599.85</v>
      </c>
      <c r="G977" s="21">
        <v>2702.23</v>
      </c>
      <c r="H977" s="21">
        <v>2247.7800000000002</v>
      </c>
      <c r="I977" s="21">
        <v>2563.1999999999998</v>
      </c>
      <c r="J977" s="21">
        <v>2543.2600000000002</v>
      </c>
      <c r="K977" s="21">
        <v>2388.59</v>
      </c>
      <c r="L977" s="21">
        <v>2395.31</v>
      </c>
      <c r="M977" s="21">
        <v>2368.34</v>
      </c>
      <c r="N977" s="21">
        <v>2199.44</v>
      </c>
      <c r="O977" s="21">
        <v>2666.86</v>
      </c>
      <c r="P977" s="21">
        <v>2447.5</v>
      </c>
      <c r="Q977" s="21">
        <v>9973.14</v>
      </c>
      <c r="R977" s="20">
        <v>175.68</v>
      </c>
      <c r="S977" s="20">
        <v>163.03</v>
      </c>
      <c r="T977" s="21">
        <v>180.2</v>
      </c>
      <c r="V977" s="1">
        <v>169.18</v>
      </c>
      <c r="W977" s="1">
        <v>180.4</v>
      </c>
      <c r="X977" s="1">
        <v>186.93</v>
      </c>
      <c r="Y977" s="1">
        <v>176.4</v>
      </c>
      <c r="Z977" s="1">
        <v>177</v>
      </c>
      <c r="AA977" s="1">
        <v>176.66</v>
      </c>
      <c r="AB977" s="1">
        <v>186.71</v>
      </c>
      <c r="AE977" s="1">
        <v>194.1</v>
      </c>
      <c r="AF977" s="1">
        <v>181.64</v>
      </c>
      <c r="AG977" s="1">
        <v>169.69</v>
      </c>
      <c r="AP977" s="1">
        <v>4101.6000000000004</v>
      </c>
      <c r="AS977" s="1">
        <v>4361.76</v>
      </c>
      <c r="AT977" s="1">
        <v>3331.9</v>
      </c>
      <c r="AW977" s="1">
        <v>4001.92</v>
      </c>
      <c r="AX977" s="1">
        <v>174.28</v>
      </c>
      <c r="AY977" s="1">
        <v>4036.14</v>
      </c>
      <c r="BA977" s="1">
        <v>172.59</v>
      </c>
      <c r="BB977" s="1">
        <v>187.14</v>
      </c>
      <c r="BC977" s="1">
        <v>185.85</v>
      </c>
      <c r="BD977" s="1">
        <v>185.28</v>
      </c>
      <c r="BE977" s="1">
        <v>181.77</v>
      </c>
      <c r="BF977" s="1">
        <v>179.22</v>
      </c>
      <c r="BG977" s="1">
        <v>193.68</v>
      </c>
      <c r="BI977" s="1">
        <v>183.63</v>
      </c>
      <c r="BJ977" s="1">
        <v>196.81</v>
      </c>
      <c r="BL977" s="1">
        <v>171.55</v>
      </c>
      <c r="BN977" s="1">
        <v>170.84</v>
      </c>
    </row>
    <row r="978" spans="1:66" x14ac:dyDescent="0.3">
      <c r="A978" s="2"/>
      <c r="C978" s="14" t="str">
        <f t="shared" si="16"/>
        <v>20225</v>
      </c>
      <c r="D978" s="3">
        <v>44684</v>
      </c>
      <c r="E978" s="21">
        <v>2549.34</v>
      </c>
      <c r="F978" s="21">
        <v>2624.61</v>
      </c>
      <c r="G978" s="21">
        <v>2714.61</v>
      </c>
      <c r="H978" s="21">
        <v>2400.64</v>
      </c>
      <c r="I978" s="21">
        <v>2600.84</v>
      </c>
      <c r="J978" s="21">
        <v>2559.41</v>
      </c>
      <c r="K978" s="21">
        <v>2414.5100000000002</v>
      </c>
      <c r="L978" s="21">
        <v>2432.23</v>
      </c>
      <c r="M978" s="21">
        <v>2394.88</v>
      </c>
      <c r="N978" s="21">
        <v>2198.79</v>
      </c>
      <c r="O978" s="21">
        <v>2684.36</v>
      </c>
      <c r="P978" s="21">
        <v>2474.12</v>
      </c>
      <c r="Q978" s="21">
        <v>9872.11</v>
      </c>
      <c r="R978" s="20">
        <v>175.96</v>
      </c>
      <c r="S978" s="20">
        <v>164.96</v>
      </c>
      <c r="T978" s="21">
        <v>181.21</v>
      </c>
      <c r="V978" s="1">
        <v>169.46</v>
      </c>
      <c r="W978" s="1">
        <v>184.22</v>
      </c>
      <c r="X978" s="1">
        <v>189.84</v>
      </c>
      <c r="Y978" s="1">
        <v>179.96</v>
      </c>
      <c r="Z978" s="1">
        <v>181</v>
      </c>
      <c r="AA978" s="1">
        <v>178.31</v>
      </c>
      <c r="AB978" s="1">
        <v>188.58</v>
      </c>
      <c r="AE978" s="1">
        <v>195.23</v>
      </c>
      <c r="AF978" s="1">
        <v>181.51</v>
      </c>
      <c r="AG978" s="1">
        <v>169.76</v>
      </c>
      <c r="AP978" s="1">
        <v>4101.6000000000004</v>
      </c>
      <c r="AT978" s="1">
        <v>3331.9</v>
      </c>
      <c r="AW978" s="1">
        <v>4001.92</v>
      </c>
      <c r="AX978" s="1">
        <v>172.67</v>
      </c>
      <c r="AY978" s="1">
        <v>4036.14</v>
      </c>
      <c r="BA978" s="1">
        <v>172.72</v>
      </c>
      <c r="BB978" s="1">
        <v>189.13</v>
      </c>
      <c r="BC978" s="1">
        <v>188.59</v>
      </c>
      <c r="BD978" s="1">
        <v>186.32</v>
      </c>
      <c r="BE978" s="1">
        <v>181.89</v>
      </c>
      <c r="BF978" s="1">
        <v>179.22</v>
      </c>
      <c r="BG978" s="1">
        <v>194.97</v>
      </c>
      <c r="BI978" s="1">
        <v>183.83</v>
      </c>
      <c r="BJ978" s="1">
        <v>197.28</v>
      </c>
      <c r="BL978" s="1">
        <v>174.66</v>
      </c>
      <c r="BN978" s="1">
        <v>173.72</v>
      </c>
    </row>
    <row r="979" spans="1:66" x14ac:dyDescent="0.3">
      <c r="A979" s="2"/>
      <c r="C979" s="14" t="str">
        <f t="shared" si="16"/>
        <v>20225</v>
      </c>
      <c r="D979" s="3">
        <v>44683</v>
      </c>
      <c r="E979" s="21">
        <v>2550.04</v>
      </c>
      <c r="F979" s="21">
        <v>2684.03</v>
      </c>
      <c r="G979" s="21">
        <v>2776.52</v>
      </c>
      <c r="H979" s="21">
        <v>2303.9</v>
      </c>
      <c r="I979" s="21">
        <v>2608.7600000000002</v>
      </c>
      <c r="J979" s="21">
        <v>2579.8200000000002</v>
      </c>
      <c r="K979" s="21">
        <v>2452.31</v>
      </c>
      <c r="L979" s="21">
        <v>2435.16</v>
      </c>
      <c r="M979" s="21">
        <v>2394.88</v>
      </c>
      <c r="N979" s="21">
        <v>2197.63</v>
      </c>
      <c r="O979" s="21">
        <v>2685.82</v>
      </c>
      <c r="P979" s="21">
        <v>2449.7800000000002</v>
      </c>
      <c r="Q979" s="21">
        <v>9929.08</v>
      </c>
      <c r="R979" s="20">
        <v>176.63</v>
      </c>
      <c r="S979" s="20">
        <v>164.53</v>
      </c>
      <c r="T979" s="21">
        <v>181.83</v>
      </c>
      <c r="V979" s="1">
        <v>170.16</v>
      </c>
      <c r="W979" s="1">
        <v>183.83</v>
      </c>
      <c r="X979" s="1">
        <v>190.62</v>
      </c>
      <c r="Y979" s="1">
        <v>181.65</v>
      </c>
      <c r="Z979" s="1">
        <v>181</v>
      </c>
      <c r="AA979" s="1">
        <v>177.79</v>
      </c>
      <c r="AB979" s="1">
        <v>190.73</v>
      </c>
      <c r="AE979" s="1">
        <v>195.41</v>
      </c>
      <c r="AF979" s="1">
        <v>186.03</v>
      </c>
      <c r="AG979" s="1">
        <v>170.05</v>
      </c>
      <c r="AP979" s="1">
        <v>4101.6000000000004</v>
      </c>
      <c r="AT979" s="1">
        <v>3331.9</v>
      </c>
      <c r="AW979" s="1">
        <v>4001.92</v>
      </c>
      <c r="AX979" s="1">
        <v>173.64</v>
      </c>
      <c r="AY979" s="1">
        <v>4036.14</v>
      </c>
      <c r="BA979" s="1">
        <v>174.98</v>
      </c>
      <c r="BB979" s="1">
        <v>191.49</v>
      </c>
      <c r="BC979" s="1">
        <v>189.42</v>
      </c>
      <c r="BD979" s="1">
        <v>187.67</v>
      </c>
      <c r="BE979" s="1">
        <v>182.76</v>
      </c>
      <c r="BF979" s="1">
        <v>180.51</v>
      </c>
      <c r="BG979" s="1">
        <v>195.86</v>
      </c>
      <c r="BH979" s="1">
        <v>177.73</v>
      </c>
      <c r="BI979" s="1">
        <v>183.83</v>
      </c>
      <c r="BJ979" s="1">
        <v>198.02</v>
      </c>
      <c r="BL979" s="1">
        <v>176.03</v>
      </c>
      <c r="BN979" s="1">
        <v>175.21</v>
      </c>
    </row>
    <row r="980" spans="1:66" x14ac:dyDescent="0.3">
      <c r="A980" s="2"/>
      <c r="C980" s="14" t="str">
        <f t="shared" si="16"/>
        <v>20224</v>
      </c>
      <c r="D980" s="3">
        <v>44680</v>
      </c>
      <c r="E980" s="21">
        <v>2535.7600000000002</v>
      </c>
      <c r="F980" s="21">
        <v>2685.24</v>
      </c>
      <c r="G980" s="21">
        <v>2777.61</v>
      </c>
      <c r="H980" s="21">
        <v>2306.94</v>
      </c>
      <c r="I980" s="21">
        <v>2619.84</v>
      </c>
      <c r="J980" s="21">
        <v>2556.1</v>
      </c>
      <c r="K980" s="21">
        <v>2446.27</v>
      </c>
      <c r="L980" s="21">
        <v>2455.77</v>
      </c>
      <c r="M980" s="21">
        <v>2402.2199999999998</v>
      </c>
      <c r="N980" s="21">
        <v>2225.4299999999998</v>
      </c>
      <c r="O980" s="21">
        <v>2732.49</v>
      </c>
      <c r="P980" s="21">
        <v>2444.27</v>
      </c>
      <c r="Q980" s="21">
        <v>9913.2900000000009</v>
      </c>
      <c r="R980" s="20">
        <v>177.64</v>
      </c>
      <c r="S980" s="20">
        <v>165.6</v>
      </c>
      <c r="T980" s="21">
        <v>184.55</v>
      </c>
      <c r="V980" s="1">
        <v>170.57</v>
      </c>
      <c r="W980" s="1">
        <v>183.95</v>
      </c>
      <c r="X980" s="1">
        <v>191.63</v>
      </c>
      <c r="Y980" s="1">
        <v>181.76</v>
      </c>
      <c r="Z980" s="1">
        <v>182</v>
      </c>
      <c r="AA980" s="1">
        <v>179.08</v>
      </c>
      <c r="AB980" s="1">
        <v>191.74</v>
      </c>
      <c r="AD980" s="1">
        <v>187.67</v>
      </c>
      <c r="AE980" s="1">
        <v>197.15</v>
      </c>
      <c r="AF980" s="1">
        <v>183.93</v>
      </c>
      <c r="AG980" s="1">
        <v>171.01</v>
      </c>
      <c r="AP980" s="1">
        <v>4101.6000000000004</v>
      </c>
      <c r="AT980" s="1">
        <v>3532.29</v>
      </c>
      <c r="AW980" s="1">
        <v>4011.42</v>
      </c>
      <c r="AX980" s="1">
        <v>174.99</v>
      </c>
      <c r="AY980" s="1">
        <v>4034.38</v>
      </c>
      <c r="BA980" s="1">
        <v>176.01</v>
      </c>
      <c r="BB980" s="1">
        <v>191.18</v>
      </c>
      <c r="BC980" s="1">
        <v>188.69</v>
      </c>
      <c r="BD980" s="1">
        <v>190.24</v>
      </c>
      <c r="BE980" s="1">
        <v>185.48</v>
      </c>
      <c r="BF980" s="1">
        <v>182.74</v>
      </c>
      <c r="BG980" s="1">
        <v>197.94</v>
      </c>
      <c r="BH980" s="1">
        <v>178.41</v>
      </c>
      <c r="BI980" s="1">
        <v>183.85</v>
      </c>
      <c r="BJ980" s="1">
        <v>198.04</v>
      </c>
      <c r="BL980" s="1">
        <v>177.56</v>
      </c>
      <c r="BN980" s="1">
        <v>176.45</v>
      </c>
    </row>
    <row r="981" spans="1:66" x14ac:dyDescent="0.3">
      <c r="A981" s="2"/>
      <c r="C981" s="14" t="str">
        <f t="shared" si="16"/>
        <v>20224</v>
      </c>
      <c r="D981" s="3">
        <v>44679</v>
      </c>
      <c r="E981" s="21">
        <v>2575.5700000000002</v>
      </c>
      <c r="F981" s="21">
        <v>2710.72</v>
      </c>
      <c r="G981" s="21"/>
      <c r="H981" s="21">
        <v>2327.4899999999998</v>
      </c>
      <c r="I981" s="21"/>
      <c r="J981" s="21">
        <v>2637.74</v>
      </c>
      <c r="K981" s="21">
        <v>2407.4299999999998</v>
      </c>
      <c r="L981" s="21">
        <v>2358.6799999999998</v>
      </c>
      <c r="M981" s="21"/>
      <c r="N981" s="21">
        <v>2238.77</v>
      </c>
      <c r="O981" s="21"/>
      <c r="P981" s="21">
        <v>2464.58</v>
      </c>
      <c r="Q981" s="21">
        <v>10482.379999999999</v>
      </c>
      <c r="R981" s="20">
        <v>177.64</v>
      </c>
      <c r="S981" s="20">
        <v>168.32</v>
      </c>
      <c r="T981" s="21">
        <v>181.57</v>
      </c>
      <c r="V981" s="1">
        <v>170.32</v>
      </c>
      <c r="W981" s="1">
        <v>184.35</v>
      </c>
      <c r="X981" s="1">
        <v>191.81</v>
      </c>
      <c r="Y981" s="1">
        <v>181.87</v>
      </c>
      <c r="Z981" s="1">
        <v>182.33</v>
      </c>
      <c r="AA981" s="1">
        <v>179.33</v>
      </c>
      <c r="AB981" s="1">
        <v>191.63</v>
      </c>
      <c r="AE981" s="1">
        <v>197.64</v>
      </c>
      <c r="AF981" s="1">
        <v>185.74</v>
      </c>
      <c r="AG981" s="1">
        <v>171.16</v>
      </c>
      <c r="AW981" s="1">
        <v>4011.42</v>
      </c>
      <c r="AX981" s="1">
        <v>178.75</v>
      </c>
      <c r="AY981" s="1">
        <v>4034.38</v>
      </c>
      <c r="BA981" s="1">
        <v>175.15</v>
      </c>
      <c r="BB981" s="1">
        <v>193.56</v>
      </c>
      <c r="BC981" s="1">
        <v>190.26</v>
      </c>
      <c r="BD981" s="1">
        <v>190.07</v>
      </c>
      <c r="BE981" s="1">
        <v>185.1</v>
      </c>
      <c r="BF981" s="1">
        <v>181.98</v>
      </c>
      <c r="BG981" s="1">
        <v>197.93</v>
      </c>
      <c r="BH981" s="1">
        <v>179.07</v>
      </c>
      <c r="BI981" s="1">
        <v>184.09</v>
      </c>
      <c r="BJ981" s="1">
        <v>194.31</v>
      </c>
      <c r="BL981" s="1">
        <v>177.57</v>
      </c>
      <c r="BN981" s="1">
        <v>176.25</v>
      </c>
    </row>
    <row r="982" spans="1:66" x14ac:dyDescent="0.3">
      <c r="A982" s="2"/>
      <c r="C982" s="14" t="str">
        <f t="shared" si="16"/>
        <v>20224</v>
      </c>
      <c r="D982" s="3">
        <v>44678</v>
      </c>
      <c r="E982" s="21">
        <v>2621.0700000000002</v>
      </c>
      <c r="F982" s="21">
        <v>2685.24</v>
      </c>
      <c r="G982" s="21">
        <v>2802.44</v>
      </c>
      <c r="H982" s="21">
        <v>2307.9899999999998</v>
      </c>
      <c r="I982" s="21">
        <v>2655.51</v>
      </c>
      <c r="J982" s="21">
        <v>2639.03</v>
      </c>
      <c r="K982" s="21">
        <v>2453.44</v>
      </c>
      <c r="L982" s="21">
        <v>2419.5700000000002</v>
      </c>
      <c r="M982" s="21">
        <v>2399.0500000000002</v>
      </c>
      <c r="N982" s="21">
        <v>2274.69</v>
      </c>
      <c r="O982" s="21">
        <v>2716.88</v>
      </c>
      <c r="P982" s="21">
        <v>2464.1799999999998</v>
      </c>
      <c r="Q982" s="21">
        <v>10221.540000000001</v>
      </c>
      <c r="R982" s="20">
        <v>176.47</v>
      </c>
      <c r="S982" s="20">
        <v>166.97</v>
      </c>
      <c r="T982" s="21">
        <v>181.1</v>
      </c>
      <c r="V982" s="1">
        <v>169.9</v>
      </c>
      <c r="W982" s="1">
        <v>183.69</v>
      </c>
      <c r="X982" s="1">
        <v>190.99</v>
      </c>
      <c r="Y982" s="1">
        <v>182.61</v>
      </c>
      <c r="Z982" s="1">
        <v>181.67</v>
      </c>
      <c r="AA982" s="1">
        <v>180.49</v>
      </c>
      <c r="AB982" s="1">
        <v>190.74</v>
      </c>
      <c r="AE982" s="1">
        <v>197.7</v>
      </c>
      <c r="AF982" s="1">
        <v>184.66</v>
      </c>
      <c r="AG982" s="1">
        <v>169.73</v>
      </c>
      <c r="AW982" s="1">
        <v>4011.42</v>
      </c>
      <c r="AX982" s="1">
        <v>177.3</v>
      </c>
      <c r="BA982" s="1">
        <v>174.35</v>
      </c>
      <c r="BB982" s="1">
        <v>191.61</v>
      </c>
      <c r="BC982" s="1">
        <v>190.68</v>
      </c>
      <c r="BD982" s="1">
        <v>190.05</v>
      </c>
      <c r="BE982" s="1">
        <v>184.29</v>
      </c>
      <c r="BF982" s="1">
        <v>179.98</v>
      </c>
      <c r="BG982" s="1">
        <v>198.22</v>
      </c>
      <c r="BH982" s="1">
        <v>179.07</v>
      </c>
      <c r="BI982" s="1">
        <v>180.86</v>
      </c>
      <c r="BJ982" s="1">
        <v>194.29</v>
      </c>
      <c r="BL982" s="1">
        <v>177.31</v>
      </c>
      <c r="BN982" s="1">
        <v>176.05</v>
      </c>
    </row>
    <row r="983" spans="1:66" x14ac:dyDescent="0.3">
      <c r="A983" s="2"/>
      <c r="C983" s="14" t="str">
        <f t="shared" si="16"/>
        <v>20224</v>
      </c>
      <c r="D983" s="3">
        <v>44677</v>
      </c>
      <c r="E983" s="21">
        <v>2655.18</v>
      </c>
      <c r="F983" s="21">
        <v>2702.85</v>
      </c>
      <c r="G983" s="21">
        <v>2802.44</v>
      </c>
      <c r="H983" s="21">
        <v>2457.4499999999998</v>
      </c>
      <c r="I983" s="21">
        <v>2619.84</v>
      </c>
      <c r="J983" s="21">
        <v>2611.63</v>
      </c>
      <c r="K983" s="21">
        <v>2431.33</v>
      </c>
      <c r="L983" s="21">
        <v>2465.7800000000002</v>
      </c>
      <c r="M983" s="21">
        <v>2399.0500000000002</v>
      </c>
      <c r="N983" s="21">
        <v>2298.5700000000002</v>
      </c>
      <c r="O983" s="21">
        <v>2673.5</v>
      </c>
      <c r="P983" s="21">
        <v>2436.31</v>
      </c>
      <c r="Q983" s="21">
        <v>9756.93</v>
      </c>
      <c r="R983" s="20">
        <v>173.85</v>
      </c>
      <c r="S983" s="20">
        <v>165.21</v>
      </c>
      <c r="T983" s="21">
        <v>179.56</v>
      </c>
      <c r="V983" s="1">
        <v>165.9</v>
      </c>
      <c r="W983" s="1">
        <v>183</v>
      </c>
      <c r="X983" s="1">
        <v>187.52</v>
      </c>
      <c r="Y983" s="1">
        <v>180.17</v>
      </c>
      <c r="Z983" s="1">
        <v>181</v>
      </c>
      <c r="AA983" s="1">
        <v>176.86</v>
      </c>
      <c r="AB983" s="1">
        <v>187.3</v>
      </c>
      <c r="AE983" s="1">
        <v>193.02</v>
      </c>
      <c r="AF983" s="1">
        <v>184.26</v>
      </c>
      <c r="AG983" s="1">
        <v>169.01</v>
      </c>
      <c r="AP983" s="1">
        <v>4252.3</v>
      </c>
      <c r="AW983" s="1">
        <v>4011.42</v>
      </c>
      <c r="AX983" s="1">
        <v>169.64</v>
      </c>
      <c r="BA983" s="1">
        <v>173.19</v>
      </c>
      <c r="BB983" s="1">
        <v>191.75</v>
      </c>
      <c r="BC983" s="1">
        <v>189.24</v>
      </c>
      <c r="BD983" s="1">
        <v>189.15</v>
      </c>
      <c r="BE983" s="1">
        <v>184.13</v>
      </c>
      <c r="BF983" s="1">
        <v>179.17</v>
      </c>
      <c r="BG983" s="1">
        <v>194.19</v>
      </c>
      <c r="BI983" s="1">
        <v>179.66</v>
      </c>
      <c r="BJ983" s="1">
        <v>193.53</v>
      </c>
      <c r="BL983" s="1">
        <v>175.72</v>
      </c>
      <c r="BN983" s="1">
        <v>175.26</v>
      </c>
    </row>
    <row r="984" spans="1:66" x14ac:dyDescent="0.3">
      <c r="A984" s="2"/>
      <c r="C984" s="14" t="str">
        <f t="shared" si="16"/>
        <v>20224</v>
      </c>
      <c r="D984" s="3">
        <v>44676</v>
      </c>
      <c r="E984" s="21">
        <v>2595.5700000000002</v>
      </c>
      <c r="F984" s="21">
        <v>2625.79</v>
      </c>
      <c r="G984" s="21">
        <v>2745.64</v>
      </c>
      <c r="H984" s="21">
        <v>2448.92</v>
      </c>
      <c r="I984" s="21">
        <v>2619.84</v>
      </c>
      <c r="J984" s="21">
        <v>2609.61</v>
      </c>
      <c r="K984" s="21">
        <v>2431.33</v>
      </c>
      <c r="L984" s="21">
        <v>2479.0500000000002</v>
      </c>
      <c r="M984" s="21">
        <v>2369.2600000000002</v>
      </c>
      <c r="N984" s="21">
        <v>2306.59</v>
      </c>
      <c r="O984" s="21">
        <v>2673.5</v>
      </c>
      <c r="P984" s="21">
        <v>2438.31</v>
      </c>
      <c r="Q984" s="21">
        <v>9682.61</v>
      </c>
      <c r="R984" s="20">
        <v>171.86</v>
      </c>
      <c r="S984" s="20">
        <v>163.86</v>
      </c>
      <c r="T984" s="21">
        <v>177.95</v>
      </c>
      <c r="V984" s="1">
        <v>165.33</v>
      </c>
      <c r="W984" s="1">
        <v>178.02</v>
      </c>
      <c r="X984" s="1">
        <v>186.27</v>
      </c>
      <c r="Y984" s="1">
        <v>175.83</v>
      </c>
      <c r="Z984" s="1">
        <v>176</v>
      </c>
      <c r="AA984" s="1">
        <v>174.03</v>
      </c>
      <c r="AB984" s="1">
        <v>185.68</v>
      </c>
      <c r="AE984" s="1">
        <v>191.77</v>
      </c>
      <c r="AF984" s="1">
        <v>181.3</v>
      </c>
      <c r="AG984" s="1">
        <v>165.08</v>
      </c>
      <c r="AP984" s="1">
        <v>4252.3</v>
      </c>
      <c r="AW984" s="1">
        <v>4168.83</v>
      </c>
      <c r="AX984" s="1">
        <v>170.36</v>
      </c>
      <c r="BA984" s="1">
        <v>170.79</v>
      </c>
      <c r="BB984" s="1">
        <v>189.62</v>
      </c>
      <c r="BC984" s="1">
        <v>184.8</v>
      </c>
      <c r="BD984" s="1">
        <v>185.16</v>
      </c>
      <c r="BE984" s="1">
        <v>180.92</v>
      </c>
      <c r="BF984" s="1">
        <v>177.66</v>
      </c>
      <c r="BG984" s="1">
        <v>191.96</v>
      </c>
      <c r="BH984" s="1">
        <v>173.99</v>
      </c>
      <c r="BI984" s="1">
        <v>179.66</v>
      </c>
      <c r="BJ984" s="1">
        <v>193.51</v>
      </c>
      <c r="BL984" s="1">
        <v>173.93</v>
      </c>
      <c r="BN984" s="1">
        <v>172.65</v>
      </c>
    </row>
    <row r="985" spans="1:66" x14ac:dyDescent="0.3">
      <c r="A985" s="2"/>
      <c r="C985" s="14" t="str">
        <f t="shared" si="16"/>
        <v>20224</v>
      </c>
      <c r="D985" s="3">
        <v>44673</v>
      </c>
      <c r="E985" s="21">
        <v>2666.15</v>
      </c>
      <c r="F985" s="21">
        <v>2635.7</v>
      </c>
      <c r="G985" s="21">
        <v>2752.84</v>
      </c>
      <c r="H985" s="21">
        <v>2444.9</v>
      </c>
      <c r="I985" s="21">
        <v>2607.9499999999998</v>
      </c>
      <c r="J985" s="21">
        <v>2628.73</v>
      </c>
      <c r="K985" s="21">
        <v>2396.06</v>
      </c>
      <c r="L985" s="21">
        <v>2479.3000000000002</v>
      </c>
      <c r="M985" s="21">
        <v>2382.54</v>
      </c>
      <c r="N985" s="21">
        <v>2316.15</v>
      </c>
      <c r="O985" s="21">
        <v>2609.5700000000002</v>
      </c>
      <c r="P985" s="21">
        <v>2420.33</v>
      </c>
      <c r="Q985" s="21">
        <v>9321.36</v>
      </c>
      <c r="R985" s="20">
        <v>169.9</v>
      </c>
      <c r="S985" s="20">
        <v>162.02000000000001</v>
      </c>
      <c r="T985" s="21">
        <v>176.2</v>
      </c>
      <c r="V985" s="1">
        <v>164.41</v>
      </c>
      <c r="W985" s="1">
        <v>177.92</v>
      </c>
      <c r="X985" s="1">
        <v>184.07</v>
      </c>
      <c r="Y985" s="1">
        <v>174.18</v>
      </c>
      <c r="Z985" s="1">
        <v>176</v>
      </c>
      <c r="AA985" s="1">
        <v>171.52</v>
      </c>
      <c r="AB985" s="1">
        <v>183.2</v>
      </c>
      <c r="AE985" s="1">
        <v>190.77</v>
      </c>
      <c r="AF985" s="1">
        <v>179.04</v>
      </c>
      <c r="AG985" s="1">
        <v>163.5</v>
      </c>
      <c r="AK985" s="1">
        <v>50</v>
      </c>
      <c r="AP985" s="1">
        <v>4252.3</v>
      </c>
      <c r="AS985" s="1">
        <v>4490.42</v>
      </c>
      <c r="AW985" s="1">
        <v>4326.25</v>
      </c>
      <c r="AX985" s="1">
        <v>168.83</v>
      </c>
      <c r="BA985" s="1">
        <v>169.11</v>
      </c>
      <c r="BB985" s="1">
        <v>187.87</v>
      </c>
      <c r="BC985" s="1">
        <v>184.24</v>
      </c>
      <c r="BD985" s="1">
        <v>184.18</v>
      </c>
      <c r="BE985" s="1">
        <v>177.07</v>
      </c>
      <c r="BF985" s="1">
        <v>174.47</v>
      </c>
      <c r="BG985" s="1">
        <v>190.16</v>
      </c>
      <c r="BH985" s="1">
        <v>171.35</v>
      </c>
      <c r="BI985" s="1">
        <v>177.66</v>
      </c>
      <c r="BJ985" s="1">
        <v>188.01</v>
      </c>
      <c r="BL985" s="1">
        <v>170.47</v>
      </c>
      <c r="BN985" s="1">
        <v>169.28</v>
      </c>
    </row>
    <row r="986" spans="1:66" x14ac:dyDescent="0.3">
      <c r="A986" s="2"/>
      <c r="C986" s="14" t="str">
        <f t="shared" si="16"/>
        <v>20224</v>
      </c>
      <c r="D986" s="3">
        <v>44671</v>
      </c>
      <c r="E986" s="21">
        <v>2668.15</v>
      </c>
      <c r="F986" s="21">
        <v>2635.7</v>
      </c>
      <c r="G986" s="21">
        <v>2741.39</v>
      </c>
      <c r="H986" s="21">
        <v>2453.61</v>
      </c>
      <c r="I986" s="21">
        <v>2607.9499999999998</v>
      </c>
      <c r="J986" s="21">
        <v>2628.73</v>
      </c>
      <c r="K986" s="21">
        <v>2406.0100000000002</v>
      </c>
      <c r="L986" s="21">
        <v>2514.2399999999998</v>
      </c>
      <c r="M986" s="21">
        <v>2382.54</v>
      </c>
      <c r="N986" s="21">
        <v>2289.0100000000002</v>
      </c>
      <c r="O986" s="21">
        <v>2616.23</v>
      </c>
      <c r="P986" s="21">
        <v>2432.2800000000002</v>
      </c>
      <c r="Q986" s="21">
        <v>9222.2800000000007</v>
      </c>
      <c r="R986" s="20">
        <v>166.83</v>
      </c>
      <c r="S986" s="20">
        <v>159.19</v>
      </c>
      <c r="T986" s="21">
        <v>174.91</v>
      </c>
      <c r="V986" s="1">
        <v>163.04</v>
      </c>
      <c r="W986" s="1">
        <v>175.81</v>
      </c>
      <c r="X986" s="1">
        <v>183.89</v>
      </c>
      <c r="Y986" s="1">
        <v>172.43</v>
      </c>
      <c r="Z986" s="1">
        <v>173</v>
      </c>
      <c r="AA986" s="1">
        <v>168.81</v>
      </c>
      <c r="AB986" s="1">
        <v>183.2</v>
      </c>
      <c r="AE986" s="1">
        <v>188.32</v>
      </c>
      <c r="AF986" s="1">
        <v>177.98</v>
      </c>
      <c r="AG986" s="1">
        <v>162.75</v>
      </c>
      <c r="AK986" s="1">
        <v>50</v>
      </c>
      <c r="AN986" s="1">
        <v>3532.29</v>
      </c>
      <c r="AP986" s="1">
        <v>4252.3</v>
      </c>
      <c r="AS986" s="1">
        <v>4490.42</v>
      </c>
      <c r="AW986" s="1">
        <v>4326.25</v>
      </c>
      <c r="AX986" s="1">
        <v>165.67</v>
      </c>
      <c r="BA986" s="1">
        <v>168.53</v>
      </c>
      <c r="BB986" s="1">
        <v>184.03</v>
      </c>
      <c r="BC986" s="1">
        <v>180.41</v>
      </c>
      <c r="BD986" s="1">
        <v>180.85</v>
      </c>
      <c r="BE986" s="1">
        <v>175.16</v>
      </c>
      <c r="BF986" s="1">
        <v>170.82</v>
      </c>
      <c r="BG986" s="1">
        <v>189.88</v>
      </c>
      <c r="BH986" s="1">
        <v>169.69</v>
      </c>
      <c r="BI986" s="1">
        <v>177.66</v>
      </c>
      <c r="BJ986" s="1">
        <v>187.98</v>
      </c>
      <c r="BL986" s="1">
        <v>167.61</v>
      </c>
      <c r="BN986" s="1">
        <v>166.42</v>
      </c>
    </row>
    <row r="987" spans="1:66" x14ac:dyDescent="0.3">
      <c r="A987" s="2"/>
      <c r="C987" s="14" t="str">
        <f t="shared" si="16"/>
        <v>20224</v>
      </c>
      <c r="D987" s="3">
        <v>44670</v>
      </c>
      <c r="E987" s="21">
        <v>2682.08</v>
      </c>
      <c r="F987" s="21">
        <v>2635.7</v>
      </c>
      <c r="G987" s="21">
        <v>2741.39</v>
      </c>
      <c r="H987" s="21">
        <v>2440.73</v>
      </c>
      <c r="I987" s="21">
        <v>2607.9499999999998</v>
      </c>
      <c r="J987" s="21">
        <v>2614.36</v>
      </c>
      <c r="K987" s="21">
        <v>2422.02</v>
      </c>
      <c r="L987" s="21">
        <v>2553.42</v>
      </c>
      <c r="M987" s="21">
        <v>2382.54</v>
      </c>
      <c r="N987" s="21">
        <v>2265.6999999999998</v>
      </c>
      <c r="O987" s="21">
        <v>2639.47</v>
      </c>
      <c r="P987" s="21">
        <v>2471.14</v>
      </c>
      <c r="Q987" s="21">
        <v>9251.0300000000007</v>
      </c>
      <c r="R987" s="20">
        <v>166.66</v>
      </c>
      <c r="S987" s="20">
        <v>159.13999999999999</v>
      </c>
      <c r="T987" s="21">
        <v>174.24</v>
      </c>
      <c r="V987" s="1">
        <v>161.9</v>
      </c>
      <c r="W987" s="1">
        <v>176.73</v>
      </c>
      <c r="X987" s="1">
        <v>184.16</v>
      </c>
      <c r="Y987" s="1">
        <v>172.1</v>
      </c>
      <c r="Z987" s="1">
        <v>173</v>
      </c>
      <c r="AA987" s="1">
        <v>168.79</v>
      </c>
      <c r="AB987" s="1">
        <v>183.23</v>
      </c>
      <c r="AE987" s="1">
        <v>187.93</v>
      </c>
      <c r="AF987" s="1">
        <v>176.91</v>
      </c>
      <c r="AG987" s="1">
        <v>162.57</v>
      </c>
      <c r="AK987" s="1">
        <v>50</v>
      </c>
      <c r="AN987" s="1">
        <v>3532.29</v>
      </c>
      <c r="AS987" s="1">
        <v>4490.42</v>
      </c>
      <c r="AW987" s="1">
        <v>4326.25</v>
      </c>
      <c r="AX987" s="1">
        <v>164.33</v>
      </c>
      <c r="BA987" s="1">
        <v>168.56</v>
      </c>
      <c r="BB987" s="1">
        <v>183.7</v>
      </c>
      <c r="BC987" s="1">
        <v>180.5</v>
      </c>
      <c r="BD987" s="1">
        <v>179.86</v>
      </c>
      <c r="BE987" s="1">
        <v>174.38</v>
      </c>
      <c r="BF987" s="1">
        <v>169.58</v>
      </c>
      <c r="BG987" s="1">
        <v>187.86</v>
      </c>
      <c r="BH987" s="1">
        <v>170.42</v>
      </c>
      <c r="BI987" s="1">
        <v>176.66</v>
      </c>
      <c r="BJ987" s="1">
        <v>187.97</v>
      </c>
      <c r="BL987" s="1">
        <v>167.11</v>
      </c>
      <c r="BN987" s="1">
        <v>166.91</v>
      </c>
    </row>
    <row r="988" spans="1:66" x14ac:dyDescent="0.3">
      <c r="A988" s="2"/>
      <c r="C988" s="14" t="str">
        <f t="shared" si="16"/>
        <v>20224</v>
      </c>
      <c r="D988" s="3">
        <v>44669</v>
      </c>
      <c r="E988" s="21">
        <v>2678.12</v>
      </c>
      <c r="F988" s="21">
        <v>2625.79</v>
      </c>
      <c r="G988" s="21">
        <v>2752.84</v>
      </c>
      <c r="H988" s="21">
        <v>2438.44</v>
      </c>
      <c r="I988" s="21">
        <v>2607.9499999999998</v>
      </c>
      <c r="J988" s="21">
        <v>2717.11</v>
      </c>
      <c r="K988" s="21">
        <v>2441.96</v>
      </c>
      <c r="L988" s="21">
        <v>2469.8200000000002</v>
      </c>
      <c r="M988" s="21">
        <v>2382.54</v>
      </c>
      <c r="N988" s="21">
        <v>2322.9899999999998</v>
      </c>
      <c r="O988" s="21">
        <v>2716.88</v>
      </c>
      <c r="P988" s="21">
        <v>2507.75</v>
      </c>
      <c r="Q988" s="21">
        <v>9101.0300000000007</v>
      </c>
      <c r="R988" s="20">
        <v>166.07</v>
      </c>
      <c r="S988" s="20">
        <v>159.35</v>
      </c>
      <c r="T988" s="21">
        <v>171.82</v>
      </c>
      <c r="V988" s="1">
        <v>161.91</v>
      </c>
      <c r="W988" s="1">
        <v>175.51</v>
      </c>
      <c r="X988" s="1">
        <v>179.06</v>
      </c>
      <c r="Y988" s="1">
        <v>172.01</v>
      </c>
      <c r="Z988" s="1">
        <v>171</v>
      </c>
      <c r="AA988" s="1">
        <v>167.71</v>
      </c>
      <c r="AB988" s="1">
        <v>179.35</v>
      </c>
      <c r="AE988" s="1">
        <v>185.04</v>
      </c>
      <c r="AF988" s="1">
        <v>176.71</v>
      </c>
      <c r="AG988" s="1">
        <v>162.31</v>
      </c>
      <c r="AK988" s="1">
        <v>50</v>
      </c>
      <c r="AN988" s="1">
        <v>3532.29</v>
      </c>
      <c r="AO988" s="1">
        <v>7</v>
      </c>
      <c r="AP988" s="1">
        <v>4258.7299999999996</v>
      </c>
      <c r="AS988" s="1">
        <v>4490.42</v>
      </c>
      <c r="AT988" s="1">
        <v>3257.04</v>
      </c>
      <c r="AX988" s="1">
        <v>165</v>
      </c>
      <c r="BA988" s="1">
        <v>167.68</v>
      </c>
      <c r="BB988" s="1">
        <v>183.64</v>
      </c>
      <c r="BC988" s="1">
        <v>178.41</v>
      </c>
      <c r="BD988" s="1">
        <v>179.87</v>
      </c>
      <c r="BE988" s="1">
        <v>175.5</v>
      </c>
      <c r="BF988" s="1">
        <v>168.78</v>
      </c>
      <c r="BG988" s="1">
        <v>185.5</v>
      </c>
      <c r="BH988" s="1">
        <v>170.42</v>
      </c>
      <c r="BI988" s="1">
        <v>176.27</v>
      </c>
      <c r="BJ988" s="1">
        <v>187.95</v>
      </c>
      <c r="BL988" s="1">
        <v>167.11</v>
      </c>
      <c r="BN988" s="1">
        <v>166.91</v>
      </c>
    </row>
    <row r="989" spans="1:66" x14ac:dyDescent="0.3">
      <c r="A989" s="2"/>
      <c r="C989" s="14" t="str">
        <f t="shared" si="16"/>
        <v>20224</v>
      </c>
      <c r="D989" s="3">
        <v>44665</v>
      </c>
      <c r="E989" s="21">
        <v>2678.11</v>
      </c>
      <c r="F989" s="21">
        <v>2635.7</v>
      </c>
      <c r="G989" s="21">
        <v>2752.84</v>
      </c>
      <c r="H989" s="21">
        <v>2405.5300000000002</v>
      </c>
      <c r="I989" s="21">
        <v>2617.86</v>
      </c>
      <c r="J989" s="21">
        <v>2685.1</v>
      </c>
      <c r="K989" s="21">
        <v>2441.3200000000002</v>
      </c>
      <c r="L989" s="21">
        <v>2491.0100000000002</v>
      </c>
      <c r="M989" s="21">
        <v>2342.71</v>
      </c>
      <c r="N989" s="21">
        <v>2283.25</v>
      </c>
      <c r="O989" s="21">
        <v>2721.88</v>
      </c>
      <c r="P989" s="21">
        <v>2470.17</v>
      </c>
      <c r="Q989" s="21">
        <v>9111.26</v>
      </c>
      <c r="R989" s="20">
        <v>164.33</v>
      </c>
      <c r="S989" s="20">
        <v>155.74</v>
      </c>
      <c r="T989" s="21">
        <v>171.17</v>
      </c>
      <c r="V989" s="1">
        <v>160.62</v>
      </c>
      <c r="W989" s="1">
        <v>173.58</v>
      </c>
      <c r="X989" s="1">
        <v>177.97</v>
      </c>
      <c r="Y989" s="1">
        <v>170.53</v>
      </c>
      <c r="Z989" s="1">
        <v>170.33</v>
      </c>
      <c r="AA989" s="1">
        <v>166.29</v>
      </c>
      <c r="AB989" s="1">
        <v>178.43</v>
      </c>
      <c r="AE989" s="1">
        <v>183.6</v>
      </c>
      <c r="AF989" s="1">
        <v>173.92</v>
      </c>
      <c r="AG989" s="1">
        <v>160.94</v>
      </c>
      <c r="AN989" s="1">
        <v>3532.29</v>
      </c>
      <c r="AO989" s="1">
        <v>7</v>
      </c>
      <c r="AP989" s="1">
        <v>4139.96</v>
      </c>
      <c r="AT989" s="1">
        <v>3257.04</v>
      </c>
      <c r="AX989" s="1">
        <v>166.33</v>
      </c>
      <c r="BA989" s="1">
        <v>165.79</v>
      </c>
      <c r="BB989" s="1">
        <v>180.54</v>
      </c>
      <c r="BC989" s="1">
        <v>178.82</v>
      </c>
      <c r="BD989" s="1">
        <v>178.39</v>
      </c>
      <c r="BE989" s="1">
        <v>169.97</v>
      </c>
      <c r="BF989" s="1">
        <v>167.4</v>
      </c>
      <c r="BG989" s="1">
        <v>185.09</v>
      </c>
      <c r="BH989" s="1">
        <v>168.09</v>
      </c>
      <c r="BI989" s="1">
        <v>176.27</v>
      </c>
      <c r="BJ989" s="1">
        <v>187.9</v>
      </c>
      <c r="BL989" s="1">
        <v>165.66</v>
      </c>
      <c r="BN989" s="1">
        <v>164.62</v>
      </c>
    </row>
    <row r="990" spans="1:66" x14ac:dyDescent="0.3">
      <c r="A990" s="2"/>
      <c r="C990" s="14" t="str">
        <f t="shared" si="16"/>
        <v>20224</v>
      </c>
      <c r="D990" s="3">
        <v>44664</v>
      </c>
      <c r="E990" s="21">
        <v>2646.22</v>
      </c>
      <c r="F990" s="21">
        <v>2635.7</v>
      </c>
      <c r="G990" s="21">
        <v>2752.84</v>
      </c>
      <c r="H990" s="21">
        <v>2378.31</v>
      </c>
      <c r="I990" s="21">
        <v>2617.86</v>
      </c>
      <c r="J990" s="21">
        <v>2685.69</v>
      </c>
      <c r="K990" s="21">
        <v>2441.3200000000002</v>
      </c>
      <c r="L990" s="21">
        <v>2473.11</v>
      </c>
      <c r="M990" s="21">
        <v>2339.41</v>
      </c>
      <c r="N990" s="21">
        <v>2265.64</v>
      </c>
      <c r="O990" s="21">
        <v>2731.88</v>
      </c>
      <c r="P990" s="21">
        <v>2470.17</v>
      </c>
      <c r="Q990" s="21">
        <v>9074.1</v>
      </c>
      <c r="R990" s="20">
        <v>163.33000000000001</v>
      </c>
      <c r="S990" s="20">
        <v>155.4</v>
      </c>
      <c r="T990" s="21">
        <v>170.6</v>
      </c>
      <c r="V990" s="1">
        <v>160.47</v>
      </c>
      <c r="W990" s="1">
        <v>173.44</v>
      </c>
      <c r="X990" s="1">
        <v>177.5</v>
      </c>
      <c r="Y990" s="1">
        <v>169.78</v>
      </c>
      <c r="Z990" s="1">
        <v>170</v>
      </c>
      <c r="AA990" s="1">
        <v>165.12</v>
      </c>
      <c r="AB990" s="1">
        <v>177.43</v>
      </c>
      <c r="AE990" s="1">
        <v>183.18</v>
      </c>
      <c r="AF990" s="1">
        <v>171.43</v>
      </c>
      <c r="AG990" s="1">
        <v>158.62</v>
      </c>
      <c r="AO990" s="1">
        <v>7</v>
      </c>
      <c r="AP990" s="1">
        <v>4139.96</v>
      </c>
      <c r="AT990" s="1">
        <v>3659.21</v>
      </c>
      <c r="AX990" s="1">
        <v>164.88</v>
      </c>
      <c r="BA990" s="1">
        <v>165.74</v>
      </c>
      <c r="BB990" s="1">
        <v>179.83</v>
      </c>
      <c r="BC990" s="1">
        <v>177.88</v>
      </c>
      <c r="BD990" s="1">
        <v>176.71</v>
      </c>
      <c r="BE990" s="1">
        <v>169.48</v>
      </c>
      <c r="BF990" s="1">
        <v>166.37</v>
      </c>
      <c r="BG990" s="1">
        <v>184.34</v>
      </c>
      <c r="BH990" s="1">
        <v>168.09</v>
      </c>
      <c r="BI990" s="1">
        <v>173.67</v>
      </c>
      <c r="BJ990" s="1">
        <v>184.66</v>
      </c>
      <c r="BL990" s="1">
        <v>165.06</v>
      </c>
      <c r="BN990" s="1">
        <v>164.42</v>
      </c>
    </row>
    <row r="991" spans="1:66" x14ac:dyDescent="0.3">
      <c r="A991" s="2"/>
      <c r="C991" s="14" t="str">
        <f t="shared" si="16"/>
        <v>20224</v>
      </c>
      <c r="D991" s="3">
        <v>44663</v>
      </c>
      <c r="E991" s="21">
        <v>2652.19</v>
      </c>
      <c r="F991" s="21">
        <v>2662.45</v>
      </c>
      <c r="G991" s="21">
        <v>2752.84</v>
      </c>
      <c r="H991" s="21">
        <v>2350.5100000000002</v>
      </c>
      <c r="I991" s="21">
        <v>2659.48</v>
      </c>
      <c r="J991" s="21">
        <v>2707.22</v>
      </c>
      <c r="K991" s="21">
        <v>2457.91</v>
      </c>
      <c r="L991" s="21">
        <v>2446.4</v>
      </c>
      <c r="M991" s="21">
        <v>2379.23</v>
      </c>
      <c r="N991" s="21">
        <v>2273.1</v>
      </c>
      <c r="O991" s="21">
        <v>2736.88</v>
      </c>
      <c r="P991" s="21">
        <v>2490.08</v>
      </c>
      <c r="Q991" s="21">
        <v>8831.94</v>
      </c>
      <c r="R991" s="20">
        <v>163.5</v>
      </c>
      <c r="S991" s="20">
        <v>155.5</v>
      </c>
      <c r="T991" s="21">
        <v>169.89</v>
      </c>
      <c r="V991" s="1">
        <v>162.04</v>
      </c>
      <c r="W991" s="1">
        <v>173.81</v>
      </c>
      <c r="X991" s="1">
        <v>177.54</v>
      </c>
      <c r="Y991" s="1">
        <v>170.32</v>
      </c>
      <c r="Z991" s="1">
        <v>170.33</v>
      </c>
      <c r="AA991" s="1">
        <v>165.33</v>
      </c>
      <c r="AB991" s="1">
        <v>177.09</v>
      </c>
      <c r="AE991" s="1">
        <v>184.48</v>
      </c>
      <c r="AF991" s="1">
        <v>172.5</v>
      </c>
      <c r="AG991" s="1">
        <v>159.91999999999999</v>
      </c>
      <c r="AO991" s="1">
        <v>7</v>
      </c>
      <c r="AP991" s="1">
        <v>4139.96</v>
      </c>
      <c r="AT991" s="1">
        <v>3659.21</v>
      </c>
      <c r="AX991" s="1">
        <v>165.8</v>
      </c>
      <c r="BA991" s="1">
        <v>165.09</v>
      </c>
      <c r="BB991" s="1">
        <v>180.1</v>
      </c>
      <c r="BC991" s="1">
        <v>176.92</v>
      </c>
      <c r="BD991" s="1">
        <v>176.05</v>
      </c>
      <c r="BE991" s="1">
        <v>170.27</v>
      </c>
      <c r="BF991" s="1">
        <v>166.67</v>
      </c>
      <c r="BG991" s="1">
        <v>184.62</v>
      </c>
      <c r="BI991" s="1">
        <v>173.67</v>
      </c>
      <c r="BJ991" s="1">
        <v>184.65</v>
      </c>
      <c r="BK991" s="1">
        <v>163.80000000000001</v>
      </c>
      <c r="BL991" s="1">
        <v>164.77</v>
      </c>
      <c r="BN991" s="1">
        <v>164.52</v>
      </c>
    </row>
    <row r="992" spans="1:66" x14ac:dyDescent="0.3">
      <c r="A992" s="2"/>
      <c r="C992" s="14" t="str">
        <f t="shared" si="16"/>
        <v>20224</v>
      </c>
      <c r="D992" s="3">
        <v>44662</v>
      </c>
      <c r="E992" s="21">
        <v>2616.81</v>
      </c>
      <c r="F992" s="21">
        <v>2662.45</v>
      </c>
      <c r="G992" s="21">
        <v>2752.84</v>
      </c>
      <c r="H992" s="21">
        <v>2354.39</v>
      </c>
      <c r="I992" s="21">
        <v>2671.37</v>
      </c>
      <c r="J992" s="21">
        <v>2662.26</v>
      </c>
      <c r="K992" s="21">
        <v>2457.91</v>
      </c>
      <c r="L992" s="21">
        <v>2535.71</v>
      </c>
      <c r="M992" s="21">
        <v>2344.81</v>
      </c>
      <c r="N992" s="21">
        <v>2318.4299999999998</v>
      </c>
      <c r="O992" s="21">
        <v>2729.5</v>
      </c>
      <c r="P992" s="21">
        <v>2490.08</v>
      </c>
      <c r="Q992" s="21">
        <v>8777.17</v>
      </c>
      <c r="R992" s="20">
        <v>163.66999999999999</v>
      </c>
      <c r="S992" s="20">
        <v>156.24</v>
      </c>
      <c r="T992" s="21">
        <v>170.46</v>
      </c>
      <c r="V992" s="1">
        <v>162.31</v>
      </c>
      <c r="W992" s="1">
        <v>173.6</v>
      </c>
      <c r="X992" s="1">
        <v>177.1</v>
      </c>
      <c r="Y992" s="1">
        <v>170.4</v>
      </c>
      <c r="Z992" s="1">
        <v>170.7</v>
      </c>
      <c r="AA992" s="1">
        <v>166.75</v>
      </c>
      <c r="AB992" s="1">
        <v>177.09</v>
      </c>
      <c r="AE992" s="1">
        <v>184.37</v>
      </c>
      <c r="AF992" s="1">
        <v>174.14</v>
      </c>
      <c r="AG992" s="1">
        <v>160.44999999999999</v>
      </c>
      <c r="AP992" s="1">
        <v>3961.8</v>
      </c>
      <c r="AT992" s="1">
        <v>3860.29</v>
      </c>
      <c r="AW992" s="1">
        <v>4115.0200000000004</v>
      </c>
      <c r="AX992" s="1">
        <v>165.67</v>
      </c>
      <c r="BA992" s="1">
        <v>165.02</v>
      </c>
      <c r="BB992" s="1">
        <v>180.83</v>
      </c>
      <c r="BC992" s="1">
        <v>176.86</v>
      </c>
      <c r="BD992" s="1">
        <v>178.89</v>
      </c>
      <c r="BE992" s="1">
        <v>169.97</v>
      </c>
      <c r="BF992" s="1">
        <v>166.93</v>
      </c>
      <c r="BG992" s="1">
        <v>184.81</v>
      </c>
      <c r="BI992" s="1">
        <v>173.37</v>
      </c>
      <c r="BJ992" s="1">
        <v>184.63</v>
      </c>
      <c r="BK992" s="1">
        <v>163.80000000000001</v>
      </c>
      <c r="BL992" s="1">
        <v>164.77</v>
      </c>
      <c r="BN992" s="1">
        <v>164.52</v>
      </c>
    </row>
    <row r="993" spans="1:66" x14ac:dyDescent="0.3">
      <c r="A993" s="2"/>
      <c r="C993" s="14" t="str">
        <f t="shared" si="16"/>
        <v>20224</v>
      </c>
      <c r="D993" s="3">
        <v>44659</v>
      </c>
      <c r="E993" s="21">
        <v>2624.03</v>
      </c>
      <c r="F993" s="21">
        <v>2663.62</v>
      </c>
      <c r="G993" s="21">
        <v>2715.68</v>
      </c>
      <c r="H993" s="21">
        <v>2394.11</v>
      </c>
      <c r="I993" s="21">
        <v>2681.28</v>
      </c>
      <c r="J993" s="21">
        <v>2631.69</v>
      </c>
      <c r="K993" s="21">
        <v>2424.7199999999998</v>
      </c>
      <c r="L993" s="21">
        <v>2557.94</v>
      </c>
      <c r="M993" s="21">
        <v>2344.81</v>
      </c>
      <c r="N993" s="21">
        <v>2318.58</v>
      </c>
      <c r="O993" s="21">
        <v>2690.29</v>
      </c>
      <c r="P993" s="21">
        <v>2469.19</v>
      </c>
      <c r="Q993" s="21">
        <v>8707.74</v>
      </c>
      <c r="R993" s="20">
        <v>164.83</v>
      </c>
      <c r="S993" s="20">
        <v>157.96</v>
      </c>
      <c r="T993" s="21">
        <v>173.44</v>
      </c>
      <c r="V993" s="1">
        <v>162.68</v>
      </c>
      <c r="W993" s="1">
        <v>173.92</v>
      </c>
      <c r="X993" s="1">
        <v>175.27</v>
      </c>
      <c r="Y993" s="1">
        <v>170.12</v>
      </c>
      <c r="Z993" s="1">
        <v>170.7</v>
      </c>
      <c r="AA993" s="1">
        <v>167.84</v>
      </c>
      <c r="AB993" s="1">
        <v>175.43</v>
      </c>
      <c r="AE993" s="1">
        <v>183.48</v>
      </c>
      <c r="AF993" s="1">
        <v>175.53</v>
      </c>
      <c r="AG993" s="1">
        <v>160.08000000000001</v>
      </c>
      <c r="AT993" s="1">
        <v>3860.29</v>
      </c>
      <c r="AW993" s="1">
        <v>4115.0200000000004</v>
      </c>
      <c r="BA993" s="1">
        <v>164</v>
      </c>
      <c r="BB993" s="1">
        <v>182.34</v>
      </c>
      <c r="BC993" s="1">
        <v>178.86</v>
      </c>
      <c r="BD993" s="1">
        <v>179.42</v>
      </c>
      <c r="BE993" s="1">
        <v>173.32</v>
      </c>
      <c r="BF993" s="1">
        <v>166.62</v>
      </c>
      <c r="BG993" s="1">
        <v>183.04</v>
      </c>
      <c r="BI993" s="1">
        <v>172.77</v>
      </c>
      <c r="BJ993" s="1">
        <v>179.94</v>
      </c>
      <c r="BK993" s="1">
        <v>163.59</v>
      </c>
      <c r="BL993" s="1">
        <v>164.97</v>
      </c>
      <c r="BN993" s="1">
        <v>164.43</v>
      </c>
    </row>
    <row r="994" spans="1:66" x14ac:dyDescent="0.3">
      <c r="A994" s="2"/>
      <c r="C994" s="14" t="str">
        <f t="shared" si="16"/>
        <v>20224</v>
      </c>
      <c r="D994" s="3">
        <v>44658</v>
      </c>
      <c r="E994" s="21">
        <v>2626.88</v>
      </c>
      <c r="F994" s="21">
        <v>2663.62</v>
      </c>
      <c r="G994" s="21">
        <v>2691.85</v>
      </c>
      <c r="H994" s="21">
        <v>2379.9499999999998</v>
      </c>
      <c r="I994" s="21">
        <v>2681.28</v>
      </c>
      <c r="J994" s="21">
        <v>2635.47</v>
      </c>
      <c r="K994" s="21">
        <v>2435.13</v>
      </c>
      <c r="L994" s="21">
        <v>2577.3200000000002</v>
      </c>
      <c r="M994" s="21">
        <v>2336.84</v>
      </c>
      <c r="N994" s="21">
        <v>2323.5300000000002</v>
      </c>
      <c r="O994" s="21">
        <v>2688.35</v>
      </c>
      <c r="P994" s="21">
        <v>2512.7199999999998</v>
      </c>
      <c r="Q994" s="21">
        <v>8690.11</v>
      </c>
      <c r="R994" s="20">
        <v>160.83000000000001</v>
      </c>
      <c r="S994" s="20">
        <v>153.63</v>
      </c>
      <c r="T994" s="21">
        <v>169.1</v>
      </c>
      <c r="V994" s="1">
        <v>158.87</v>
      </c>
      <c r="W994" s="1">
        <v>169.78</v>
      </c>
      <c r="X994" s="1">
        <v>173.47</v>
      </c>
      <c r="Y994" s="1">
        <v>168.32</v>
      </c>
      <c r="Z994" s="1">
        <v>168.84</v>
      </c>
      <c r="AA994" s="1">
        <v>164.94</v>
      </c>
      <c r="AB994" s="1">
        <v>173.49</v>
      </c>
      <c r="AE994" s="1">
        <v>178.08</v>
      </c>
      <c r="AF994" s="1">
        <v>172.24</v>
      </c>
      <c r="AG994" s="1">
        <v>161.08000000000001</v>
      </c>
      <c r="AP994" s="1">
        <v>4092</v>
      </c>
      <c r="AT994" s="1">
        <v>3860.29</v>
      </c>
      <c r="AW994" s="1">
        <v>3921.51</v>
      </c>
      <c r="AZ994" s="1">
        <v>3835.06</v>
      </c>
      <c r="BA994" s="1">
        <v>161.41999999999999</v>
      </c>
      <c r="BB994" s="1">
        <v>179.77</v>
      </c>
      <c r="BC994" s="1">
        <v>175.9</v>
      </c>
      <c r="BD994" s="1">
        <v>175.45</v>
      </c>
      <c r="BE994" s="1">
        <v>170.27</v>
      </c>
      <c r="BF994" s="1">
        <v>164.25</v>
      </c>
      <c r="BG994" s="1">
        <v>178.78</v>
      </c>
      <c r="BI994" s="1">
        <v>170.38</v>
      </c>
      <c r="BJ994" s="1">
        <v>177.39</v>
      </c>
      <c r="BK994" s="1">
        <v>163.94</v>
      </c>
      <c r="BL994" s="1">
        <v>164.54</v>
      </c>
      <c r="BN994" s="1">
        <v>164.45</v>
      </c>
    </row>
    <row r="995" spans="1:66" x14ac:dyDescent="0.3">
      <c r="A995" s="2"/>
      <c r="C995" s="14" t="str">
        <f t="shared" si="16"/>
        <v>20224</v>
      </c>
      <c r="D995" s="3">
        <v>44657</v>
      </c>
      <c r="E995" s="21">
        <v>2611.1799999999998</v>
      </c>
      <c r="F995" s="21">
        <v>2681.64</v>
      </c>
      <c r="G995" s="21">
        <v>2715.68</v>
      </c>
      <c r="H995" s="21">
        <v>2441.1999999999998</v>
      </c>
      <c r="I995" s="21">
        <v>2693.17</v>
      </c>
      <c r="J995" s="21">
        <v>2582.5500000000002</v>
      </c>
      <c r="K995" s="21">
        <v>2475.0100000000002</v>
      </c>
      <c r="L995" s="21">
        <v>2533.5500000000002</v>
      </c>
      <c r="M995" s="21">
        <v>2368.71</v>
      </c>
      <c r="N995" s="21">
        <v>2314.0500000000002</v>
      </c>
      <c r="O995" s="21">
        <v>2698.35</v>
      </c>
      <c r="P995" s="21">
        <v>2564.31</v>
      </c>
      <c r="Q995" s="21">
        <v>8609.9</v>
      </c>
      <c r="R995" s="20">
        <v>158.34</v>
      </c>
      <c r="S995" s="20">
        <v>150.97</v>
      </c>
      <c r="T995" s="21">
        <v>166.47</v>
      </c>
      <c r="V995" s="1">
        <v>157.69999999999999</v>
      </c>
      <c r="W995" s="1">
        <v>169.61</v>
      </c>
      <c r="X995" s="1">
        <v>173.19</v>
      </c>
      <c r="Y995" s="1">
        <v>166.7</v>
      </c>
      <c r="Z995" s="1">
        <v>167</v>
      </c>
      <c r="AA995" s="1">
        <v>162.06</v>
      </c>
      <c r="AB995" s="1">
        <v>173.49</v>
      </c>
      <c r="AE995" s="1">
        <v>176.64</v>
      </c>
      <c r="AF995" s="1">
        <v>169.41</v>
      </c>
      <c r="AG995" s="1">
        <v>158.91999999999999</v>
      </c>
      <c r="AP995" s="1">
        <v>4092</v>
      </c>
      <c r="AW995" s="1">
        <v>3921.51</v>
      </c>
      <c r="AX995" s="1">
        <v>174.24</v>
      </c>
      <c r="AZ995" s="1">
        <v>3835.06</v>
      </c>
      <c r="BA995" s="1">
        <v>160.35</v>
      </c>
      <c r="BB995" s="1">
        <v>176</v>
      </c>
      <c r="BC995" s="1">
        <v>173.68</v>
      </c>
      <c r="BD995" s="1">
        <v>173.07</v>
      </c>
      <c r="BE995" s="1">
        <v>168.14</v>
      </c>
      <c r="BF995" s="1">
        <v>162.68</v>
      </c>
      <c r="BG995" s="1">
        <v>178.66</v>
      </c>
      <c r="BI995" s="1">
        <v>169.68</v>
      </c>
      <c r="BJ995" s="1">
        <v>174.65</v>
      </c>
      <c r="BK995" s="1">
        <v>163.59</v>
      </c>
      <c r="BL995" s="1">
        <v>163.38</v>
      </c>
      <c r="BN995" s="1">
        <v>164.25</v>
      </c>
    </row>
    <row r="996" spans="1:66" x14ac:dyDescent="0.3">
      <c r="A996" s="2"/>
      <c r="C996" s="14" t="str">
        <f t="shared" si="16"/>
        <v>20224</v>
      </c>
      <c r="D996" s="3">
        <v>44656</v>
      </c>
      <c r="E996" s="21">
        <v>2601.15</v>
      </c>
      <c r="F996" s="21">
        <v>2695.15</v>
      </c>
      <c r="G996" s="21">
        <v>2741.39</v>
      </c>
      <c r="H996" s="21">
        <v>2413.6</v>
      </c>
      <c r="I996" s="21">
        <v>2768.47</v>
      </c>
      <c r="J996" s="21">
        <v>2644.52</v>
      </c>
      <c r="K996" s="21">
        <v>2580.64</v>
      </c>
      <c r="L996" s="21">
        <v>2568.34</v>
      </c>
      <c r="M996" s="21">
        <v>2426.5</v>
      </c>
      <c r="N996" s="21">
        <v>2302.2800000000002</v>
      </c>
      <c r="O996" s="21">
        <v>2738.32</v>
      </c>
      <c r="P996" s="21">
        <v>2597.4899999999998</v>
      </c>
      <c r="Q996" s="21">
        <v>8830.09</v>
      </c>
      <c r="R996" s="20">
        <v>159.34</v>
      </c>
      <c r="S996" s="20">
        <v>148.63999999999999</v>
      </c>
      <c r="T996" s="21">
        <v>164.41</v>
      </c>
      <c r="V996" s="1">
        <v>156.68</v>
      </c>
      <c r="W996" s="1">
        <v>168.74</v>
      </c>
      <c r="X996" s="1">
        <v>172.28</v>
      </c>
      <c r="Y996" s="1">
        <v>165.06</v>
      </c>
      <c r="Z996" s="1">
        <v>166</v>
      </c>
      <c r="AA996" s="1">
        <v>161.16999999999999</v>
      </c>
      <c r="AB996" s="1">
        <v>172.24</v>
      </c>
      <c r="AE996" s="1">
        <v>176.07</v>
      </c>
      <c r="AF996" s="1">
        <v>165.59</v>
      </c>
      <c r="AG996" s="1">
        <v>159.43</v>
      </c>
      <c r="AP996" s="1">
        <v>4092</v>
      </c>
      <c r="AW996" s="1">
        <v>3921.51</v>
      </c>
      <c r="AX996" s="1">
        <v>167.73</v>
      </c>
      <c r="AZ996" s="1">
        <v>3835.06</v>
      </c>
      <c r="BA996" s="1">
        <v>159.91999999999999</v>
      </c>
      <c r="BB996" s="1">
        <v>174.77</v>
      </c>
      <c r="BC996" s="1">
        <v>170.93</v>
      </c>
      <c r="BD996" s="1">
        <v>170.02</v>
      </c>
      <c r="BE996" s="1">
        <v>165.57</v>
      </c>
      <c r="BF996" s="1">
        <v>161.62</v>
      </c>
      <c r="BG996" s="1">
        <v>177.26</v>
      </c>
      <c r="BH996" s="1">
        <v>157.9</v>
      </c>
      <c r="BI996" s="1">
        <v>169.68</v>
      </c>
      <c r="BJ996" s="1">
        <v>174.64</v>
      </c>
      <c r="BK996" s="1">
        <v>163.26</v>
      </c>
      <c r="BL996" s="1">
        <v>162.69999999999999</v>
      </c>
      <c r="BN996" s="1">
        <v>163.54</v>
      </c>
    </row>
    <row r="997" spans="1:66" x14ac:dyDescent="0.3">
      <c r="A997" s="2"/>
      <c r="C997" s="14" t="str">
        <f t="shared" si="16"/>
        <v>20224</v>
      </c>
      <c r="D997" s="3">
        <v>44655</v>
      </c>
      <c r="E997" s="21">
        <v>2653.71</v>
      </c>
      <c r="F997" s="21">
        <v>2694.16</v>
      </c>
      <c r="G997" s="21">
        <v>2807.45</v>
      </c>
      <c r="H997" s="21">
        <v>2410.5500000000002</v>
      </c>
      <c r="I997" s="21">
        <v>2796.22</v>
      </c>
      <c r="J997" s="21">
        <v>2700.2</v>
      </c>
      <c r="K997" s="21">
        <v>2580.64</v>
      </c>
      <c r="L997" s="21">
        <v>2561.71</v>
      </c>
      <c r="M997" s="21">
        <v>2450.31</v>
      </c>
      <c r="N997" s="21">
        <v>2324.54</v>
      </c>
      <c r="O997" s="21">
        <v>2699.34</v>
      </c>
      <c r="P997" s="21">
        <v>2597.4899999999998</v>
      </c>
      <c r="Q997" s="21">
        <v>8749.44</v>
      </c>
      <c r="R997" s="20">
        <v>158.68</v>
      </c>
      <c r="S997" s="20">
        <v>146.32</v>
      </c>
      <c r="T997" s="21">
        <v>165.24</v>
      </c>
      <c r="V997" s="1">
        <v>156.68</v>
      </c>
      <c r="W997" s="1">
        <v>167.87</v>
      </c>
      <c r="X997" s="1">
        <v>175.82</v>
      </c>
      <c r="Y997" s="1">
        <v>166.05</v>
      </c>
      <c r="Z997" s="1">
        <v>165</v>
      </c>
      <c r="AA997" s="1">
        <v>160.85</v>
      </c>
      <c r="AB997" s="1">
        <v>174.5</v>
      </c>
      <c r="AE997" s="1">
        <v>179.25</v>
      </c>
      <c r="AF997" s="1">
        <v>162.75</v>
      </c>
      <c r="AG997" s="1">
        <v>159.46</v>
      </c>
      <c r="AP997" s="1">
        <v>4092</v>
      </c>
      <c r="AT997" s="1">
        <v>3877.04</v>
      </c>
      <c r="AW997" s="1">
        <v>3935.98</v>
      </c>
      <c r="AX997" s="1">
        <v>167.18</v>
      </c>
      <c r="AY997" s="1">
        <v>4198.38</v>
      </c>
      <c r="AZ997" s="1">
        <v>3835.06</v>
      </c>
      <c r="BA997" s="1">
        <v>158.09</v>
      </c>
      <c r="BB997" s="1">
        <v>174.39</v>
      </c>
      <c r="BC997" s="1">
        <v>169.28</v>
      </c>
      <c r="BD997" s="1">
        <v>168.55</v>
      </c>
      <c r="BE997" s="1">
        <v>161.58000000000001</v>
      </c>
      <c r="BF997" s="1">
        <v>160.96</v>
      </c>
      <c r="BG997" s="1">
        <v>177.67</v>
      </c>
      <c r="BH997" s="1">
        <v>158.04</v>
      </c>
      <c r="BI997" s="1">
        <v>169.68</v>
      </c>
      <c r="BJ997" s="1">
        <v>174.63</v>
      </c>
      <c r="BK997" s="1">
        <v>162.59</v>
      </c>
      <c r="BL997" s="1">
        <v>162.88999999999999</v>
      </c>
      <c r="BN997" s="1">
        <v>162.94</v>
      </c>
    </row>
    <row r="998" spans="1:66" x14ac:dyDescent="0.3">
      <c r="A998" s="2"/>
      <c r="C998" s="14" t="str">
        <f t="shared" si="16"/>
        <v>20224</v>
      </c>
      <c r="D998" s="3">
        <v>44652</v>
      </c>
      <c r="E998" s="21">
        <v>2726.11</v>
      </c>
      <c r="F998" s="21">
        <v>2811.57</v>
      </c>
      <c r="G998" s="21">
        <v>2938.85</v>
      </c>
      <c r="H998" s="21">
        <v>2478.85</v>
      </c>
      <c r="I998" s="21">
        <v>2790.27</v>
      </c>
      <c r="J998" s="21">
        <v>2777.02</v>
      </c>
      <c r="K998" s="21">
        <v>2690.37</v>
      </c>
      <c r="L998" s="21">
        <v>2574.39</v>
      </c>
      <c r="M998" s="21">
        <v>2523.33</v>
      </c>
      <c r="N998" s="21">
        <v>2405.6</v>
      </c>
      <c r="O998" s="21">
        <v>2712.68</v>
      </c>
      <c r="P998" s="21">
        <v>2663.85</v>
      </c>
      <c r="Q998" s="21">
        <v>8493.42</v>
      </c>
      <c r="R998" s="20">
        <v>160.01</v>
      </c>
      <c r="S998" s="20">
        <v>155.38999999999999</v>
      </c>
      <c r="T998" s="21">
        <v>170.07</v>
      </c>
      <c r="V998" s="1">
        <v>158.68</v>
      </c>
      <c r="W998" s="1">
        <v>173.49</v>
      </c>
      <c r="X998" s="1">
        <v>181.03</v>
      </c>
      <c r="Y998" s="1">
        <v>172.87</v>
      </c>
      <c r="Z998" s="1">
        <v>171</v>
      </c>
      <c r="AA998" s="1">
        <v>162.27000000000001</v>
      </c>
      <c r="AB998" s="1">
        <v>180.93</v>
      </c>
      <c r="AE998" s="1">
        <v>184.09</v>
      </c>
      <c r="AF998" s="1">
        <v>171.52</v>
      </c>
      <c r="AG998" s="1">
        <v>162.22</v>
      </c>
      <c r="AK998" s="1">
        <v>0</v>
      </c>
      <c r="AP998" s="1">
        <v>4092</v>
      </c>
      <c r="AS998" s="1">
        <v>3720.51</v>
      </c>
      <c r="AT998" s="1">
        <v>3877.04</v>
      </c>
      <c r="AW998" s="1">
        <v>3954.48</v>
      </c>
      <c r="AX998" s="1">
        <v>165.53</v>
      </c>
      <c r="AY998" s="1">
        <v>4198.38</v>
      </c>
      <c r="AZ998" s="1">
        <v>3835.06</v>
      </c>
      <c r="BA998" s="1">
        <v>157</v>
      </c>
      <c r="BB998" s="1">
        <v>178.33</v>
      </c>
      <c r="BC998" s="1">
        <v>174.13</v>
      </c>
      <c r="BD998" s="1">
        <v>181.82</v>
      </c>
      <c r="BE998" s="1">
        <v>164.33</v>
      </c>
      <c r="BF998" s="1">
        <v>164.68</v>
      </c>
      <c r="BG998" s="1">
        <v>185.12</v>
      </c>
      <c r="BH998" s="1">
        <v>160.47</v>
      </c>
      <c r="BI998" s="1">
        <v>179.26</v>
      </c>
      <c r="BJ998" s="1">
        <v>186.39</v>
      </c>
      <c r="BK998" s="1">
        <v>166.57</v>
      </c>
      <c r="BL998" s="1">
        <v>165.62</v>
      </c>
      <c r="BN998" s="1">
        <v>166.63</v>
      </c>
    </row>
    <row r="999" spans="1:66" x14ac:dyDescent="0.3">
      <c r="A999" s="2"/>
      <c r="C999" s="14" t="str">
        <f t="shared" si="16"/>
        <v>20223</v>
      </c>
      <c r="D999" s="3">
        <v>44651</v>
      </c>
      <c r="E999" s="21">
        <v>2818.36</v>
      </c>
      <c r="F999" s="21">
        <v>2890.81</v>
      </c>
      <c r="G999" s="21">
        <v>2961.37</v>
      </c>
      <c r="H999" s="21">
        <v>2504.4299999999998</v>
      </c>
      <c r="I999" s="21">
        <v>2795.77</v>
      </c>
      <c r="J999" s="21">
        <v>2755.62</v>
      </c>
      <c r="K999" s="21">
        <v>2714.31</v>
      </c>
      <c r="L999" s="21">
        <v>2638.72</v>
      </c>
      <c r="M999" s="21">
        <v>2521.92</v>
      </c>
      <c r="N999" s="21">
        <v>2457.5</v>
      </c>
      <c r="O999" s="21">
        <v>2705.41</v>
      </c>
      <c r="P999" s="21">
        <v>2710.14</v>
      </c>
      <c r="Q999" s="21">
        <v>8508.5</v>
      </c>
      <c r="R999" s="20">
        <v>167.05</v>
      </c>
      <c r="S999" s="20">
        <v>158.57</v>
      </c>
      <c r="T999" s="21">
        <v>174.9</v>
      </c>
      <c r="V999" s="1">
        <v>163.43</v>
      </c>
      <c r="W999" s="1">
        <v>178.27</v>
      </c>
      <c r="X999" s="1">
        <v>183.34</v>
      </c>
      <c r="Y999" s="1">
        <v>175.72</v>
      </c>
      <c r="Z999" s="1">
        <v>176</v>
      </c>
      <c r="AA999" s="1">
        <v>167.96</v>
      </c>
      <c r="AB999" s="1">
        <v>182.62</v>
      </c>
      <c r="AE999" s="1">
        <v>187.25</v>
      </c>
      <c r="AF999" s="1">
        <v>175.07</v>
      </c>
      <c r="AG999" s="1">
        <v>163.85</v>
      </c>
      <c r="AK999" s="1">
        <v>0</v>
      </c>
      <c r="AP999" s="1">
        <v>4030.2</v>
      </c>
      <c r="AS999" s="1">
        <v>3723.77</v>
      </c>
      <c r="AT999" s="1">
        <v>3718.01</v>
      </c>
      <c r="AW999" s="1">
        <v>3994.98</v>
      </c>
      <c r="AX999" s="1">
        <v>168.44</v>
      </c>
      <c r="AY999" s="1">
        <v>4202.05</v>
      </c>
      <c r="BA999" s="1">
        <v>171.13</v>
      </c>
      <c r="BB999" s="1">
        <v>183</v>
      </c>
      <c r="BC999" s="1">
        <v>180.39</v>
      </c>
      <c r="BD999" s="1">
        <v>180.94</v>
      </c>
      <c r="BE999" s="1">
        <v>173.92</v>
      </c>
      <c r="BF999" s="1">
        <v>175.24</v>
      </c>
      <c r="BG999" s="1">
        <v>188.06</v>
      </c>
      <c r="BH999" s="1">
        <v>167.74</v>
      </c>
      <c r="BI999" s="1">
        <v>181.62</v>
      </c>
      <c r="BJ999" s="1">
        <v>189.76</v>
      </c>
      <c r="BK999" s="1">
        <v>169.79</v>
      </c>
      <c r="BL999" s="1">
        <v>170.61</v>
      </c>
      <c r="BN999" s="1">
        <v>170.12</v>
      </c>
    </row>
    <row r="1000" spans="1:66" x14ac:dyDescent="0.3">
      <c r="A1000" s="2"/>
      <c r="C1000" s="14" t="str">
        <f t="shared" si="16"/>
        <v>20223</v>
      </c>
      <c r="D1000" s="3">
        <v>44650</v>
      </c>
      <c r="E1000" s="21">
        <v>2794.28</v>
      </c>
      <c r="F1000" s="21">
        <v>2929.51</v>
      </c>
      <c r="G1000" s="21">
        <v>2953.51</v>
      </c>
      <c r="H1000" s="21">
        <v>2547.56</v>
      </c>
      <c r="I1000" s="21">
        <v>2787.85</v>
      </c>
      <c r="J1000" s="21">
        <v>2777.86</v>
      </c>
      <c r="K1000" s="21">
        <v>2714.31</v>
      </c>
      <c r="L1000" s="21">
        <v>2662.58</v>
      </c>
      <c r="M1000" s="21"/>
      <c r="N1000" s="21">
        <v>2453.4299999999998</v>
      </c>
      <c r="O1000" s="21">
        <v>2886.76</v>
      </c>
      <c r="P1000" s="21">
        <v>2767.04</v>
      </c>
      <c r="Q1000" s="21">
        <v>8710.34</v>
      </c>
      <c r="R1000" s="20">
        <v>168.27</v>
      </c>
      <c r="S1000" s="20">
        <v>158.72999999999999</v>
      </c>
      <c r="T1000" s="21">
        <v>175.62</v>
      </c>
      <c r="V1000" s="1">
        <v>163.75</v>
      </c>
      <c r="W1000" s="1">
        <v>177.83</v>
      </c>
      <c r="X1000" s="1">
        <v>183.38</v>
      </c>
      <c r="Y1000" s="1">
        <v>174.91</v>
      </c>
      <c r="Z1000" s="1">
        <v>176</v>
      </c>
      <c r="AA1000" s="1">
        <v>170.75</v>
      </c>
      <c r="AB1000" s="1">
        <v>182.95</v>
      </c>
      <c r="AE1000" s="1">
        <v>187.79</v>
      </c>
      <c r="AF1000" s="1">
        <v>176.25</v>
      </c>
      <c r="AG1000" s="1">
        <v>164.36</v>
      </c>
      <c r="AK1000" s="1">
        <v>0</v>
      </c>
      <c r="AO1000" s="1">
        <v>7</v>
      </c>
      <c r="AP1000" s="1">
        <v>4030.2</v>
      </c>
      <c r="AS1000" s="1">
        <v>3723.77</v>
      </c>
      <c r="AT1000" s="1">
        <v>3501.03</v>
      </c>
      <c r="AW1000" s="1">
        <v>3907.44</v>
      </c>
      <c r="AX1000" s="1">
        <v>176.09</v>
      </c>
      <c r="AY1000" s="1">
        <v>4202.05</v>
      </c>
      <c r="BA1000" s="1">
        <v>176.88</v>
      </c>
      <c r="BB1000" s="1">
        <v>184.03</v>
      </c>
      <c r="BC1000" s="1">
        <v>183.78</v>
      </c>
      <c r="BD1000" s="1">
        <v>180.97</v>
      </c>
      <c r="BE1000" s="1">
        <v>175.13</v>
      </c>
      <c r="BF1000" s="1">
        <v>172.14</v>
      </c>
      <c r="BG1000" s="1">
        <v>188.54</v>
      </c>
      <c r="BI1000" s="1">
        <v>183.02</v>
      </c>
      <c r="BJ1000" s="1">
        <v>188.55</v>
      </c>
      <c r="BK1000" s="1">
        <v>169.79</v>
      </c>
      <c r="BL1000" s="1">
        <v>170.78</v>
      </c>
      <c r="BN1000" s="1">
        <v>170.41</v>
      </c>
    </row>
    <row r="1001" spans="1:66" x14ac:dyDescent="0.3">
      <c r="A1001" s="2"/>
      <c r="C1001" s="14" t="str">
        <f t="shared" si="16"/>
        <v>20223</v>
      </c>
      <c r="D1001" s="3">
        <v>44649</v>
      </c>
      <c r="E1001" s="21">
        <v>2775.01</v>
      </c>
      <c r="F1001" s="21">
        <v>2920.51</v>
      </c>
      <c r="G1001" s="21">
        <v>2991.66</v>
      </c>
      <c r="H1001" s="21">
        <v>2607.83</v>
      </c>
      <c r="I1001" s="21">
        <v>2851.21</v>
      </c>
      <c r="J1001" s="21">
        <v>2800.27</v>
      </c>
      <c r="K1001" s="21">
        <v>2747.03</v>
      </c>
      <c r="L1001" s="21">
        <v>2689.78</v>
      </c>
      <c r="M1001" s="21"/>
      <c r="N1001" s="21">
        <v>2505.92</v>
      </c>
      <c r="O1001" s="21">
        <v>2891.76</v>
      </c>
      <c r="P1001" s="21">
        <v>2786.94</v>
      </c>
      <c r="Q1001" s="21">
        <v>8993.17</v>
      </c>
      <c r="R1001" s="20">
        <v>171.77</v>
      </c>
      <c r="S1001" s="20">
        <v>157.18</v>
      </c>
      <c r="T1001" s="21">
        <v>173.87</v>
      </c>
      <c r="V1001" s="1">
        <v>171.33</v>
      </c>
      <c r="W1001" s="1">
        <v>179.05</v>
      </c>
      <c r="X1001" s="1">
        <v>187.09</v>
      </c>
      <c r="Y1001" s="1">
        <v>175.21</v>
      </c>
      <c r="Z1001" s="1">
        <v>174</v>
      </c>
      <c r="AA1001" s="1">
        <v>172.05</v>
      </c>
      <c r="AB1001" s="1">
        <v>186.5</v>
      </c>
      <c r="AE1001" s="1">
        <v>190.98</v>
      </c>
      <c r="AF1001" s="1">
        <v>173.46</v>
      </c>
      <c r="AG1001" s="1">
        <v>167.58</v>
      </c>
      <c r="AK1001" s="1">
        <v>0</v>
      </c>
      <c r="AO1001" s="1">
        <v>7</v>
      </c>
      <c r="AP1001" s="1">
        <v>4105.1000000000004</v>
      </c>
      <c r="AS1001" s="1">
        <v>3723.77</v>
      </c>
      <c r="AT1001" s="1">
        <v>3501.03</v>
      </c>
      <c r="AU1001" s="1">
        <v>4037.91</v>
      </c>
      <c r="AW1001" s="1">
        <v>3907.44</v>
      </c>
      <c r="AY1001" s="1">
        <v>4202.05</v>
      </c>
      <c r="BA1001" s="1">
        <v>176.88</v>
      </c>
      <c r="BB1001" s="1">
        <v>182.21</v>
      </c>
      <c r="BC1001" s="1">
        <v>181.1</v>
      </c>
      <c r="BD1001" s="1">
        <v>178.38</v>
      </c>
      <c r="BE1001" s="1">
        <v>175.89</v>
      </c>
      <c r="BF1001" s="1">
        <v>175.32</v>
      </c>
      <c r="BG1001" s="1">
        <v>190.94</v>
      </c>
      <c r="BH1001" s="1">
        <v>174.08</v>
      </c>
      <c r="BI1001" s="1">
        <v>183.22</v>
      </c>
      <c r="BJ1001" s="1">
        <v>188.52</v>
      </c>
      <c r="BL1001" s="1">
        <v>171.58</v>
      </c>
      <c r="BN1001" s="1">
        <v>169.69</v>
      </c>
    </row>
    <row r="1002" spans="1:66" x14ac:dyDescent="0.3">
      <c r="A1002" s="2"/>
      <c r="C1002" s="14" t="str">
        <f t="shared" si="16"/>
        <v>20223</v>
      </c>
      <c r="D1002" s="3">
        <v>44648</v>
      </c>
      <c r="E1002" s="21">
        <v>2834.78</v>
      </c>
      <c r="F1002" s="21">
        <v>2920.51</v>
      </c>
      <c r="G1002" s="21">
        <v>3008.16</v>
      </c>
      <c r="H1002" s="21">
        <v>2646.13</v>
      </c>
      <c r="I1002" s="21">
        <v>2910.61</v>
      </c>
      <c r="J1002" s="21">
        <v>2934.03</v>
      </c>
      <c r="K1002" s="21">
        <v>2761.25</v>
      </c>
      <c r="L1002" s="21">
        <v>2729.55</v>
      </c>
      <c r="M1002" s="21"/>
      <c r="N1002" s="21">
        <v>2566.34</v>
      </c>
      <c r="O1002" s="21">
        <v>3009</v>
      </c>
      <c r="P1002" s="21">
        <v>2806.84</v>
      </c>
      <c r="Q1002" s="21">
        <v>8993.17</v>
      </c>
      <c r="R1002" s="20">
        <v>172.04</v>
      </c>
      <c r="S1002" s="20">
        <v>162.13</v>
      </c>
      <c r="T1002" s="21">
        <v>177.83</v>
      </c>
      <c r="V1002" s="1">
        <v>173.21</v>
      </c>
      <c r="W1002" s="1">
        <v>184.38</v>
      </c>
      <c r="X1002" s="1">
        <v>188.32</v>
      </c>
      <c r="Y1002" s="1">
        <v>178.06</v>
      </c>
      <c r="Z1002" s="1">
        <v>177</v>
      </c>
      <c r="AA1002" s="1">
        <v>175.42</v>
      </c>
      <c r="AB1002" s="1">
        <v>188.17</v>
      </c>
      <c r="AE1002" s="1">
        <v>192.45</v>
      </c>
      <c r="AF1002" s="1">
        <v>179.15</v>
      </c>
      <c r="AG1002" s="1">
        <v>168.73</v>
      </c>
      <c r="AK1002" s="1">
        <v>0</v>
      </c>
      <c r="AO1002" s="1">
        <v>7</v>
      </c>
      <c r="AP1002" s="1">
        <v>4110.7299999999996</v>
      </c>
      <c r="AS1002" s="1">
        <v>3838.41</v>
      </c>
      <c r="AT1002" s="1">
        <v>3501.03</v>
      </c>
      <c r="AU1002" s="1">
        <v>4037.91</v>
      </c>
      <c r="AW1002" s="1">
        <v>3907.44</v>
      </c>
      <c r="AY1002" s="1">
        <v>4333.37</v>
      </c>
      <c r="BA1002" s="1">
        <v>176.13</v>
      </c>
      <c r="BB1002" s="1">
        <v>187.77</v>
      </c>
      <c r="BC1002" s="1">
        <v>185.28</v>
      </c>
      <c r="BD1002" s="1">
        <v>184.23</v>
      </c>
      <c r="BE1002" s="1">
        <v>176.44</v>
      </c>
      <c r="BF1002" s="1">
        <v>175.31</v>
      </c>
      <c r="BG1002" s="1">
        <v>192.28</v>
      </c>
      <c r="BH1002" s="1">
        <v>175.65</v>
      </c>
      <c r="BI1002" s="1">
        <v>186.5</v>
      </c>
      <c r="BJ1002" s="1">
        <v>192.43</v>
      </c>
      <c r="BL1002" s="1">
        <v>172.98</v>
      </c>
      <c r="BN1002" s="1">
        <v>171.29</v>
      </c>
    </row>
    <row r="1003" spans="1:66" x14ac:dyDescent="0.3">
      <c r="A1003" s="2"/>
      <c r="C1003" s="14" t="str">
        <f t="shared" si="16"/>
        <v>20223</v>
      </c>
      <c r="D1003" s="3">
        <v>44645</v>
      </c>
      <c r="E1003" s="21">
        <v>2881.28</v>
      </c>
      <c r="F1003" s="21">
        <v>2908.13</v>
      </c>
      <c r="G1003" s="21">
        <v>3074.32</v>
      </c>
      <c r="H1003" s="21">
        <v>2670.33</v>
      </c>
      <c r="I1003" s="21">
        <v>2924.47</v>
      </c>
      <c r="J1003" s="21">
        <v>2943.4</v>
      </c>
      <c r="K1003" s="21">
        <v>2775.46</v>
      </c>
      <c r="L1003" s="21">
        <v>2772.14</v>
      </c>
      <c r="M1003" s="21"/>
      <c r="N1003" s="21">
        <v>2625.24</v>
      </c>
      <c r="O1003" s="21">
        <v>3042.3</v>
      </c>
      <c r="P1003" s="21">
        <v>2804.78</v>
      </c>
      <c r="Q1003" s="21">
        <v>9125.7999999999993</v>
      </c>
      <c r="R1003" s="20">
        <v>174.9</v>
      </c>
      <c r="S1003" s="20">
        <v>168.36</v>
      </c>
      <c r="T1003" s="21">
        <v>182.61</v>
      </c>
      <c r="V1003" s="1">
        <v>173.98</v>
      </c>
      <c r="W1003" s="1">
        <v>188.82</v>
      </c>
      <c r="X1003" s="1">
        <v>191.98</v>
      </c>
      <c r="Y1003" s="1">
        <v>183.51</v>
      </c>
      <c r="Z1003" s="1">
        <v>185</v>
      </c>
      <c r="AA1003" s="1">
        <v>177.79</v>
      </c>
      <c r="AB1003" s="1">
        <v>193.04</v>
      </c>
      <c r="AE1003" s="1">
        <v>195.51</v>
      </c>
      <c r="AF1003" s="1">
        <v>184.81</v>
      </c>
      <c r="AG1003" s="1">
        <v>177.59</v>
      </c>
      <c r="AP1003" s="1">
        <v>4250.6099999999997</v>
      </c>
      <c r="AQ1003" s="1">
        <v>4494.9799999999996</v>
      </c>
      <c r="AT1003" s="1">
        <v>3555.58</v>
      </c>
      <c r="AU1003" s="1">
        <v>4037.91</v>
      </c>
      <c r="AW1003" s="1">
        <v>3667.17</v>
      </c>
      <c r="AX1003" s="1">
        <v>188.78</v>
      </c>
      <c r="AY1003" s="1">
        <v>4333.37</v>
      </c>
      <c r="BA1003" s="1">
        <v>180.73</v>
      </c>
      <c r="BB1003" s="1">
        <v>190.13</v>
      </c>
      <c r="BC1003" s="1">
        <v>188.06</v>
      </c>
      <c r="BD1003" s="1">
        <v>188.05</v>
      </c>
      <c r="BE1003" s="1">
        <v>181.45</v>
      </c>
      <c r="BF1003" s="1">
        <v>179.6</v>
      </c>
      <c r="BG1003" s="1">
        <v>196.65</v>
      </c>
      <c r="BH1003" s="1">
        <v>180.36</v>
      </c>
      <c r="BI1003" s="1">
        <v>191.9</v>
      </c>
      <c r="BJ1003" s="1">
        <v>196.52</v>
      </c>
      <c r="BL1003" s="1">
        <v>178.05</v>
      </c>
      <c r="BN1003" s="1">
        <v>176.12</v>
      </c>
    </row>
    <row r="1004" spans="1:66" x14ac:dyDescent="0.3">
      <c r="A1004" s="2"/>
      <c r="C1004" s="14" t="str">
        <f t="shared" si="16"/>
        <v>20223</v>
      </c>
      <c r="D1004" s="3">
        <v>44644</v>
      </c>
      <c r="E1004" s="21">
        <v>2919.5</v>
      </c>
      <c r="F1004" s="21">
        <v>2934.01</v>
      </c>
      <c r="G1004" s="21">
        <v>3060.62</v>
      </c>
      <c r="H1004" s="21">
        <v>2754.35</v>
      </c>
      <c r="I1004" s="21">
        <v>2936.35</v>
      </c>
      <c r="J1004" s="21">
        <v>2930.45</v>
      </c>
      <c r="K1004" s="21">
        <v>2795.06</v>
      </c>
      <c r="L1004" s="21">
        <v>2826.08</v>
      </c>
      <c r="M1004" s="21"/>
      <c r="N1004" s="21">
        <v>2654.15</v>
      </c>
      <c r="O1004" s="21">
        <v>3044.22</v>
      </c>
      <c r="P1004" s="21">
        <v>2862.87</v>
      </c>
      <c r="Q1004" s="21">
        <v>9187.6</v>
      </c>
      <c r="R1004" s="20">
        <v>178.89</v>
      </c>
      <c r="S1004" s="20">
        <v>171.29</v>
      </c>
      <c r="T1004" s="21">
        <v>185.52</v>
      </c>
      <c r="V1004" s="1">
        <v>177.69</v>
      </c>
      <c r="W1004" s="1">
        <v>192.77</v>
      </c>
      <c r="X1004" s="1">
        <v>196.49</v>
      </c>
      <c r="Y1004" s="1">
        <v>188.73</v>
      </c>
      <c r="Z1004" s="1">
        <v>191</v>
      </c>
      <c r="AA1004" s="1">
        <v>181.85</v>
      </c>
      <c r="AB1004" s="1">
        <v>194.06</v>
      </c>
      <c r="AE1004" s="1">
        <v>200.38</v>
      </c>
      <c r="AF1004" s="1">
        <v>187.18</v>
      </c>
      <c r="AG1004" s="1">
        <v>180.62</v>
      </c>
      <c r="AP1004" s="1">
        <v>4290.54</v>
      </c>
      <c r="AQ1004" s="1">
        <v>4494.9799999999996</v>
      </c>
      <c r="AU1004" s="1">
        <v>4037.91</v>
      </c>
      <c r="AW1004" s="1">
        <v>3667.17</v>
      </c>
      <c r="AX1004" s="1">
        <v>192.15</v>
      </c>
      <c r="AY1004" s="1">
        <v>4333.37</v>
      </c>
      <c r="BA1004" s="1">
        <v>180.73</v>
      </c>
      <c r="BB1004" s="1">
        <v>193.44</v>
      </c>
      <c r="BC1004" s="1">
        <v>193.26</v>
      </c>
      <c r="BD1004" s="1">
        <v>188.96</v>
      </c>
      <c r="BE1004" s="1">
        <v>183.38</v>
      </c>
      <c r="BF1004" s="1">
        <v>179.37</v>
      </c>
      <c r="BG1004" s="1">
        <v>198.41</v>
      </c>
      <c r="BH1004" s="1">
        <v>180.72</v>
      </c>
      <c r="BI1004" s="1">
        <v>192.7</v>
      </c>
      <c r="BJ1004" s="1">
        <v>198.87</v>
      </c>
      <c r="BL1004" s="1">
        <v>183.72</v>
      </c>
      <c r="BN1004" s="1">
        <v>183.19</v>
      </c>
    </row>
    <row r="1005" spans="1:66" x14ac:dyDescent="0.3">
      <c r="A1005" s="2"/>
      <c r="C1005" s="14" t="str">
        <f t="shared" si="16"/>
        <v>20223</v>
      </c>
      <c r="D1005" s="3">
        <v>44643</v>
      </c>
      <c r="E1005" s="21">
        <v>2970.87</v>
      </c>
      <c r="F1005" s="21">
        <v>2970.01</v>
      </c>
      <c r="G1005" s="21">
        <v>3073</v>
      </c>
      <c r="H1005" s="21">
        <v>2787.75</v>
      </c>
      <c r="I1005" s="21">
        <v>2936.35</v>
      </c>
      <c r="J1005" s="21">
        <v>2935.33</v>
      </c>
      <c r="K1005" s="21">
        <v>2798.57</v>
      </c>
      <c r="L1005" s="21">
        <v>2838.01</v>
      </c>
      <c r="M1005" s="21"/>
      <c r="N1005" s="21">
        <v>2657.47</v>
      </c>
      <c r="O1005" s="21">
        <v>3059.21</v>
      </c>
      <c r="P1005" s="21">
        <v>2919.2</v>
      </c>
      <c r="Q1005" s="21">
        <v>9234.26</v>
      </c>
      <c r="R1005" s="20">
        <v>181.51</v>
      </c>
      <c r="S1005" s="20">
        <v>172.99</v>
      </c>
      <c r="T1005" s="21">
        <v>186.94</v>
      </c>
      <c r="V1005" s="1">
        <v>179.86</v>
      </c>
      <c r="W1005" s="1">
        <v>193.56</v>
      </c>
      <c r="X1005" s="1">
        <v>197.58</v>
      </c>
      <c r="Y1005" s="1">
        <v>190.97</v>
      </c>
      <c r="Z1005" s="1">
        <v>191</v>
      </c>
      <c r="AA1005" s="1">
        <v>183.62</v>
      </c>
      <c r="AB1005" s="1">
        <v>197</v>
      </c>
      <c r="AE1005" s="1">
        <v>200.54</v>
      </c>
      <c r="AF1005" s="1">
        <v>187.28</v>
      </c>
      <c r="AG1005" s="1">
        <v>178.61</v>
      </c>
      <c r="AP1005" s="1">
        <v>4290.54</v>
      </c>
      <c r="AU1005" s="1">
        <v>4037.91</v>
      </c>
      <c r="AW1005" s="1">
        <v>3274.19</v>
      </c>
      <c r="AX1005" s="1">
        <v>188.3</v>
      </c>
      <c r="AY1005" s="1">
        <v>4333.37</v>
      </c>
      <c r="BA1005" s="1">
        <v>183.11</v>
      </c>
      <c r="BB1005" s="1">
        <v>195.48</v>
      </c>
      <c r="BC1005" s="1">
        <v>195.1</v>
      </c>
      <c r="BD1005" s="1">
        <v>192.26</v>
      </c>
      <c r="BE1005" s="1">
        <v>190.16</v>
      </c>
      <c r="BF1005" s="1">
        <v>180.72</v>
      </c>
      <c r="BG1005" s="1">
        <v>199.99</v>
      </c>
      <c r="BH1005" s="1">
        <v>181.82</v>
      </c>
      <c r="BI1005" s="1">
        <v>195.49</v>
      </c>
      <c r="BJ1005" s="1">
        <v>203.59</v>
      </c>
      <c r="BL1005" s="1">
        <v>185.32</v>
      </c>
      <c r="BN1005" s="1">
        <v>184.19</v>
      </c>
    </row>
    <row r="1006" spans="1:66" x14ac:dyDescent="0.3">
      <c r="A1006" s="2"/>
      <c r="C1006" s="14" t="str">
        <f t="shared" si="16"/>
        <v>20223</v>
      </c>
      <c r="D1006" s="3">
        <v>44642</v>
      </c>
      <c r="E1006" s="21">
        <v>2960.67</v>
      </c>
      <c r="F1006" s="21">
        <v>2970.01</v>
      </c>
      <c r="G1006" s="21">
        <v>3097.87</v>
      </c>
      <c r="H1006" s="21">
        <v>2768.22</v>
      </c>
      <c r="I1006" s="21">
        <v>2960.11</v>
      </c>
      <c r="J1006" s="21">
        <v>2956.02</v>
      </c>
      <c r="K1006" s="21">
        <v>2845.8</v>
      </c>
      <c r="L1006" s="21">
        <v>2902.73</v>
      </c>
      <c r="M1006" s="21"/>
      <c r="N1006" s="21">
        <v>2680.18</v>
      </c>
      <c r="O1006" s="21">
        <v>3064.21</v>
      </c>
      <c r="P1006" s="21">
        <v>2927.62</v>
      </c>
      <c r="Q1006" s="21">
        <v>9275.68</v>
      </c>
      <c r="R1006" s="20">
        <v>182.38</v>
      </c>
      <c r="S1006" s="20">
        <v>174.08</v>
      </c>
      <c r="T1006" s="21">
        <v>191.38</v>
      </c>
      <c r="V1006" s="1">
        <v>182.52</v>
      </c>
      <c r="W1006" s="1">
        <v>193.83</v>
      </c>
      <c r="X1006" s="1">
        <v>200.25</v>
      </c>
      <c r="Y1006" s="1">
        <v>190.97</v>
      </c>
      <c r="Z1006" s="1">
        <v>191</v>
      </c>
      <c r="AA1006" s="1">
        <v>185.38</v>
      </c>
      <c r="AB1006" s="1">
        <v>200.55</v>
      </c>
      <c r="AE1006" s="1">
        <v>202.74</v>
      </c>
      <c r="AF1006" s="1">
        <v>189.91</v>
      </c>
      <c r="AG1006" s="1">
        <v>179.07</v>
      </c>
      <c r="AO1006" s="1">
        <v>7</v>
      </c>
      <c r="AP1006" s="1">
        <v>4393.43</v>
      </c>
      <c r="AT1006" s="1">
        <v>3118.96</v>
      </c>
      <c r="AW1006" s="1">
        <v>3274.19</v>
      </c>
      <c r="AX1006" s="1">
        <v>188.73</v>
      </c>
      <c r="AY1006" s="1">
        <v>4333.37</v>
      </c>
      <c r="BA1006" s="1">
        <v>185.2</v>
      </c>
      <c r="BB1006" s="1">
        <v>197.22</v>
      </c>
      <c r="BC1006" s="1">
        <v>198.04</v>
      </c>
      <c r="BD1006" s="1">
        <v>195.02</v>
      </c>
      <c r="BE1006" s="1">
        <v>189.26</v>
      </c>
      <c r="BF1006" s="1">
        <v>181.79</v>
      </c>
      <c r="BG1006" s="1">
        <v>204.84</v>
      </c>
      <c r="BH1006" s="1">
        <v>182.88</v>
      </c>
      <c r="BI1006" s="1">
        <v>197.59</v>
      </c>
      <c r="BJ1006" s="1">
        <v>206.31</v>
      </c>
      <c r="BL1006" s="1">
        <v>186.32</v>
      </c>
      <c r="BN1006" s="1">
        <v>186</v>
      </c>
    </row>
    <row r="1007" spans="1:66" x14ac:dyDescent="0.3">
      <c r="A1007" s="2"/>
      <c r="C1007" s="14" t="str">
        <f t="shared" si="16"/>
        <v>20223</v>
      </c>
      <c r="D1007" s="3">
        <v>44641</v>
      </c>
      <c r="E1007" s="21">
        <v>2994</v>
      </c>
      <c r="F1007" s="21">
        <v>2992.51</v>
      </c>
      <c r="G1007" s="21">
        <v>3134.99</v>
      </c>
      <c r="H1007" s="21">
        <v>2811.1</v>
      </c>
      <c r="I1007" s="21">
        <v>2960.11</v>
      </c>
      <c r="J1007" s="21">
        <v>3037.5</v>
      </c>
      <c r="K1007" s="21">
        <v>2845.8</v>
      </c>
      <c r="L1007" s="21">
        <v>2942.49</v>
      </c>
      <c r="M1007" s="21"/>
      <c r="N1007" s="21">
        <v>2739.61</v>
      </c>
      <c r="O1007" s="21">
        <v>3085.63</v>
      </c>
      <c r="P1007" s="21">
        <v>2927.12</v>
      </c>
      <c r="Q1007" s="21">
        <v>9210.2099999999991</v>
      </c>
      <c r="R1007" s="20">
        <v>183.99</v>
      </c>
      <c r="S1007" s="20">
        <v>174.65</v>
      </c>
      <c r="T1007" s="21">
        <v>193.12</v>
      </c>
      <c r="V1007" s="1">
        <v>183.69</v>
      </c>
      <c r="W1007" s="1">
        <v>193.89</v>
      </c>
      <c r="X1007" s="1">
        <v>202.11</v>
      </c>
      <c r="Y1007" s="1">
        <v>192.1</v>
      </c>
      <c r="Z1007" s="1">
        <v>194</v>
      </c>
      <c r="AA1007" s="1">
        <v>186.77</v>
      </c>
      <c r="AB1007" s="1">
        <v>201.54</v>
      </c>
      <c r="AE1007" s="1">
        <v>205.2</v>
      </c>
      <c r="AF1007" s="1">
        <v>190.94</v>
      </c>
      <c r="AG1007" s="1">
        <v>180.3</v>
      </c>
      <c r="AO1007" s="1">
        <v>7</v>
      </c>
      <c r="AT1007" s="1">
        <v>3118.96</v>
      </c>
      <c r="AW1007" s="1">
        <v>3274.19</v>
      </c>
      <c r="AX1007" s="1">
        <v>187.86</v>
      </c>
      <c r="BA1007" s="1">
        <v>184.97</v>
      </c>
      <c r="BB1007" s="1">
        <v>197.66</v>
      </c>
      <c r="BC1007" s="1">
        <v>198.15</v>
      </c>
      <c r="BD1007" s="1">
        <v>195.02</v>
      </c>
      <c r="BE1007" s="1">
        <v>190.54</v>
      </c>
      <c r="BF1007" s="1">
        <v>185.27</v>
      </c>
      <c r="BG1007" s="1">
        <v>205.14</v>
      </c>
      <c r="BH1007" s="1">
        <v>182.88</v>
      </c>
      <c r="BI1007" s="1">
        <v>197.59</v>
      </c>
      <c r="BJ1007" s="1">
        <v>206.28</v>
      </c>
      <c r="BL1007" s="1">
        <v>186.81</v>
      </c>
      <c r="BN1007" s="1">
        <v>186.3</v>
      </c>
    </row>
    <row r="1008" spans="1:66" x14ac:dyDescent="0.3">
      <c r="A1008" s="2"/>
      <c r="C1008" s="14" t="str">
        <f t="shared" si="16"/>
        <v>20223</v>
      </c>
      <c r="D1008" s="3">
        <v>44638</v>
      </c>
      <c r="E1008" s="21">
        <v>2999.03</v>
      </c>
      <c r="F1008" s="21">
        <v>2970.01</v>
      </c>
      <c r="G1008" s="21">
        <v>3134.99</v>
      </c>
      <c r="H1008" s="21">
        <v>2839.55</v>
      </c>
      <c r="I1008" s="21">
        <v>2991.79</v>
      </c>
      <c r="J1008" s="21">
        <v>3056.62</v>
      </c>
      <c r="K1008" s="21">
        <v>2844.92</v>
      </c>
      <c r="L1008" s="21">
        <v>2961.5</v>
      </c>
      <c r="M1008" s="21"/>
      <c r="N1008" s="21">
        <v>2738.58</v>
      </c>
      <c r="O1008" s="21">
        <v>3067.38</v>
      </c>
      <c r="P1008" s="21">
        <v>2935.17</v>
      </c>
      <c r="Q1008" s="21">
        <v>9600.34</v>
      </c>
      <c r="R1008" s="20">
        <v>184.19</v>
      </c>
      <c r="S1008" s="20">
        <v>174.67</v>
      </c>
      <c r="T1008" s="21">
        <v>192.21</v>
      </c>
      <c r="V1008" s="1">
        <v>183.63</v>
      </c>
      <c r="W1008" s="1">
        <v>195</v>
      </c>
      <c r="X1008" s="1">
        <v>203.8</v>
      </c>
      <c r="Y1008" s="1">
        <v>192.03</v>
      </c>
      <c r="Z1008" s="1">
        <v>193</v>
      </c>
      <c r="AA1008" s="1">
        <v>188.27</v>
      </c>
      <c r="AB1008" s="1">
        <v>203.76</v>
      </c>
      <c r="AE1008" s="1">
        <v>207.21</v>
      </c>
      <c r="AF1008" s="1">
        <v>190.92</v>
      </c>
      <c r="AG1008" s="1">
        <v>179.06</v>
      </c>
      <c r="AI1008" s="1">
        <v>0</v>
      </c>
      <c r="AN1008" s="1">
        <v>4040.43</v>
      </c>
      <c r="AO1008" s="1">
        <v>7</v>
      </c>
      <c r="AT1008" s="1">
        <v>3118.96</v>
      </c>
      <c r="AX1008" s="1">
        <v>187.5</v>
      </c>
      <c r="BA1008" s="1">
        <v>184.3</v>
      </c>
      <c r="BB1008" s="1">
        <v>198.38</v>
      </c>
      <c r="BC1008" s="1">
        <v>195.44</v>
      </c>
      <c r="BD1008" s="1">
        <v>195.38</v>
      </c>
      <c r="BE1008" s="1">
        <v>191.47</v>
      </c>
      <c r="BF1008" s="1">
        <v>185.37</v>
      </c>
      <c r="BG1008" s="1">
        <v>207.52</v>
      </c>
      <c r="BH1008" s="1">
        <v>186.12</v>
      </c>
      <c r="BI1008" s="1">
        <v>199.39</v>
      </c>
      <c r="BJ1008" s="1">
        <v>207.79</v>
      </c>
      <c r="BL1008" s="1">
        <v>186.44</v>
      </c>
      <c r="BN1008" s="1">
        <v>186.1</v>
      </c>
    </row>
    <row r="1009" spans="1:66" x14ac:dyDescent="0.3">
      <c r="A1009" s="2"/>
      <c r="C1009" s="14" t="str">
        <f t="shared" si="16"/>
        <v>20223</v>
      </c>
      <c r="D1009" s="3">
        <v>44637</v>
      </c>
      <c r="E1009" s="21">
        <v>3030.01</v>
      </c>
      <c r="F1009" s="21">
        <v>3061.59</v>
      </c>
      <c r="G1009" s="21">
        <v>3241.75</v>
      </c>
      <c r="H1009" s="21">
        <v>2861.12</v>
      </c>
      <c r="I1009" s="21">
        <v>2998.17</v>
      </c>
      <c r="J1009" s="21">
        <v>3018.45</v>
      </c>
      <c r="K1009" s="21">
        <v>2918.03</v>
      </c>
      <c r="L1009" s="21">
        <v>2938.37</v>
      </c>
      <c r="M1009" s="21"/>
      <c r="N1009" s="21">
        <v>2783.18</v>
      </c>
      <c r="O1009" s="21">
        <v>3084.28</v>
      </c>
      <c r="P1009" s="21">
        <v>2948.3</v>
      </c>
      <c r="Q1009" s="21">
        <v>9689.74</v>
      </c>
      <c r="R1009" s="20">
        <v>185.99</v>
      </c>
      <c r="S1009" s="20">
        <v>175.63</v>
      </c>
      <c r="T1009" s="21">
        <v>192.33</v>
      </c>
      <c r="V1009" s="1">
        <v>183.64</v>
      </c>
      <c r="W1009" s="1">
        <v>197.21</v>
      </c>
      <c r="X1009" s="1">
        <v>203.91</v>
      </c>
      <c r="Y1009" s="1">
        <v>194.31</v>
      </c>
      <c r="Z1009" s="1">
        <v>195</v>
      </c>
      <c r="AA1009" s="1">
        <v>189.17</v>
      </c>
      <c r="AB1009" s="1">
        <v>203.8</v>
      </c>
      <c r="AE1009" s="1">
        <v>208.58</v>
      </c>
      <c r="AF1009" s="1">
        <v>193.83</v>
      </c>
      <c r="AG1009" s="1">
        <v>179.89</v>
      </c>
      <c r="AI1009" s="1">
        <v>0</v>
      </c>
      <c r="AN1009" s="1">
        <v>4037.12</v>
      </c>
      <c r="AO1009" s="1">
        <v>7</v>
      </c>
      <c r="AT1009" s="1">
        <v>3438.93</v>
      </c>
      <c r="AX1009" s="1">
        <v>186.33</v>
      </c>
      <c r="BA1009" s="1">
        <v>186.21</v>
      </c>
      <c r="BB1009" s="1">
        <v>202.09</v>
      </c>
      <c r="BC1009" s="1">
        <v>199.75</v>
      </c>
      <c r="BD1009" s="1">
        <v>196.51</v>
      </c>
      <c r="BE1009" s="1">
        <v>192.95</v>
      </c>
      <c r="BF1009" s="1">
        <v>186.25</v>
      </c>
      <c r="BG1009" s="1">
        <v>208.66</v>
      </c>
      <c r="BH1009" s="1">
        <v>185.23</v>
      </c>
      <c r="BI1009" s="1">
        <v>199.42</v>
      </c>
      <c r="BJ1009" s="1">
        <v>207.91</v>
      </c>
      <c r="BL1009" s="1">
        <v>189.15</v>
      </c>
      <c r="BN1009" s="1">
        <v>188.47</v>
      </c>
    </row>
    <row r="1010" spans="1:66" x14ac:dyDescent="0.3">
      <c r="A1010" s="2"/>
      <c r="C1010" s="14" t="str">
        <f t="shared" si="16"/>
        <v>20223</v>
      </c>
      <c r="D1010" s="3">
        <v>44636</v>
      </c>
      <c r="E1010" s="21">
        <v>3088.16</v>
      </c>
      <c r="F1010" s="21">
        <v>3061.59</v>
      </c>
      <c r="G1010" s="21">
        <v>3225.16</v>
      </c>
      <c r="H1010" s="21">
        <v>2904.82</v>
      </c>
      <c r="I1010" s="21">
        <v>2998.17</v>
      </c>
      <c r="J1010" s="21">
        <v>3074.03</v>
      </c>
      <c r="K1010" s="21">
        <v>2846.32</v>
      </c>
      <c r="L1010" s="21">
        <v>2962.24</v>
      </c>
      <c r="M1010" s="21"/>
      <c r="N1010" s="21">
        <v>2803.42</v>
      </c>
      <c r="O1010" s="21">
        <v>3023.42</v>
      </c>
      <c r="P1010" s="21">
        <v>2956.06</v>
      </c>
      <c r="Q1010" s="21">
        <v>9702.1299999999992</v>
      </c>
      <c r="R1010" s="20">
        <v>185.82</v>
      </c>
      <c r="S1010" s="20">
        <v>175.23</v>
      </c>
      <c r="T1010" s="21">
        <v>193.52</v>
      </c>
      <c r="V1010" s="1">
        <v>183.01</v>
      </c>
      <c r="W1010" s="1">
        <v>198.88</v>
      </c>
      <c r="X1010" s="1">
        <v>203.94</v>
      </c>
      <c r="Y1010" s="1">
        <v>198.1</v>
      </c>
      <c r="Z1010" s="1">
        <v>198</v>
      </c>
      <c r="AA1010" s="1">
        <v>188.01</v>
      </c>
      <c r="AB1010" s="1">
        <v>203.8</v>
      </c>
      <c r="AE1010" s="1">
        <v>208.98</v>
      </c>
      <c r="AF1010" s="1">
        <v>194.02</v>
      </c>
      <c r="AG1010" s="1">
        <v>181.2</v>
      </c>
      <c r="AI1010" s="1">
        <v>0</v>
      </c>
      <c r="AN1010" s="1">
        <v>4037.12</v>
      </c>
      <c r="AO1010" s="1">
        <v>7</v>
      </c>
      <c r="AT1010" s="1">
        <v>3438.93</v>
      </c>
      <c r="AX1010" s="1">
        <v>186.11</v>
      </c>
      <c r="BA1010" s="1">
        <v>187.43</v>
      </c>
      <c r="BB1010" s="1">
        <v>202.71</v>
      </c>
      <c r="BC1010" s="1">
        <v>196.77</v>
      </c>
      <c r="BD1010" s="1">
        <v>197.5</v>
      </c>
      <c r="BE1010" s="1">
        <v>190.47</v>
      </c>
      <c r="BF1010" s="1">
        <v>187.35</v>
      </c>
      <c r="BG1010" s="1">
        <v>209.74</v>
      </c>
      <c r="BH1010" s="1">
        <v>185.23</v>
      </c>
      <c r="BI1010" s="1">
        <v>199.42</v>
      </c>
      <c r="BJ1010" s="1">
        <v>207.88</v>
      </c>
      <c r="BL1010" s="1">
        <v>192.14</v>
      </c>
      <c r="BN1010" s="1">
        <v>191.13</v>
      </c>
    </row>
    <row r="1011" spans="1:66" x14ac:dyDescent="0.3">
      <c r="A1011" s="2"/>
      <c r="C1011" s="14" t="str">
        <f t="shared" si="16"/>
        <v>20223</v>
      </c>
      <c r="D1011" s="3">
        <v>44635</v>
      </c>
      <c r="E1011" s="21">
        <v>3139.17</v>
      </c>
      <c r="F1011" s="21">
        <v>3091.31</v>
      </c>
      <c r="G1011" s="21">
        <v>3241.75</v>
      </c>
      <c r="H1011" s="21">
        <v>2919.43</v>
      </c>
      <c r="I1011" s="21">
        <v>2968.45</v>
      </c>
      <c r="J1011" s="21">
        <v>3074.14</v>
      </c>
      <c r="K1011" s="21">
        <v>2934.62</v>
      </c>
      <c r="L1011" s="21">
        <v>3075.11</v>
      </c>
      <c r="M1011" s="21"/>
      <c r="N1011" s="21">
        <v>2810.49</v>
      </c>
      <c r="O1011" s="21">
        <v>3042.34</v>
      </c>
      <c r="P1011" s="21">
        <v>2968.21</v>
      </c>
      <c r="Q1011" s="21">
        <v>9702.1299999999992</v>
      </c>
      <c r="R1011" s="20">
        <v>187.46</v>
      </c>
      <c r="S1011" s="20">
        <v>175.62</v>
      </c>
      <c r="T1011" s="21">
        <v>194.53</v>
      </c>
      <c r="V1011" s="1">
        <v>183.48</v>
      </c>
      <c r="W1011" s="1">
        <v>198.65</v>
      </c>
      <c r="X1011" s="1">
        <v>202.89</v>
      </c>
      <c r="Y1011" s="1">
        <v>197.77</v>
      </c>
      <c r="Z1011" s="1">
        <v>198</v>
      </c>
      <c r="AA1011" s="1">
        <v>187.91</v>
      </c>
      <c r="AB1011" s="1">
        <v>202.02</v>
      </c>
      <c r="AE1011" s="1">
        <v>208.26</v>
      </c>
      <c r="AF1011" s="1">
        <v>193.91</v>
      </c>
      <c r="AG1011" s="1">
        <v>182.11</v>
      </c>
      <c r="AI1011" s="1">
        <v>0</v>
      </c>
      <c r="AN1011" s="1">
        <v>4037.12</v>
      </c>
      <c r="AT1011" s="1">
        <v>3700.52</v>
      </c>
      <c r="AX1011" s="1">
        <v>188.66</v>
      </c>
      <c r="BA1011" s="1">
        <v>186.79</v>
      </c>
      <c r="BB1011" s="1">
        <v>202.58</v>
      </c>
      <c r="BC1011" s="1">
        <v>196.33</v>
      </c>
      <c r="BD1011" s="1">
        <v>198.19</v>
      </c>
      <c r="BE1011" s="1">
        <v>190.82</v>
      </c>
      <c r="BF1011" s="1">
        <v>190.21</v>
      </c>
      <c r="BG1011" s="1">
        <v>208.54</v>
      </c>
      <c r="BH1011" s="1">
        <v>183.53</v>
      </c>
      <c r="BI1011" s="1">
        <v>200.17</v>
      </c>
      <c r="BJ1011" s="1">
        <v>208.45</v>
      </c>
      <c r="BK1011" s="1">
        <v>192.12</v>
      </c>
      <c r="BL1011" s="1">
        <v>191.89</v>
      </c>
      <c r="BN1011" s="1">
        <v>191.13</v>
      </c>
    </row>
    <row r="1012" spans="1:66" x14ac:dyDescent="0.3">
      <c r="A1012" s="2"/>
      <c r="C1012" s="14" t="str">
        <f t="shared" si="16"/>
        <v>20223</v>
      </c>
      <c r="D1012" s="3">
        <v>44634</v>
      </c>
      <c r="E1012" s="21">
        <v>3091.74</v>
      </c>
      <c r="F1012" s="21">
        <v>3089.51</v>
      </c>
      <c r="G1012" s="21">
        <v>3174.36</v>
      </c>
      <c r="H1012" s="21">
        <v>2923.99</v>
      </c>
      <c r="I1012" s="21">
        <v>2944.67</v>
      </c>
      <c r="J1012" s="21">
        <v>3046.81</v>
      </c>
      <c r="K1012" s="21">
        <v>2937.37</v>
      </c>
      <c r="L1012" s="21">
        <v>3075.11</v>
      </c>
      <c r="M1012" s="21"/>
      <c r="N1012" s="21">
        <v>2833.46</v>
      </c>
      <c r="O1012" s="21">
        <v>3047.87</v>
      </c>
      <c r="P1012" s="21">
        <v>2968.21</v>
      </c>
      <c r="Q1012" s="21">
        <v>9734.2800000000007</v>
      </c>
      <c r="R1012" s="20">
        <v>187.55</v>
      </c>
      <c r="S1012" s="20">
        <v>175.27</v>
      </c>
      <c r="T1012" s="21">
        <v>196.26</v>
      </c>
      <c r="V1012" s="1">
        <v>183.87</v>
      </c>
      <c r="W1012" s="1">
        <v>199.29</v>
      </c>
      <c r="X1012" s="1">
        <v>203.02</v>
      </c>
      <c r="Y1012" s="1">
        <v>197.79</v>
      </c>
      <c r="Z1012" s="1">
        <v>198</v>
      </c>
      <c r="AA1012" s="1">
        <v>189.51</v>
      </c>
      <c r="AB1012" s="1">
        <v>202.02</v>
      </c>
      <c r="AE1012" s="1">
        <v>207.89</v>
      </c>
      <c r="AF1012" s="1">
        <v>196.61</v>
      </c>
      <c r="AG1012" s="1">
        <v>183.36</v>
      </c>
      <c r="AI1012" s="1">
        <v>0</v>
      </c>
      <c r="AN1012" s="1">
        <v>4037.12</v>
      </c>
      <c r="AT1012" s="1">
        <v>3700.52</v>
      </c>
      <c r="AX1012" s="1">
        <v>189.36</v>
      </c>
      <c r="BA1012" s="1">
        <v>187.56</v>
      </c>
      <c r="BB1012" s="1">
        <v>203.07</v>
      </c>
      <c r="BC1012" s="1">
        <v>198.85</v>
      </c>
      <c r="BD1012" s="1">
        <v>197.29</v>
      </c>
      <c r="BE1012" s="1">
        <v>192.77</v>
      </c>
      <c r="BF1012" s="1">
        <v>189.62</v>
      </c>
      <c r="BG1012" s="1">
        <v>208.43</v>
      </c>
      <c r="BH1012" s="1">
        <v>183.53</v>
      </c>
      <c r="BI1012" s="1">
        <v>199.52</v>
      </c>
      <c r="BJ1012" s="1">
        <v>207.43</v>
      </c>
      <c r="BK1012" s="1">
        <v>191.43</v>
      </c>
      <c r="BL1012" s="1">
        <v>191.66</v>
      </c>
      <c r="BN1012" s="1">
        <v>191.16</v>
      </c>
    </row>
    <row r="1013" spans="1:66" x14ac:dyDescent="0.3">
      <c r="A1013" s="2"/>
      <c r="C1013" s="14" t="str">
        <f t="shared" si="16"/>
        <v>20223</v>
      </c>
      <c r="D1013" s="3">
        <v>44631</v>
      </c>
      <c r="E1013" s="21">
        <v>3050.24</v>
      </c>
      <c r="F1013" s="21">
        <v>3071.49</v>
      </c>
      <c r="G1013" s="21">
        <v>3174.36</v>
      </c>
      <c r="H1013" s="21">
        <v>2897.98</v>
      </c>
      <c r="I1013" s="21">
        <v>2934.76</v>
      </c>
      <c r="J1013" s="21">
        <v>3030.38</v>
      </c>
      <c r="K1013" s="21">
        <v>2887.55</v>
      </c>
      <c r="L1013" s="21">
        <v>3004.33</v>
      </c>
      <c r="M1013" s="21"/>
      <c r="N1013" s="21">
        <v>2766.99</v>
      </c>
      <c r="O1013" s="21">
        <v>3024.31</v>
      </c>
      <c r="P1013" s="21">
        <v>2908.41</v>
      </c>
      <c r="Q1013" s="21">
        <v>9759.17</v>
      </c>
      <c r="R1013" s="20">
        <v>186.21</v>
      </c>
      <c r="S1013" s="20">
        <v>175.84</v>
      </c>
      <c r="T1013" s="21">
        <v>197.46</v>
      </c>
      <c r="V1013" s="1">
        <v>185.16</v>
      </c>
      <c r="W1013" s="1">
        <v>197.19</v>
      </c>
      <c r="X1013" s="1">
        <v>203.45</v>
      </c>
      <c r="Y1013" s="1">
        <v>197.88</v>
      </c>
      <c r="Z1013" s="1">
        <v>199</v>
      </c>
      <c r="AA1013" s="1">
        <v>186.31</v>
      </c>
      <c r="AB1013" s="1">
        <v>202.69</v>
      </c>
      <c r="AE1013" s="1">
        <v>208.64</v>
      </c>
      <c r="AF1013" s="1">
        <v>195.35</v>
      </c>
      <c r="AG1013" s="1">
        <v>183.53</v>
      </c>
      <c r="AT1013" s="1">
        <v>3700.52</v>
      </c>
      <c r="AW1013" s="1">
        <v>3397.84</v>
      </c>
      <c r="AX1013" s="1">
        <v>189.6</v>
      </c>
      <c r="BA1013" s="1">
        <v>188.21</v>
      </c>
      <c r="BB1013" s="1">
        <v>201.56</v>
      </c>
      <c r="BC1013" s="1">
        <v>201.91</v>
      </c>
      <c r="BD1013" s="1">
        <v>197.33</v>
      </c>
      <c r="BE1013" s="1">
        <v>192.81</v>
      </c>
      <c r="BF1013" s="1">
        <v>189.85</v>
      </c>
      <c r="BG1013" s="1">
        <v>209.86</v>
      </c>
      <c r="BH1013" s="1">
        <v>185.88</v>
      </c>
      <c r="BI1013" s="1">
        <v>199.52</v>
      </c>
      <c r="BJ1013" s="1">
        <v>208.61</v>
      </c>
      <c r="BK1013" s="1">
        <v>191.77</v>
      </c>
      <c r="BL1013" s="1">
        <v>191.49</v>
      </c>
      <c r="BN1013" s="1">
        <v>191</v>
      </c>
    </row>
    <row r="1014" spans="1:66" x14ac:dyDescent="0.3">
      <c r="A1014" s="2"/>
      <c r="C1014" s="14" t="str">
        <f t="shared" si="16"/>
        <v>20223</v>
      </c>
      <c r="D1014" s="3">
        <v>44630</v>
      </c>
      <c r="E1014" s="21">
        <v>3072.97</v>
      </c>
      <c r="F1014" s="21">
        <v>3071.49</v>
      </c>
      <c r="G1014" s="21">
        <v>3137.55</v>
      </c>
      <c r="H1014" s="21">
        <v>2966.03</v>
      </c>
      <c r="I1014" s="21">
        <v>2914.95</v>
      </c>
      <c r="J1014" s="21">
        <v>3051.91</v>
      </c>
      <c r="K1014" s="21">
        <v>2841.65</v>
      </c>
      <c r="L1014" s="21">
        <v>3087.21</v>
      </c>
      <c r="M1014" s="21"/>
      <c r="N1014" s="21">
        <v>2753.59</v>
      </c>
      <c r="O1014" s="21">
        <v>3024.31</v>
      </c>
      <c r="P1014" s="21">
        <v>2893.03</v>
      </c>
      <c r="Q1014" s="21">
        <v>9710.84</v>
      </c>
      <c r="R1014" s="20">
        <v>186.65</v>
      </c>
      <c r="S1014" s="20">
        <v>176.31</v>
      </c>
      <c r="T1014" s="21">
        <v>198.38</v>
      </c>
      <c r="V1014" s="1">
        <v>184.87</v>
      </c>
      <c r="W1014" s="1">
        <v>199.16</v>
      </c>
      <c r="X1014" s="1">
        <v>203.98</v>
      </c>
      <c r="Y1014" s="1">
        <v>199.11</v>
      </c>
      <c r="Z1014" s="1">
        <v>202</v>
      </c>
      <c r="AA1014" s="1">
        <v>189.5</v>
      </c>
      <c r="AB1014" s="1">
        <v>204.09</v>
      </c>
      <c r="AE1014" s="1">
        <v>211.4</v>
      </c>
      <c r="AF1014" s="1">
        <v>195</v>
      </c>
      <c r="AG1014" s="1">
        <v>183.85</v>
      </c>
      <c r="AW1014" s="1">
        <v>3397.84</v>
      </c>
      <c r="AX1014" s="1">
        <v>185.65</v>
      </c>
      <c r="BA1014" s="1">
        <v>187.61</v>
      </c>
      <c r="BB1014" s="1">
        <v>203.13</v>
      </c>
      <c r="BC1014" s="1">
        <v>202.76</v>
      </c>
      <c r="BD1014" s="1">
        <v>200</v>
      </c>
      <c r="BE1014" s="1">
        <v>194.67</v>
      </c>
      <c r="BF1014" s="1">
        <v>190.94</v>
      </c>
      <c r="BG1014" s="1">
        <v>211.38</v>
      </c>
      <c r="BH1014" s="1">
        <v>187.06</v>
      </c>
      <c r="BI1014" s="1">
        <v>199.52</v>
      </c>
      <c r="BJ1014" s="1">
        <v>207.33</v>
      </c>
      <c r="BK1014" s="1">
        <v>192.78</v>
      </c>
      <c r="BL1014" s="1">
        <v>193.23</v>
      </c>
      <c r="BN1014" s="1">
        <v>192.55</v>
      </c>
    </row>
    <row r="1015" spans="1:66" x14ac:dyDescent="0.3">
      <c r="A1015" s="2"/>
      <c r="C1015" s="14" t="str">
        <f t="shared" si="16"/>
        <v>20223</v>
      </c>
      <c r="D1015" s="3">
        <v>44629</v>
      </c>
      <c r="E1015" s="21">
        <v>3055.91</v>
      </c>
      <c r="F1015" s="21">
        <v>3048.98</v>
      </c>
      <c r="G1015" s="21">
        <v>3124.65</v>
      </c>
      <c r="H1015" s="21">
        <v>2945.46</v>
      </c>
      <c r="I1015" s="21">
        <v>2897.11</v>
      </c>
      <c r="J1015" s="21">
        <v>3027.1</v>
      </c>
      <c r="K1015" s="21">
        <v>2841.65</v>
      </c>
      <c r="L1015" s="21">
        <v>3060.69</v>
      </c>
      <c r="M1015" s="21"/>
      <c r="N1015" s="21">
        <v>2740.79</v>
      </c>
      <c r="O1015" s="21">
        <v>3006.81</v>
      </c>
      <c r="P1015" s="21">
        <v>2859.75</v>
      </c>
      <c r="Q1015" s="21">
        <v>9790.2999999999993</v>
      </c>
      <c r="R1015" s="20">
        <v>187.15</v>
      </c>
      <c r="S1015" s="20">
        <v>175.85</v>
      </c>
      <c r="T1015" s="21">
        <v>196.99</v>
      </c>
      <c r="V1015" s="1">
        <v>184.37</v>
      </c>
      <c r="W1015" s="1">
        <v>199</v>
      </c>
      <c r="X1015" s="1">
        <v>201.68</v>
      </c>
      <c r="Y1015" s="1">
        <v>199.37</v>
      </c>
      <c r="Z1015" s="1">
        <v>200.17</v>
      </c>
      <c r="AA1015" s="1">
        <v>190.63</v>
      </c>
      <c r="AB1015" s="1">
        <v>201.01</v>
      </c>
      <c r="AE1015" s="1">
        <v>206.53</v>
      </c>
      <c r="AF1015" s="1">
        <v>195.4</v>
      </c>
      <c r="AG1015" s="1">
        <v>181.12</v>
      </c>
      <c r="AS1015" s="1">
        <v>3855.45</v>
      </c>
      <c r="AW1015" s="1">
        <v>3397.84</v>
      </c>
      <c r="AX1015" s="1">
        <v>185.93</v>
      </c>
      <c r="BA1015" s="1">
        <v>187.12</v>
      </c>
      <c r="BB1015" s="1">
        <v>203.24</v>
      </c>
      <c r="BC1015" s="1">
        <v>201.27</v>
      </c>
      <c r="BD1015" s="1">
        <v>199.78</v>
      </c>
      <c r="BE1015" s="1">
        <v>196.59</v>
      </c>
      <c r="BF1015" s="1">
        <v>189.58</v>
      </c>
      <c r="BG1015" s="1">
        <v>208.24</v>
      </c>
      <c r="BH1015" s="1">
        <v>187.06</v>
      </c>
      <c r="BI1015" s="1">
        <v>197.12</v>
      </c>
      <c r="BJ1015" s="1">
        <v>207.3</v>
      </c>
      <c r="BK1015" s="1">
        <v>191.79</v>
      </c>
      <c r="BL1015" s="1">
        <v>192.48</v>
      </c>
      <c r="BN1015" s="1">
        <v>191.36</v>
      </c>
    </row>
    <row r="1016" spans="1:66" x14ac:dyDescent="0.3">
      <c r="A1016" s="2"/>
      <c r="C1016" s="14" t="str">
        <f t="shared" si="16"/>
        <v>20223</v>
      </c>
      <c r="D1016" s="3">
        <v>44628</v>
      </c>
      <c r="E1016" s="21">
        <v>3035.36</v>
      </c>
      <c r="F1016" s="21">
        <v>3048.98</v>
      </c>
      <c r="G1016" s="21">
        <v>3124.7</v>
      </c>
      <c r="H1016" s="21">
        <v>2828.47</v>
      </c>
      <c r="I1016" s="21">
        <v>2897.11</v>
      </c>
      <c r="J1016" s="21">
        <v>2980.41</v>
      </c>
      <c r="K1016" s="21">
        <v>2863.6</v>
      </c>
      <c r="L1016" s="21">
        <v>3017.76</v>
      </c>
      <c r="M1016" s="21"/>
      <c r="N1016" s="21">
        <v>2684.72</v>
      </c>
      <c r="O1016" s="21">
        <v>3005.74</v>
      </c>
      <c r="P1016" s="21">
        <v>2864.5</v>
      </c>
      <c r="Q1016" s="21">
        <v>9690.2999999999993</v>
      </c>
      <c r="R1016" s="20">
        <v>186.15</v>
      </c>
      <c r="S1016" s="20">
        <v>177.84</v>
      </c>
      <c r="T1016" s="21">
        <v>197.81</v>
      </c>
      <c r="V1016" s="1">
        <v>185.14</v>
      </c>
      <c r="W1016" s="1">
        <v>199.72</v>
      </c>
      <c r="X1016" s="1">
        <v>200.61</v>
      </c>
      <c r="Y1016" s="1">
        <v>198.17</v>
      </c>
      <c r="Z1016" s="1">
        <v>199.5</v>
      </c>
      <c r="AA1016" s="1">
        <v>188.31</v>
      </c>
      <c r="AB1016" s="1">
        <v>200.02</v>
      </c>
      <c r="AC1016" s="1">
        <v>180.48</v>
      </c>
      <c r="AE1016" s="1">
        <v>207.03</v>
      </c>
      <c r="AF1016" s="1">
        <v>198.82</v>
      </c>
      <c r="AG1016" s="1">
        <v>183.31</v>
      </c>
      <c r="AS1016" s="1">
        <v>3855.45</v>
      </c>
      <c r="AT1016" s="1">
        <v>4004.32</v>
      </c>
      <c r="AW1016" s="1">
        <v>3180.38</v>
      </c>
      <c r="AX1016" s="1">
        <v>190.3</v>
      </c>
      <c r="BA1016" s="1">
        <v>187.78</v>
      </c>
      <c r="BB1016" s="1">
        <v>204.12</v>
      </c>
      <c r="BC1016" s="1">
        <v>202.31</v>
      </c>
      <c r="BD1016" s="1">
        <v>201.69</v>
      </c>
      <c r="BE1016" s="1">
        <v>195.04</v>
      </c>
      <c r="BF1016" s="1">
        <v>189.33</v>
      </c>
      <c r="BG1016" s="1">
        <v>207.77</v>
      </c>
      <c r="BH1016" s="1">
        <v>187.06</v>
      </c>
      <c r="BI1016" s="1">
        <v>197.12</v>
      </c>
      <c r="BJ1016" s="1">
        <v>206.29</v>
      </c>
      <c r="BK1016" s="1">
        <v>191.79</v>
      </c>
      <c r="BL1016" s="1">
        <v>192.48</v>
      </c>
      <c r="BN1016" s="1">
        <v>191.25</v>
      </c>
    </row>
    <row r="1017" spans="1:66" x14ac:dyDescent="0.3">
      <c r="A1017" s="2"/>
      <c r="C1017" s="14" t="str">
        <f t="shared" si="16"/>
        <v>20223</v>
      </c>
      <c r="D1017" s="3">
        <v>44627</v>
      </c>
      <c r="E1017" s="21">
        <v>2993.32</v>
      </c>
      <c r="F1017" s="21">
        <v>3021.95</v>
      </c>
      <c r="G1017" s="21">
        <v>3124.7</v>
      </c>
      <c r="H1017" s="21">
        <v>2803.33</v>
      </c>
      <c r="I1017" s="21">
        <v>2897.11</v>
      </c>
      <c r="J1017" s="21">
        <v>2980.67</v>
      </c>
      <c r="K1017" s="21">
        <v>2854.26</v>
      </c>
      <c r="L1017" s="21">
        <v>2951.45</v>
      </c>
      <c r="M1017" s="21"/>
      <c r="N1017" s="21">
        <v>2673.64</v>
      </c>
      <c r="O1017" s="21">
        <v>3004.31</v>
      </c>
      <c r="P1017" s="21">
        <v>2890.46</v>
      </c>
      <c r="Q1017" s="21">
        <v>9569.7099999999991</v>
      </c>
      <c r="R1017" s="20">
        <v>185.48</v>
      </c>
      <c r="S1017" s="20">
        <v>175.23</v>
      </c>
      <c r="T1017" s="21">
        <v>194.46</v>
      </c>
      <c r="V1017" s="1">
        <v>185.13</v>
      </c>
      <c r="W1017" s="1">
        <v>197.47</v>
      </c>
      <c r="X1017" s="1">
        <v>200.52</v>
      </c>
      <c r="Y1017" s="1">
        <v>197.24</v>
      </c>
      <c r="Z1017" s="1">
        <v>198</v>
      </c>
      <c r="AA1017" s="1">
        <v>187.45</v>
      </c>
      <c r="AB1017" s="1">
        <v>201.03</v>
      </c>
      <c r="AC1017" s="1">
        <v>180.83</v>
      </c>
      <c r="AE1017" s="1">
        <v>207.75</v>
      </c>
      <c r="AF1017" s="1">
        <v>197.43</v>
      </c>
      <c r="AG1017" s="1">
        <v>178.18</v>
      </c>
      <c r="AS1017" s="1">
        <v>3855.45</v>
      </c>
      <c r="AT1017" s="1">
        <v>4004.32</v>
      </c>
      <c r="AW1017" s="1">
        <v>3180.38</v>
      </c>
      <c r="AX1017" s="1">
        <v>189.51</v>
      </c>
      <c r="BA1017" s="1">
        <v>184.85</v>
      </c>
      <c r="BB1017" s="1">
        <v>201.63</v>
      </c>
      <c r="BC1017" s="1">
        <v>199.24</v>
      </c>
      <c r="BD1017" s="1">
        <v>198.23</v>
      </c>
      <c r="BE1017" s="1">
        <v>195.04</v>
      </c>
      <c r="BF1017" s="1">
        <v>188.94</v>
      </c>
      <c r="BG1017" s="1">
        <v>209.25</v>
      </c>
      <c r="BH1017" s="1">
        <v>187.06</v>
      </c>
      <c r="BI1017" s="1">
        <v>195.73</v>
      </c>
      <c r="BJ1017" s="1">
        <v>200</v>
      </c>
      <c r="BL1017" s="1">
        <v>191.26</v>
      </c>
      <c r="BN1017" s="1">
        <v>190.63</v>
      </c>
    </row>
    <row r="1018" spans="1:66" x14ac:dyDescent="0.3">
      <c r="A1018" s="2"/>
      <c r="C1018" s="14" t="str">
        <f t="shared" si="16"/>
        <v>20223</v>
      </c>
      <c r="D1018" s="3">
        <v>44624</v>
      </c>
      <c r="E1018" s="21">
        <v>3025.96</v>
      </c>
      <c r="F1018" s="21">
        <v>3107.52</v>
      </c>
      <c r="G1018" s="21">
        <v>3149.47</v>
      </c>
      <c r="H1018" s="21">
        <v>2747</v>
      </c>
      <c r="I1018" s="21">
        <v>2903.06</v>
      </c>
      <c r="J1018" s="21">
        <v>2991.37</v>
      </c>
      <c r="K1018" s="21">
        <v>2870.85</v>
      </c>
      <c r="L1018" s="21">
        <v>2982.32</v>
      </c>
      <c r="M1018" s="21"/>
      <c r="N1018" s="21">
        <v>2681.92</v>
      </c>
      <c r="O1018" s="21">
        <v>2935.41</v>
      </c>
      <c r="P1018" s="21">
        <v>2884.4</v>
      </c>
      <c r="Q1018" s="21">
        <v>9536.7800000000007</v>
      </c>
      <c r="R1018" s="20">
        <v>186.31</v>
      </c>
      <c r="S1018" s="20">
        <v>173.81</v>
      </c>
      <c r="T1018" s="21">
        <v>193.7</v>
      </c>
      <c r="V1018" s="1">
        <v>185.39</v>
      </c>
      <c r="W1018" s="1">
        <v>196.1</v>
      </c>
      <c r="X1018" s="1">
        <v>198.97</v>
      </c>
      <c r="Y1018" s="1">
        <v>195.49</v>
      </c>
      <c r="Z1018" s="1">
        <v>197</v>
      </c>
      <c r="AA1018" s="1">
        <v>188.75</v>
      </c>
      <c r="AB1018" s="1">
        <v>199.81</v>
      </c>
      <c r="AC1018" s="1">
        <v>181.89</v>
      </c>
      <c r="AE1018" s="1">
        <v>205.58</v>
      </c>
      <c r="AF1018" s="1">
        <v>195.8</v>
      </c>
      <c r="AG1018" s="1">
        <v>180.91</v>
      </c>
      <c r="AS1018" s="1">
        <v>3855.45</v>
      </c>
      <c r="AT1018" s="1">
        <v>4004.32</v>
      </c>
      <c r="AW1018" s="1">
        <v>2962.92</v>
      </c>
      <c r="AX1018" s="1">
        <v>188.63</v>
      </c>
      <c r="BA1018" s="1">
        <v>184.73</v>
      </c>
      <c r="BB1018" s="1">
        <v>200.76</v>
      </c>
      <c r="BC1018" s="1">
        <v>199.48</v>
      </c>
      <c r="BD1018" s="1">
        <v>197.51</v>
      </c>
      <c r="BE1018" s="1">
        <v>194.67</v>
      </c>
      <c r="BF1018" s="1">
        <v>188.71</v>
      </c>
      <c r="BG1018" s="1">
        <v>207.63</v>
      </c>
      <c r="BI1018" s="1">
        <v>193.53</v>
      </c>
      <c r="BJ1018" s="1">
        <v>199.21</v>
      </c>
      <c r="BL1018" s="1">
        <v>191.06</v>
      </c>
      <c r="BN1018" s="1">
        <v>191</v>
      </c>
    </row>
    <row r="1019" spans="1:66" x14ac:dyDescent="0.3">
      <c r="A1019" s="2"/>
      <c r="C1019" s="14" t="str">
        <f t="shared" si="16"/>
        <v>20223</v>
      </c>
      <c r="D1019" s="3">
        <v>44623</v>
      </c>
      <c r="E1019" s="21">
        <v>2963.36</v>
      </c>
      <c r="F1019" s="21">
        <v>3116.53</v>
      </c>
      <c r="G1019" s="21">
        <v>3149.42</v>
      </c>
      <c r="H1019" s="21">
        <v>2796.14</v>
      </c>
      <c r="I1019" s="21">
        <v>2883.24</v>
      </c>
      <c r="J1019" s="21">
        <v>2975.87</v>
      </c>
      <c r="K1019" s="21">
        <v>2870.85</v>
      </c>
      <c r="L1019" s="21">
        <v>2868.26</v>
      </c>
      <c r="M1019" s="21"/>
      <c r="N1019" s="21">
        <v>2639.37</v>
      </c>
      <c r="O1019" s="21">
        <v>2937.41</v>
      </c>
      <c r="P1019" s="21">
        <v>2910.36</v>
      </c>
      <c r="Q1019" s="21">
        <v>9124.17</v>
      </c>
      <c r="R1019" s="20">
        <v>185.81</v>
      </c>
      <c r="S1019" s="20">
        <v>175.3</v>
      </c>
      <c r="T1019" s="21">
        <v>191.85</v>
      </c>
      <c r="V1019" s="1">
        <v>183.9</v>
      </c>
      <c r="W1019" s="1">
        <v>195.95</v>
      </c>
      <c r="X1019" s="1">
        <v>197.33</v>
      </c>
      <c r="Y1019" s="1">
        <v>195.84</v>
      </c>
      <c r="Z1019" s="1">
        <v>197</v>
      </c>
      <c r="AA1019" s="1">
        <v>188.94</v>
      </c>
      <c r="AB1019" s="1">
        <v>197.37</v>
      </c>
      <c r="AC1019" s="1">
        <v>180.07</v>
      </c>
      <c r="AE1019" s="1">
        <v>204.39</v>
      </c>
      <c r="AF1019" s="1">
        <v>197.63</v>
      </c>
      <c r="AG1019" s="1">
        <v>182.66</v>
      </c>
      <c r="AS1019" s="1">
        <v>3855.45</v>
      </c>
      <c r="AT1019" s="1">
        <v>4148.74</v>
      </c>
      <c r="AW1019" s="1">
        <v>2962.92</v>
      </c>
      <c r="AX1019" s="1">
        <v>187.96</v>
      </c>
      <c r="BA1019" s="1">
        <v>184.07</v>
      </c>
      <c r="BB1019" s="1">
        <v>200.94</v>
      </c>
      <c r="BC1019" s="1">
        <v>197.55</v>
      </c>
      <c r="BD1019" s="1">
        <v>199.02</v>
      </c>
      <c r="BE1019" s="1">
        <v>194.21</v>
      </c>
      <c r="BF1019" s="1">
        <v>188.71</v>
      </c>
      <c r="BG1019" s="1">
        <v>205.37</v>
      </c>
      <c r="BI1019" s="1">
        <v>193.53</v>
      </c>
      <c r="BJ1019" s="1">
        <v>198.77</v>
      </c>
      <c r="BL1019" s="1">
        <v>189.97</v>
      </c>
      <c r="BN1019" s="1">
        <v>189.57</v>
      </c>
    </row>
    <row r="1020" spans="1:66" x14ac:dyDescent="0.3">
      <c r="A1020" s="2"/>
      <c r="C1020" s="14" t="str">
        <f t="shared" si="16"/>
        <v>20223</v>
      </c>
      <c r="D1020" s="3">
        <v>44622</v>
      </c>
      <c r="E1020" s="21">
        <v>2981.78</v>
      </c>
      <c r="F1020" s="21">
        <v>3152.56</v>
      </c>
      <c r="G1020" s="21">
        <v>3199.07</v>
      </c>
      <c r="H1020" s="21">
        <v>2812.43</v>
      </c>
      <c r="I1020" s="21">
        <v>2883.24</v>
      </c>
      <c r="J1020" s="21">
        <v>2988.52</v>
      </c>
      <c r="K1020" s="21">
        <v>2822.95</v>
      </c>
      <c r="L1020" s="21">
        <v>2868.26</v>
      </c>
      <c r="M1020" s="21"/>
      <c r="N1020" s="21">
        <v>2613.36</v>
      </c>
      <c r="O1020" s="21">
        <v>2933.75</v>
      </c>
      <c r="P1020" s="21">
        <v>2910.36</v>
      </c>
      <c r="Q1020" s="21">
        <v>8938.39</v>
      </c>
      <c r="R1020" s="20">
        <v>185.81</v>
      </c>
      <c r="S1020" s="20">
        <v>176.95</v>
      </c>
      <c r="T1020" s="21">
        <v>190.67</v>
      </c>
      <c r="V1020" s="1">
        <v>183.06</v>
      </c>
      <c r="W1020" s="1">
        <v>194.53</v>
      </c>
      <c r="X1020" s="1">
        <v>197.21</v>
      </c>
      <c r="Y1020" s="1">
        <v>196.32</v>
      </c>
      <c r="Z1020" s="1">
        <v>197</v>
      </c>
      <c r="AA1020" s="1">
        <v>188.81</v>
      </c>
      <c r="AB1020" s="1">
        <v>197.37</v>
      </c>
      <c r="AC1020" s="1">
        <v>180.07</v>
      </c>
      <c r="AE1020" s="1">
        <v>203.97</v>
      </c>
      <c r="AF1020" s="1">
        <v>196.49</v>
      </c>
      <c r="AG1020" s="1">
        <v>182.8</v>
      </c>
      <c r="AO1020" s="1">
        <v>14</v>
      </c>
      <c r="AT1020" s="1">
        <v>4248.68</v>
      </c>
      <c r="AW1020" s="1">
        <v>2962.92</v>
      </c>
      <c r="AX1020" s="1">
        <v>185.91</v>
      </c>
      <c r="BA1020" s="1">
        <v>186.43</v>
      </c>
      <c r="BB1020" s="1">
        <v>197.53</v>
      </c>
      <c r="BC1020" s="1">
        <v>199.31</v>
      </c>
      <c r="BD1020" s="1">
        <v>198.43</v>
      </c>
      <c r="BE1020" s="1">
        <v>192.66</v>
      </c>
      <c r="BF1020" s="1">
        <v>188.98</v>
      </c>
      <c r="BG1020" s="1">
        <v>203.46</v>
      </c>
      <c r="BI1020" s="1">
        <v>193.53</v>
      </c>
      <c r="BJ1020" s="1">
        <v>199.08</v>
      </c>
      <c r="BK1020" s="1">
        <v>189.65</v>
      </c>
      <c r="BL1020" s="1">
        <v>190.07</v>
      </c>
      <c r="BN1020" s="1">
        <v>189.67</v>
      </c>
    </row>
    <row r="1021" spans="1:66" x14ac:dyDescent="0.3">
      <c r="A1021" s="2"/>
      <c r="C1021" s="14" t="str">
        <f t="shared" si="16"/>
        <v>20222</v>
      </c>
      <c r="D1021" s="3">
        <v>44617</v>
      </c>
      <c r="E1021" s="21">
        <v>3049.4</v>
      </c>
      <c r="F1021" s="21">
        <v>3169.87</v>
      </c>
      <c r="G1021" s="21">
        <v>3190.91</v>
      </c>
      <c r="H1021" s="21">
        <v>2822.23</v>
      </c>
      <c r="I1021" s="21">
        <v>2910.51</v>
      </c>
      <c r="J1021" s="21">
        <v>2967.53</v>
      </c>
      <c r="K1021" s="21">
        <v>2835.66</v>
      </c>
      <c r="L1021" s="21">
        <v>2917.26</v>
      </c>
      <c r="M1021" s="21"/>
      <c r="N1021" s="21">
        <v>2656.65</v>
      </c>
      <c r="O1021" s="21">
        <v>2970.85</v>
      </c>
      <c r="P1021" s="21">
        <v>2917.57</v>
      </c>
      <c r="Q1021" s="21">
        <v>8685.31</v>
      </c>
      <c r="R1021" s="20">
        <v>180.89</v>
      </c>
      <c r="S1021" s="20">
        <v>172.16</v>
      </c>
      <c r="T1021" s="21">
        <v>190.21</v>
      </c>
      <c r="V1021" s="1">
        <v>177.38</v>
      </c>
      <c r="W1021" s="1">
        <v>191.18</v>
      </c>
      <c r="X1021" s="1">
        <v>197.07</v>
      </c>
      <c r="Y1021" s="1">
        <v>192.53</v>
      </c>
      <c r="Z1021" s="1">
        <v>193</v>
      </c>
      <c r="AA1021" s="1">
        <v>183.45</v>
      </c>
      <c r="AB1021" s="1">
        <v>196.86</v>
      </c>
      <c r="AE1021" s="1">
        <v>203.85</v>
      </c>
      <c r="AF1021" s="1">
        <v>191.42</v>
      </c>
      <c r="AG1021" s="1">
        <v>174.88</v>
      </c>
      <c r="AO1021" s="1">
        <v>14</v>
      </c>
      <c r="AT1021" s="1">
        <v>4733.0200000000004</v>
      </c>
      <c r="AW1021" s="1">
        <v>3317.3</v>
      </c>
      <c r="AX1021" s="1">
        <v>180.92</v>
      </c>
      <c r="AZ1021" s="1">
        <v>4314.51</v>
      </c>
      <c r="BA1021" s="1">
        <v>185.94</v>
      </c>
      <c r="BB1021" s="1">
        <v>194.89</v>
      </c>
      <c r="BC1021" s="1">
        <v>197.24</v>
      </c>
      <c r="BD1021" s="1">
        <v>191.93</v>
      </c>
      <c r="BE1021" s="1">
        <v>189.2</v>
      </c>
      <c r="BF1021" s="1">
        <v>184.62</v>
      </c>
      <c r="BG1021" s="1">
        <v>202.7</v>
      </c>
      <c r="BI1021" s="1">
        <v>191.82</v>
      </c>
      <c r="BJ1021" s="1">
        <v>198.64</v>
      </c>
      <c r="BK1021" s="1">
        <v>187.41</v>
      </c>
      <c r="BL1021" s="1">
        <v>185.88</v>
      </c>
      <c r="BN1021" s="1">
        <v>185.73</v>
      </c>
    </row>
    <row r="1022" spans="1:66" x14ac:dyDescent="0.3">
      <c r="A1022" s="2"/>
      <c r="C1022" s="14" t="str">
        <f t="shared" si="16"/>
        <v>20222</v>
      </c>
      <c r="D1022" s="3">
        <v>44616</v>
      </c>
      <c r="E1022" s="21">
        <v>3041.09</v>
      </c>
      <c r="F1022" s="21">
        <v>3169.87</v>
      </c>
      <c r="G1022" s="21">
        <v>3177.53</v>
      </c>
      <c r="H1022" s="21">
        <v>2725.15</v>
      </c>
      <c r="I1022" s="21">
        <v>2900.59</v>
      </c>
      <c r="J1022" s="21">
        <v>2954.3</v>
      </c>
      <c r="K1022" s="21">
        <v>2871.49</v>
      </c>
      <c r="L1022" s="21">
        <v>2956.15</v>
      </c>
      <c r="M1022" s="21">
        <v>2709.26</v>
      </c>
      <c r="N1022" s="21">
        <v>2625.51</v>
      </c>
      <c r="O1022" s="21">
        <v>2884.96</v>
      </c>
      <c r="P1022" s="21">
        <v>2927.8</v>
      </c>
      <c r="Q1022" s="21">
        <v>8677.64</v>
      </c>
      <c r="R1022" s="20">
        <v>183.52</v>
      </c>
      <c r="S1022" s="20">
        <v>173.06</v>
      </c>
      <c r="T1022" s="21">
        <v>190.54</v>
      </c>
      <c r="V1022" s="1">
        <v>179.97</v>
      </c>
      <c r="W1022" s="1">
        <v>192.57</v>
      </c>
      <c r="X1022" s="1">
        <v>197.12</v>
      </c>
      <c r="Y1022" s="1">
        <v>194.78</v>
      </c>
      <c r="Z1022" s="1">
        <v>196</v>
      </c>
      <c r="AA1022" s="1">
        <v>186.36</v>
      </c>
      <c r="AB1022" s="1">
        <v>196.92</v>
      </c>
      <c r="AE1022" s="1">
        <v>204.04</v>
      </c>
      <c r="AF1022" s="1">
        <v>194.17</v>
      </c>
      <c r="AG1022" s="1">
        <v>175.99</v>
      </c>
      <c r="AO1022" s="1">
        <v>14</v>
      </c>
      <c r="AT1022" s="1">
        <v>4745.28</v>
      </c>
      <c r="AW1022" s="1">
        <v>3317.3</v>
      </c>
      <c r="AZ1022" s="1">
        <v>4798.3900000000003</v>
      </c>
      <c r="BA1022" s="1">
        <v>183.75</v>
      </c>
      <c r="BB1022" s="1">
        <v>196.28</v>
      </c>
      <c r="BC1022" s="1">
        <v>199.35</v>
      </c>
      <c r="BD1022" s="1">
        <v>195.53</v>
      </c>
      <c r="BE1022" s="1">
        <v>192.5</v>
      </c>
      <c r="BF1022" s="1">
        <v>186.12</v>
      </c>
      <c r="BG1022" s="1">
        <v>203.93</v>
      </c>
      <c r="BI1022" s="1">
        <v>191.98</v>
      </c>
      <c r="BJ1022" s="1">
        <v>194.16</v>
      </c>
      <c r="BK1022" s="1">
        <v>187.44</v>
      </c>
      <c r="BL1022" s="1">
        <v>187.08</v>
      </c>
      <c r="BN1022" s="1">
        <v>186.43</v>
      </c>
    </row>
    <row r="1023" spans="1:66" x14ac:dyDescent="0.3">
      <c r="A1023" s="2"/>
      <c r="C1023" s="14" t="str">
        <f t="shared" si="16"/>
        <v>20222</v>
      </c>
      <c r="D1023" s="3">
        <v>44615</v>
      </c>
      <c r="E1023" s="21">
        <v>2932.31</v>
      </c>
      <c r="F1023" s="21">
        <v>3012.83</v>
      </c>
      <c r="G1023" s="21">
        <v>3112.44</v>
      </c>
      <c r="H1023" s="21">
        <v>2669.33</v>
      </c>
      <c r="I1023" s="21">
        <v>2833.13</v>
      </c>
      <c r="J1023" s="21">
        <v>2896.55</v>
      </c>
      <c r="K1023" s="21">
        <v>2854.89</v>
      </c>
      <c r="L1023" s="21">
        <v>2849.94</v>
      </c>
      <c r="M1023" s="21">
        <v>2615.37</v>
      </c>
      <c r="N1023" s="21">
        <v>2614.65</v>
      </c>
      <c r="O1023" s="21">
        <v>2960.87</v>
      </c>
      <c r="P1023" s="21">
        <v>2881.92</v>
      </c>
      <c r="Q1023" s="21">
        <v>8621.24</v>
      </c>
      <c r="R1023" s="20">
        <v>181.21</v>
      </c>
      <c r="S1023" s="20">
        <v>170.4</v>
      </c>
      <c r="T1023" s="21">
        <v>189.63</v>
      </c>
      <c r="V1023" s="1">
        <v>179.48</v>
      </c>
      <c r="W1023" s="1">
        <v>191.59</v>
      </c>
      <c r="X1023" s="1">
        <v>196.08</v>
      </c>
      <c r="Y1023" s="1">
        <v>191.22</v>
      </c>
      <c r="Z1023" s="1">
        <v>190.83</v>
      </c>
      <c r="AA1023" s="1">
        <v>183</v>
      </c>
      <c r="AB1023" s="1">
        <v>196.2</v>
      </c>
      <c r="AE1023" s="1">
        <v>203.52</v>
      </c>
      <c r="AF1023" s="1">
        <v>188.21</v>
      </c>
      <c r="AG1023" s="1">
        <v>172.74</v>
      </c>
      <c r="AQ1023" s="1">
        <v>4334.68</v>
      </c>
      <c r="AS1023" s="1">
        <v>3679.43</v>
      </c>
      <c r="AW1023" s="1">
        <v>3317.3</v>
      </c>
      <c r="AZ1023" s="1">
        <v>4798.3900000000003</v>
      </c>
      <c r="BA1023" s="1">
        <v>183.8</v>
      </c>
      <c r="BB1023" s="1">
        <v>196.28</v>
      </c>
      <c r="BC1023" s="1">
        <v>196.28</v>
      </c>
      <c r="BD1023" s="1">
        <v>191.83</v>
      </c>
      <c r="BE1023" s="1">
        <v>188.92</v>
      </c>
      <c r="BF1023" s="1">
        <v>183.35</v>
      </c>
      <c r="BG1023" s="1">
        <v>204.01</v>
      </c>
      <c r="BI1023" s="1">
        <v>189.58</v>
      </c>
      <c r="BJ1023" s="1">
        <v>194.14</v>
      </c>
      <c r="BK1023" s="1">
        <v>184.55</v>
      </c>
      <c r="BL1023" s="1">
        <v>185.38</v>
      </c>
      <c r="BN1023" s="1">
        <v>185.03</v>
      </c>
    </row>
    <row r="1024" spans="1:66" x14ac:dyDescent="0.3">
      <c r="A1024" s="2"/>
      <c r="C1024" s="14" t="str">
        <f t="shared" si="16"/>
        <v>20222</v>
      </c>
      <c r="D1024" s="3">
        <v>44614</v>
      </c>
      <c r="E1024" s="21">
        <v>2964.84</v>
      </c>
      <c r="F1024" s="21">
        <v>3071.57</v>
      </c>
      <c r="G1024" s="21">
        <v>3127.93</v>
      </c>
      <c r="H1024" s="21">
        <v>2723.23</v>
      </c>
      <c r="I1024" s="21">
        <v>2833.13</v>
      </c>
      <c r="J1024" s="21">
        <v>2893.25</v>
      </c>
      <c r="K1024" s="21">
        <v>2789.93</v>
      </c>
      <c r="L1024" s="21">
        <v>2765.76</v>
      </c>
      <c r="M1024" s="21">
        <v>2615.33</v>
      </c>
      <c r="N1024" s="21">
        <v>2618.14</v>
      </c>
      <c r="O1024" s="21">
        <v>2983.95</v>
      </c>
      <c r="P1024" s="21">
        <v>2874.92</v>
      </c>
      <c r="Q1024" s="21">
        <v>8564.49</v>
      </c>
      <c r="R1024" s="20">
        <v>180.96</v>
      </c>
      <c r="S1024" s="20">
        <v>167.15</v>
      </c>
      <c r="T1024" s="21">
        <v>189.74</v>
      </c>
      <c r="V1024" s="1">
        <v>178.93</v>
      </c>
      <c r="W1024" s="1">
        <v>190.36</v>
      </c>
      <c r="X1024" s="1">
        <v>195.58</v>
      </c>
      <c r="Y1024" s="1">
        <v>189.47</v>
      </c>
      <c r="Z1024" s="1">
        <v>192</v>
      </c>
      <c r="AA1024" s="1">
        <v>182.34</v>
      </c>
      <c r="AB1024" s="1">
        <v>195.53</v>
      </c>
      <c r="AE1024" s="1">
        <v>203.39</v>
      </c>
      <c r="AF1024" s="1">
        <v>188.86</v>
      </c>
      <c r="AG1024" s="1">
        <v>171.92</v>
      </c>
      <c r="AQ1024" s="1">
        <v>4334.68</v>
      </c>
      <c r="AS1024" s="1">
        <v>3679.43</v>
      </c>
      <c r="AW1024" s="1">
        <v>3488.29</v>
      </c>
      <c r="AX1024" s="1">
        <v>180.19</v>
      </c>
      <c r="AZ1024" s="1">
        <v>4798.3900000000003</v>
      </c>
      <c r="BA1024" s="1">
        <v>182.16</v>
      </c>
      <c r="BB1024" s="1">
        <v>194.13</v>
      </c>
      <c r="BC1024" s="1">
        <v>192.78</v>
      </c>
      <c r="BD1024" s="1">
        <v>192.31</v>
      </c>
      <c r="BE1024" s="1">
        <v>189.26</v>
      </c>
      <c r="BF1024" s="1">
        <v>182.87</v>
      </c>
      <c r="BG1024" s="1">
        <v>203.68</v>
      </c>
      <c r="BI1024" s="1">
        <v>189.58</v>
      </c>
      <c r="BJ1024" s="1">
        <v>195.78</v>
      </c>
      <c r="BK1024" s="1">
        <v>183.56</v>
      </c>
      <c r="BL1024" s="1">
        <v>183.88</v>
      </c>
      <c r="BN1024" s="1">
        <v>183.22</v>
      </c>
    </row>
    <row r="1025" spans="1:66" x14ac:dyDescent="0.3">
      <c r="A1025" s="2"/>
      <c r="C1025" s="14" t="str">
        <f t="shared" si="16"/>
        <v>20222</v>
      </c>
      <c r="D1025" s="3">
        <v>44613</v>
      </c>
      <c r="E1025" s="21">
        <v>3055.37</v>
      </c>
      <c r="F1025" s="21">
        <v>3053.54</v>
      </c>
      <c r="G1025" s="21">
        <v>3127.93</v>
      </c>
      <c r="H1025" s="21">
        <v>2755.34</v>
      </c>
      <c r="I1025" s="21">
        <v>2833.13</v>
      </c>
      <c r="J1025" s="21">
        <v>2874.91</v>
      </c>
      <c r="K1025" s="21">
        <v>2843.88</v>
      </c>
      <c r="L1025" s="21">
        <v>2774.53</v>
      </c>
      <c r="M1025" s="21">
        <v>2615.23</v>
      </c>
      <c r="N1025" s="21">
        <v>2643.99</v>
      </c>
      <c r="O1025" s="21">
        <v>2949.24</v>
      </c>
      <c r="P1025" s="21">
        <v>2874.92</v>
      </c>
      <c r="Q1025" s="21">
        <v>8511.36</v>
      </c>
      <c r="R1025" s="20">
        <v>179.46</v>
      </c>
      <c r="S1025" s="20">
        <v>169.28</v>
      </c>
      <c r="T1025" s="21">
        <v>186.07</v>
      </c>
      <c r="V1025" s="1">
        <v>178.36</v>
      </c>
      <c r="W1025" s="1">
        <v>188.04</v>
      </c>
      <c r="X1025" s="1">
        <v>195.64</v>
      </c>
      <c r="Y1025" s="1">
        <v>189.53</v>
      </c>
      <c r="Z1025" s="1">
        <v>190.67</v>
      </c>
      <c r="AA1025" s="1">
        <v>180.53</v>
      </c>
      <c r="AB1025" s="1">
        <v>195.53</v>
      </c>
      <c r="AE1025" s="1">
        <v>203.12</v>
      </c>
      <c r="AF1025" s="1">
        <v>183.42</v>
      </c>
      <c r="AG1025" s="1">
        <v>170.69</v>
      </c>
      <c r="AQ1025" s="1">
        <v>4334.68</v>
      </c>
      <c r="AS1025" s="1">
        <v>3679.43</v>
      </c>
      <c r="AW1025" s="1">
        <v>3488.29</v>
      </c>
      <c r="AX1025" s="1">
        <v>178.67</v>
      </c>
      <c r="BA1025" s="1">
        <v>180.92</v>
      </c>
      <c r="BB1025" s="1">
        <v>192.82</v>
      </c>
      <c r="BC1025" s="1">
        <v>195.11</v>
      </c>
      <c r="BD1025" s="1">
        <v>188.78</v>
      </c>
      <c r="BE1025" s="1">
        <v>185.55</v>
      </c>
      <c r="BF1025" s="1">
        <v>180.81</v>
      </c>
      <c r="BG1025" s="1">
        <v>203.67</v>
      </c>
      <c r="BI1025" s="1">
        <v>185.59</v>
      </c>
      <c r="BJ1025" s="1">
        <v>197.07</v>
      </c>
      <c r="BK1025" s="1">
        <v>182.62</v>
      </c>
      <c r="BL1025" s="1">
        <v>183.48</v>
      </c>
      <c r="BN1025" s="1">
        <v>183.15</v>
      </c>
    </row>
    <row r="1026" spans="1:66" x14ac:dyDescent="0.3">
      <c r="A1026" s="2"/>
      <c r="C1026" s="14" t="str">
        <f t="shared" si="16"/>
        <v>20222</v>
      </c>
      <c r="D1026" s="3">
        <v>44610</v>
      </c>
      <c r="E1026" s="21">
        <v>3006.3</v>
      </c>
      <c r="F1026" s="21">
        <v>3056.24</v>
      </c>
      <c r="G1026" s="21">
        <v>3115.48</v>
      </c>
      <c r="H1026" s="21">
        <v>2808.42</v>
      </c>
      <c r="I1026" s="21">
        <v>2841.07</v>
      </c>
      <c r="J1026" s="21">
        <v>2874.91</v>
      </c>
      <c r="K1026" s="21">
        <v>2854.89</v>
      </c>
      <c r="L1026" s="21">
        <v>2854.27</v>
      </c>
      <c r="M1026" s="21">
        <v>2615.23</v>
      </c>
      <c r="N1026" s="21">
        <v>2655.36</v>
      </c>
      <c r="O1026" s="21">
        <v>3009.2</v>
      </c>
      <c r="P1026" s="21">
        <v>2891.91</v>
      </c>
      <c r="Q1026" s="21">
        <v>8704.09</v>
      </c>
      <c r="R1026" s="20">
        <v>180.96</v>
      </c>
      <c r="S1026" s="20">
        <v>168.42</v>
      </c>
      <c r="T1026" s="21">
        <v>184.53</v>
      </c>
      <c r="V1026" s="1">
        <v>177.5</v>
      </c>
      <c r="W1026" s="1">
        <v>187.56</v>
      </c>
      <c r="X1026" s="1">
        <v>195.3</v>
      </c>
      <c r="Y1026" s="1">
        <v>189.78</v>
      </c>
      <c r="Z1026" s="1">
        <v>190</v>
      </c>
      <c r="AA1026" s="1">
        <v>181.73</v>
      </c>
      <c r="AB1026" s="1">
        <v>194.65</v>
      </c>
      <c r="AC1026" s="1">
        <v>171.68</v>
      </c>
      <c r="AE1026" s="1">
        <v>202.15</v>
      </c>
      <c r="AF1026" s="1">
        <v>178.63</v>
      </c>
      <c r="AG1026" s="1">
        <v>170.77</v>
      </c>
      <c r="AI1026" s="1">
        <v>30</v>
      </c>
      <c r="AN1026" s="1">
        <v>4500</v>
      </c>
      <c r="AQ1026" s="1">
        <v>4334.68</v>
      </c>
      <c r="AS1026" s="1">
        <v>3679.43</v>
      </c>
      <c r="AW1026" s="1">
        <v>3659.27</v>
      </c>
      <c r="AX1026" s="1">
        <v>178.44</v>
      </c>
      <c r="BA1026" s="1">
        <v>180.92</v>
      </c>
      <c r="BB1026" s="1">
        <v>195.37</v>
      </c>
      <c r="BC1026" s="1">
        <v>195.09</v>
      </c>
      <c r="BD1026" s="1">
        <v>191.1</v>
      </c>
      <c r="BE1026" s="1">
        <v>184.75</v>
      </c>
      <c r="BF1026" s="1">
        <v>183.12</v>
      </c>
      <c r="BG1026" s="1">
        <v>204.52</v>
      </c>
      <c r="BH1026" s="1">
        <v>175.49</v>
      </c>
      <c r="BI1026" s="1">
        <v>185.59</v>
      </c>
      <c r="BJ1026" s="1">
        <v>197.01</v>
      </c>
      <c r="BK1026" s="1">
        <v>183.03</v>
      </c>
      <c r="BL1026" s="1">
        <v>184.28</v>
      </c>
      <c r="BN1026" s="1">
        <v>183.94</v>
      </c>
    </row>
    <row r="1027" spans="1:66" x14ac:dyDescent="0.3">
      <c r="A1027" s="2"/>
      <c r="C1027" s="14" t="str">
        <f t="shared" si="16"/>
        <v>20222</v>
      </c>
      <c r="D1027" s="3">
        <v>44609</v>
      </c>
      <c r="E1027" s="21">
        <v>2920.33</v>
      </c>
      <c r="F1027" s="21">
        <v>3049.55</v>
      </c>
      <c r="G1027" s="21">
        <v>3087.58</v>
      </c>
      <c r="H1027" s="21">
        <v>2814.22</v>
      </c>
      <c r="I1027" s="21">
        <v>2821.23</v>
      </c>
      <c r="J1027" s="21">
        <v>2833.22</v>
      </c>
      <c r="K1027" s="21">
        <v>2790.84</v>
      </c>
      <c r="L1027" s="21">
        <v>2844.32</v>
      </c>
      <c r="M1027" s="21"/>
      <c r="N1027" s="21">
        <v>2610.09</v>
      </c>
      <c r="O1027" s="21">
        <v>2915.2</v>
      </c>
      <c r="P1027" s="21">
        <v>2881.92</v>
      </c>
      <c r="Q1027" s="21">
        <v>8565.4500000000007</v>
      </c>
      <c r="R1027" s="20">
        <v>179.99</v>
      </c>
      <c r="S1027" s="20">
        <v>167.2</v>
      </c>
      <c r="T1027" s="21">
        <v>182.75</v>
      </c>
      <c r="V1027" s="1">
        <v>177.37</v>
      </c>
      <c r="W1027" s="1">
        <v>186.85</v>
      </c>
      <c r="X1027" s="1">
        <v>193.85</v>
      </c>
      <c r="Y1027" s="1">
        <v>188.53</v>
      </c>
      <c r="Z1027" s="1">
        <v>188</v>
      </c>
      <c r="AA1027" s="1">
        <v>180.85</v>
      </c>
      <c r="AB1027" s="1">
        <v>193.49</v>
      </c>
      <c r="AC1027" s="1">
        <v>171.36</v>
      </c>
      <c r="AE1027" s="1">
        <v>200.58</v>
      </c>
      <c r="AF1027" s="1">
        <v>186.82</v>
      </c>
      <c r="AG1027" s="1">
        <v>170.69</v>
      </c>
      <c r="AI1027" s="1">
        <v>30</v>
      </c>
      <c r="AN1027" s="1">
        <v>4500</v>
      </c>
      <c r="AO1027" s="1">
        <v>7</v>
      </c>
      <c r="AQ1027" s="1">
        <v>4334.68</v>
      </c>
      <c r="AS1027" s="1">
        <v>3679.43</v>
      </c>
      <c r="AT1027" s="1">
        <v>3722.85</v>
      </c>
      <c r="AW1027" s="1">
        <v>3659.27</v>
      </c>
      <c r="AX1027" s="1">
        <v>177.97</v>
      </c>
      <c r="BA1027" s="1">
        <v>179.9</v>
      </c>
      <c r="BB1027" s="1">
        <v>192.02</v>
      </c>
      <c r="BC1027" s="1">
        <v>194.86</v>
      </c>
      <c r="BD1027" s="1">
        <v>189.45</v>
      </c>
      <c r="BE1027" s="1">
        <v>186.88</v>
      </c>
      <c r="BF1027" s="1">
        <v>183.04</v>
      </c>
      <c r="BG1027" s="1">
        <v>203.51</v>
      </c>
      <c r="BH1027" s="1">
        <v>174.79</v>
      </c>
      <c r="BI1027" s="1">
        <v>185.59</v>
      </c>
      <c r="BJ1027" s="1">
        <v>196.99</v>
      </c>
      <c r="BK1027" s="1">
        <v>181.27</v>
      </c>
      <c r="BL1027" s="1">
        <v>182.68</v>
      </c>
      <c r="BN1027" s="1">
        <v>183.14</v>
      </c>
    </row>
    <row r="1028" spans="1:66" x14ac:dyDescent="0.3">
      <c r="A1028" s="2"/>
      <c r="C1028" s="14" t="str">
        <f t="shared" si="16"/>
        <v>20222</v>
      </c>
      <c r="D1028" s="3">
        <v>44608</v>
      </c>
      <c r="E1028" s="21">
        <v>2912.86</v>
      </c>
      <c r="F1028" s="21">
        <v>3049.55</v>
      </c>
      <c r="G1028" s="21">
        <v>3077.66</v>
      </c>
      <c r="H1028" s="21">
        <v>2756.52</v>
      </c>
      <c r="I1028" s="21">
        <v>2825.2</v>
      </c>
      <c r="J1028" s="21">
        <v>2862.31</v>
      </c>
      <c r="K1028" s="21">
        <v>2790.84</v>
      </c>
      <c r="L1028" s="21">
        <v>2850.29</v>
      </c>
      <c r="M1028" s="21"/>
      <c r="N1028" s="21">
        <v>2605.65</v>
      </c>
      <c r="O1028" s="21">
        <v>2915.2</v>
      </c>
      <c r="P1028" s="21">
        <v>2881.92</v>
      </c>
      <c r="Q1028" s="21">
        <v>8611.59</v>
      </c>
      <c r="R1028" s="20">
        <v>178.32</v>
      </c>
      <c r="S1028" s="20">
        <v>168.25</v>
      </c>
      <c r="T1028" s="21">
        <v>182.95</v>
      </c>
      <c r="V1028" s="1">
        <v>176.9</v>
      </c>
      <c r="W1028" s="1">
        <v>188.01</v>
      </c>
      <c r="X1028" s="1">
        <v>193.15</v>
      </c>
      <c r="Y1028" s="1">
        <v>187.1</v>
      </c>
      <c r="Z1028" s="1">
        <v>187</v>
      </c>
      <c r="AA1028" s="1">
        <v>178.84</v>
      </c>
      <c r="AB1028" s="1">
        <v>192.66</v>
      </c>
      <c r="AC1028" s="1">
        <v>172.72</v>
      </c>
      <c r="AE1028" s="1">
        <v>200.33</v>
      </c>
      <c r="AF1028" s="1">
        <v>180.77</v>
      </c>
      <c r="AG1028" s="1">
        <v>169.12</v>
      </c>
      <c r="AI1028" s="1">
        <v>30</v>
      </c>
      <c r="AN1028" s="1">
        <v>4500</v>
      </c>
      <c r="AO1028" s="1">
        <v>7</v>
      </c>
      <c r="AP1028" s="1">
        <v>4727.87</v>
      </c>
      <c r="AT1028" s="1">
        <v>3722.85</v>
      </c>
      <c r="AW1028" s="1">
        <v>3659.27</v>
      </c>
      <c r="AX1028" s="1">
        <v>177.33</v>
      </c>
      <c r="BA1028" s="1">
        <v>179.87</v>
      </c>
      <c r="BB1028" s="1">
        <v>192.53</v>
      </c>
      <c r="BC1028" s="1">
        <v>193.31</v>
      </c>
      <c r="BD1028" s="1">
        <v>188.16</v>
      </c>
      <c r="BE1028" s="1">
        <v>182.75</v>
      </c>
      <c r="BF1028" s="1">
        <v>180.48</v>
      </c>
      <c r="BG1028" s="1">
        <v>202.95</v>
      </c>
      <c r="BH1028" s="1">
        <v>176.7</v>
      </c>
      <c r="BI1028" s="1">
        <v>185.59</v>
      </c>
      <c r="BJ1028" s="1">
        <v>198.13</v>
      </c>
      <c r="BK1028" s="1">
        <v>180.57</v>
      </c>
      <c r="BL1028" s="1">
        <v>181.49</v>
      </c>
      <c r="BN1028" s="1">
        <v>181.73</v>
      </c>
    </row>
    <row r="1029" spans="1:66" x14ac:dyDescent="0.3">
      <c r="A1029" s="2"/>
      <c r="C1029" s="14" t="str">
        <f t="shared" si="16"/>
        <v>20222</v>
      </c>
      <c r="D1029" s="3">
        <v>44607</v>
      </c>
      <c r="E1029" s="21">
        <v>2885.25</v>
      </c>
      <c r="F1029" s="21">
        <v>3030.54</v>
      </c>
      <c r="G1029" s="21">
        <v>3112.37</v>
      </c>
      <c r="H1029" s="21">
        <v>2777.88</v>
      </c>
      <c r="I1029" s="21">
        <v>2789.49</v>
      </c>
      <c r="J1029" s="21">
        <v>2880.42</v>
      </c>
      <c r="K1029" s="21">
        <v>2826.45</v>
      </c>
      <c r="L1029" s="21">
        <v>2842.33</v>
      </c>
      <c r="M1029" s="21"/>
      <c r="N1029" s="21">
        <v>2619.38</v>
      </c>
      <c r="O1029" s="21">
        <v>2911.42</v>
      </c>
      <c r="P1029" s="21">
        <v>2860.02</v>
      </c>
      <c r="Q1029" s="21">
        <v>8647.26</v>
      </c>
      <c r="R1029" s="20">
        <v>179.29</v>
      </c>
      <c r="S1029" s="20">
        <v>169.14</v>
      </c>
      <c r="T1029" s="21">
        <v>182.25</v>
      </c>
      <c r="V1029" s="1">
        <v>176.19</v>
      </c>
      <c r="W1029" s="1">
        <v>185.42</v>
      </c>
      <c r="X1029" s="1">
        <v>193.42</v>
      </c>
      <c r="Y1029" s="1">
        <v>187.6</v>
      </c>
      <c r="Z1029" s="1">
        <v>187</v>
      </c>
      <c r="AA1029" s="1">
        <v>179.51</v>
      </c>
      <c r="AB1029" s="1">
        <v>192.49</v>
      </c>
      <c r="AC1029" s="1">
        <v>175.44</v>
      </c>
      <c r="AE1029" s="1">
        <v>201.16</v>
      </c>
      <c r="AF1029" s="1">
        <v>180.77</v>
      </c>
      <c r="AG1029" s="1">
        <v>169.08</v>
      </c>
      <c r="AI1029" s="1">
        <v>30</v>
      </c>
      <c r="AN1029" s="1">
        <v>4500</v>
      </c>
      <c r="AO1029" s="1">
        <v>3.5</v>
      </c>
      <c r="AP1029" s="1">
        <v>4727.87</v>
      </c>
      <c r="AT1029" s="1">
        <v>4101.8500000000004</v>
      </c>
      <c r="AX1029" s="1">
        <v>179.33</v>
      </c>
      <c r="BA1029" s="1">
        <v>181.38</v>
      </c>
      <c r="BB1029" s="1">
        <v>190.16</v>
      </c>
      <c r="BC1029" s="1">
        <v>186.74</v>
      </c>
      <c r="BD1029" s="1">
        <v>187.38</v>
      </c>
      <c r="BE1029" s="1">
        <v>184.32</v>
      </c>
      <c r="BF1029" s="1">
        <v>181.23</v>
      </c>
      <c r="BG1029" s="1">
        <v>202.87</v>
      </c>
      <c r="BH1029" s="1">
        <v>182.43</v>
      </c>
      <c r="BI1029" s="1">
        <v>186.19</v>
      </c>
      <c r="BJ1029" s="1">
        <v>198.11</v>
      </c>
      <c r="BL1029" s="1">
        <v>180.11</v>
      </c>
      <c r="BN1029" s="1">
        <v>177.32</v>
      </c>
    </row>
    <row r="1030" spans="1:66" x14ac:dyDescent="0.3">
      <c r="A1030" s="2"/>
      <c r="C1030" s="14" t="str">
        <f t="shared" ref="C1030:C1093" si="17">YEAR(D1030)&amp;MONTH(D1030)</f>
        <v>20222</v>
      </c>
      <c r="D1030" s="3">
        <v>44606</v>
      </c>
      <c r="E1030" s="21">
        <v>2913.85</v>
      </c>
      <c r="F1030" s="21">
        <v>3025.58</v>
      </c>
      <c r="G1030" s="21">
        <v>3078.28</v>
      </c>
      <c r="H1030" s="21">
        <v>2810.7</v>
      </c>
      <c r="I1030" s="21">
        <v>2809.33</v>
      </c>
      <c r="J1030" s="21">
        <v>2943.46</v>
      </c>
      <c r="K1030" s="21">
        <v>2791.93</v>
      </c>
      <c r="L1030" s="21">
        <v>2763.16</v>
      </c>
      <c r="M1030" s="21"/>
      <c r="N1030" s="21">
        <v>2656.55</v>
      </c>
      <c r="O1030" s="21">
        <v>2965.89</v>
      </c>
      <c r="P1030" s="21">
        <v>2879.94</v>
      </c>
      <c r="Q1030" s="21">
        <v>8646.5499999999993</v>
      </c>
      <c r="R1030" s="20">
        <v>181.22</v>
      </c>
      <c r="S1030" s="20">
        <v>167.07</v>
      </c>
      <c r="T1030" s="21">
        <v>184.08</v>
      </c>
      <c r="V1030" s="1">
        <v>176.6</v>
      </c>
      <c r="W1030" s="1">
        <v>184.78</v>
      </c>
      <c r="X1030" s="1">
        <v>192.61</v>
      </c>
      <c r="Y1030" s="1">
        <v>187.87</v>
      </c>
      <c r="Z1030" s="1">
        <v>188</v>
      </c>
      <c r="AA1030" s="1">
        <v>181.67</v>
      </c>
      <c r="AB1030" s="1">
        <v>192.49</v>
      </c>
      <c r="AC1030" s="1">
        <v>175.44</v>
      </c>
      <c r="AE1030" s="1">
        <v>200.73</v>
      </c>
      <c r="AF1030" s="1">
        <v>182.77</v>
      </c>
      <c r="AG1030" s="1">
        <v>167.44</v>
      </c>
      <c r="AI1030" s="1">
        <v>30</v>
      </c>
      <c r="AN1030" s="1">
        <v>4500</v>
      </c>
      <c r="AO1030" s="1">
        <v>3.5</v>
      </c>
      <c r="AP1030" s="1">
        <v>4727.87</v>
      </c>
      <c r="AQ1030" s="1">
        <v>3538.31</v>
      </c>
      <c r="AT1030" s="1">
        <v>4101.8500000000004</v>
      </c>
      <c r="AW1030" s="1">
        <v>3106.81</v>
      </c>
      <c r="AX1030" s="1">
        <v>179.94</v>
      </c>
      <c r="BA1030" s="1">
        <v>181.38</v>
      </c>
      <c r="BB1030" s="1">
        <v>190.97</v>
      </c>
      <c r="BC1030" s="1">
        <v>187.35</v>
      </c>
      <c r="BD1030" s="1">
        <v>186.72</v>
      </c>
      <c r="BE1030" s="1">
        <v>186.62</v>
      </c>
      <c r="BF1030" s="1">
        <v>183.28</v>
      </c>
      <c r="BG1030" s="1">
        <v>203.11</v>
      </c>
      <c r="BH1030" s="1">
        <v>182.43</v>
      </c>
      <c r="BI1030" s="1">
        <v>187.89</v>
      </c>
      <c r="BJ1030" s="1">
        <v>198.1</v>
      </c>
      <c r="BL1030" s="1">
        <v>181.29</v>
      </c>
      <c r="BN1030" s="1">
        <v>179.8</v>
      </c>
    </row>
    <row r="1031" spans="1:66" x14ac:dyDescent="0.3">
      <c r="A1031" s="2"/>
      <c r="C1031" s="14" t="str">
        <f t="shared" si="17"/>
        <v>20222</v>
      </c>
      <c r="D1031" s="3">
        <v>44603</v>
      </c>
      <c r="E1031" s="21">
        <v>2974.08</v>
      </c>
      <c r="F1031" s="21">
        <v>3025.58</v>
      </c>
      <c r="G1031" s="21">
        <v>3078.28</v>
      </c>
      <c r="H1031" s="21">
        <v>2849.28</v>
      </c>
      <c r="I1031" s="21">
        <v>2777.58</v>
      </c>
      <c r="J1031" s="21">
        <v>2962.65</v>
      </c>
      <c r="K1031" s="21">
        <v>2790.5</v>
      </c>
      <c r="L1031" s="21">
        <v>2882.13</v>
      </c>
      <c r="M1031" s="21"/>
      <c r="N1031" s="21">
        <v>2715.89</v>
      </c>
      <c r="O1031" s="21">
        <v>2954.52</v>
      </c>
      <c r="P1031" s="21">
        <v>2877.94</v>
      </c>
      <c r="Q1031" s="21">
        <v>8466.3799999999992</v>
      </c>
      <c r="R1031" s="20">
        <v>179.67</v>
      </c>
      <c r="S1031" s="20">
        <v>169.24</v>
      </c>
      <c r="T1031" s="21">
        <v>187.42</v>
      </c>
      <c r="V1031" s="1">
        <v>181.19</v>
      </c>
      <c r="W1031" s="1">
        <v>186.12</v>
      </c>
      <c r="X1031" s="1">
        <v>191.93</v>
      </c>
      <c r="Y1031" s="1">
        <v>187.87</v>
      </c>
      <c r="Z1031" s="1">
        <v>188</v>
      </c>
      <c r="AA1031" s="1">
        <v>183.68</v>
      </c>
      <c r="AB1031" s="1">
        <v>191.66</v>
      </c>
      <c r="AC1031" s="1">
        <v>175.11</v>
      </c>
      <c r="AE1031" s="1">
        <v>201.33</v>
      </c>
      <c r="AF1031" s="1">
        <v>186.16</v>
      </c>
      <c r="AG1031" s="1">
        <v>173.1</v>
      </c>
      <c r="AK1031" s="1">
        <v>10</v>
      </c>
      <c r="AO1031" s="1">
        <v>5.67</v>
      </c>
      <c r="AP1031" s="1">
        <v>4727.87</v>
      </c>
      <c r="AQ1031" s="1">
        <v>3538.31</v>
      </c>
      <c r="AS1031" s="1">
        <v>4818.46</v>
      </c>
      <c r="AT1031" s="1">
        <v>4158.84</v>
      </c>
      <c r="AW1031" s="1">
        <v>3106.81</v>
      </c>
      <c r="AX1031" s="1">
        <v>181.43</v>
      </c>
      <c r="BA1031" s="1">
        <v>182.18</v>
      </c>
      <c r="BB1031" s="1">
        <v>192.82</v>
      </c>
      <c r="BC1031" s="1">
        <v>192.7</v>
      </c>
      <c r="BD1031" s="1">
        <v>188.23</v>
      </c>
      <c r="BE1031" s="1">
        <v>187.83</v>
      </c>
      <c r="BF1031" s="1">
        <v>183.13</v>
      </c>
      <c r="BG1031" s="1">
        <v>202.85</v>
      </c>
      <c r="BH1031" s="1">
        <v>183.33</v>
      </c>
      <c r="BI1031" s="1">
        <v>187.69</v>
      </c>
      <c r="BJ1031" s="1">
        <v>198.06</v>
      </c>
      <c r="BL1031" s="1">
        <v>182.39</v>
      </c>
      <c r="BN1031" s="1">
        <v>180.55</v>
      </c>
    </row>
    <row r="1032" spans="1:66" x14ac:dyDescent="0.3">
      <c r="A1032" s="2"/>
      <c r="C1032" s="14" t="str">
        <f t="shared" si="17"/>
        <v>20222</v>
      </c>
      <c r="D1032" s="3">
        <v>44602</v>
      </c>
      <c r="E1032" s="21">
        <v>2954.14</v>
      </c>
      <c r="F1032" s="21">
        <v>3025.58</v>
      </c>
      <c r="G1032" s="21">
        <v>3075.18</v>
      </c>
      <c r="H1032" s="21">
        <v>2789.53</v>
      </c>
      <c r="I1032" s="21">
        <v>2797.42</v>
      </c>
      <c r="J1032" s="21">
        <v>2905.8</v>
      </c>
      <c r="K1032" s="21">
        <v>2791.56</v>
      </c>
      <c r="L1032" s="21">
        <v>2808.63</v>
      </c>
      <c r="M1032" s="21"/>
      <c r="N1032" s="21">
        <v>2672.25</v>
      </c>
      <c r="O1032" s="21">
        <v>2965.89</v>
      </c>
      <c r="P1032" s="21">
        <v>2838.1</v>
      </c>
      <c r="Q1032" s="21">
        <v>8687.2900000000009</v>
      </c>
      <c r="R1032" s="20">
        <v>180.17</v>
      </c>
      <c r="S1032" s="20">
        <v>171.77</v>
      </c>
      <c r="T1032" s="21">
        <v>186.46</v>
      </c>
      <c r="V1032" s="1">
        <v>180.6</v>
      </c>
      <c r="W1032" s="1">
        <v>187.47</v>
      </c>
      <c r="X1032" s="1">
        <v>191.92</v>
      </c>
      <c r="Y1032" s="1">
        <v>187.88</v>
      </c>
      <c r="Z1032" s="1">
        <v>188</v>
      </c>
      <c r="AA1032" s="1">
        <v>184.13</v>
      </c>
      <c r="AB1032" s="1">
        <v>191.33</v>
      </c>
      <c r="AC1032" s="1">
        <v>176.45</v>
      </c>
      <c r="AE1032" s="1">
        <v>201.67</v>
      </c>
      <c r="AF1032" s="1">
        <v>189.47</v>
      </c>
      <c r="AG1032" s="1">
        <v>173.41</v>
      </c>
      <c r="AK1032" s="1">
        <v>10</v>
      </c>
      <c r="AO1032" s="1">
        <v>5</v>
      </c>
      <c r="AP1032" s="1">
        <v>4727.87</v>
      </c>
      <c r="AQ1032" s="1">
        <v>3538.31</v>
      </c>
      <c r="AS1032" s="1">
        <v>4818.46</v>
      </c>
      <c r="AT1032" s="1">
        <v>4376.83</v>
      </c>
      <c r="AW1032" s="1">
        <v>3226.63</v>
      </c>
      <c r="AX1032" s="1">
        <v>182.53</v>
      </c>
      <c r="AZ1032" s="1">
        <v>4032.26</v>
      </c>
      <c r="BA1032" s="1">
        <v>182.84</v>
      </c>
      <c r="BB1032" s="1">
        <v>193.56</v>
      </c>
      <c r="BC1032" s="1">
        <v>195.46</v>
      </c>
      <c r="BD1032" s="1">
        <v>190.44</v>
      </c>
      <c r="BE1032" s="1">
        <v>190.42</v>
      </c>
      <c r="BF1032" s="1">
        <v>184.21</v>
      </c>
      <c r="BG1032" s="1">
        <v>200.94</v>
      </c>
      <c r="BH1032" s="1">
        <v>184.32</v>
      </c>
      <c r="BI1032" s="1">
        <v>187.69</v>
      </c>
      <c r="BJ1032" s="1">
        <v>198.05</v>
      </c>
      <c r="BL1032" s="1">
        <v>182.78</v>
      </c>
      <c r="BN1032" s="1">
        <v>182.22</v>
      </c>
    </row>
    <row r="1033" spans="1:66" x14ac:dyDescent="0.3">
      <c r="A1033" s="2"/>
      <c r="C1033" s="14" t="str">
        <f t="shared" si="17"/>
        <v>20222</v>
      </c>
      <c r="D1033" s="3">
        <v>44601</v>
      </c>
      <c r="E1033" s="21">
        <v>2901.09</v>
      </c>
      <c r="F1033" s="21">
        <v>2975.98</v>
      </c>
      <c r="G1033" s="21">
        <v>2946.84</v>
      </c>
      <c r="H1033" s="21">
        <v>2779.69</v>
      </c>
      <c r="I1033" s="21">
        <v>2745.84</v>
      </c>
      <c r="J1033" s="21">
        <v>2869.77</v>
      </c>
      <c r="K1033" s="21">
        <v>2774.96</v>
      </c>
      <c r="L1033" s="21">
        <v>2909.84</v>
      </c>
      <c r="M1033" s="21"/>
      <c r="N1033" s="21">
        <v>2610.16</v>
      </c>
      <c r="O1033" s="21">
        <v>2845.79</v>
      </c>
      <c r="P1033" s="21">
        <v>2817.18</v>
      </c>
      <c r="Q1033" s="21">
        <v>8637.69</v>
      </c>
      <c r="R1033" s="20">
        <v>181.28</v>
      </c>
      <c r="S1033" s="20">
        <v>171.85</v>
      </c>
      <c r="T1033" s="21">
        <v>187.22</v>
      </c>
      <c r="U1033" s="1">
        <v>179.76</v>
      </c>
      <c r="V1033" s="1">
        <v>180.31</v>
      </c>
      <c r="W1033" s="1">
        <v>185.34</v>
      </c>
      <c r="X1033" s="1">
        <v>191.15</v>
      </c>
      <c r="Y1033" s="1">
        <v>185.26</v>
      </c>
      <c r="Z1033" s="1">
        <v>185.8</v>
      </c>
      <c r="AA1033" s="1">
        <v>184.05</v>
      </c>
      <c r="AB1033" s="1">
        <v>190.66</v>
      </c>
      <c r="AC1033" s="1">
        <v>176.45</v>
      </c>
      <c r="AE1033" s="1">
        <v>200.99</v>
      </c>
      <c r="AF1033" s="1">
        <v>189.07</v>
      </c>
      <c r="AG1033" s="1">
        <v>173.53</v>
      </c>
      <c r="AO1033" s="1">
        <v>8.33</v>
      </c>
      <c r="AQ1033" s="1">
        <v>3538.31</v>
      </c>
      <c r="AS1033" s="1">
        <v>5055.4399999999996</v>
      </c>
      <c r="AT1033" s="1">
        <v>4390.46</v>
      </c>
      <c r="AW1033" s="1">
        <v>3226.63</v>
      </c>
      <c r="AX1033" s="1">
        <v>181.88</v>
      </c>
      <c r="AZ1033" s="1">
        <v>4032.26</v>
      </c>
      <c r="BA1033" s="1">
        <v>182</v>
      </c>
      <c r="BB1033" s="1">
        <v>192.69</v>
      </c>
      <c r="BC1033" s="1">
        <v>191.7</v>
      </c>
      <c r="BD1033" s="1">
        <v>189.45</v>
      </c>
      <c r="BE1033" s="1">
        <v>191.26</v>
      </c>
      <c r="BF1033" s="1">
        <v>184.87</v>
      </c>
      <c r="BG1033" s="1">
        <v>200.64</v>
      </c>
      <c r="BH1033" s="1">
        <v>184.32</v>
      </c>
      <c r="BI1033" s="1">
        <v>184.49</v>
      </c>
      <c r="BJ1033" s="1">
        <v>194.07</v>
      </c>
      <c r="BL1033" s="1">
        <v>180.52</v>
      </c>
      <c r="BN1033" s="1">
        <v>179.15</v>
      </c>
    </row>
    <row r="1034" spans="1:66" x14ac:dyDescent="0.3">
      <c r="A1034" s="2"/>
      <c r="C1034" s="14" t="str">
        <f t="shared" si="17"/>
        <v>20222</v>
      </c>
      <c r="D1034" s="3">
        <v>44600</v>
      </c>
      <c r="E1034" s="21">
        <v>2874.27</v>
      </c>
      <c r="F1034" s="21">
        <v>2975.98</v>
      </c>
      <c r="G1034" s="21">
        <v>2930.24</v>
      </c>
      <c r="H1034" s="21">
        <v>2784.34</v>
      </c>
      <c r="I1034" s="21">
        <v>2722.03</v>
      </c>
      <c r="J1034" s="21">
        <v>2794.69</v>
      </c>
      <c r="K1034" s="21">
        <v>2740.09</v>
      </c>
      <c r="L1034" s="21">
        <v>2790.89</v>
      </c>
      <c r="M1034" s="21"/>
      <c r="N1034" s="21">
        <v>2593.1</v>
      </c>
      <c r="O1034" s="21">
        <v>2813.63</v>
      </c>
      <c r="P1034" s="21">
        <v>2784.31</v>
      </c>
      <c r="Q1034" s="21">
        <v>8503.26</v>
      </c>
      <c r="R1034" s="20">
        <v>177.91</v>
      </c>
      <c r="S1034" s="20">
        <v>170.37</v>
      </c>
      <c r="T1034" s="21">
        <v>186.08</v>
      </c>
      <c r="V1034" s="1">
        <v>179.89</v>
      </c>
      <c r="W1034" s="1">
        <v>185.33</v>
      </c>
      <c r="X1034" s="1">
        <v>191.21</v>
      </c>
      <c r="Y1034" s="1">
        <v>183.21</v>
      </c>
      <c r="Z1034" s="1">
        <v>184.83</v>
      </c>
      <c r="AA1034" s="1">
        <v>180.26</v>
      </c>
      <c r="AB1034" s="1">
        <v>190.49</v>
      </c>
      <c r="AC1034" s="1">
        <v>176.11</v>
      </c>
      <c r="AE1034" s="1">
        <v>200.41</v>
      </c>
      <c r="AF1034" s="1">
        <v>188.17</v>
      </c>
      <c r="AG1034" s="1">
        <v>172.78</v>
      </c>
      <c r="AO1034" s="1">
        <v>12.5</v>
      </c>
      <c r="AQ1034" s="1">
        <v>3538.31</v>
      </c>
      <c r="AS1034" s="1">
        <v>5055.4399999999996</v>
      </c>
      <c r="AT1034" s="1">
        <v>4345.26</v>
      </c>
      <c r="AW1034" s="1">
        <v>3226.63</v>
      </c>
      <c r="AX1034" s="1">
        <v>180.44</v>
      </c>
      <c r="AZ1034" s="1">
        <v>4032.26</v>
      </c>
      <c r="BA1034" s="1">
        <v>183.36</v>
      </c>
      <c r="BB1034" s="1">
        <v>191.92</v>
      </c>
      <c r="BC1034" s="1">
        <v>192.06</v>
      </c>
      <c r="BD1034" s="1">
        <v>189.25</v>
      </c>
      <c r="BE1034" s="1">
        <v>186.72</v>
      </c>
      <c r="BF1034" s="1">
        <v>182.54</v>
      </c>
      <c r="BG1034" s="1">
        <v>199.63</v>
      </c>
      <c r="BH1034" s="1">
        <v>182.33</v>
      </c>
      <c r="BI1034" s="1">
        <v>182.4</v>
      </c>
      <c r="BJ1034" s="1">
        <v>194.82</v>
      </c>
      <c r="BL1034" s="1">
        <v>177.85</v>
      </c>
      <c r="BN1034" s="1">
        <v>177.59</v>
      </c>
    </row>
    <row r="1035" spans="1:66" x14ac:dyDescent="0.3">
      <c r="A1035" s="2"/>
      <c r="C1035" s="14" t="str">
        <f t="shared" si="17"/>
        <v>20222</v>
      </c>
      <c r="D1035" s="3">
        <v>44599</v>
      </c>
      <c r="E1035" s="21">
        <v>2862.59</v>
      </c>
      <c r="F1035" s="21">
        <v>2975.98</v>
      </c>
      <c r="G1035" s="21">
        <v>2913.71</v>
      </c>
      <c r="H1035" s="21">
        <v>2759.99</v>
      </c>
      <c r="I1035" s="21">
        <v>2718.06</v>
      </c>
      <c r="J1035" s="21">
        <v>2784.3</v>
      </c>
      <c r="K1035" s="21">
        <v>2730.13</v>
      </c>
      <c r="L1035" s="21">
        <v>2790.89</v>
      </c>
      <c r="M1035" s="21"/>
      <c r="N1035" s="21">
        <v>2572.58</v>
      </c>
      <c r="O1035" s="21">
        <v>2718.21</v>
      </c>
      <c r="P1035" s="21">
        <v>2752.38</v>
      </c>
      <c r="Q1035" s="21">
        <v>8503.26</v>
      </c>
      <c r="R1035" s="20">
        <v>177.12</v>
      </c>
      <c r="S1035" s="20">
        <v>170.53</v>
      </c>
      <c r="T1035" s="21">
        <v>184.94</v>
      </c>
      <c r="V1035" s="1">
        <v>179.88</v>
      </c>
      <c r="W1035" s="1">
        <v>183.7</v>
      </c>
      <c r="X1035" s="1">
        <v>190.3</v>
      </c>
      <c r="Y1035" s="1">
        <v>183.61</v>
      </c>
      <c r="Z1035" s="1">
        <v>183.41</v>
      </c>
      <c r="AA1035" s="1">
        <v>179.86</v>
      </c>
      <c r="AB1035" s="1">
        <v>189.66</v>
      </c>
      <c r="AC1035" s="1">
        <v>173.4</v>
      </c>
      <c r="AE1035" s="1">
        <v>199.35</v>
      </c>
      <c r="AF1035" s="1">
        <v>188.16</v>
      </c>
      <c r="AG1035" s="1">
        <v>172.9</v>
      </c>
      <c r="AO1035" s="1">
        <v>12.5</v>
      </c>
      <c r="AS1035" s="1">
        <v>5055.4399999999996</v>
      </c>
      <c r="AT1035" s="1">
        <v>4345.26</v>
      </c>
      <c r="AW1035" s="1">
        <v>3319.63</v>
      </c>
      <c r="AX1035" s="1">
        <v>180.43</v>
      </c>
      <c r="AZ1035" s="1">
        <v>4032.26</v>
      </c>
      <c r="BA1035" s="1">
        <v>183.55</v>
      </c>
      <c r="BB1035" s="1">
        <v>193.86</v>
      </c>
      <c r="BC1035" s="1">
        <v>192.25</v>
      </c>
      <c r="BD1035" s="1">
        <v>193.9</v>
      </c>
      <c r="BE1035" s="1">
        <v>185.81</v>
      </c>
      <c r="BF1035" s="1">
        <v>182.54</v>
      </c>
      <c r="BG1035" s="1">
        <v>199.35</v>
      </c>
      <c r="BH1035" s="1">
        <v>178.39</v>
      </c>
      <c r="BI1035" s="1">
        <v>181</v>
      </c>
      <c r="BJ1035" s="1">
        <v>191.42</v>
      </c>
      <c r="BL1035" s="1">
        <v>177.6</v>
      </c>
      <c r="BN1035" s="1">
        <v>175.9</v>
      </c>
    </row>
    <row r="1036" spans="1:66" x14ac:dyDescent="0.3">
      <c r="A1036" s="2"/>
      <c r="C1036" s="14" t="str">
        <f t="shared" si="17"/>
        <v>20222</v>
      </c>
      <c r="D1036" s="3">
        <v>44596</v>
      </c>
      <c r="E1036" s="21">
        <v>2826.21</v>
      </c>
      <c r="F1036" s="21">
        <v>2926.38</v>
      </c>
      <c r="G1036" s="21">
        <v>2904.48</v>
      </c>
      <c r="H1036" s="21">
        <v>2692.36</v>
      </c>
      <c r="I1036" s="21">
        <v>2708.14</v>
      </c>
      <c r="J1036" s="21">
        <v>2776.72</v>
      </c>
      <c r="K1036" s="21">
        <v>2720.17</v>
      </c>
      <c r="L1036" s="21">
        <v>2810.74</v>
      </c>
      <c r="M1036" s="21"/>
      <c r="N1036" s="21">
        <v>2526.16</v>
      </c>
      <c r="O1036" s="21">
        <v>2711.55</v>
      </c>
      <c r="P1036" s="21">
        <v>2740.43</v>
      </c>
      <c r="Q1036" s="21">
        <v>8408.39</v>
      </c>
      <c r="R1036" s="20">
        <v>174.12</v>
      </c>
      <c r="S1036" s="20">
        <v>168.91</v>
      </c>
      <c r="T1036" s="21">
        <v>179.89</v>
      </c>
      <c r="V1036" s="1">
        <v>175.6</v>
      </c>
      <c r="W1036" s="1">
        <v>181.04</v>
      </c>
      <c r="X1036" s="1">
        <v>188.24</v>
      </c>
      <c r="Y1036" s="1">
        <v>179.61</v>
      </c>
      <c r="Z1036" s="1">
        <v>180</v>
      </c>
      <c r="AA1036" s="1">
        <v>178.84</v>
      </c>
      <c r="AB1036" s="1">
        <v>187.67</v>
      </c>
      <c r="AC1036" s="1">
        <v>168.79</v>
      </c>
      <c r="AE1036" s="1">
        <v>197.44</v>
      </c>
      <c r="AF1036" s="1">
        <v>187.41</v>
      </c>
      <c r="AG1036" s="1">
        <v>170.06</v>
      </c>
      <c r="AO1036" s="1">
        <v>15</v>
      </c>
      <c r="AT1036" s="1">
        <v>4237.3500000000004</v>
      </c>
      <c r="AW1036" s="1">
        <v>3319.63</v>
      </c>
      <c r="AX1036" s="1">
        <v>177.64</v>
      </c>
      <c r="AZ1036" s="1">
        <v>4032.26</v>
      </c>
      <c r="BA1036" s="1">
        <v>179.7</v>
      </c>
      <c r="BB1036" s="1">
        <v>190.53</v>
      </c>
      <c r="BC1036" s="1">
        <v>188.98</v>
      </c>
      <c r="BD1036" s="1">
        <v>189.18</v>
      </c>
      <c r="BE1036" s="1">
        <v>184.13</v>
      </c>
      <c r="BF1036" s="1">
        <v>180.04</v>
      </c>
      <c r="BG1036" s="1">
        <v>197.87</v>
      </c>
      <c r="BH1036" s="1">
        <v>174.56</v>
      </c>
      <c r="BI1036" s="1">
        <v>179.9</v>
      </c>
      <c r="BJ1036" s="1">
        <v>192.21</v>
      </c>
      <c r="BL1036" s="1">
        <v>174.24</v>
      </c>
      <c r="BN1036" s="1">
        <v>172.35</v>
      </c>
    </row>
    <row r="1037" spans="1:66" x14ac:dyDescent="0.3">
      <c r="A1037" s="2"/>
      <c r="C1037" s="14" t="str">
        <f t="shared" si="17"/>
        <v>20222</v>
      </c>
      <c r="D1037" s="3">
        <v>44595</v>
      </c>
      <c r="E1037" s="21">
        <v>2830.91</v>
      </c>
      <c r="F1037" s="21">
        <v>2917.13</v>
      </c>
      <c r="G1037" s="21">
        <v>2894.81</v>
      </c>
      <c r="H1037" s="21">
        <v>2718.55</v>
      </c>
      <c r="I1037" s="21">
        <v>2711.07</v>
      </c>
      <c r="J1037" s="21">
        <v>2770.07</v>
      </c>
      <c r="K1037" s="21">
        <v>2629.27</v>
      </c>
      <c r="L1037" s="21">
        <v>2725.8</v>
      </c>
      <c r="M1037" s="21"/>
      <c r="N1037" s="21">
        <v>2524.3200000000002</v>
      </c>
      <c r="O1037" s="21">
        <v>2666.33</v>
      </c>
      <c r="P1037" s="21">
        <v>2699.42</v>
      </c>
      <c r="Q1037" s="21">
        <v>8531.67</v>
      </c>
      <c r="R1037" s="20">
        <v>172.76</v>
      </c>
      <c r="S1037" s="20">
        <v>167.82</v>
      </c>
      <c r="T1037" s="21">
        <v>178.87</v>
      </c>
      <c r="V1037" s="1">
        <v>173.9</v>
      </c>
      <c r="W1037" s="1">
        <v>179.01</v>
      </c>
      <c r="X1037" s="1">
        <v>185.96</v>
      </c>
      <c r="Y1037" s="1">
        <v>176.89</v>
      </c>
      <c r="Z1037" s="1">
        <v>177</v>
      </c>
      <c r="AA1037" s="1">
        <v>175.84</v>
      </c>
      <c r="AB1037" s="1">
        <v>185.71</v>
      </c>
      <c r="AC1037" s="1">
        <v>169.15</v>
      </c>
      <c r="AE1037" s="1">
        <v>195.89</v>
      </c>
      <c r="AF1037" s="1">
        <v>185.5</v>
      </c>
      <c r="AG1037" s="1">
        <v>169.61</v>
      </c>
      <c r="AO1037" s="1">
        <v>15</v>
      </c>
      <c r="AT1037" s="1">
        <v>4275.29</v>
      </c>
      <c r="AW1037" s="1">
        <v>3289.24</v>
      </c>
      <c r="AX1037" s="1">
        <v>177.61</v>
      </c>
      <c r="BA1037" s="1">
        <v>179.71</v>
      </c>
      <c r="BB1037" s="1">
        <v>189.82</v>
      </c>
      <c r="BC1037" s="1">
        <v>188.51</v>
      </c>
      <c r="BD1037" s="1">
        <v>187.58</v>
      </c>
      <c r="BE1037" s="1">
        <v>183.07</v>
      </c>
      <c r="BF1037" s="1">
        <v>179.75</v>
      </c>
      <c r="BG1037" s="1">
        <v>196.69</v>
      </c>
      <c r="BH1037" s="1">
        <v>174.39</v>
      </c>
      <c r="BI1037" s="1">
        <v>176.65</v>
      </c>
      <c r="BL1037" s="1">
        <v>171.53</v>
      </c>
      <c r="BN1037" s="1">
        <v>170.91</v>
      </c>
    </row>
    <row r="1038" spans="1:66" x14ac:dyDescent="0.3">
      <c r="A1038" s="2"/>
      <c r="C1038" s="14" t="str">
        <f t="shared" si="17"/>
        <v>20222</v>
      </c>
      <c r="D1038" s="3">
        <v>44594</v>
      </c>
      <c r="E1038" s="21">
        <v>2823.78</v>
      </c>
      <c r="F1038" s="21">
        <v>2866.35</v>
      </c>
      <c r="G1038" s="21">
        <v>2894.81</v>
      </c>
      <c r="H1038" s="21">
        <v>2714.75</v>
      </c>
      <c r="I1038" s="21">
        <v>2735.9</v>
      </c>
      <c r="J1038" s="21">
        <v>2794.4</v>
      </c>
      <c r="K1038" s="21">
        <v>2601.0100000000002</v>
      </c>
      <c r="L1038" s="21">
        <v>2721.82</v>
      </c>
      <c r="M1038" s="21"/>
      <c r="N1038" s="21">
        <v>2520.5100000000002</v>
      </c>
      <c r="O1038" s="21">
        <v>2715.8</v>
      </c>
      <c r="P1038" s="21">
        <v>2661.97</v>
      </c>
      <c r="Q1038" s="21">
        <v>8498.07</v>
      </c>
      <c r="R1038" s="20">
        <v>169.56</v>
      </c>
      <c r="S1038" s="20">
        <v>164.96</v>
      </c>
      <c r="T1038" s="21">
        <v>177.67</v>
      </c>
      <c r="V1038" s="1">
        <v>172.47</v>
      </c>
      <c r="W1038" s="1">
        <v>178.39</v>
      </c>
      <c r="X1038" s="1">
        <v>186.04</v>
      </c>
      <c r="Y1038" s="1">
        <v>177.89</v>
      </c>
      <c r="Z1038" s="1">
        <v>178</v>
      </c>
      <c r="AA1038" s="1">
        <v>172.82</v>
      </c>
      <c r="AB1038" s="1">
        <v>185.61</v>
      </c>
      <c r="AC1038" s="1">
        <v>169.15</v>
      </c>
      <c r="AE1038" s="1">
        <v>195</v>
      </c>
      <c r="AF1038" s="1">
        <v>185</v>
      </c>
      <c r="AG1038" s="1">
        <v>166.82</v>
      </c>
      <c r="AT1038" s="1">
        <v>4228.6099999999997</v>
      </c>
      <c r="AW1038" s="1">
        <v>3289.24</v>
      </c>
      <c r="AX1038" s="1">
        <v>175.21</v>
      </c>
      <c r="BA1038" s="1">
        <v>175.73</v>
      </c>
      <c r="BB1038" s="1">
        <v>187.51</v>
      </c>
      <c r="BC1038" s="1">
        <v>187.43</v>
      </c>
      <c r="BD1038" s="1">
        <v>186.39</v>
      </c>
      <c r="BE1038" s="1">
        <v>180.63</v>
      </c>
      <c r="BF1038" s="1">
        <v>176.75</v>
      </c>
      <c r="BG1038" s="1">
        <v>196.67</v>
      </c>
      <c r="BH1038" s="1">
        <v>172.98</v>
      </c>
      <c r="BI1038" s="1">
        <v>176.18</v>
      </c>
      <c r="BL1038" s="1">
        <v>172.02</v>
      </c>
      <c r="BN1038" s="1">
        <v>170.33</v>
      </c>
    </row>
    <row r="1039" spans="1:66" x14ac:dyDescent="0.3">
      <c r="A1039" s="2"/>
      <c r="C1039" s="14" t="str">
        <f t="shared" si="17"/>
        <v>20222</v>
      </c>
      <c r="D1039" s="3">
        <v>44593</v>
      </c>
      <c r="E1039" s="21">
        <v>2732.76</v>
      </c>
      <c r="F1039" s="21">
        <v>2798.64</v>
      </c>
      <c r="G1039" s="21">
        <v>2832.75</v>
      </c>
      <c r="H1039" s="21">
        <v>2614.36</v>
      </c>
      <c r="I1039" s="21">
        <v>2667.37</v>
      </c>
      <c r="J1039" s="21">
        <v>2762.26</v>
      </c>
      <c r="K1039" s="21">
        <v>2601.0100000000002</v>
      </c>
      <c r="L1039" s="21">
        <v>2764.54</v>
      </c>
      <c r="M1039" s="21"/>
      <c r="N1039" s="21">
        <v>2411.02</v>
      </c>
      <c r="O1039" s="21">
        <v>2675.8</v>
      </c>
      <c r="P1039" s="21">
        <v>2661.97</v>
      </c>
      <c r="Q1039" s="21">
        <v>8513.2800000000007</v>
      </c>
      <c r="R1039" s="20">
        <v>168.77</v>
      </c>
      <c r="S1039" s="20">
        <v>164.49</v>
      </c>
      <c r="T1039" s="21">
        <v>174.01</v>
      </c>
      <c r="V1039" s="1">
        <v>169.9</v>
      </c>
      <c r="W1039" s="1">
        <v>175.41</v>
      </c>
      <c r="X1039" s="1">
        <v>184.34</v>
      </c>
      <c r="Y1039" s="1">
        <v>175.35</v>
      </c>
      <c r="Z1039" s="1">
        <v>175.92</v>
      </c>
      <c r="AA1039" s="1">
        <v>171.59</v>
      </c>
      <c r="AB1039" s="1">
        <v>184.11</v>
      </c>
      <c r="AE1039" s="1">
        <v>191.89</v>
      </c>
      <c r="AF1039" s="1">
        <v>179.04</v>
      </c>
      <c r="AG1039" s="1">
        <v>164.99</v>
      </c>
      <c r="AT1039" s="1">
        <v>4228.6099999999997</v>
      </c>
      <c r="AW1039" s="1">
        <v>3289.24</v>
      </c>
      <c r="AX1039" s="1">
        <v>170.58</v>
      </c>
      <c r="BA1039" s="1">
        <v>173.73</v>
      </c>
      <c r="BB1039" s="1">
        <v>184.72</v>
      </c>
      <c r="BC1039" s="1">
        <v>182.97</v>
      </c>
      <c r="BD1039" s="1">
        <v>182.87</v>
      </c>
      <c r="BE1039" s="1">
        <v>176.87</v>
      </c>
      <c r="BF1039" s="1">
        <v>172.24</v>
      </c>
      <c r="BG1039" s="1">
        <v>193.98</v>
      </c>
      <c r="BH1039" s="1">
        <v>169.33</v>
      </c>
      <c r="BI1039" s="1">
        <v>173.88</v>
      </c>
      <c r="BL1039" s="1">
        <v>170.53</v>
      </c>
      <c r="BN1039" s="1">
        <v>169.42</v>
      </c>
    </row>
    <row r="1040" spans="1:66" x14ac:dyDescent="0.3">
      <c r="A1040" s="2"/>
      <c r="C1040" s="14" t="str">
        <f t="shared" si="17"/>
        <v>20221</v>
      </c>
      <c r="D1040" s="3">
        <v>44592</v>
      </c>
      <c r="E1040" s="21">
        <v>2696.7</v>
      </c>
      <c r="F1040" s="21">
        <v>2785.98</v>
      </c>
      <c r="G1040" s="21">
        <v>2769.79</v>
      </c>
      <c r="H1040" s="21">
        <v>2590.62</v>
      </c>
      <c r="I1040" s="21">
        <v>2658.55</v>
      </c>
      <c r="J1040" s="21">
        <v>2625.08</v>
      </c>
      <c r="K1040" s="21">
        <v>2567.36</v>
      </c>
      <c r="L1040" s="21">
        <v>2763.9</v>
      </c>
      <c r="M1040" s="21"/>
      <c r="N1040" s="21">
        <v>2373.6999999999998</v>
      </c>
      <c r="O1040" s="21">
        <v>2710.2</v>
      </c>
      <c r="P1040" s="21">
        <v>2611.89</v>
      </c>
      <c r="Q1040" s="21">
        <v>8505.09</v>
      </c>
      <c r="R1040" s="20">
        <v>167.56</v>
      </c>
      <c r="S1040" s="20">
        <v>163.4</v>
      </c>
      <c r="T1040" s="21">
        <v>172.03</v>
      </c>
      <c r="V1040" s="1">
        <v>169.33</v>
      </c>
      <c r="W1040" s="1">
        <v>175.55</v>
      </c>
      <c r="X1040" s="1">
        <v>182.76</v>
      </c>
      <c r="Y1040" s="1">
        <v>175.4</v>
      </c>
      <c r="Z1040" s="1">
        <v>175.24</v>
      </c>
      <c r="AA1040" s="1">
        <v>169.41</v>
      </c>
      <c r="AB1040" s="1">
        <v>182.7</v>
      </c>
      <c r="AE1040" s="1">
        <v>189.14</v>
      </c>
      <c r="AF1040" s="1">
        <v>177.09</v>
      </c>
      <c r="AG1040" s="1">
        <v>162.32</v>
      </c>
      <c r="AS1040" s="1">
        <v>4130.0200000000004</v>
      </c>
      <c r="AT1040" s="1">
        <v>4230.08</v>
      </c>
      <c r="AX1040" s="1">
        <v>169.11</v>
      </c>
      <c r="BA1040" s="1">
        <v>174.15</v>
      </c>
      <c r="BB1040" s="1">
        <v>182.26</v>
      </c>
      <c r="BC1040" s="1">
        <v>181.41</v>
      </c>
      <c r="BD1040" s="1">
        <v>177.84</v>
      </c>
      <c r="BE1040" s="1">
        <v>173.74</v>
      </c>
      <c r="BF1040" s="1">
        <v>170.44</v>
      </c>
      <c r="BG1040" s="1">
        <v>191.44</v>
      </c>
      <c r="BH1040" s="1">
        <v>169.32</v>
      </c>
      <c r="BI1040" s="1">
        <v>173.87</v>
      </c>
      <c r="BJ1040" s="1">
        <v>173.46</v>
      </c>
      <c r="BL1040" s="1">
        <v>170</v>
      </c>
      <c r="BN1040" s="1">
        <v>169.06</v>
      </c>
    </row>
    <row r="1041" spans="1:66" x14ac:dyDescent="0.3">
      <c r="A1041" s="2"/>
      <c r="C1041" s="14" t="str">
        <f t="shared" si="17"/>
        <v>20221</v>
      </c>
      <c r="D1041" s="3">
        <v>44589</v>
      </c>
      <c r="E1041" s="21">
        <v>2698.14</v>
      </c>
      <c r="F1041" s="21">
        <v>2743.56</v>
      </c>
      <c r="G1041" s="21">
        <v>2707.66</v>
      </c>
      <c r="H1041" s="21">
        <v>2588.52</v>
      </c>
      <c r="I1041" s="21">
        <v>2654.58</v>
      </c>
      <c r="J1041" s="21">
        <v>2673.02</v>
      </c>
      <c r="K1041" s="21">
        <v>2564.0300000000002</v>
      </c>
      <c r="L1041" s="21">
        <v>2764.47</v>
      </c>
      <c r="M1041" s="21"/>
      <c r="N1041" s="21">
        <v>2372.5100000000002</v>
      </c>
      <c r="O1041" s="21">
        <v>2706.2</v>
      </c>
      <c r="P1041" s="21">
        <v>2611.89</v>
      </c>
      <c r="Q1041" s="21">
        <v>8558.5499999999993</v>
      </c>
      <c r="R1041" s="20">
        <v>168.35</v>
      </c>
      <c r="S1041" s="20">
        <v>161.71</v>
      </c>
      <c r="T1041" s="21">
        <v>171.91</v>
      </c>
      <c r="V1041" s="1">
        <v>165.88</v>
      </c>
      <c r="W1041" s="1">
        <v>174.85</v>
      </c>
      <c r="X1041" s="1">
        <v>180.74</v>
      </c>
      <c r="Y1041" s="1">
        <v>174.32</v>
      </c>
      <c r="Z1041" s="1">
        <v>174.57</v>
      </c>
      <c r="AA1041" s="1">
        <v>169.79</v>
      </c>
      <c r="AB1041" s="1">
        <v>180.59</v>
      </c>
      <c r="AC1041" s="1">
        <v>160.86000000000001</v>
      </c>
      <c r="AE1041" s="1">
        <v>188.31</v>
      </c>
      <c r="AF1041" s="1">
        <v>175.1</v>
      </c>
      <c r="AG1041" s="1">
        <v>161.22999999999999</v>
      </c>
      <c r="AS1041" s="1">
        <v>4130.0200000000004</v>
      </c>
      <c r="AT1041" s="1">
        <v>4402</v>
      </c>
      <c r="AX1041" s="1">
        <v>167.47</v>
      </c>
      <c r="BA1041" s="1">
        <v>169.69</v>
      </c>
      <c r="BB1041" s="1">
        <v>182.68</v>
      </c>
      <c r="BC1041" s="1">
        <v>179.72</v>
      </c>
      <c r="BD1041" s="1">
        <v>177.2</v>
      </c>
      <c r="BE1041" s="1">
        <v>173.08</v>
      </c>
      <c r="BF1041" s="1">
        <v>170.03</v>
      </c>
      <c r="BG1041" s="1">
        <v>188.63</v>
      </c>
      <c r="BH1041" s="1">
        <v>168.49</v>
      </c>
      <c r="BI1041" s="1">
        <v>172.87</v>
      </c>
      <c r="BJ1041" s="1">
        <v>173.46</v>
      </c>
      <c r="BL1041" s="1">
        <v>168.78</v>
      </c>
      <c r="BN1041" s="1">
        <v>168.39</v>
      </c>
    </row>
    <row r="1042" spans="1:66" x14ac:dyDescent="0.3">
      <c r="A1042" s="2"/>
      <c r="C1042" s="14" t="str">
        <f t="shared" si="17"/>
        <v>20221</v>
      </c>
      <c r="D1042" s="3">
        <v>44588</v>
      </c>
      <c r="E1042" s="21">
        <v>2663.09</v>
      </c>
      <c r="F1042" s="21">
        <v>2680.39</v>
      </c>
      <c r="G1042" s="21">
        <v>2682.84</v>
      </c>
      <c r="H1042" s="21">
        <v>2525.2399999999998</v>
      </c>
      <c r="I1042" s="21">
        <v>2654.58</v>
      </c>
      <c r="J1042" s="21">
        <v>2673.34</v>
      </c>
      <c r="K1042" s="21">
        <v>2560.6999999999998</v>
      </c>
      <c r="L1042" s="21">
        <v>2748.74</v>
      </c>
      <c r="M1042" s="21">
        <v>2484.25</v>
      </c>
      <c r="N1042" s="21">
        <v>2306.44</v>
      </c>
      <c r="O1042" s="21">
        <v>2752.67</v>
      </c>
      <c r="P1042" s="21">
        <v>2606.89</v>
      </c>
      <c r="Q1042" s="21">
        <v>8353.51</v>
      </c>
      <c r="R1042" s="20">
        <v>164.56</v>
      </c>
      <c r="S1042" s="20">
        <v>159.09</v>
      </c>
      <c r="T1042" s="21">
        <v>170.9</v>
      </c>
      <c r="V1042" s="1">
        <v>164.91</v>
      </c>
      <c r="W1042" s="1">
        <v>170.36</v>
      </c>
      <c r="X1042" s="1">
        <v>179.69</v>
      </c>
      <c r="Y1042" s="1">
        <v>172.17</v>
      </c>
      <c r="Z1042" s="1">
        <v>171.92</v>
      </c>
      <c r="AA1042" s="1">
        <v>167.12</v>
      </c>
      <c r="AB1042" s="1">
        <v>180.21</v>
      </c>
      <c r="AC1042" s="1">
        <v>158.96</v>
      </c>
      <c r="AE1042" s="1">
        <v>186</v>
      </c>
      <c r="AF1042" s="1">
        <v>173.47</v>
      </c>
      <c r="AG1042" s="1">
        <v>160.05000000000001</v>
      </c>
      <c r="AS1042" s="1">
        <v>4130.0200000000004</v>
      </c>
      <c r="AX1042" s="1">
        <v>166.14</v>
      </c>
      <c r="BA1042" s="1">
        <v>169.05</v>
      </c>
      <c r="BB1042" s="1">
        <v>181.67</v>
      </c>
      <c r="BC1042" s="1">
        <v>178.21</v>
      </c>
      <c r="BD1042" s="1">
        <v>177.28</v>
      </c>
      <c r="BE1042" s="1">
        <v>173.06</v>
      </c>
      <c r="BF1042" s="1">
        <v>170.28</v>
      </c>
      <c r="BG1042" s="1">
        <v>187.43</v>
      </c>
      <c r="BH1042" s="1">
        <v>168.34</v>
      </c>
      <c r="BI1042" s="1">
        <v>170.63</v>
      </c>
      <c r="BJ1042" s="1">
        <v>173.46</v>
      </c>
      <c r="BL1042" s="1">
        <v>166.79</v>
      </c>
      <c r="BN1042" s="1">
        <v>165.91</v>
      </c>
    </row>
    <row r="1043" spans="1:66" x14ac:dyDescent="0.3">
      <c r="A1043" s="2"/>
      <c r="C1043" s="14" t="str">
        <f t="shared" si="17"/>
        <v>20221</v>
      </c>
      <c r="D1043" s="3">
        <v>44587</v>
      </c>
      <c r="E1043" s="21">
        <v>2645.96</v>
      </c>
      <c r="F1043" s="21">
        <v>2654.22</v>
      </c>
      <c r="G1043" s="21">
        <v>2638.07</v>
      </c>
      <c r="H1043" s="21">
        <v>2527.64</v>
      </c>
      <c r="I1043" s="21">
        <v>2654.58</v>
      </c>
      <c r="J1043" s="21">
        <v>2726.92</v>
      </c>
      <c r="K1043" s="21">
        <v>2581.88</v>
      </c>
      <c r="L1043" s="21">
        <v>2662.44</v>
      </c>
      <c r="M1043" s="21">
        <v>2485.84</v>
      </c>
      <c r="N1043" s="21">
        <v>2326.79</v>
      </c>
      <c r="O1043" s="21">
        <v>2754.5</v>
      </c>
      <c r="P1043" s="21">
        <v>2581.98</v>
      </c>
      <c r="Q1043" s="21">
        <v>8479.16</v>
      </c>
      <c r="R1043" s="20">
        <v>163.76</v>
      </c>
      <c r="S1043" s="20">
        <v>156.06</v>
      </c>
      <c r="T1043" s="21">
        <v>170.02</v>
      </c>
      <c r="V1043" s="1">
        <v>164.76</v>
      </c>
      <c r="W1043" s="1">
        <v>169.75</v>
      </c>
      <c r="X1043" s="1">
        <v>178.19</v>
      </c>
      <c r="Y1043" s="1">
        <v>169.25</v>
      </c>
      <c r="Z1043" s="1">
        <v>167.93</v>
      </c>
      <c r="AA1043" s="1">
        <v>165.84</v>
      </c>
      <c r="AB1043" s="1">
        <v>178.04</v>
      </c>
      <c r="AC1043" s="1">
        <v>159.11000000000001</v>
      </c>
      <c r="AE1043" s="1">
        <v>185.5</v>
      </c>
      <c r="AF1043" s="1">
        <v>172.2</v>
      </c>
      <c r="AG1043" s="1">
        <v>159.87</v>
      </c>
      <c r="AS1043" s="1">
        <v>4331.49</v>
      </c>
      <c r="AV1043" s="1">
        <v>30</v>
      </c>
      <c r="AW1043" s="1">
        <v>3062.43</v>
      </c>
      <c r="AX1043" s="1">
        <v>166.08</v>
      </c>
      <c r="BA1043" s="1">
        <v>168.06</v>
      </c>
      <c r="BB1043" s="1">
        <v>179.89</v>
      </c>
      <c r="BC1043" s="1">
        <v>176.33</v>
      </c>
      <c r="BD1043" s="1">
        <v>172.51</v>
      </c>
      <c r="BE1043" s="1">
        <v>169.76</v>
      </c>
      <c r="BF1043" s="1">
        <v>168.53</v>
      </c>
      <c r="BG1043" s="1">
        <v>187.18</v>
      </c>
      <c r="BH1043" s="1">
        <v>168.34</v>
      </c>
      <c r="BI1043" s="1">
        <v>167.25</v>
      </c>
      <c r="BJ1043" s="1">
        <v>173.46</v>
      </c>
      <c r="BL1043" s="1">
        <v>163.78</v>
      </c>
      <c r="BN1043" s="1">
        <v>163.12</v>
      </c>
    </row>
    <row r="1044" spans="1:66" x14ac:dyDescent="0.3">
      <c r="A1044" s="2"/>
      <c r="C1044" s="14" t="str">
        <f t="shared" si="17"/>
        <v>20221</v>
      </c>
      <c r="D1044" s="3">
        <v>44586</v>
      </c>
      <c r="E1044" s="21">
        <v>2696.95</v>
      </c>
      <c r="F1044" s="21">
        <v>2656.56</v>
      </c>
      <c r="G1044" s="21">
        <v>2628.15</v>
      </c>
      <c r="H1044" s="21">
        <v>2531.2600000000002</v>
      </c>
      <c r="I1044" s="21">
        <v>2654.58</v>
      </c>
      <c r="J1044" s="21">
        <v>2802.47</v>
      </c>
      <c r="K1044" s="21">
        <v>2600.0500000000002</v>
      </c>
      <c r="L1044" s="21">
        <v>2685.67</v>
      </c>
      <c r="M1044" s="21">
        <v>2490.6</v>
      </c>
      <c r="N1044" s="21">
        <v>2364.3200000000002</v>
      </c>
      <c r="O1044" s="21">
        <v>2754.5</v>
      </c>
      <c r="P1044" s="21">
        <v>2591.79</v>
      </c>
      <c r="Q1044" s="21">
        <v>8479.2099999999991</v>
      </c>
      <c r="R1044" s="20">
        <v>163.76</v>
      </c>
      <c r="S1044" s="20">
        <v>154.81</v>
      </c>
      <c r="T1044" s="21">
        <v>166.01</v>
      </c>
      <c r="V1044" s="1">
        <v>164.62</v>
      </c>
      <c r="W1044" s="1">
        <v>169.74</v>
      </c>
      <c r="X1044" s="1">
        <v>177.84</v>
      </c>
      <c r="Y1044" s="1">
        <v>167.2</v>
      </c>
      <c r="Z1044" s="1">
        <v>166.78</v>
      </c>
      <c r="AA1044" s="1">
        <v>167.27</v>
      </c>
      <c r="AB1044" s="1">
        <v>177.49</v>
      </c>
      <c r="AC1044" s="1">
        <v>159.41999999999999</v>
      </c>
      <c r="AE1044" s="1">
        <v>184.11</v>
      </c>
      <c r="AF1044" s="1">
        <v>169.71</v>
      </c>
      <c r="AG1044" s="1">
        <v>160.43</v>
      </c>
      <c r="AS1044" s="1">
        <v>4331.49</v>
      </c>
      <c r="AV1044" s="1">
        <v>30</v>
      </c>
      <c r="AW1044" s="1">
        <v>3069.69</v>
      </c>
      <c r="AX1044" s="1">
        <v>166.63</v>
      </c>
      <c r="BA1044" s="1">
        <v>165.25</v>
      </c>
      <c r="BB1044" s="1">
        <v>179.21</v>
      </c>
      <c r="BC1044" s="1">
        <v>176.9</v>
      </c>
      <c r="BD1044" s="1">
        <v>174.06</v>
      </c>
      <c r="BE1044" s="1">
        <v>170.42</v>
      </c>
      <c r="BF1044" s="1">
        <v>168.53</v>
      </c>
      <c r="BG1044" s="1">
        <v>185.22</v>
      </c>
      <c r="BH1044" s="1">
        <v>166.82</v>
      </c>
      <c r="BI1044" s="1">
        <v>166.85</v>
      </c>
      <c r="BJ1044" s="1">
        <v>173.45</v>
      </c>
      <c r="BL1044" s="1">
        <v>162.78</v>
      </c>
      <c r="BN1044" s="1">
        <v>162.52000000000001</v>
      </c>
    </row>
    <row r="1045" spans="1:66" x14ac:dyDescent="0.3">
      <c r="A1045" s="2"/>
      <c r="C1045" s="14" t="str">
        <f t="shared" si="17"/>
        <v>20221</v>
      </c>
      <c r="D1045" s="3">
        <v>44585</v>
      </c>
      <c r="E1045" s="21">
        <v>2709.36</v>
      </c>
      <c r="F1045" s="21">
        <v>2680.39</v>
      </c>
      <c r="G1045" s="21">
        <v>2682.84</v>
      </c>
      <c r="H1045" s="21">
        <v>2539.13</v>
      </c>
      <c r="I1045" s="21">
        <v>2654.58</v>
      </c>
      <c r="J1045" s="21">
        <v>2728.48</v>
      </c>
      <c r="K1045" s="21">
        <v>2600.0500000000002</v>
      </c>
      <c r="L1045" s="21">
        <v>2702.27</v>
      </c>
      <c r="M1045" s="21">
        <v>2504.9</v>
      </c>
      <c r="N1045" s="21">
        <v>2323.41</v>
      </c>
      <c r="O1045" s="21">
        <v>2759.5</v>
      </c>
      <c r="P1045" s="21">
        <v>2591.79</v>
      </c>
      <c r="Q1045" s="21">
        <v>8511.2099999999991</v>
      </c>
      <c r="R1045" s="20">
        <v>163.11000000000001</v>
      </c>
      <c r="S1045" s="20">
        <v>154.57</v>
      </c>
      <c r="T1045" s="21">
        <v>166.13</v>
      </c>
      <c r="V1045" s="1">
        <v>163.47</v>
      </c>
      <c r="W1045" s="1">
        <v>166.89</v>
      </c>
      <c r="X1045" s="1">
        <v>177.15</v>
      </c>
      <c r="Y1045" s="1">
        <v>165.7</v>
      </c>
      <c r="Z1045" s="1">
        <v>165.33</v>
      </c>
      <c r="AA1045" s="1">
        <v>167.75</v>
      </c>
      <c r="AB1045" s="1">
        <v>176.93</v>
      </c>
      <c r="AC1045" s="1">
        <v>159.41999999999999</v>
      </c>
      <c r="AE1045" s="1">
        <v>183.88</v>
      </c>
      <c r="AF1045" s="1">
        <v>169.22</v>
      </c>
      <c r="AG1045" s="1">
        <v>160.52000000000001</v>
      </c>
      <c r="AP1045" s="1">
        <v>4940.72</v>
      </c>
      <c r="AS1045" s="1">
        <v>4532.95</v>
      </c>
      <c r="AV1045" s="1">
        <v>30</v>
      </c>
      <c r="AW1045" s="1">
        <v>3206.85</v>
      </c>
      <c r="AX1045" s="1">
        <v>165.87</v>
      </c>
      <c r="BA1045" s="1">
        <v>166.26</v>
      </c>
      <c r="BB1045" s="1">
        <v>177.74</v>
      </c>
      <c r="BC1045" s="1">
        <v>175.38</v>
      </c>
      <c r="BD1045" s="1">
        <v>177.26</v>
      </c>
      <c r="BE1045" s="1">
        <v>170.7</v>
      </c>
      <c r="BF1045" s="1">
        <v>168.84</v>
      </c>
      <c r="BG1045" s="1">
        <v>185.01</v>
      </c>
      <c r="BH1045" s="1">
        <v>166.82</v>
      </c>
      <c r="BI1045" s="1">
        <v>166.85</v>
      </c>
      <c r="BJ1045" s="1">
        <v>173.43</v>
      </c>
      <c r="BL1045" s="1">
        <v>161.04</v>
      </c>
      <c r="BN1045" s="1">
        <v>160.93</v>
      </c>
    </row>
    <row r="1046" spans="1:66" x14ac:dyDescent="0.3">
      <c r="A1046" s="2"/>
      <c r="C1046" s="14" t="str">
        <f t="shared" si="17"/>
        <v>20221</v>
      </c>
      <c r="D1046" s="3">
        <v>44582</v>
      </c>
      <c r="E1046" s="21">
        <v>2721.81</v>
      </c>
      <c r="F1046" s="21">
        <v>2680.39</v>
      </c>
      <c r="G1046" s="21">
        <v>2682.84</v>
      </c>
      <c r="H1046" s="21">
        <v>2567.59</v>
      </c>
      <c r="I1046" s="21">
        <v>2646.64</v>
      </c>
      <c r="J1046" s="21">
        <v>2747.91</v>
      </c>
      <c r="K1046" s="21">
        <v>2595.29</v>
      </c>
      <c r="L1046" s="21">
        <v>2702.27</v>
      </c>
      <c r="M1046" s="21">
        <v>2504.9</v>
      </c>
      <c r="N1046" s="21">
        <v>2433.2600000000002</v>
      </c>
      <c r="O1046" s="21">
        <v>2772</v>
      </c>
      <c r="P1046" s="21">
        <v>2612.17</v>
      </c>
      <c r="Q1046" s="21">
        <v>8439.83</v>
      </c>
      <c r="R1046" s="20">
        <v>162.44</v>
      </c>
      <c r="S1046" s="20">
        <v>154.47</v>
      </c>
      <c r="T1046" s="21">
        <v>167.34</v>
      </c>
      <c r="V1046" s="1">
        <v>162.47999999999999</v>
      </c>
      <c r="W1046" s="1">
        <v>166.49</v>
      </c>
      <c r="X1046" s="1">
        <v>177.19</v>
      </c>
      <c r="Y1046" s="1">
        <v>164.83</v>
      </c>
      <c r="Z1046" s="1">
        <v>165</v>
      </c>
      <c r="AA1046" s="1">
        <v>164.87</v>
      </c>
      <c r="AB1046" s="1">
        <v>176.91</v>
      </c>
      <c r="AC1046" s="1">
        <v>160.27000000000001</v>
      </c>
      <c r="AE1046" s="1">
        <v>183.97</v>
      </c>
      <c r="AF1046" s="1">
        <v>168.36</v>
      </c>
      <c r="AG1046" s="1">
        <v>158.29</v>
      </c>
      <c r="AP1046" s="1">
        <v>4940.72</v>
      </c>
      <c r="AS1046" s="1">
        <v>4532.95</v>
      </c>
      <c r="AV1046" s="1">
        <v>30</v>
      </c>
      <c r="AW1046" s="1">
        <v>3206.85</v>
      </c>
      <c r="AX1046" s="1">
        <v>164.55</v>
      </c>
      <c r="BA1046" s="1">
        <v>165.72</v>
      </c>
      <c r="BB1046" s="1">
        <v>176.63</v>
      </c>
      <c r="BC1046" s="1">
        <v>176.37</v>
      </c>
      <c r="BD1046" s="1">
        <v>177.04</v>
      </c>
      <c r="BE1046" s="1">
        <v>170.6</v>
      </c>
      <c r="BF1046" s="1">
        <v>171.49</v>
      </c>
      <c r="BG1046" s="1">
        <v>185.37</v>
      </c>
      <c r="BH1046" s="1">
        <v>170.04</v>
      </c>
      <c r="BI1046" s="1">
        <v>166.85</v>
      </c>
      <c r="BJ1046" s="1">
        <v>173.38</v>
      </c>
      <c r="BL1046" s="1">
        <v>160.11000000000001</v>
      </c>
      <c r="BN1046" s="1">
        <v>159.66</v>
      </c>
    </row>
    <row r="1047" spans="1:66" x14ac:dyDescent="0.3">
      <c r="A1047" s="2"/>
      <c r="C1047" s="14" t="str">
        <f t="shared" si="17"/>
        <v>20221</v>
      </c>
      <c r="D1047" s="3">
        <v>44581</v>
      </c>
      <c r="E1047" s="21">
        <v>2719.32</v>
      </c>
      <c r="F1047" s="21">
        <v>2680.39</v>
      </c>
      <c r="G1047" s="21">
        <v>2692.78</v>
      </c>
      <c r="H1047" s="21">
        <v>2592.38</v>
      </c>
      <c r="I1047" s="21">
        <v>2652.59</v>
      </c>
      <c r="J1047" s="21">
        <v>2677.72</v>
      </c>
      <c r="K1047" s="21">
        <v>2601.0500000000002</v>
      </c>
      <c r="L1047" s="21">
        <v>2702.27</v>
      </c>
      <c r="M1047" s="21">
        <v>2489.96</v>
      </c>
      <c r="N1047" s="21">
        <v>2426.9899999999998</v>
      </c>
      <c r="O1047" s="21">
        <v>2772.66</v>
      </c>
      <c r="P1047" s="21">
        <v>2615.6999999999998</v>
      </c>
      <c r="Q1047" s="21">
        <v>8334.83</v>
      </c>
      <c r="R1047" s="20">
        <v>161.76</v>
      </c>
      <c r="S1047" s="20">
        <v>153.77000000000001</v>
      </c>
      <c r="T1047" s="21">
        <v>165.5</v>
      </c>
      <c r="V1047" s="1">
        <v>159.91</v>
      </c>
      <c r="W1047" s="1">
        <v>165.74</v>
      </c>
      <c r="X1047" s="1">
        <v>175.69</v>
      </c>
      <c r="Y1047" s="1">
        <v>164.24</v>
      </c>
      <c r="Z1047" s="1">
        <v>163.5</v>
      </c>
      <c r="AA1047" s="1">
        <v>163.78</v>
      </c>
      <c r="AB1047" s="1">
        <v>175.83</v>
      </c>
      <c r="AC1047" s="1">
        <v>160.96</v>
      </c>
      <c r="AE1047" s="1">
        <v>183.1</v>
      </c>
      <c r="AF1047" s="1">
        <v>169.64</v>
      </c>
      <c r="AG1047" s="1">
        <v>160.15</v>
      </c>
      <c r="AP1047" s="1">
        <v>4940.72</v>
      </c>
      <c r="AS1047" s="1">
        <v>4130.0200000000004</v>
      </c>
      <c r="AV1047" s="1">
        <v>30</v>
      </c>
      <c r="AW1047" s="1">
        <v>3206.85</v>
      </c>
      <c r="AX1047" s="1">
        <v>165.71</v>
      </c>
      <c r="BA1047" s="1">
        <v>164.33</v>
      </c>
      <c r="BB1047" s="1">
        <v>177.44</v>
      </c>
      <c r="BC1047" s="1">
        <v>174</v>
      </c>
      <c r="BD1047" s="1">
        <v>175.58</v>
      </c>
      <c r="BE1047" s="1">
        <v>170.8</v>
      </c>
      <c r="BF1047" s="1">
        <v>170.73</v>
      </c>
      <c r="BG1047" s="1">
        <v>184.01</v>
      </c>
      <c r="BH1047" s="1">
        <v>168.82</v>
      </c>
      <c r="BI1047" s="1">
        <v>166.85</v>
      </c>
      <c r="BJ1047" s="1">
        <v>172.93</v>
      </c>
      <c r="BL1047" s="1">
        <v>158.31</v>
      </c>
      <c r="BN1047" s="1">
        <v>158.99</v>
      </c>
    </row>
    <row r="1048" spans="1:66" x14ac:dyDescent="0.3">
      <c r="A1048" s="2"/>
      <c r="C1048" s="14" t="str">
        <f t="shared" si="17"/>
        <v>20221</v>
      </c>
      <c r="D1048" s="3">
        <v>44580</v>
      </c>
      <c r="E1048" s="21">
        <v>2721.88</v>
      </c>
      <c r="F1048" s="21">
        <v>2680.39</v>
      </c>
      <c r="G1048" s="21">
        <v>2667.96</v>
      </c>
      <c r="H1048" s="21">
        <v>2594.67</v>
      </c>
      <c r="I1048" s="21">
        <v>2652.59</v>
      </c>
      <c r="J1048" s="21">
        <v>2707.91</v>
      </c>
      <c r="K1048" s="21">
        <v>2584.44</v>
      </c>
      <c r="L1048" s="21">
        <v>2688.99</v>
      </c>
      <c r="M1048" s="21">
        <v>2502.23</v>
      </c>
      <c r="N1048" s="21">
        <v>2442.7800000000002</v>
      </c>
      <c r="O1048" s="21">
        <v>2776.67</v>
      </c>
      <c r="P1048" s="21">
        <v>2595.7800000000002</v>
      </c>
      <c r="Q1048" s="21">
        <v>8281.7999999999993</v>
      </c>
      <c r="R1048" s="20">
        <v>161.76</v>
      </c>
      <c r="S1048" s="20">
        <v>154.38</v>
      </c>
      <c r="T1048" s="21">
        <v>165.04</v>
      </c>
      <c r="V1048" s="1">
        <v>159.91</v>
      </c>
      <c r="W1048" s="1">
        <v>164.75</v>
      </c>
      <c r="X1048" s="1">
        <v>174.84</v>
      </c>
      <c r="Y1048" s="1">
        <v>162.91</v>
      </c>
      <c r="Z1048" s="1">
        <v>162.33000000000001</v>
      </c>
      <c r="AA1048" s="1">
        <v>163.59</v>
      </c>
      <c r="AB1048" s="1">
        <v>175.05</v>
      </c>
      <c r="AC1048" s="1">
        <v>160.96</v>
      </c>
      <c r="AE1048" s="1">
        <v>182.92</v>
      </c>
      <c r="AF1048" s="1">
        <v>168.07</v>
      </c>
      <c r="AG1048" s="1">
        <v>158.41</v>
      </c>
      <c r="AP1048" s="1">
        <v>4940.72</v>
      </c>
      <c r="AS1048" s="1">
        <v>3727.09</v>
      </c>
      <c r="AW1048" s="1">
        <v>3084.22</v>
      </c>
      <c r="AX1048" s="1">
        <v>165.59</v>
      </c>
      <c r="BA1048" s="1">
        <v>163.38999999999999</v>
      </c>
      <c r="BB1048" s="1">
        <v>177.27</v>
      </c>
      <c r="BC1048" s="1">
        <v>173.68</v>
      </c>
      <c r="BD1048" s="1">
        <v>176.03</v>
      </c>
      <c r="BE1048" s="1">
        <v>166.05</v>
      </c>
      <c r="BF1048" s="1">
        <v>168.06</v>
      </c>
      <c r="BG1048" s="1">
        <v>183.85</v>
      </c>
      <c r="BH1048" s="1">
        <v>168.16</v>
      </c>
      <c r="BI1048" s="1">
        <v>166.85</v>
      </c>
      <c r="BJ1048" s="1">
        <v>172.91</v>
      </c>
      <c r="BL1048" s="1">
        <v>157.31</v>
      </c>
      <c r="BN1048" s="1">
        <v>157.66999999999999</v>
      </c>
    </row>
    <row r="1049" spans="1:66" x14ac:dyDescent="0.3">
      <c r="A1049" s="2"/>
      <c r="C1049" s="14" t="str">
        <f t="shared" si="17"/>
        <v>20221</v>
      </c>
      <c r="D1049" s="3">
        <v>44579</v>
      </c>
      <c r="E1049" s="21">
        <v>2726.79</v>
      </c>
      <c r="F1049" s="21">
        <v>2680.39</v>
      </c>
      <c r="G1049" s="21">
        <v>2687.8</v>
      </c>
      <c r="H1049" s="21">
        <v>2586.5300000000002</v>
      </c>
      <c r="I1049" s="21">
        <v>2642.67</v>
      </c>
      <c r="J1049" s="21">
        <v>2707.91</v>
      </c>
      <c r="K1049" s="21">
        <v>2584.44</v>
      </c>
      <c r="L1049" s="21">
        <v>2637.17</v>
      </c>
      <c r="M1049" s="21">
        <v>2539.79</v>
      </c>
      <c r="N1049" s="21">
        <v>2454.5100000000002</v>
      </c>
      <c r="O1049" s="21">
        <v>2704.32</v>
      </c>
      <c r="P1049" s="21">
        <v>2595.7800000000002</v>
      </c>
      <c r="Q1049" s="21">
        <v>8211.7999999999993</v>
      </c>
      <c r="R1049" s="20">
        <v>159.77000000000001</v>
      </c>
      <c r="S1049" s="20">
        <v>152.76</v>
      </c>
      <c r="T1049" s="21">
        <v>165.27</v>
      </c>
      <c r="V1049" s="1">
        <v>159.91</v>
      </c>
      <c r="W1049" s="1">
        <v>163.92</v>
      </c>
      <c r="X1049" s="1">
        <v>174.29</v>
      </c>
      <c r="Y1049" s="1">
        <v>161.9</v>
      </c>
      <c r="Z1049" s="1">
        <v>163.56</v>
      </c>
      <c r="AA1049" s="1">
        <v>162.57</v>
      </c>
      <c r="AB1049" s="1">
        <v>174.38</v>
      </c>
      <c r="AC1049" s="1">
        <v>162.26</v>
      </c>
      <c r="AE1049" s="1">
        <v>182.79</v>
      </c>
      <c r="AF1049" s="1">
        <v>165.85</v>
      </c>
      <c r="AG1049" s="1">
        <v>154.15</v>
      </c>
      <c r="AP1049" s="1">
        <v>4879.62</v>
      </c>
      <c r="AS1049" s="1">
        <v>3727.09</v>
      </c>
      <c r="BA1049" s="1">
        <v>161.96</v>
      </c>
      <c r="BB1049" s="1">
        <v>175.5</v>
      </c>
      <c r="BC1049" s="1">
        <v>172.57</v>
      </c>
      <c r="BD1049" s="1">
        <v>173.06</v>
      </c>
      <c r="BE1049" s="1">
        <v>165.55</v>
      </c>
      <c r="BF1049" s="1">
        <v>167.4</v>
      </c>
      <c r="BG1049" s="1">
        <v>184.28</v>
      </c>
      <c r="BH1049" s="1">
        <v>168.79</v>
      </c>
      <c r="BI1049" s="1">
        <v>166.85</v>
      </c>
      <c r="BJ1049" s="1">
        <v>172.9</v>
      </c>
      <c r="BL1049" s="1">
        <v>158.11000000000001</v>
      </c>
      <c r="BN1049" s="1">
        <v>157.99</v>
      </c>
    </row>
    <row r="1050" spans="1:66" x14ac:dyDescent="0.3">
      <c r="A1050" s="2"/>
      <c r="C1050" s="14" t="str">
        <f t="shared" si="17"/>
        <v>20221</v>
      </c>
      <c r="D1050" s="3">
        <v>44578</v>
      </c>
      <c r="E1050" s="21">
        <v>2759.15</v>
      </c>
      <c r="F1050" s="21">
        <v>2680.39</v>
      </c>
      <c r="G1050" s="21">
        <v>2692.78</v>
      </c>
      <c r="H1050" s="21">
        <v>2645.94</v>
      </c>
      <c r="I1050" s="21">
        <v>2658.55</v>
      </c>
      <c r="J1050" s="21">
        <v>2790.25</v>
      </c>
      <c r="K1050" s="21">
        <v>2584.44</v>
      </c>
      <c r="L1050" s="21">
        <v>2773.63</v>
      </c>
      <c r="M1050" s="21">
        <v>2525.1799999999998</v>
      </c>
      <c r="N1050" s="21">
        <v>2458.56</v>
      </c>
      <c r="O1050" s="21">
        <v>2653.07</v>
      </c>
      <c r="P1050" s="21">
        <v>2595.7800000000002</v>
      </c>
      <c r="Q1050" s="21">
        <v>8073.33</v>
      </c>
      <c r="R1050" s="20">
        <v>161.36000000000001</v>
      </c>
      <c r="S1050" s="20">
        <v>154.44</v>
      </c>
      <c r="T1050" s="21">
        <v>165.82</v>
      </c>
      <c r="V1050" s="1">
        <v>159.52000000000001</v>
      </c>
      <c r="W1050" s="1">
        <v>164.85</v>
      </c>
      <c r="X1050" s="1">
        <v>174.27</v>
      </c>
      <c r="Y1050" s="1">
        <v>163.9</v>
      </c>
      <c r="Z1050" s="1">
        <v>164</v>
      </c>
      <c r="AA1050" s="1">
        <v>163.35</v>
      </c>
      <c r="AB1050" s="1">
        <v>174.38</v>
      </c>
      <c r="AC1050" s="1">
        <v>162.26</v>
      </c>
      <c r="AE1050" s="1">
        <v>183.32</v>
      </c>
      <c r="AF1050" s="1">
        <v>166.7</v>
      </c>
      <c r="AG1050" s="1">
        <v>152.77000000000001</v>
      </c>
      <c r="AS1050" s="1">
        <v>3727.09</v>
      </c>
      <c r="AW1050" s="1">
        <v>3136.4</v>
      </c>
      <c r="BA1050" s="1">
        <v>162.74</v>
      </c>
      <c r="BB1050" s="1">
        <v>174.14</v>
      </c>
      <c r="BC1050" s="1">
        <v>172.64</v>
      </c>
      <c r="BD1050" s="1">
        <v>173.16</v>
      </c>
      <c r="BE1050" s="1">
        <v>167.05</v>
      </c>
      <c r="BF1050" s="1">
        <v>169.3</v>
      </c>
      <c r="BG1050" s="1">
        <v>184.74</v>
      </c>
      <c r="BH1050" s="1">
        <v>168.79</v>
      </c>
      <c r="BI1050" s="1">
        <v>169.04</v>
      </c>
      <c r="BJ1050" s="1">
        <v>172.34</v>
      </c>
      <c r="BL1050" s="1">
        <v>159.11000000000001</v>
      </c>
      <c r="BN1050" s="1">
        <v>158.66</v>
      </c>
    </row>
    <row r="1051" spans="1:66" x14ac:dyDescent="0.3">
      <c r="A1051" s="2"/>
      <c r="C1051" s="14" t="str">
        <f t="shared" si="17"/>
        <v>20221</v>
      </c>
      <c r="D1051" s="3">
        <v>44575</v>
      </c>
      <c r="E1051" s="21">
        <v>2779.06</v>
      </c>
      <c r="F1051" s="21">
        <v>2680.39</v>
      </c>
      <c r="G1051" s="21">
        <v>2700.26</v>
      </c>
      <c r="H1051" s="21">
        <v>2650.91</v>
      </c>
      <c r="I1051" s="21">
        <v>2646.64</v>
      </c>
      <c r="J1051" s="21">
        <v>2751.25</v>
      </c>
      <c r="K1051" s="21">
        <v>2583.58</v>
      </c>
      <c r="L1051" s="21">
        <v>2636.91</v>
      </c>
      <c r="M1051" s="21">
        <v>2477.89</v>
      </c>
      <c r="N1051" s="21">
        <v>2470.44</v>
      </c>
      <c r="O1051" s="21">
        <v>2700.57</v>
      </c>
      <c r="P1051" s="21">
        <v>2615.6999999999998</v>
      </c>
      <c r="Q1051" s="21">
        <v>8167.25</v>
      </c>
      <c r="R1051" s="20">
        <v>161.36000000000001</v>
      </c>
      <c r="S1051" s="20">
        <v>154.44</v>
      </c>
      <c r="T1051" s="21">
        <v>165.47</v>
      </c>
      <c r="V1051" s="1">
        <v>158.74</v>
      </c>
      <c r="W1051" s="1">
        <v>165.77</v>
      </c>
      <c r="X1051" s="1">
        <v>174.24</v>
      </c>
      <c r="Y1051" s="1">
        <v>163.9</v>
      </c>
      <c r="Z1051" s="1">
        <v>164</v>
      </c>
      <c r="AA1051" s="1">
        <v>163.72999999999999</v>
      </c>
      <c r="AB1051" s="1">
        <v>174.38</v>
      </c>
      <c r="AC1051" s="1">
        <v>161.78</v>
      </c>
      <c r="AE1051" s="1">
        <v>184.43</v>
      </c>
      <c r="AF1051" s="1">
        <v>168.63</v>
      </c>
      <c r="AG1051" s="1">
        <v>159.81</v>
      </c>
      <c r="AS1051" s="1">
        <v>3727.09</v>
      </c>
      <c r="AW1051" s="1">
        <v>3136.4</v>
      </c>
      <c r="BA1051" s="1">
        <v>163.29</v>
      </c>
      <c r="BB1051" s="1">
        <v>174.28</v>
      </c>
      <c r="BC1051" s="1">
        <v>173.15</v>
      </c>
      <c r="BD1051" s="1">
        <v>174.85</v>
      </c>
      <c r="BE1051" s="1">
        <v>166.77</v>
      </c>
      <c r="BF1051" s="1">
        <v>168.73</v>
      </c>
      <c r="BG1051" s="1">
        <v>184.52</v>
      </c>
      <c r="BH1051" s="1">
        <v>168.49</v>
      </c>
      <c r="BI1051" s="1">
        <v>169.04</v>
      </c>
      <c r="BJ1051" s="1">
        <v>172.54</v>
      </c>
      <c r="BL1051" s="1">
        <v>159.04</v>
      </c>
      <c r="BN1051" s="1">
        <v>158.71</v>
      </c>
    </row>
    <row r="1052" spans="1:66" x14ac:dyDescent="0.3">
      <c r="A1052" s="2"/>
      <c r="C1052" s="14" t="str">
        <f t="shared" si="17"/>
        <v>20221</v>
      </c>
      <c r="D1052" s="3">
        <v>44574</v>
      </c>
      <c r="E1052" s="21">
        <v>2751.68</v>
      </c>
      <c r="F1052" s="21">
        <v>2680.39</v>
      </c>
      <c r="G1052" s="21">
        <v>2707.7</v>
      </c>
      <c r="H1052" s="21">
        <v>2621.59</v>
      </c>
      <c r="I1052" s="21">
        <v>2675.43</v>
      </c>
      <c r="J1052" s="21">
        <v>2757.66</v>
      </c>
      <c r="K1052" s="21">
        <v>2505.09</v>
      </c>
      <c r="L1052" s="21">
        <v>2622.41</v>
      </c>
      <c r="M1052" s="21">
        <v>2579.92</v>
      </c>
      <c r="N1052" s="21">
        <v>2427.0500000000002</v>
      </c>
      <c r="O1052" s="21">
        <v>2705.97</v>
      </c>
      <c r="P1052" s="21">
        <v>2591.66</v>
      </c>
      <c r="Q1052" s="21">
        <v>8193.42</v>
      </c>
      <c r="R1052" s="20">
        <v>162.56</v>
      </c>
      <c r="S1052" s="20">
        <v>154.52000000000001</v>
      </c>
      <c r="T1052" s="21">
        <v>165.43</v>
      </c>
      <c r="V1052" s="1">
        <v>158.41</v>
      </c>
      <c r="W1052" s="1">
        <v>166.87</v>
      </c>
      <c r="X1052" s="1">
        <v>174.25</v>
      </c>
      <c r="Y1052" s="1">
        <v>164.36</v>
      </c>
      <c r="Z1052" s="1">
        <v>164.99</v>
      </c>
      <c r="AA1052" s="1">
        <v>164.59</v>
      </c>
      <c r="AB1052" s="1">
        <v>174.59</v>
      </c>
      <c r="AC1052" s="1">
        <v>163.76</v>
      </c>
      <c r="AE1052" s="1">
        <v>182.75</v>
      </c>
      <c r="AF1052" s="1">
        <v>166.7</v>
      </c>
      <c r="AG1052" s="1">
        <v>160.49</v>
      </c>
      <c r="AW1052" s="1">
        <v>3136.4</v>
      </c>
      <c r="BA1052" s="1">
        <v>164.66</v>
      </c>
      <c r="BB1052" s="1">
        <v>175.29</v>
      </c>
      <c r="BC1052" s="1">
        <v>175.34</v>
      </c>
      <c r="BD1052" s="1">
        <v>174.71</v>
      </c>
      <c r="BE1052" s="1">
        <v>168.19</v>
      </c>
      <c r="BF1052" s="1">
        <v>169.39</v>
      </c>
      <c r="BG1052" s="1">
        <v>182.98</v>
      </c>
      <c r="BH1052" s="1">
        <v>170.61</v>
      </c>
      <c r="BI1052" s="1">
        <v>169.24</v>
      </c>
      <c r="BJ1052" s="1">
        <v>172.54</v>
      </c>
      <c r="BL1052" s="1">
        <v>159.04</v>
      </c>
      <c r="BN1052" s="1">
        <v>158.71</v>
      </c>
    </row>
    <row r="1053" spans="1:66" x14ac:dyDescent="0.3">
      <c r="A1053" s="2"/>
      <c r="C1053" s="14" t="str">
        <f t="shared" si="17"/>
        <v>20221</v>
      </c>
      <c r="D1053" s="3">
        <v>44573</v>
      </c>
      <c r="E1053" s="21">
        <v>2751.69</v>
      </c>
      <c r="F1053" s="21">
        <v>2680.39</v>
      </c>
      <c r="G1053" s="21">
        <v>2705.23</v>
      </c>
      <c r="H1053" s="21">
        <v>2627.45</v>
      </c>
      <c r="I1053" s="21">
        <v>2594.35</v>
      </c>
      <c r="J1053" s="21">
        <v>2863.16</v>
      </c>
      <c r="K1053" s="21">
        <v>2505.09</v>
      </c>
      <c r="L1053" s="21">
        <v>2679.95</v>
      </c>
      <c r="M1053" s="21">
        <v>2574.89</v>
      </c>
      <c r="N1053" s="21">
        <v>2448.71</v>
      </c>
      <c r="O1053" s="21">
        <v>2694.39</v>
      </c>
      <c r="P1053" s="21">
        <v>2591.66</v>
      </c>
      <c r="Q1053" s="21">
        <v>8323.3799999999992</v>
      </c>
      <c r="R1053" s="20">
        <v>160.31</v>
      </c>
      <c r="S1053" s="20">
        <v>154.41999999999999</v>
      </c>
      <c r="T1053" s="21">
        <v>166.49</v>
      </c>
      <c r="V1053" s="1">
        <v>159.61000000000001</v>
      </c>
      <c r="W1053" s="1">
        <v>168.6</v>
      </c>
      <c r="X1053" s="1">
        <v>174.24</v>
      </c>
      <c r="Y1053" s="1">
        <v>164.88</v>
      </c>
      <c r="Z1053" s="1">
        <v>166.7</v>
      </c>
      <c r="AA1053" s="1">
        <v>163.84</v>
      </c>
      <c r="AB1053" s="1">
        <v>174.59</v>
      </c>
      <c r="AC1053" s="1">
        <v>163.76</v>
      </c>
      <c r="AE1053" s="1">
        <v>182.71</v>
      </c>
      <c r="AF1053" s="1">
        <v>168.03</v>
      </c>
      <c r="AG1053" s="1">
        <v>160.36000000000001</v>
      </c>
      <c r="AW1053" s="1">
        <v>3136.4</v>
      </c>
      <c r="BA1053" s="1">
        <v>165.14</v>
      </c>
      <c r="BB1053" s="1">
        <v>175.06</v>
      </c>
      <c r="BC1053" s="1">
        <v>176.24</v>
      </c>
      <c r="BD1053" s="1">
        <v>173.33</v>
      </c>
      <c r="BE1053" s="1">
        <v>167.91</v>
      </c>
      <c r="BF1053" s="1">
        <v>166.75</v>
      </c>
      <c r="BG1053" s="1">
        <v>183.3</v>
      </c>
      <c r="BH1053" s="1">
        <v>170.61</v>
      </c>
      <c r="BI1053" s="1">
        <v>169.24</v>
      </c>
      <c r="BJ1053" s="1">
        <v>173.53</v>
      </c>
      <c r="BL1053" s="1">
        <v>162.03</v>
      </c>
      <c r="BN1053" s="1">
        <v>162.19</v>
      </c>
    </row>
    <row r="1054" spans="1:66" x14ac:dyDescent="0.3">
      <c r="A1054" s="2"/>
      <c r="C1054" s="14" t="str">
        <f t="shared" si="17"/>
        <v>20221</v>
      </c>
      <c r="D1054" s="3">
        <v>44572</v>
      </c>
      <c r="E1054" s="21">
        <v>2784.02</v>
      </c>
      <c r="F1054" s="21">
        <v>2706.56</v>
      </c>
      <c r="G1054" s="21">
        <v>2715.15</v>
      </c>
      <c r="H1054" s="21">
        <v>2651.7</v>
      </c>
      <c r="I1054" s="21">
        <v>2587.73</v>
      </c>
      <c r="J1054" s="21">
        <v>2801.59</v>
      </c>
      <c r="K1054" s="21">
        <v>2558.13</v>
      </c>
      <c r="L1054" s="21">
        <v>2749.98</v>
      </c>
      <c r="M1054" s="21">
        <v>2594.8200000000002</v>
      </c>
      <c r="N1054" s="21">
        <v>2506.94</v>
      </c>
      <c r="O1054" s="21">
        <v>2696.39</v>
      </c>
      <c r="P1054" s="21">
        <v>2586.66</v>
      </c>
      <c r="Q1054" s="21">
        <v>8262.6200000000008</v>
      </c>
      <c r="R1054" s="20">
        <v>159.82</v>
      </c>
      <c r="S1054" s="20">
        <v>155.69999999999999</v>
      </c>
      <c r="T1054" s="21">
        <v>167.87</v>
      </c>
      <c r="V1054" s="1">
        <v>159.11000000000001</v>
      </c>
      <c r="W1054" s="1">
        <v>169.75</v>
      </c>
      <c r="X1054" s="1">
        <v>174.24</v>
      </c>
      <c r="Y1054" s="1">
        <v>167.03</v>
      </c>
      <c r="Z1054" s="1">
        <v>168</v>
      </c>
      <c r="AA1054" s="1">
        <v>163.08000000000001</v>
      </c>
      <c r="AB1054" s="1">
        <v>174.38</v>
      </c>
      <c r="AC1054" s="1">
        <v>164.51</v>
      </c>
      <c r="AE1054" s="1">
        <v>182.91</v>
      </c>
      <c r="AF1054" s="1">
        <v>171.37</v>
      </c>
      <c r="AG1054" s="1">
        <v>161.55000000000001</v>
      </c>
      <c r="AW1054" s="1">
        <v>3136.4</v>
      </c>
      <c r="BA1054" s="1">
        <v>165.71</v>
      </c>
      <c r="BB1054" s="1">
        <v>177.49</v>
      </c>
      <c r="BC1054" s="1">
        <v>176.6</v>
      </c>
      <c r="BD1054" s="1">
        <v>173.23</v>
      </c>
      <c r="BE1054" s="1">
        <v>169.6</v>
      </c>
      <c r="BF1054" s="1">
        <v>167.75</v>
      </c>
      <c r="BG1054" s="1">
        <v>183.99</v>
      </c>
      <c r="BH1054" s="1">
        <v>171.21</v>
      </c>
      <c r="BI1054" s="1">
        <v>169.04</v>
      </c>
      <c r="BJ1054" s="1">
        <v>173.53</v>
      </c>
      <c r="BL1054" s="1">
        <v>161.51</v>
      </c>
      <c r="BN1054" s="1">
        <v>160.69999999999999</v>
      </c>
    </row>
    <row r="1055" spans="1:66" x14ac:dyDescent="0.3">
      <c r="A1055" s="2"/>
      <c r="C1055" s="14" t="str">
        <f t="shared" si="17"/>
        <v>20221</v>
      </c>
      <c r="D1055" s="3">
        <v>44571</v>
      </c>
      <c r="E1055" s="21">
        <v>2736.74</v>
      </c>
      <c r="F1055" s="21">
        <v>2701.24</v>
      </c>
      <c r="G1055" s="21">
        <v>2677.83</v>
      </c>
      <c r="H1055" s="21">
        <v>2680.21</v>
      </c>
      <c r="I1055" s="21">
        <v>2551.33</v>
      </c>
      <c r="J1055" s="21">
        <v>2783.67</v>
      </c>
      <c r="K1055" s="21">
        <v>2588.64</v>
      </c>
      <c r="L1055" s="21">
        <v>2698.89</v>
      </c>
      <c r="M1055" s="21">
        <v>2599.85</v>
      </c>
      <c r="N1055" s="21">
        <v>2516.36</v>
      </c>
      <c r="O1055" s="21">
        <v>2684.39</v>
      </c>
      <c r="P1055" s="21">
        <v>2561.44</v>
      </c>
      <c r="Q1055" s="21">
        <v>8280.15</v>
      </c>
      <c r="R1055" s="20">
        <v>162.44</v>
      </c>
      <c r="S1055" s="20">
        <v>157.76</v>
      </c>
      <c r="T1055" s="21">
        <v>168.95</v>
      </c>
      <c r="V1055" s="1">
        <v>159.11000000000001</v>
      </c>
      <c r="W1055" s="1">
        <v>169.6</v>
      </c>
      <c r="X1055" s="1">
        <v>174.07</v>
      </c>
      <c r="Y1055" s="1">
        <v>167.89</v>
      </c>
      <c r="Z1055" s="1">
        <v>168</v>
      </c>
      <c r="AA1055" s="1">
        <v>166.43</v>
      </c>
      <c r="AB1055" s="1">
        <v>173.94</v>
      </c>
      <c r="AC1055" s="1">
        <v>165.24</v>
      </c>
      <c r="AE1055" s="1">
        <v>182.95</v>
      </c>
      <c r="AF1055" s="1">
        <v>172.25</v>
      </c>
      <c r="AG1055" s="1">
        <v>161.78</v>
      </c>
      <c r="BA1055" s="1">
        <v>170.05</v>
      </c>
      <c r="BB1055" s="1">
        <v>177.52</v>
      </c>
      <c r="BC1055" s="1">
        <v>176.25</v>
      </c>
      <c r="BD1055" s="1">
        <v>174.21</v>
      </c>
      <c r="BE1055" s="1">
        <v>173.39</v>
      </c>
      <c r="BF1055" s="1">
        <v>168.06</v>
      </c>
      <c r="BG1055" s="1">
        <v>183.68</v>
      </c>
      <c r="BH1055" s="1">
        <v>170.49</v>
      </c>
      <c r="BI1055" s="1">
        <v>169.24</v>
      </c>
      <c r="BJ1055" s="1">
        <v>174.23</v>
      </c>
      <c r="BL1055" s="1">
        <v>161.91</v>
      </c>
      <c r="BN1055" s="1">
        <v>161.49</v>
      </c>
    </row>
    <row r="1056" spans="1:66" x14ac:dyDescent="0.3">
      <c r="A1056" s="2"/>
      <c r="C1056" s="14" t="str">
        <f t="shared" si="17"/>
        <v>20221</v>
      </c>
      <c r="D1056" s="3">
        <v>44568</v>
      </c>
      <c r="E1056" s="21">
        <v>2729.29</v>
      </c>
      <c r="F1056" s="21">
        <v>2680.39</v>
      </c>
      <c r="G1056" s="21">
        <v>2662.95</v>
      </c>
      <c r="H1056" s="21">
        <v>2566.9</v>
      </c>
      <c r="I1056" s="21">
        <v>2538.1</v>
      </c>
      <c r="J1056" s="21">
        <v>2670.63</v>
      </c>
      <c r="K1056" s="21">
        <v>2499.9</v>
      </c>
      <c r="L1056" s="21">
        <v>2602.15</v>
      </c>
      <c r="M1056" s="21"/>
      <c r="N1056" s="21">
        <v>2432.8000000000002</v>
      </c>
      <c r="O1056" s="21">
        <v>2716.67</v>
      </c>
      <c r="P1056" s="21">
        <v>2511.8200000000002</v>
      </c>
      <c r="Q1056" s="21">
        <v>8309.82</v>
      </c>
      <c r="R1056" s="20">
        <v>161.11000000000001</v>
      </c>
      <c r="S1056" s="20">
        <v>156.38999999999999</v>
      </c>
      <c r="T1056" s="21">
        <v>169.66</v>
      </c>
      <c r="V1056" s="1">
        <v>158.91</v>
      </c>
      <c r="W1056" s="1">
        <v>165.58</v>
      </c>
      <c r="X1056" s="1">
        <v>172.14</v>
      </c>
      <c r="Y1056" s="1">
        <v>167.39</v>
      </c>
      <c r="Z1056" s="1">
        <v>167</v>
      </c>
      <c r="AA1056" s="1">
        <v>165.43</v>
      </c>
      <c r="AB1056" s="1">
        <v>172.27</v>
      </c>
      <c r="AC1056" s="1">
        <v>165.77</v>
      </c>
      <c r="AE1056" s="1">
        <v>180.97</v>
      </c>
      <c r="AF1056" s="1">
        <v>170.86</v>
      </c>
      <c r="AG1056" s="1">
        <v>159.25</v>
      </c>
      <c r="AT1056" s="1">
        <v>4452.37</v>
      </c>
      <c r="BA1056" s="1">
        <v>168.67</v>
      </c>
      <c r="BB1056" s="1">
        <v>177.65</v>
      </c>
      <c r="BC1056" s="1">
        <v>174.91</v>
      </c>
      <c r="BD1056" s="1">
        <v>173.23</v>
      </c>
      <c r="BE1056" s="1">
        <v>172.69</v>
      </c>
      <c r="BF1056" s="1">
        <v>166.06</v>
      </c>
      <c r="BG1056" s="1">
        <v>182.06</v>
      </c>
      <c r="BH1056" s="1">
        <v>172.21</v>
      </c>
      <c r="BI1056" s="1">
        <v>169.44</v>
      </c>
      <c r="BJ1056" s="1">
        <v>174.23</v>
      </c>
      <c r="BL1056" s="1">
        <v>163.1</v>
      </c>
      <c r="BN1056" s="1">
        <v>162.63999999999999</v>
      </c>
    </row>
    <row r="1057" spans="1:66" x14ac:dyDescent="0.3">
      <c r="A1057" s="2"/>
      <c r="C1057" s="14" t="str">
        <f t="shared" si="17"/>
        <v>20221</v>
      </c>
      <c r="D1057" s="3">
        <v>44567</v>
      </c>
      <c r="E1057" s="21">
        <v>2716.86</v>
      </c>
      <c r="F1057" s="21">
        <v>2587.1799999999998</v>
      </c>
      <c r="G1057" s="21">
        <v>2662.96</v>
      </c>
      <c r="H1057" s="21">
        <v>2549.52</v>
      </c>
      <c r="I1057" s="21">
        <v>2432.21</v>
      </c>
      <c r="J1057" s="21">
        <v>2733.33</v>
      </c>
      <c r="K1057" s="21">
        <v>2489.92</v>
      </c>
      <c r="L1057" s="21">
        <v>2602.15</v>
      </c>
      <c r="M1057" s="21"/>
      <c r="N1057" s="21">
        <v>2438.83</v>
      </c>
      <c r="O1057" s="21">
        <v>2716.67</v>
      </c>
      <c r="P1057" s="21">
        <v>2515.81</v>
      </c>
      <c r="Q1057" s="21">
        <v>8374.94</v>
      </c>
      <c r="R1057" s="20">
        <v>161.62</v>
      </c>
      <c r="S1057" s="20">
        <v>155.22999999999999</v>
      </c>
      <c r="T1057" s="21">
        <v>167.36</v>
      </c>
      <c r="V1057" s="1">
        <v>158.12</v>
      </c>
      <c r="W1057" s="1">
        <v>165.15</v>
      </c>
      <c r="X1057" s="1">
        <v>172.07</v>
      </c>
      <c r="Y1057" s="1">
        <v>166.89</v>
      </c>
      <c r="Z1057" s="1">
        <v>167</v>
      </c>
      <c r="AA1057" s="1">
        <v>163.83000000000001</v>
      </c>
      <c r="AB1057" s="1">
        <v>171.89</v>
      </c>
      <c r="AC1057" s="1">
        <v>165.11</v>
      </c>
      <c r="AE1057" s="1">
        <v>181.01</v>
      </c>
      <c r="AF1057" s="1">
        <v>169.63</v>
      </c>
      <c r="AG1057" s="1">
        <v>158.47</v>
      </c>
      <c r="AT1057" s="1">
        <v>4452.37</v>
      </c>
      <c r="BA1057" s="1">
        <v>168.47</v>
      </c>
      <c r="BB1057" s="1">
        <v>178.01</v>
      </c>
      <c r="BC1057" s="1">
        <v>175.12</v>
      </c>
      <c r="BD1057" s="1">
        <v>173.69</v>
      </c>
      <c r="BE1057" s="1">
        <v>172.85</v>
      </c>
      <c r="BF1057" s="1">
        <v>168.19</v>
      </c>
      <c r="BG1057" s="1">
        <v>182.14</v>
      </c>
      <c r="BH1057" s="1">
        <v>171.29</v>
      </c>
      <c r="BI1057" s="1">
        <v>168.85</v>
      </c>
      <c r="BJ1057" s="1">
        <v>174.23</v>
      </c>
      <c r="BL1057" s="1">
        <v>160.80000000000001</v>
      </c>
      <c r="BN1057" s="1">
        <v>160.97999999999999</v>
      </c>
    </row>
    <row r="1058" spans="1:66" x14ac:dyDescent="0.3">
      <c r="A1058" s="2"/>
      <c r="C1058" s="14" t="str">
        <f t="shared" si="17"/>
        <v>20221</v>
      </c>
      <c r="D1058" s="3">
        <v>44566</v>
      </c>
      <c r="E1058" s="21">
        <v>2716.86</v>
      </c>
      <c r="F1058" s="21">
        <v>2581.77</v>
      </c>
      <c r="G1058" s="21">
        <v>2660.41</v>
      </c>
      <c r="H1058" s="21">
        <v>2551.0500000000002</v>
      </c>
      <c r="I1058" s="21">
        <v>2417.31</v>
      </c>
      <c r="J1058" s="21">
        <v>2672.9</v>
      </c>
      <c r="K1058" s="21">
        <v>2489.92</v>
      </c>
      <c r="L1058" s="21">
        <v>2689.48</v>
      </c>
      <c r="M1058" s="21">
        <v>2321.89</v>
      </c>
      <c r="N1058" s="21">
        <v>2462.73</v>
      </c>
      <c r="O1058" s="21">
        <v>2716.67</v>
      </c>
      <c r="P1058" s="21">
        <v>2515.81</v>
      </c>
      <c r="Q1058" s="21">
        <v>8387.43</v>
      </c>
      <c r="R1058" s="20">
        <v>160.62</v>
      </c>
      <c r="S1058" s="20">
        <v>155.22999999999999</v>
      </c>
      <c r="T1058" s="21">
        <v>166.77</v>
      </c>
      <c r="V1058" s="1">
        <v>158.12</v>
      </c>
      <c r="W1058" s="1">
        <v>167.46</v>
      </c>
      <c r="X1058" s="1">
        <v>171.94</v>
      </c>
      <c r="Y1058" s="1">
        <v>165.66</v>
      </c>
      <c r="Z1058" s="1">
        <v>165.28</v>
      </c>
      <c r="AA1058" s="1">
        <v>164.42</v>
      </c>
      <c r="AB1058" s="1">
        <v>171.56</v>
      </c>
      <c r="AE1058" s="1">
        <v>180.62</v>
      </c>
      <c r="AF1058" s="1">
        <v>170.6</v>
      </c>
      <c r="AG1058" s="1">
        <v>158.16999999999999</v>
      </c>
      <c r="AT1058" s="1">
        <v>4452.37</v>
      </c>
      <c r="AZ1058" s="1">
        <v>4794.8599999999997</v>
      </c>
      <c r="BB1058" s="1">
        <v>179</v>
      </c>
      <c r="BC1058" s="1">
        <v>173.69</v>
      </c>
      <c r="BD1058" s="1">
        <v>178.6</v>
      </c>
      <c r="BE1058" s="1">
        <v>172.52</v>
      </c>
      <c r="BF1058" s="1">
        <v>168.19</v>
      </c>
      <c r="BG1058" s="1">
        <v>181.85</v>
      </c>
      <c r="BH1058" s="1">
        <v>169.58</v>
      </c>
      <c r="BI1058" s="1">
        <v>169.64</v>
      </c>
      <c r="BJ1058" s="1">
        <v>174.23</v>
      </c>
      <c r="BL1058" s="1">
        <v>160.29</v>
      </c>
      <c r="BN1058" s="1">
        <v>161.43</v>
      </c>
    </row>
    <row r="1059" spans="1:66" x14ac:dyDescent="0.3">
      <c r="A1059" s="2"/>
      <c r="C1059" s="14" t="str">
        <f t="shared" si="17"/>
        <v>20221</v>
      </c>
      <c r="D1059" s="3">
        <v>44565</v>
      </c>
      <c r="E1059" s="21">
        <v>2696.99</v>
      </c>
      <c r="F1059" s="21">
        <v>2565.5300000000002</v>
      </c>
      <c r="G1059" s="21">
        <v>2633.11</v>
      </c>
      <c r="H1059" s="21">
        <v>2542.04</v>
      </c>
      <c r="I1059" s="21">
        <v>2407.39</v>
      </c>
      <c r="J1059" s="21">
        <v>2637.9</v>
      </c>
      <c r="K1059" s="21">
        <v>2446.7399999999998</v>
      </c>
      <c r="L1059" s="21">
        <v>2709.39</v>
      </c>
      <c r="M1059" s="21">
        <v>2320.52</v>
      </c>
      <c r="N1059" s="21">
        <v>2376.13</v>
      </c>
      <c r="O1059" s="21">
        <v>2716.67</v>
      </c>
      <c r="P1059" s="21">
        <v>2463.9699999999998</v>
      </c>
      <c r="Q1059" s="21">
        <v>8332.4599999999991</v>
      </c>
      <c r="R1059" s="20">
        <v>153.43</v>
      </c>
      <c r="S1059" s="20">
        <v>152.61000000000001</v>
      </c>
      <c r="T1059" s="21">
        <v>164.98</v>
      </c>
      <c r="V1059" s="1">
        <v>157.32</v>
      </c>
      <c r="W1059" s="1">
        <v>165.49</v>
      </c>
      <c r="X1059" s="1">
        <v>169.14</v>
      </c>
      <c r="Y1059" s="1">
        <v>163.66</v>
      </c>
      <c r="Z1059" s="1">
        <v>163.83000000000001</v>
      </c>
      <c r="AA1059" s="1">
        <v>163.49</v>
      </c>
      <c r="AB1059" s="1">
        <v>168.5</v>
      </c>
      <c r="AE1059" s="1">
        <v>176.27</v>
      </c>
      <c r="AF1059" s="1">
        <v>167.2</v>
      </c>
      <c r="AG1059" s="1">
        <v>157.16999999999999</v>
      </c>
      <c r="AK1059" s="1">
        <v>30</v>
      </c>
      <c r="AS1059" s="1">
        <v>3928</v>
      </c>
      <c r="AT1059" s="1">
        <v>4452.37</v>
      </c>
      <c r="AZ1059" s="1">
        <v>4794.8599999999997</v>
      </c>
      <c r="BB1059" s="1">
        <v>174.06</v>
      </c>
      <c r="BC1059" s="1">
        <v>173.09</v>
      </c>
      <c r="BD1059" s="1">
        <v>173.35</v>
      </c>
      <c r="BE1059" s="1">
        <v>167.25</v>
      </c>
      <c r="BF1059" s="1">
        <v>165.07</v>
      </c>
      <c r="BG1059" s="1">
        <v>177.11</v>
      </c>
      <c r="BI1059" s="1">
        <v>165.85</v>
      </c>
      <c r="BJ1059" s="1">
        <v>170.04</v>
      </c>
      <c r="BN1059" s="1">
        <v>159.43</v>
      </c>
    </row>
    <row r="1060" spans="1:66" x14ac:dyDescent="0.3">
      <c r="A1060" s="2"/>
      <c r="C1060" s="14" t="str">
        <f t="shared" si="17"/>
        <v>20221</v>
      </c>
      <c r="D1060" s="3">
        <v>44564</v>
      </c>
      <c r="E1060" s="21">
        <v>2695.83</v>
      </c>
      <c r="F1060" s="21">
        <v>2539.15</v>
      </c>
      <c r="G1060" s="21">
        <v>2600.8000000000002</v>
      </c>
      <c r="H1060" s="21">
        <v>2568.62</v>
      </c>
      <c r="I1060" s="21">
        <v>2407.39</v>
      </c>
      <c r="J1060" s="21">
        <v>2650</v>
      </c>
      <c r="K1060" s="21">
        <v>2446.7399999999998</v>
      </c>
      <c r="L1060" s="21">
        <v>2514.29</v>
      </c>
      <c r="M1060" s="21">
        <v>2316.39</v>
      </c>
      <c r="N1060" s="21">
        <v>2372.3200000000002</v>
      </c>
      <c r="O1060" s="21">
        <v>2606.67</v>
      </c>
      <c r="P1060" s="21">
        <v>2463.9699999999998</v>
      </c>
      <c r="Q1060" s="21">
        <v>8239.5400000000009</v>
      </c>
      <c r="R1060" s="20">
        <v>159.16999999999999</v>
      </c>
      <c r="S1060" s="20">
        <v>152.1</v>
      </c>
      <c r="T1060" s="21">
        <v>163.66</v>
      </c>
      <c r="V1060" s="1">
        <v>157.32</v>
      </c>
      <c r="W1060" s="1">
        <v>163.58000000000001</v>
      </c>
      <c r="X1060" s="1">
        <v>168.22</v>
      </c>
      <c r="Y1060" s="1">
        <v>162.07</v>
      </c>
      <c r="Z1060" s="1">
        <v>163.5</v>
      </c>
      <c r="AA1060" s="1">
        <v>162.88999999999999</v>
      </c>
      <c r="AB1060" s="1">
        <v>167.87</v>
      </c>
      <c r="AE1060" s="1">
        <v>175.56</v>
      </c>
      <c r="AF1060" s="1">
        <v>164.83</v>
      </c>
      <c r="AG1060" s="1">
        <v>155.85</v>
      </c>
      <c r="AK1060" s="1">
        <v>30</v>
      </c>
      <c r="AS1060" s="1">
        <v>3928</v>
      </c>
      <c r="AT1060" s="1">
        <v>4452.37</v>
      </c>
      <c r="AX1060" s="1">
        <v>163.72999999999999</v>
      </c>
      <c r="BB1060" s="1">
        <v>170.7</v>
      </c>
      <c r="BC1060" s="1">
        <v>170.88</v>
      </c>
      <c r="BD1060" s="1">
        <v>168.14</v>
      </c>
      <c r="BE1060" s="1">
        <v>165.25</v>
      </c>
      <c r="BF1060" s="1">
        <v>165.07</v>
      </c>
      <c r="BG1060" s="1">
        <v>176.52</v>
      </c>
      <c r="BI1060" s="1">
        <v>165.84</v>
      </c>
      <c r="BJ1060" s="1">
        <v>168.21</v>
      </c>
      <c r="BL1060" s="1">
        <v>158.69999999999999</v>
      </c>
      <c r="BN1060" s="1">
        <v>158.69999999999999</v>
      </c>
    </row>
    <row r="1061" spans="1:66" x14ac:dyDescent="0.3">
      <c r="A1061" s="2"/>
      <c r="C1061" s="14" t="str">
        <f t="shared" si="17"/>
        <v>202112</v>
      </c>
      <c r="D1061" s="3">
        <v>44560</v>
      </c>
      <c r="E1061" s="21">
        <v>2588.85</v>
      </c>
      <c r="F1061" s="21">
        <v>2480.13</v>
      </c>
      <c r="G1061" s="21">
        <v>2636.53</v>
      </c>
      <c r="H1061" s="21">
        <v>2491.2399999999998</v>
      </c>
      <c r="I1061" s="21">
        <v>2331.3200000000002</v>
      </c>
      <c r="J1061" s="21">
        <v>2519.63</v>
      </c>
      <c r="K1061" s="21">
        <v>2254.87</v>
      </c>
      <c r="L1061" s="21">
        <v>2346.2600000000002</v>
      </c>
      <c r="M1061" s="21">
        <v>2304.0100000000002</v>
      </c>
      <c r="N1061" s="21">
        <v>2379.73</v>
      </c>
      <c r="O1061" s="21">
        <v>2563.33</v>
      </c>
      <c r="P1061" s="21">
        <v>2239.0300000000002</v>
      </c>
      <c r="Q1061" s="21">
        <v>8303.6200000000008</v>
      </c>
      <c r="R1061" s="20">
        <v>147.78</v>
      </c>
      <c r="S1061" s="20"/>
      <c r="T1061" s="21">
        <v>163.21</v>
      </c>
      <c r="V1061" s="1">
        <v>156.91</v>
      </c>
      <c r="W1061" s="1">
        <v>162.08000000000001</v>
      </c>
      <c r="X1061" s="1">
        <v>167.99</v>
      </c>
      <c r="Y1061" s="1">
        <v>162.94</v>
      </c>
      <c r="Z1061" s="1">
        <v>162.83000000000001</v>
      </c>
      <c r="AA1061" s="1">
        <v>165.41</v>
      </c>
      <c r="AB1061" s="1">
        <v>164.98</v>
      </c>
      <c r="AE1061" s="1">
        <v>170.82</v>
      </c>
      <c r="AF1061" s="1">
        <v>166.81</v>
      </c>
      <c r="AG1061" s="1">
        <v>149.72</v>
      </c>
      <c r="AK1061" s="1">
        <v>30</v>
      </c>
      <c r="AS1061" s="1">
        <v>3928</v>
      </c>
      <c r="AX1061" s="1">
        <v>156.19999999999999</v>
      </c>
      <c r="BA1061" s="1">
        <v>158.63999999999999</v>
      </c>
      <c r="BB1061" s="1">
        <v>170.33</v>
      </c>
      <c r="BC1061" s="1">
        <v>169.58</v>
      </c>
      <c r="BD1061" s="1">
        <v>169.72</v>
      </c>
      <c r="BE1061" s="1">
        <v>161.02000000000001</v>
      </c>
      <c r="BF1061" s="1">
        <v>153.83000000000001</v>
      </c>
      <c r="BG1061" s="1">
        <v>171.22</v>
      </c>
      <c r="BH1061" s="1">
        <v>161.69</v>
      </c>
      <c r="BI1061" s="1">
        <v>166.55</v>
      </c>
      <c r="BJ1061" s="1">
        <v>168.21</v>
      </c>
      <c r="BL1061" s="1">
        <v>159.9</v>
      </c>
      <c r="BN1061" s="1">
        <v>160.1</v>
      </c>
    </row>
    <row r="1062" spans="1:66" x14ac:dyDescent="0.3">
      <c r="A1062" s="2"/>
      <c r="C1062" s="14" t="str">
        <f t="shared" si="17"/>
        <v>202112</v>
      </c>
      <c r="D1062" s="3">
        <v>44559</v>
      </c>
      <c r="E1062" s="21">
        <v>2588.85</v>
      </c>
      <c r="F1062" s="21">
        <v>2480.13</v>
      </c>
      <c r="G1062" s="21">
        <v>2636.53</v>
      </c>
      <c r="H1062" s="21">
        <v>2491.2399999999998</v>
      </c>
      <c r="I1062" s="21">
        <v>2331.3200000000002</v>
      </c>
      <c r="J1062" s="21">
        <v>2519.63</v>
      </c>
      <c r="K1062" s="21">
        <v>2254.87</v>
      </c>
      <c r="L1062" s="21">
        <v>2346.2600000000002</v>
      </c>
      <c r="M1062" s="21">
        <v>2304.0100000000002</v>
      </c>
      <c r="N1062" s="21">
        <v>2379.73</v>
      </c>
      <c r="O1062" s="21">
        <v>2563.33</v>
      </c>
      <c r="P1062" s="21">
        <v>2239.0300000000002</v>
      </c>
      <c r="Q1062" s="21">
        <v>8303.6200000000008</v>
      </c>
      <c r="R1062" s="20">
        <v>147.78</v>
      </c>
      <c r="S1062" s="20"/>
      <c r="T1062" s="21">
        <v>164.16</v>
      </c>
      <c r="V1062" s="1">
        <v>155.04</v>
      </c>
      <c r="W1062" s="1">
        <v>162.02000000000001</v>
      </c>
      <c r="X1062" s="1">
        <v>167.9</v>
      </c>
      <c r="Y1062" s="1">
        <v>163.11000000000001</v>
      </c>
      <c r="Z1062" s="1">
        <v>162.83000000000001</v>
      </c>
      <c r="AA1062" s="1">
        <v>165.41</v>
      </c>
      <c r="AB1062" s="1">
        <v>164.98</v>
      </c>
      <c r="AE1062" s="1">
        <v>170.92</v>
      </c>
      <c r="AF1062" s="1">
        <v>166.81</v>
      </c>
      <c r="AG1062" s="1">
        <v>149.72</v>
      </c>
      <c r="AV1062" s="1">
        <v>30</v>
      </c>
      <c r="AW1062" s="1">
        <v>3950.8</v>
      </c>
      <c r="AX1062" s="1">
        <v>156.19999999999999</v>
      </c>
      <c r="BA1062" s="1">
        <v>158.63999999999999</v>
      </c>
      <c r="BB1062" s="1">
        <v>171.81</v>
      </c>
      <c r="BC1062" s="1">
        <v>169.51</v>
      </c>
      <c r="BD1062" s="1">
        <v>169.13</v>
      </c>
      <c r="BE1062" s="1">
        <v>161.02000000000001</v>
      </c>
      <c r="BF1062" s="1">
        <v>153.83000000000001</v>
      </c>
      <c r="BG1062" s="1">
        <v>171.22</v>
      </c>
      <c r="BH1062" s="1">
        <v>161.69</v>
      </c>
      <c r="BI1062" s="1">
        <v>166.55</v>
      </c>
      <c r="BJ1062" s="1">
        <v>168.21</v>
      </c>
      <c r="BL1062" s="1">
        <v>159.83000000000001</v>
      </c>
      <c r="BN1062" s="1">
        <v>159.77000000000001</v>
      </c>
    </row>
    <row r="1063" spans="1:66" x14ac:dyDescent="0.3">
      <c r="A1063" s="2"/>
      <c r="C1063" s="14" t="str">
        <f t="shared" si="17"/>
        <v>202112</v>
      </c>
      <c r="D1063" s="3">
        <v>44558</v>
      </c>
      <c r="E1063" s="21">
        <v>2595.48</v>
      </c>
      <c r="F1063" s="21">
        <v>2480.13</v>
      </c>
      <c r="G1063" s="21">
        <v>2636.53</v>
      </c>
      <c r="H1063" s="21">
        <v>2365.89</v>
      </c>
      <c r="I1063" s="21">
        <v>2331.3200000000002</v>
      </c>
      <c r="J1063" s="21">
        <v>2479.54</v>
      </c>
      <c r="K1063" s="21">
        <v>2254.87</v>
      </c>
      <c r="L1063" s="21">
        <v>2346.2600000000002</v>
      </c>
      <c r="M1063" s="21">
        <v>2304.0100000000002</v>
      </c>
      <c r="N1063" s="21">
        <v>2325.66</v>
      </c>
      <c r="O1063" s="21">
        <v>2563.33</v>
      </c>
      <c r="P1063" s="21">
        <v>2239.0300000000002</v>
      </c>
      <c r="Q1063" s="21">
        <v>8303.6200000000008</v>
      </c>
      <c r="R1063" s="20">
        <v>147.78</v>
      </c>
      <c r="S1063" s="20"/>
      <c r="T1063" s="21">
        <v>162.66999999999999</v>
      </c>
      <c r="V1063" s="1">
        <v>155.04</v>
      </c>
      <c r="W1063" s="1">
        <v>162.08000000000001</v>
      </c>
      <c r="X1063" s="1">
        <v>165.58</v>
      </c>
      <c r="Y1063" s="1">
        <v>162.88999999999999</v>
      </c>
      <c r="Z1063" s="1">
        <v>162.83000000000001</v>
      </c>
      <c r="AA1063" s="1">
        <v>162.33000000000001</v>
      </c>
      <c r="AB1063" s="1">
        <v>164.05</v>
      </c>
      <c r="AE1063" s="1">
        <v>169.62</v>
      </c>
      <c r="AF1063" s="1">
        <v>166.81</v>
      </c>
      <c r="AG1063" s="1">
        <v>149.72</v>
      </c>
      <c r="AT1063" s="1">
        <v>3899.59</v>
      </c>
      <c r="AV1063" s="1">
        <v>30</v>
      </c>
      <c r="AW1063" s="1">
        <v>4116.4399999999996</v>
      </c>
      <c r="AX1063" s="1">
        <v>155.93</v>
      </c>
      <c r="BA1063" s="1">
        <v>158.57</v>
      </c>
      <c r="BB1063" s="1">
        <v>172.24</v>
      </c>
      <c r="BC1063" s="1">
        <v>170.5</v>
      </c>
      <c r="BD1063" s="1">
        <v>169.93</v>
      </c>
      <c r="BE1063" s="1">
        <v>159.85</v>
      </c>
      <c r="BF1063" s="1">
        <v>153.83000000000001</v>
      </c>
      <c r="BG1063" s="1">
        <v>171.22</v>
      </c>
      <c r="BH1063" s="1">
        <v>161.49</v>
      </c>
      <c r="BI1063" s="1">
        <v>165.72</v>
      </c>
      <c r="BJ1063" s="1">
        <v>168.21</v>
      </c>
      <c r="BL1063" s="1">
        <v>157.57</v>
      </c>
      <c r="BN1063" s="1">
        <v>159.1</v>
      </c>
    </row>
    <row r="1064" spans="1:66" x14ac:dyDescent="0.3">
      <c r="A1064" s="2"/>
      <c r="C1064" s="14" t="str">
        <f t="shared" si="17"/>
        <v>202112</v>
      </c>
      <c r="D1064" s="3">
        <v>44557</v>
      </c>
      <c r="E1064" s="21">
        <v>2447.6799999999998</v>
      </c>
      <c r="F1064" s="21">
        <v>2426.4</v>
      </c>
      <c r="G1064" s="21">
        <v>2562.12</v>
      </c>
      <c r="H1064" s="21">
        <v>2365.89</v>
      </c>
      <c r="I1064" s="21">
        <v>2281.7199999999998</v>
      </c>
      <c r="J1064" s="21">
        <v>2399.89</v>
      </c>
      <c r="K1064" s="21">
        <v>2254.87</v>
      </c>
      <c r="L1064" s="21">
        <v>2346.2600000000002</v>
      </c>
      <c r="M1064" s="21">
        <v>2304.0100000000002</v>
      </c>
      <c r="N1064" s="21">
        <v>2239.77</v>
      </c>
      <c r="O1064" s="21">
        <v>2530</v>
      </c>
      <c r="P1064" s="21">
        <v>2239.0300000000002</v>
      </c>
      <c r="Q1064" s="21">
        <v>8303.6200000000008</v>
      </c>
      <c r="R1064" s="20">
        <v>147.78</v>
      </c>
      <c r="S1064" s="20"/>
      <c r="T1064" s="21">
        <v>162.68</v>
      </c>
      <c r="V1064" s="1">
        <v>154.61000000000001</v>
      </c>
      <c r="W1064" s="1">
        <v>162.08000000000001</v>
      </c>
      <c r="X1064" s="1">
        <v>164.27</v>
      </c>
      <c r="Y1064" s="1">
        <v>161.93</v>
      </c>
      <c r="Z1064" s="1">
        <v>162.5</v>
      </c>
      <c r="AA1064" s="1">
        <v>157.29</v>
      </c>
      <c r="AB1064" s="1">
        <v>164.05</v>
      </c>
      <c r="AC1064" s="1">
        <v>159.79</v>
      </c>
      <c r="AE1064" s="1">
        <v>169.62</v>
      </c>
      <c r="AF1064" s="1">
        <v>165.98</v>
      </c>
      <c r="AG1064" s="1">
        <v>149.72</v>
      </c>
      <c r="AT1064" s="1">
        <v>3899.59</v>
      </c>
      <c r="AV1064" s="1">
        <v>30</v>
      </c>
      <c r="AW1064" s="1">
        <v>4116.4399999999996</v>
      </c>
      <c r="AX1064" s="1">
        <v>152.63</v>
      </c>
      <c r="BA1064" s="1">
        <v>158.57</v>
      </c>
      <c r="BB1064" s="1">
        <v>171.52</v>
      </c>
      <c r="BC1064" s="1">
        <v>170.5</v>
      </c>
      <c r="BD1064" s="1">
        <v>168.08</v>
      </c>
      <c r="BE1064" s="1">
        <v>159.52000000000001</v>
      </c>
      <c r="BF1064" s="1">
        <v>153.83000000000001</v>
      </c>
      <c r="BG1064" s="1">
        <v>171.22</v>
      </c>
      <c r="BH1064" s="1">
        <v>161.49</v>
      </c>
      <c r="BI1064" s="1">
        <v>162.62</v>
      </c>
      <c r="BJ1064" s="1">
        <v>168.21</v>
      </c>
      <c r="BL1064" s="1">
        <v>157.57</v>
      </c>
      <c r="BN1064" s="1">
        <v>157.77000000000001</v>
      </c>
    </row>
    <row r="1065" spans="1:66" x14ac:dyDescent="0.3">
      <c r="A1065" s="2"/>
      <c r="C1065" s="14" t="str">
        <f t="shared" si="17"/>
        <v>202112</v>
      </c>
      <c r="D1065" s="3">
        <v>44553</v>
      </c>
      <c r="E1065" s="21">
        <v>2507.89</v>
      </c>
      <c r="F1065" s="21">
        <v>2426.4</v>
      </c>
      <c r="G1065" s="21">
        <v>2537.2199999999998</v>
      </c>
      <c r="H1065" s="21">
        <v>2311.88</v>
      </c>
      <c r="I1065" s="21">
        <v>2306.52</v>
      </c>
      <c r="J1065" s="21">
        <v>2409.91</v>
      </c>
      <c r="K1065" s="21">
        <v>2254.87</v>
      </c>
      <c r="L1065" s="21">
        <v>2346.2600000000002</v>
      </c>
      <c r="M1065" s="21">
        <v>2304.0100000000002</v>
      </c>
      <c r="N1065" s="21">
        <v>2207.09</v>
      </c>
      <c r="O1065" s="21">
        <v>2530</v>
      </c>
      <c r="P1065" s="21">
        <v>2239.0300000000002</v>
      </c>
      <c r="Q1065" s="21">
        <v>8349.33</v>
      </c>
      <c r="R1065" s="20">
        <v>147.78</v>
      </c>
      <c r="S1065" s="20"/>
      <c r="T1065" s="21">
        <v>162.44999999999999</v>
      </c>
      <c r="V1065" s="1">
        <v>154.47</v>
      </c>
      <c r="W1065" s="1">
        <v>162.08000000000001</v>
      </c>
      <c r="X1065" s="1">
        <v>163.76</v>
      </c>
      <c r="Y1065" s="1">
        <v>161.91999999999999</v>
      </c>
      <c r="Z1065" s="1">
        <v>162.80000000000001</v>
      </c>
      <c r="AA1065" s="1">
        <v>157.24</v>
      </c>
      <c r="AB1065" s="1">
        <v>163.92</v>
      </c>
      <c r="AE1065" s="1">
        <v>169.62</v>
      </c>
      <c r="AF1065" s="1">
        <v>166.17</v>
      </c>
      <c r="AG1065" s="1">
        <v>149.72</v>
      </c>
      <c r="AO1065" s="1">
        <v>30</v>
      </c>
      <c r="AS1065" s="1">
        <v>3427.28</v>
      </c>
      <c r="AT1065" s="1">
        <v>4159.22</v>
      </c>
      <c r="AV1065" s="1">
        <v>30</v>
      </c>
      <c r="AW1065" s="1">
        <v>4116.4399999999996</v>
      </c>
      <c r="AX1065" s="1">
        <v>152.63</v>
      </c>
      <c r="BA1065" s="1">
        <v>157.83000000000001</v>
      </c>
      <c r="BB1065" s="1">
        <v>171.02</v>
      </c>
      <c r="BC1065" s="1">
        <v>169.44</v>
      </c>
      <c r="BD1065" s="1">
        <v>168.81</v>
      </c>
      <c r="BE1065" s="1">
        <v>160.07</v>
      </c>
      <c r="BF1065" s="1">
        <v>153.83000000000001</v>
      </c>
      <c r="BG1065" s="1">
        <v>171.22</v>
      </c>
      <c r="BH1065" s="1">
        <v>160.49</v>
      </c>
      <c r="BI1065" s="1">
        <v>162.41999999999999</v>
      </c>
      <c r="BJ1065" s="1">
        <v>168.21</v>
      </c>
      <c r="BL1065" s="1">
        <v>157.57</v>
      </c>
      <c r="BN1065" s="1">
        <v>157.77000000000001</v>
      </c>
    </row>
    <row r="1066" spans="1:66" x14ac:dyDescent="0.3">
      <c r="A1066" s="2"/>
      <c r="C1066" s="14" t="str">
        <f t="shared" si="17"/>
        <v>202112</v>
      </c>
      <c r="D1066" s="3">
        <v>44552</v>
      </c>
      <c r="E1066" s="21">
        <v>2473.7600000000002</v>
      </c>
      <c r="F1066" s="21">
        <v>2426.4</v>
      </c>
      <c r="G1066" s="21">
        <v>2524.8200000000002</v>
      </c>
      <c r="H1066" s="21">
        <v>2311.88</v>
      </c>
      <c r="I1066" s="21">
        <v>2294.12</v>
      </c>
      <c r="J1066" s="21">
        <v>2399.91</v>
      </c>
      <c r="K1066" s="21">
        <v>2221.63</v>
      </c>
      <c r="L1066" s="21">
        <v>2346.2600000000002</v>
      </c>
      <c r="M1066" s="21">
        <v>2304.0100000000002</v>
      </c>
      <c r="N1066" s="21">
        <v>2207.09</v>
      </c>
      <c r="O1066" s="21">
        <v>2530</v>
      </c>
      <c r="P1066" s="21">
        <v>2239.0300000000002</v>
      </c>
      <c r="Q1066" s="21">
        <v>8349.33</v>
      </c>
      <c r="R1066" s="20">
        <v>147.78</v>
      </c>
      <c r="S1066" s="20"/>
      <c r="T1066" s="21">
        <v>162.44999999999999</v>
      </c>
      <c r="V1066" s="1">
        <v>154.47</v>
      </c>
      <c r="W1066" s="1">
        <v>162.02000000000001</v>
      </c>
      <c r="X1066" s="1">
        <v>163.26</v>
      </c>
      <c r="Y1066" s="1">
        <v>162.44999999999999</v>
      </c>
      <c r="Z1066" s="1">
        <v>162.19999999999999</v>
      </c>
      <c r="AA1066" s="1">
        <v>157.38999999999999</v>
      </c>
      <c r="AB1066" s="1">
        <v>163.66999999999999</v>
      </c>
      <c r="AE1066" s="1">
        <v>169.52</v>
      </c>
      <c r="AF1066" s="1">
        <v>164.51</v>
      </c>
      <c r="AG1066" s="1">
        <v>149.72</v>
      </c>
      <c r="AO1066" s="1">
        <v>30</v>
      </c>
      <c r="AS1066" s="1">
        <v>3427.28</v>
      </c>
      <c r="AT1066" s="1">
        <v>4159.22</v>
      </c>
      <c r="AW1066" s="1">
        <v>4282.08</v>
      </c>
      <c r="AX1066" s="1">
        <v>152.63</v>
      </c>
      <c r="BA1066" s="1">
        <v>156.38</v>
      </c>
      <c r="BB1066" s="1">
        <v>172.37</v>
      </c>
      <c r="BC1066" s="1">
        <v>169.73</v>
      </c>
      <c r="BD1066" s="1">
        <v>171.12</v>
      </c>
      <c r="BE1066" s="1">
        <v>165.59</v>
      </c>
      <c r="BF1066" s="1">
        <v>153.83000000000001</v>
      </c>
      <c r="BG1066" s="1">
        <v>171.71</v>
      </c>
      <c r="BH1066" s="1">
        <v>160.49</v>
      </c>
      <c r="BI1066" s="1">
        <v>162.41999999999999</v>
      </c>
      <c r="BJ1066" s="1">
        <v>168.21</v>
      </c>
      <c r="BL1066" s="1">
        <v>157.82</v>
      </c>
      <c r="BN1066" s="1">
        <v>157.77000000000001</v>
      </c>
    </row>
    <row r="1067" spans="1:66" x14ac:dyDescent="0.3">
      <c r="A1067" s="2"/>
      <c r="C1067" s="14" t="str">
        <f t="shared" si="17"/>
        <v>202112</v>
      </c>
      <c r="D1067" s="3">
        <v>44551</v>
      </c>
      <c r="E1067" s="21">
        <v>2438.33</v>
      </c>
      <c r="F1067" s="21">
        <v>2372.66</v>
      </c>
      <c r="G1067" s="21">
        <v>2450.42</v>
      </c>
      <c r="H1067" s="21">
        <v>2311.88</v>
      </c>
      <c r="I1067" s="21">
        <v>2331.3200000000002</v>
      </c>
      <c r="J1067" s="21">
        <v>2399.91</v>
      </c>
      <c r="K1067" s="21">
        <v>2214.98</v>
      </c>
      <c r="L1067" s="21">
        <v>2346.2600000000002</v>
      </c>
      <c r="M1067" s="21">
        <v>2304.0100000000002</v>
      </c>
      <c r="N1067" s="21">
        <v>2207.09</v>
      </c>
      <c r="O1067" s="21">
        <v>2520</v>
      </c>
      <c r="P1067" s="21">
        <v>2239.0300000000002</v>
      </c>
      <c r="Q1067" s="21">
        <v>8349.33</v>
      </c>
      <c r="R1067" s="20">
        <v>146.11000000000001</v>
      </c>
      <c r="S1067" s="20"/>
      <c r="T1067" s="21">
        <v>159.27000000000001</v>
      </c>
      <c r="V1067" s="1">
        <v>153.47</v>
      </c>
      <c r="W1067" s="1">
        <v>160.61000000000001</v>
      </c>
      <c r="X1067" s="1">
        <v>162.19</v>
      </c>
      <c r="Y1067" s="1">
        <v>159.94</v>
      </c>
      <c r="Z1067" s="1">
        <v>160</v>
      </c>
      <c r="AA1067" s="1">
        <v>154</v>
      </c>
      <c r="AB1067" s="1">
        <v>163.30000000000001</v>
      </c>
      <c r="AE1067" s="1">
        <v>169.22</v>
      </c>
      <c r="AF1067" s="1">
        <v>162.32</v>
      </c>
      <c r="AG1067" s="1">
        <v>149.72</v>
      </c>
      <c r="AO1067" s="1">
        <v>30</v>
      </c>
      <c r="AS1067" s="1">
        <v>3427.28</v>
      </c>
      <c r="AT1067" s="1">
        <v>4100</v>
      </c>
      <c r="AX1067" s="1">
        <v>152.63</v>
      </c>
      <c r="BA1067" s="1">
        <v>156.38</v>
      </c>
      <c r="BB1067" s="1">
        <v>169.92</v>
      </c>
      <c r="BC1067" s="1">
        <v>167.41</v>
      </c>
      <c r="BD1067" s="1">
        <v>167.36</v>
      </c>
      <c r="BE1067" s="1">
        <v>160.93</v>
      </c>
      <c r="BF1067" s="1">
        <v>153.83000000000001</v>
      </c>
      <c r="BG1067" s="1">
        <v>171.71</v>
      </c>
      <c r="BH1067" s="1">
        <v>160.49</v>
      </c>
      <c r="BI1067" s="1">
        <v>161.82</v>
      </c>
      <c r="BJ1067" s="1">
        <v>166.42</v>
      </c>
      <c r="BL1067" s="1">
        <v>156.57</v>
      </c>
      <c r="BN1067" s="1">
        <v>156.27000000000001</v>
      </c>
    </row>
    <row r="1068" spans="1:66" x14ac:dyDescent="0.3">
      <c r="A1068" s="2"/>
      <c r="C1068" s="14" t="str">
        <f t="shared" si="17"/>
        <v>202112</v>
      </c>
      <c r="D1068" s="3">
        <v>44550</v>
      </c>
      <c r="E1068" s="21">
        <v>2431.2399999999998</v>
      </c>
      <c r="F1068" s="21">
        <v>2349.5300000000002</v>
      </c>
      <c r="G1068" s="21">
        <v>2386.5700000000002</v>
      </c>
      <c r="H1068" s="21">
        <v>2311.88</v>
      </c>
      <c r="I1068" s="21">
        <v>2298.2600000000002</v>
      </c>
      <c r="J1068" s="21">
        <v>2360.31</v>
      </c>
      <c r="K1068" s="21">
        <v>2214.98</v>
      </c>
      <c r="L1068" s="21">
        <v>2346.2600000000002</v>
      </c>
      <c r="M1068" s="21">
        <v>2304.0100000000002</v>
      </c>
      <c r="N1068" s="21">
        <v>2192.63</v>
      </c>
      <c r="O1068" s="21">
        <v>2460</v>
      </c>
      <c r="P1068" s="21">
        <v>2239.0300000000002</v>
      </c>
      <c r="Q1068" s="21">
        <v>8349.33</v>
      </c>
      <c r="R1068" s="20">
        <v>146.11000000000001</v>
      </c>
      <c r="S1068" s="20"/>
      <c r="T1068" s="21">
        <v>159.12</v>
      </c>
      <c r="V1068" s="1">
        <v>153.47</v>
      </c>
      <c r="W1068" s="1">
        <v>160.75</v>
      </c>
      <c r="X1068" s="1">
        <v>162.01</v>
      </c>
      <c r="Y1068" s="1">
        <v>160.08000000000001</v>
      </c>
      <c r="Z1068" s="1">
        <v>160.80000000000001</v>
      </c>
      <c r="AA1068" s="1">
        <v>153.84</v>
      </c>
      <c r="AB1068" s="1">
        <v>162.97999999999999</v>
      </c>
      <c r="AE1068" s="1">
        <v>168.88</v>
      </c>
      <c r="AF1068" s="1">
        <v>161.69</v>
      </c>
      <c r="AG1068" s="1">
        <v>149.59</v>
      </c>
      <c r="AO1068" s="1">
        <v>30</v>
      </c>
      <c r="AT1068" s="1">
        <v>4100</v>
      </c>
      <c r="AX1068" s="1">
        <v>152.63</v>
      </c>
      <c r="BA1068" s="1">
        <v>155.38</v>
      </c>
      <c r="BB1068" s="1">
        <v>167.63</v>
      </c>
      <c r="BC1068" s="1">
        <v>167.27</v>
      </c>
      <c r="BD1068" s="1">
        <v>166.94</v>
      </c>
      <c r="BE1068" s="1">
        <v>160.93</v>
      </c>
      <c r="BF1068" s="1">
        <v>154.33000000000001</v>
      </c>
      <c r="BG1068" s="1">
        <v>171.77</v>
      </c>
      <c r="BH1068" s="1">
        <v>157.88999999999999</v>
      </c>
      <c r="BI1068" s="1">
        <v>161.82</v>
      </c>
      <c r="BJ1068" s="1">
        <v>166.42</v>
      </c>
      <c r="BL1068" s="1">
        <v>157.19</v>
      </c>
      <c r="BN1068" s="1">
        <v>156.02000000000001</v>
      </c>
    </row>
    <row r="1069" spans="1:66" x14ac:dyDescent="0.3">
      <c r="A1069" s="2"/>
      <c r="C1069" s="14" t="str">
        <f t="shared" si="17"/>
        <v>202112</v>
      </c>
      <c r="D1069" s="3">
        <v>44547</v>
      </c>
      <c r="E1069" s="21">
        <v>2390.0300000000002</v>
      </c>
      <c r="F1069" s="21">
        <v>2336.84</v>
      </c>
      <c r="G1069" s="21">
        <v>2358.5</v>
      </c>
      <c r="H1069" s="21">
        <v>2285.31</v>
      </c>
      <c r="I1069" s="21">
        <v>2285.0300000000002</v>
      </c>
      <c r="J1069" s="21">
        <v>2337.4499999999998</v>
      </c>
      <c r="K1069" s="21">
        <v>2214.98</v>
      </c>
      <c r="L1069" s="21">
        <v>2346.2600000000002</v>
      </c>
      <c r="M1069" s="21">
        <v>2304.0100000000002</v>
      </c>
      <c r="N1069" s="21">
        <v>2195.61</v>
      </c>
      <c r="O1069" s="21">
        <v>2453.33</v>
      </c>
      <c r="P1069" s="21">
        <v>2239.0300000000002</v>
      </c>
      <c r="Q1069" s="21">
        <v>8303.6200000000008</v>
      </c>
      <c r="R1069" s="20">
        <v>146.11000000000001</v>
      </c>
      <c r="S1069" s="20"/>
      <c r="T1069" s="21">
        <v>158.21</v>
      </c>
      <c r="V1069" s="1">
        <v>152.33000000000001</v>
      </c>
      <c r="W1069" s="1">
        <v>160.30000000000001</v>
      </c>
      <c r="X1069" s="1">
        <v>161.80000000000001</v>
      </c>
      <c r="Y1069" s="1">
        <v>160.26</v>
      </c>
      <c r="Z1069" s="1">
        <v>160</v>
      </c>
      <c r="AA1069" s="1">
        <v>153.84</v>
      </c>
      <c r="AB1069" s="1">
        <v>162.86000000000001</v>
      </c>
      <c r="AE1069" s="1">
        <v>168.85</v>
      </c>
      <c r="AF1069" s="1">
        <v>161.63999999999999</v>
      </c>
      <c r="AG1069" s="1">
        <v>149.59</v>
      </c>
      <c r="AX1069" s="1">
        <v>152.63</v>
      </c>
      <c r="BA1069" s="1">
        <v>155.38</v>
      </c>
      <c r="BB1069" s="1">
        <v>168.11</v>
      </c>
      <c r="BC1069" s="1">
        <v>166.99</v>
      </c>
      <c r="BD1069" s="1">
        <v>166.92</v>
      </c>
      <c r="BE1069" s="1">
        <v>160.93</v>
      </c>
      <c r="BF1069" s="1">
        <v>154.33000000000001</v>
      </c>
      <c r="BG1069" s="1">
        <v>171.69</v>
      </c>
      <c r="BH1069" s="1">
        <v>158.82</v>
      </c>
      <c r="BI1069" s="1">
        <v>160.63</v>
      </c>
      <c r="BJ1069" s="1">
        <v>166.42</v>
      </c>
      <c r="BL1069" s="1">
        <v>157.19</v>
      </c>
      <c r="BN1069" s="1">
        <v>156.02000000000001</v>
      </c>
    </row>
    <row r="1070" spans="1:66" x14ac:dyDescent="0.3">
      <c r="A1070" s="2"/>
      <c r="C1070" s="14" t="str">
        <f t="shared" si="17"/>
        <v>202112</v>
      </c>
      <c r="D1070" s="3">
        <v>44546</v>
      </c>
      <c r="E1070" s="21">
        <v>2382.92</v>
      </c>
      <c r="F1070" s="21">
        <v>2339.59</v>
      </c>
      <c r="G1070" s="21">
        <v>2358.5</v>
      </c>
      <c r="H1070" s="21">
        <v>2262.0100000000002</v>
      </c>
      <c r="I1070" s="21">
        <v>2285.0300000000002</v>
      </c>
      <c r="J1070" s="21">
        <v>2338.88</v>
      </c>
      <c r="K1070" s="21">
        <v>2217.39</v>
      </c>
      <c r="L1070" s="21">
        <v>2341.2800000000002</v>
      </c>
      <c r="M1070" s="21">
        <v>2299.0300000000002</v>
      </c>
      <c r="N1070" s="21">
        <v>2195.44</v>
      </c>
      <c r="O1070" s="21">
        <v>2443.33</v>
      </c>
      <c r="P1070" s="21">
        <v>2222.54</v>
      </c>
      <c r="Q1070" s="21">
        <v>8311.2900000000009</v>
      </c>
      <c r="R1070" s="20">
        <v>150.44</v>
      </c>
      <c r="S1070" s="20">
        <v>145.43</v>
      </c>
      <c r="T1070" s="21">
        <v>158.91999999999999</v>
      </c>
      <c r="V1070" s="1">
        <v>152.33000000000001</v>
      </c>
      <c r="W1070" s="1">
        <v>158.24</v>
      </c>
      <c r="X1070" s="1">
        <v>161.37</v>
      </c>
      <c r="Y1070" s="1">
        <v>159.84</v>
      </c>
      <c r="Z1070" s="1">
        <v>159.33000000000001</v>
      </c>
      <c r="AA1070" s="1">
        <v>155.08000000000001</v>
      </c>
      <c r="AB1070" s="1">
        <v>161.29</v>
      </c>
      <c r="AE1070" s="1">
        <v>168.07</v>
      </c>
      <c r="AF1070" s="1">
        <v>159.96</v>
      </c>
      <c r="AG1070" s="1">
        <v>149.13999999999999</v>
      </c>
      <c r="AO1070" s="1">
        <v>7</v>
      </c>
      <c r="AT1070" s="1">
        <v>4066.23</v>
      </c>
      <c r="AX1070" s="1">
        <v>152.85</v>
      </c>
      <c r="BA1070" s="1">
        <v>153.02000000000001</v>
      </c>
      <c r="BB1070" s="1">
        <v>167.34</v>
      </c>
      <c r="BC1070" s="1">
        <v>167.91</v>
      </c>
      <c r="BD1070" s="1">
        <v>166.21</v>
      </c>
      <c r="BE1070" s="1">
        <v>155.44999999999999</v>
      </c>
      <c r="BF1070" s="1">
        <v>154.33000000000001</v>
      </c>
      <c r="BG1070" s="1">
        <v>169.91</v>
      </c>
      <c r="BH1070" s="1">
        <v>158.82</v>
      </c>
      <c r="BI1070" s="1">
        <v>160.63</v>
      </c>
      <c r="BJ1070" s="1">
        <v>166.4</v>
      </c>
      <c r="BL1070" s="1">
        <v>154.94</v>
      </c>
      <c r="BN1070" s="1">
        <v>155.13999999999999</v>
      </c>
    </row>
    <row r="1071" spans="1:66" x14ac:dyDescent="0.3">
      <c r="A1071" s="2"/>
      <c r="C1071" s="14" t="str">
        <f t="shared" si="17"/>
        <v>202112</v>
      </c>
      <c r="D1071" s="3">
        <v>44545</v>
      </c>
      <c r="E1071" s="21">
        <v>2384.2800000000002</v>
      </c>
      <c r="F1071" s="21">
        <v>2301.56</v>
      </c>
      <c r="G1071" s="21">
        <v>2358.5</v>
      </c>
      <c r="H1071" s="21">
        <v>2251.73</v>
      </c>
      <c r="I1071" s="21">
        <v>2238.73</v>
      </c>
      <c r="J1071" s="21">
        <v>2283.69</v>
      </c>
      <c r="K1071" s="21">
        <v>2209.4299999999998</v>
      </c>
      <c r="L1071" s="21">
        <v>2291.5100000000002</v>
      </c>
      <c r="M1071" s="21">
        <v>2319.13</v>
      </c>
      <c r="N1071" s="21">
        <v>2180.37</v>
      </c>
      <c r="O1071" s="21">
        <v>2436.67</v>
      </c>
      <c r="P1071" s="21">
        <v>2212.58</v>
      </c>
      <c r="Q1071" s="21">
        <v>8357.75</v>
      </c>
      <c r="R1071" s="20">
        <v>145.44999999999999</v>
      </c>
      <c r="S1071" s="20">
        <v>145</v>
      </c>
      <c r="T1071" s="21">
        <v>157.38999999999999</v>
      </c>
      <c r="V1071" s="1">
        <v>151.91</v>
      </c>
      <c r="W1071" s="1">
        <v>158.65</v>
      </c>
      <c r="X1071" s="1">
        <v>160.97999999999999</v>
      </c>
      <c r="Y1071" s="1">
        <v>158.9</v>
      </c>
      <c r="Z1071" s="1">
        <v>159</v>
      </c>
      <c r="AA1071" s="1">
        <v>152.33000000000001</v>
      </c>
      <c r="AB1071" s="1">
        <v>161.65</v>
      </c>
      <c r="AE1071" s="1">
        <v>167.87</v>
      </c>
      <c r="AF1071" s="1">
        <v>159.62</v>
      </c>
      <c r="AG1071" s="1">
        <v>149.31</v>
      </c>
      <c r="AO1071" s="1">
        <v>7</v>
      </c>
      <c r="AT1071" s="1">
        <v>4066.23</v>
      </c>
      <c r="AW1071" s="1">
        <v>3227.51</v>
      </c>
      <c r="AX1071" s="1">
        <v>152.84</v>
      </c>
      <c r="BA1071" s="1">
        <v>152.77000000000001</v>
      </c>
      <c r="BB1071" s="1">
        <v>166.14</v>
      </c>
      <c r="BC1071" s="1">
        <v>167.19</v>
      </c>
      <c r="BD1071" s="1">
        <v>164.58</v>
      </c>
      <c r="BE1071" s="1">
        <v>155.27000000000001</v>
      </c>
      <c r="BF1071" s="1">
        <v>153.83000000000001</v>
      </c>
      <c r="BG1071" s="1">
        <v>169.79</v>
      </c>
      <c r="BH1071" s="1">
        <v>158.47999999999999</v>
      </c>
      <c r="BI1071" s="1">
        <v>160.43</v>
      </c>
      <c r="BJ1071" s="1">
        <v>165.82</v>
      </c>
      <c r="BL1071" s="1">
        <v>154.07</v>
      </c>
      <c r="BN1071" s="1">
        <v>154.02000000000001</v>
      </c>
    </row>
    <row r="1072" spans="1:66" x14ac:dyDescent="0.3">
      <c r="A1072" s="2"/>
      <c r="C1072" s="14" t="str">
        <f t="shared" si="17"/>
        <v>202112</v>
      </c>
      <c r="D1072" s="3">
        <v>44544</v>
      </c>
      <c r="E1072" s="21">
        <v>2306.15</v>
      </c>
      <c r="F1072" s="21">
        <v>2226.61</v>
      </c>
      <c r="G1072" s="21">
        <v>2313.86</v>
      </c>
      <c r="H1072" s="21">
        <v>2211.27</v>
      </c>
      <c r="I1072" s="21">
        <v>2205.66</v>
      </c>
      <c r="J1072" s="21">
        <v>2311.87</v>
      </c>
      <c r="K1072" s="21">
        <v>2129.8000000000002</v>
      </c>
      <c r="L1072" s="21">
        <v>2236.7800000000002</v>
      </c>
      <c r="M1072" s="21">
        <v>2257.08</v>
      </c>
      <c r="N1072" s="21">
        <v>2099.6799999999998</v>
      </c>
      <c r="O1072" s="21">
        <v>2350</v>
      </c>
      <c r="P1072" s="21">
        <v>2137.98</v>
      </c>
      <c r="Q1072" s="21">
        <v>8357.75</v>
      </c>
      <c r="R1072" s="20">
        <v>145.11000000000001</v>
      </c>
      <c r="S1072" s="20">
        <v>143.63</v>
      </c>
      <c r="T1072" s="21">
        <v>156.82</v>
      </c>
      <c r="V1072" s="1">
        <v>151.57</v>
      </c>
      <c r="W1072" s="1">
        <v>156.62</v>
      </c>
      <c r="X1072" s="1">
        <v>160.08000000000001</v>
      </c>
      <c r="Y1072" s="1">
        <v>156.33000000000001</v>
      </c>
      <c r="Z1072" s="1">
        <v>157</v>
      </c>
      <c r="AA1072" s="1">
        <v>151.44999999999999</v>
      </c>
      <c r="AB1072" s="1">
        <v>160.38</v>
      </c>
      <c r="AE1072" s="1">
        <v>166.77</v>
      </c>
      <c r="AF1072" s="1">
        <v>159.47999999999999</v>
      </c>
      <c r="AG1072" s="1">
        <v>149.09</v>
      </c>
      <c r="AO1072" s="1">
        <v>7</v>
      </c>
      <c r="AT1072" s="1">
        <v>4066.23</v>
      </c>
      <c r="AW1072" s="1">
        <v>3669.94</v>
      </c>
      <c r="AX1072" s="1">
        <v>151.34</v>
      </c>
      <c r="BA1072" s="1">
        <v>152.47</v>
      </c>
      <c r="BB1072" s="1">
        <v>163.86</v>
      </c>
      <c r="BC1072" s="1">
        <v>163.99</v>
      </c>
      <c r="BD1072" s="1">
        <v>163.53</v>
      </c>
      <c r="BE1072" s="1">
        <v>160.08000000000001</v>
      </c>
      <c r="BG1072" s="1">
        <v>167.89</v>
      </c>
      <c r="BH1072" s="1">
        <v>156.15</v>
      </c>
      <c r="BI1072" s="1">
        <v>159.63</v>
      </c>
      <c r="BJ1072" s="1">
        <v>165.77</v>
      </c>
      <c r="BK1072" s="1">
        <v>149.56</v>
      </c>
      <c r="BL1072" s="1">
        <v>151.33000000000001</v>
      </c>
      <c r="BN1072" s="1">
        <v>151.28</v>
      </c>
    </row>
    <row r="1073" spans="1:66" x14ac:dyDescent="0.3">
      <c r="A1073" s="2"/>
      <c r="C1073" s="14" t="str">
        <f t="shared" si="17"/>
        <v>202112</v>
      </c>
      <c r="D1073" s="3">
        <v>44543</v>
      </c>
      <c r="E1073" s="21">
        <v>2298.58</v>
      </c>
      <c r="F1073" s="21">
        <v>2197.4</v>
      </c>
      <c r="G1073" s="21">
        <v>2317.96</v>
      </c>
      <c r="H1073" s="21">
        <v>2193.41</v>
      </c>
      <c r="I1073" s="21">
        <v>2205.66</v>
      </c>
      <c r="J1073" s="21">
        <v>2256.5300000000002</v>
      </c>
      <c r="K1073" s="21">
        <v>2129.8000000000002</v>
      </c>
      <c r="L1073" s="21">
        <v>2234.3000000000002</v>
      </c>
      <c r="M1073" s="21">
        <v>2218.31</v>
      </c>
      <c r="N1073" s="21">
        <v>2086.0300000000002</v>
      </c>
      <c r="O1073" s="21">
        <v>2322.5</v>
      </c>
      <c r="P1073" s="21">
        <v>2137.98</v>
      </c>
      <c r="Q1073" s="21">
        <v>8357.75</v>
      </c>
      <c r="R1073" s="20">
        <v>145.11000000000001</v>
      </c>
      <c r="S1073" s="20">
        <v>141.51</v>
      </c>
      <c r="T1073" s="21">
        <v>155.24</v>
      </c>
      <c r="V1073" s="1">
        <v>151.47</v>
      </c>
      <c r="W1073" s="1">
        <v>155.55000000000001</v>
      </c>
      <c r="X1073" s="1">
        <v>160.11000000000001</v>
      </c>
      <c r="Y1073" s="1">
        <v>155.69</v>
      </c>
      <c r="Z1073" s="1">
        <v>154</v>
      </c>
      <c r="AA1073" s="1">
        <v>151.96</v>
      </c>
      <c r="AB1073" s="1">
        <v>160.38</v>
      </c>
      <c r="AE1073" s="1">
        <v>167.06</v>
      </c>
      <c r="AF1073" s="1">
        <v>156.97999999999999</v>
      </c>
      <c r="AG1073" s="1">
        <v>147.52000000000001</v>
      </c>
      <c r="AO1073" s="1">
        <v>7</v>
      </c>
      <c r="AS1073" s="1">
        <v>4657.07</v>
      </c>
      <c r="AT1073" s="1">
        <v>4066.23</v>
      </c>
      <c r="AW1073" s="1">
        <v>3582.21</v>
      </c>
      <c r="AX1073" s="1">
        <v>152.5</v>
      </c>
      <c r="BA1073" s="1">
        <v>151.65</v>
      </c>
      <c r="BB1073" s="1">
        <v>162.78</v>
      </c>
      <c r="BC1073" s="1">
        <v>162.15</v>
      </c>
      <c r="BD1073" s="1">
        <v>161.59</v>
      </c>
      <c r="BE1073" s="1">
        <v>160.46</v>
      </c>
      <c r="BG1073" s="1">
        <v>167.63</v>
      </c>
      <c r="BH1073" s="1">
        <v>156.15</v>
      </c>
      <c r="BI1073" s="1">
        <v>159.72999999999999</v>
      </c>
      <c r="BJ1073" s="1">
        <v>165.76</v>
      </c>
      <c r="BK1073" s="1">
        <v>149.56</v>
      </c>
      <c r="BL1073" s="1">
        <v>150.58000000000001</v>
      </c>
      <c r="BN1073" s="1">
        <v>150.28</v>
      </c>
    </row>
    <row r="1074" spans="1:66" x14ac:dyDescent="0.3">
      <c r="A1074" s="2"/>
      <c r="C1074" s="14" t="str">
        <f t="shared" si="17"/>
        <v>202112</v>
      </c>
      <c r="D1074" s="3">
        <v>44540</v>
      </c>
      <c r="E1074" s="21">
        <v>2276.3000000000002</v>
      </c>
      <c r="F1074" s="21">
        <v>2193.34</v>
      </c>
      <c r="G1074" s="21">
        <v>2259.1799999999998</v>
      </c>
      <c r="H1074" s="21">
        <v>2176.65</v>
      </c>
      <c r="I1074" s="21">
        <v>2199.0500000000002</v>
      </c>
      <c r="J1074" s="21">
        <v>2258.89</v>
      </c>
      <c r="K1074" s="21">
        <v>2105.0500000000002</v>
      </c>
      <c r="L1074" s="21">
        <v>2179.9499999999998</v>
      </c>
      <c r="M1074" s="21">
        <v>2186.4299999999998</v>
      </c>
      <c r="N1074" s="21">
        <v>2078.84</v>
      </c>
      <c r="O1074" s="21">
        <v>2300</v>
      </c>
      <c r="P1074" s="21">
        <v>2106.62</v>
      </c>
      <c r="Q1074" s="21">
        <v>8380.2000000000007</v>
      </c>
      <c r="R1074" s="20">
        <v>149.76</v>
      </c>
      <c r="S1074" s="20">
        <v>143.33000000000001</v>
      </c>
      <c r="T1074" s="21">
        <v>156.21</v>
      </c>
      <c r="V1074" s="1">
        <v>150.9</v>
      </c>
      <c r="W1074" s="1">
        <v>156.32</v>
      </c>
      <c r="X1074" s="1">
        <v>159.83000000000001</v>
      </c>
      <c r="Y1074" s="1">
        <v>154.19999999999999</v>
      </c>
      <c r="Z1074" s="1">
        <v>154.5</v>
      </c>
      <c r="AA1074" s="1">
        <v>153.57</v>
      </c>
      <c r="AB1074" s="1">
        <v>159.49</v>
      </c>
      <c r="AE1074" s="1">
        <v>166.67</v>
      </c>
      <c r="AF1074" s="1">
        <v>158.65</v>
      </c>
      <c r="AG1074" s="1">
        <v>148.09</v>
      </c>
      <c r="AO1074" s="1">
        <v>7</v>
      </c>
      <c r="AS1074" s="1">
        <v>4657.07</v>
      </c>
      <c r="AT1074" s="1">
        <v>4066.23</v>
      </c>
      <c r="AW1074" s="1">
        <v>3689.07</v>
      </c>
      <c r="AX1074" s="1">
        <v>153.28</v>
      </c>
      <c r="BA1074" s="1">
        <v>153.97999999999999</v>
      </c>
      <c r="BB1074" s="1">
        <v>162.72</v>
      </c>
      <c r="BC1074" s="1">
        <v>161.57</v>
      </c>
      <c r="BD1074" s="1">
        <v>160.12</v>
      </c>
      <c r="BE1074" s="1">
        <v>163.09</v>
      </c>
      <c r="BF1074" s="1">
        <v>158.77000000000001</v>
      </c>
      <c r="BG1074" s="1">
        <v>166.86</v>
      </c>
      <c r="BH1074" s="1">
        <v>157.15</v>
      </c>
      <c r="BI1074" s="1">
        <v>158.93</v>
      </c>
      <c r="BJ1074" s="1">
        <v>165.7</v>
      </c>
      <c r="BK1074" s="1">
        <v>149.56</v>
      </c>
      <c r="BL1074" s="1">
        <v>150.5</v>
      </c>
      <c r="BN1074" s="1">
        <v>150.43</v>
      </c>
    </row>
    <row r="1075" spans="1:66" x14ac:dyDescent="0.3">
      <c r="A1075" s="2"/>
      <c r="C1075" s="14" t="str">
        <f t="shared" si="17"/>
        <v>202112</v>
      </c>
      <c r="D1075" s="3">
        <v>44539</v>
      </c>
      <c r="E1075" s="21">
        <v>2246.41</v>
      </c>
      <c r="F1075" s="21">
        <v>2196.1</v>
      </c>
      <c r="G1075" s="21">
        <v>2261.67</v>
      </c>
      <c r="H1075" s="21">
        <v>2158.3200000000002</v>
      </c>
      <c r="I1075" s="21">
        <v>2197.6799999999998</v>
      </c>
      <c r="J1075" s="21">
        <v>2266.9</v>
      </c>
      <c r="K1075" s="21">
        <v>2064.86</v>
      </c>
      <c r="L1075" s="21">
        <v>2179.9499999999998</v>
      </c>
      <c r="M1075" s="21">
        <v>2200.38</v>
      </c>
      <c r="N1075" s="21">
        <v>2041.19</v>
      </c>
      <c r="O1075" s="21">
        <v>2300</v>
      </c>
      <c r="P1075" s="21">
        <v>2063.7600000000002</v>
      </c>
      <c r="Q1075" s="21">
        <v>8358.11</v>
      </c>
      <c r="R1075" s="20">
        <v>149.79</v>
      </c>
      <c r="S1075" s="20">
        <v>142.97</v>
      </c>
      <c r="T1075" s="21">
        <v>154.87</v>
      </c>
      <c r="V1075" s="1">
        <v>150.35</v>
      </c>
      <c r="W1075" s="1">
        <v>155.76</v>
      </c>
      <c r="X1075" s="1">
        <v>159.63</v>
      </c>
      <c r="Y1075" s="1">
        <v>152.97999999999999</v>
      </c>
      <c r="Z1075" s="1">
        <v>155</v>
      </c>
      <c r="AA1075" s="1">
        <v>152.86000000000001</v>
      </c>
      <c r="AB1075" s="1">
        <v>159.47999999999999</v>
      </c>
      <c r="AE1075" s="1">
        <v>166.31</v>
      </c>
      <c r="AF1075" s="1">
        <v>157.47</v>
      </c>
      <c r="AG1075" s="1">
        <v>148.28</v>
      </c>
      <c r="AO1075" s="1">
        <v>20</v>
      </c>
      <c r="AS1075" s="1">
        <v>4651.1899999999996</v>
      </c>
      <c r="AT1075" s="1">
        <v>4109.21</v>
      </c>
      <c r="AW1075" s="1">
        <v>3684.42</v>
      </c>
      <c r="AX1075" s="1">
        <v>155.78</v>
      </c>
      <c r="BA1075" s="1">
        <v>149.35</v>
      </c>
      <c r="BB1075" s="1">
        <v>162.06</v>
      </c>
      <c r="BC1075" s="1">
        <v>160.25</v>
      </c>
      <c r="BD1075" s="1">
        <v>159.59</v>
      </c>
      <c r="BE1075" s="1">
        <v>163.12</v>
      </c>
      <c r="BF1075" s="1">
        <v>158.77000000000001</v>
      </c>
      <c r="BG1075" s="1">
        <v>166.64</v>
      </c>
      <c r="BH1075" s="1">
        <v>158.01</v>
      </c>
      <c r="BI1075" s="1">
        <v>158.97</v>
      </c>
      <c r="BJ1075" s="1">
        <v>165.86</v>
      </c>
      <c r="BK1075" s="1">
        <v>149.37</v>
      </c>
      <c r="BL1075" s="1">
        <v>150.18</v>
      </c>
      <c r="BN1075" s="1">
        <v>149.9</v>
      </c>
    </row>
    <row r="1076" spans="1:66" x14ac:dyDescent="0.3">
      <c r="A1076" s="2"/>
      <c r="C1076" s="14" t="str">
        <f t="shared" si="17"/>
        <v>202112</v>
      </c>
      <c r="D1076" s="3">
        <v>44538</v>
      </c>
      <c r="E1076" s="21">
        <v>2228.17</v>
      </c>
      <c r="F1076" s="21">
        <v>2163.19</v>
      </c>
      <c r="G1076" s="21">
        <v>2244.29</v>
      </c>
      <c r="H1076" s="21">
        <v>2153.25</v>
      </c>
      <c r="I1076" s="21">
        <v>2201.8200000000002</v>
      </c>
      <c r="J1076" s="21">
        <v>2296.67</v>
      </c>
      <c r="K1076" s="21">
        <v>2064.86</v>
      </c>
      <c r="L1076" s="21"/>
      <c r="M1076" s="21">
        <v>2187.8000000000002</v>
      </c>
      <c r="N1076" s="21">
        <v>2030.77</v>
      </c>
      <c r="O1076" s="21">
        <v>2297.5</v>
      </c>
      <c r="P1076" s="21">
        <v>2063.7600000000002</v>
      </c>
      <c r="Q1076" s="21">
        <v>8147.63</v>
      </c>
      <c r="R1076" s="20">
        <v>147.81</v>
      </c>
      <c r="S1076" s="20">
        <v>141.97</v>
      </c>
      <c r="T1076" s="21">
        <v>154.9</v>
      </c>
      <c r="V1076" s="1">
        <v>150.77000000000001</v>
      </c>
      <c r="W1076" s="1">
        <v>156.22999999999999</v>
      </c>
      <c r="X1076" s="1">
        <v>159.91</v>
      </c>
      <c r="Y1076" s="1">
        <v>154.44999999999999</v>
      </c>
      <c r="Z1076" s="1">
        <v>155.5</v>
      </c>
      <c r="AA1076" s="1">
        <v>152.57</v>
      </c>
      <c r="AB1076" s="1">
        <v>159.43</v>
      </c>
      <c r="AE1076" s="1">
        <v>166.1</v>
      </c>
      <c r="AF1076" s="1">
        <v>156.82</v>
      </c>
      <c r="AG1076" s="1">
        <v>147.52000000000001</v>
      </c>
      <c r="AK1076" s="1">
        <v>40</v>
      </c>
      <c r="AO1076" s="1">
        <v>20</v>
      </c>
      <c r="AP1076" s="1">
        <v>4627.5</v>
      </c>
      <c r="AS1076" s="1">
        <v>4695.2700000000004</v>
      </c>
      <c r="AT1076" s="1">
        <v>4109.21</v>
      </c>
      <c r="AW1076" s="1">
        <v>3754.82</v>
      </c>
      <c r="AX1076" s="1">
        <v>151.49</v>
      </c>
      <c r="BA1076" s="1">
        <v>148.78</v>
      </c>
      <c r="BB1076" s="1">
        <v>162.99</v>
      </c>
      <c r="BC1076" s="1">
        <v>162.26</v>
      </c>
      <c r="BD1076" s="1">
        <v>162.68</v>
      </c>
      <c r="BE1076" s="1">
        <v>163.03</v>
      </c>
      <c r="BF1076" s="1">
        <v>158.77000000000001</v>
      </c>
      <c r="BG1076" s="1">
        <v>167.33</v>
      </c>
      <c r="BH1076" s="1">
        <v>159.05000000000001</v>
      </c>
      <c r="BI1076" s="1">
        <v>159.77000000000001</v>
      </c>
      <c r="BJ1076" s="1">
        <v>165.05</v>
      </c>
      <c r="BL1076" s="1">
        <v>150.87</v>
      </c>
      <c r="BN1076" s="1">
        <v>150.57</v>
      </c>
    </row>
    <row r="1077" spans="1:66" x14ac:dyDescent="0.3">
      <c r="A1077" s="2"/>
      <c r="C1077" s="14" t="str">
        <f t="shared" si="17"/>
        <v>202112</v>
      </c>
      <c r="D1077" s="3">
        <v>44537</v>
      </c>
      <c r="E1077" s="21">
        <v>2227.94</v>
      </c>
      <c r="F1077" s="21">
        <v>2149.15</v>
      </c>
      <c r="G1077" s="21">
        <v>2236.85</v>
      </c>
      <c r="H1077" s="21">
        <v>2150.36</v>
      </c>
      <c r="I1077" s="21">
        <v>2172.85</v>
      </c>
      <c r="J1077" s="21">
        <v>2296.67</v>
      </c>
      <c r="K1077" s="21">
        <v>2064.86</v>
      </c>
      <c r="L1077" s="21"/>
      <c r="M1077" s="21">
        <v>2187.2199999999998</v>
      </c>
      <c r="N1077" s="21">
        <v>2033.86</v>
      </c>
      <c r="O1077" s="21">
        <v>2304.1</v>
      </c>
      <c r="P1077" s="21">
        <v>2067.75</v>
      </c>
      <c r="Q1077" s="21">
        <v>8322.89</v>
      </c>
      <c r="R1077" s="20">
        <v>149.85</v>
      </c>
      <c r="S1077" s="20">
        <v>143.63999999999999</v>
      </c>
      <c r="T1077" s="21">
        <v>156.37</v>
      </c>
      <c r="V1077" s="1">
        <v>151.35</v>
      </c>
      <c r="W1077" s="1">
        <v>156.85</v>
      </c>
      <c r="X1077" s="1">
        <v>159.85</v>
      </c>
      <c r="Y1077" s="1">
        <v>156.5</v>
      </c>
      <c r="Z1077" s="1">
        <v>156.66999999999999</v>
      </c>
      <c r="AA1077" s="1">
        <v>152.32</v>
      </c>
      <c r="AB1077" s="1">
        <v>159.43</v>
      </c>
      <c r="AE1077" s="1">
        <v>165.9</v>
      </c>
      <c r="AF1077" s="1">
        <v>161.19999999999999</v>
      </c>
      <c r="AG1077" s="1">
        <v>147.51</v>
      </c>
      <c r="AK1077" s="1">
        <v>40</v>
      </c>
      <c r="AO1077" s="1">
        <v>20</v>
      </c>
      <c r="AP1077" s="1">
        <v>4627.5</v>
      </c>
      <c r="AS1077" s="1">
        <v>4774.54</v>
      </c>
      <c r="AT1077" s="1">
        <v>4109.21</v>
      </c>
      <c r="AW1077" s="1">
        <v>3139.61</v>
      </c>
      <c r="AX1077" s="1">
        <v>153.46</v>
      </c>
      <c r="BA1077" s="1">
        <v>151.55000000000001</v>
      </c>
      <c r="BB1077" s="1">
        <v>164.1</v>
      </c>
      <c r="BC1077" s="1">
        <v>164.5</v>
      </c>
      <c r="BD1077" s="1">
        <v>164.76</v>
      </c>
      <c r="BE1077" s="1">
        <v>163.03</v>
      </c>
      <c r="BF1077" s="1">
        <v>158.77000000000001</v>
      </c>
      <c r="BG1077" s="1">
        <v>166.06</v>
      </c>
      <c r="BH1077" s="1">
        <v>158.85</v>
      </c>
      <c r="BI1077" s="1">
        <v>159.77000000000001</v>
      </c>
      <c r="BJ1077" s="1">
        <v>165.38</v>
      </c>
      <c r="BL1077" s="1">
        <v>151.47</v>
      </c>
      <c r="BN1077" s="1">
        <v>151.82</v>
      </c>
    </row>
    <row r="1078" spans="1:66" x14ac:dyDescent="0.3">
      <c r="A1078" s="2"/>
      <c r="C1078" s="14" t="str">
        <f t="shared" si="17"/>
        <v>202112</v>
      </c>
      <c r="D1078" s="3">
        <v>44536</v>
      </c>
      <c r="E1078" s="21">
        <v>2226.54</v>
      </c>
      <c r="F1078" s="21">
        <v>2150.5</v>
      </c>
      <c r="G1078" s="21">
        <v>2220.88</v>
      </c>
      <c r="H1078" s="21">
        <v>2145.5</v>
      </c>
      <c r="I1078" s="21">
        <v>2162.92</v>
      </c>
      <c r="J1078" s="21">
        <v>2296.67</v>
      </c>
      <c r="K1078" s="21">
        <v>2064.86</v>
      </c>
      <c r="L1078" s="21"/>
      <c r="M1078" s="21">
        <v>2185.4699999999998</v>
      </c>
      <c r="N1078" s="21">
        <v>2041.65</v>
      </c>
      <c r="O1078" s="21">
        <v>2303.33</v>
      </c>
      <c r="P1078" s="21">
        <v>2067.75</v>
      </c>
      <c r="Q1078" s="21">
        <v>8356.66</v>
      </c>
      <c r="R1078" s="20">
        <v>149.87</v>
      </c>
      <c r="S1078" s="20">
        <v>143.63999999999999</v>
      </c>
      <c r="T1078" s="21">
        <v>156.11000000000001</v>
      </c>
      <c r="V1078" s="1">
        <v>150.49</v>
      </c>
      <c r="W1078" s="1">
        <v>157.36000000000001</v>
      </c>
      <c r="X1078" s="1">
        <v>159.79</v>
      </c>
      <c r="Y1078" s="1">
        <v>156.85</v>
      </c>
      <c r="Z1078" s="1">
        <v>157</v>
      </c>
      <c r="AA1078" s="1">
        <v>152.4</v>
      </c>
      <c r="AB1078" s="1">
        <v>159.43</v>
      </c>
      <c r="AE1078" s="1">
        <v>166.28</v>
      </c>
      <c r="AF1078" s="1">
        <v>161.84</v>
      </c>
      <c r="AG1078" s="1">
        <v>147.1</v>
      </c>
      <c r="AK1078" s="1">
        <v>40</v>
      </c>
      <c r="AO1078" s="1">
        <v>20</v>
      </c>
      <c r="AP1078" s="1">
        <v>4627.5</v>
      </c>
      <c r="AQ1078" s="1">
        <v>4213.25</v>
      </c>
      <c r="AS1078" s="1">
        <v>4739.3599999999997</v>
      </c>
      <c r="AT1078" s="1">
        <v>4109.21</v>
      </c>
      <c r="AX1078" s="1">
        <v>153.44999999999999</v>
      </c>
      <c r="AZ1078" s="1">
        <v>3926.33</v>
      </c>
      <c r="BA1078" s="1">
        <v>150.36000000000001</v>
      </c>
      <c r="BB1078" s="1">
        <v>167.37</v>
      </c>
      <c r="BC1078" s="1">
        <v>164.03</v>
      </c>
      <c r="BD1078" s="1">
        <v>166</v>
      </c>
      <c r="BE1078" s="1">
        <v>163.03</v>
      </c>
      <c r="BF1078" s="1">
        <v>158.77000000000001</v>
      </c>
      <c r="BG1078" s="1">
        <v>166.43</v>
      </c>
      <c r="BH1078" s="1">
        <v>158.85</v>
      </c>
      <c r="BI1078" s="1">
        <v>159.77000000000001</v>
      </c>
      <c r="BJ1078" s="1">
        <v>165.32</v>
      </c>
      <c r="BL1078" s="1">
        <v>151.66999999999999</v>
      </c>
      <c r="BN1078" s="1">
        <v>152.07</v>
      </c>
    </row>
    <row r="1079" spans="1:66" x14ac:dyDescent="0.3">
      <c r="A1079" s="2"/>
      <c r="C1079" s="14" t="str">
        <f t="shared" si="17"/>
        <v>202112</v>
      </c>
      <c r="D1079" s="3">
        <v>44533</v>
      </c>
      <c r="E1079" s="21">
        <v>2216.31</v>
      </c>
      <c r="F1079" s="21">
        <v>2150.5</v>
      </c>
      <c r="G1079" s="21">
        <v>2199.56</v>
      </c>
      <c r="H1079" s="21">
        <v>2109.96</v>
      </c>
      <c r="I1079" s="21">
        <v>2188.58</v>
      </c>
      <c r="J1079" s="21">
        <v>2296.67</v>
      </c>
      <c r="K1079" s="21">
        <v>2064.86</v>
      </c>
      <c r="L1079" s="21"/>
      <c r="M1079" s="21">
        <v>2185.4699999999998</v>
      </c>
      <c r="N1079" s="21">
        <v>1999.9</v>
      </c>
      <c r="O1079" s="21">
        <v>2280</v>
      </c>
      <c r="P1079" s="21">
        <v>2057.7600000000002</v>
      </c>
      <c r="Q1079" s="21">
        <v>8296.9599999999991</v>
      </c>
      <c r="R1079" s="20">
        <v>152.13</v>
      </c>
      <c r="S1079" s="20">
        <v>141.19</v>
      </c>
      <c r="T1079" s="21">
        <v>156.46</v>
      </c>
      <c r="V1079" s="1">
        <v>149.63</v>
      </c>
      <c r="W1079" s="1">
        <v>157.66</v>
      </c>
      <c r="X1079" s="1">
        <v>158.54</v>
      </c>
      <c r="Y1079" s="1">
        <v>156.22</v>
      </c>
      <c r="Z1079" s="1">
        <v>155.5</v>
      </c>
      <c r="AA1079" s="1">
        <v>153.24</v>
      </c>
      <c r="AB1079" s="1">
        <v>159.80000000000001</v>
      </c>
      <c r="AE1079" s="1">
        <v>165.6</v>
      </c>
      <c r="AF1079" s="1">
        <v>159.81</v>
      </c>
      <c r="AG1079" s="1">
        <v>145.11000000000001</v>
      </c>
      <c r="AK1079" s="1">
        <v>40</v>
      </c>
      <c r="AO1079" s="1">
        <v>20</v>
      </c>
      <c r="AP1079" s="1">
        <v>4627.5</v>
      </c>
      <c r="AQ1079" s="1">
        <v>4213.25</v>
      </c>
      <c r="AS1079" s="1">
        <v>4739.3599999999997</v>
      </c>
      <c r="AT1079" s="1">
        <v>4109.21</v>
      </c>
      <c r="AX1079" s="1">
        <v>150.85</v>
      </c>
      <c r="AZ1079" s="1">
        <v>3926.33</v>
      </c>
      <c r="BA1079" s="1">
        <v>146.77000000000001</v>
      </c>
      <c r="BB1079" s="1">
        <v>165.82</v>
      </c>
      <c r="BC1079" s="1">
        <v>165.07</v>
      </c>
      <c r="BD1079" s="1">
        <v>163.37</v>
      </c>
      <c r="BE1079" s="1">
        <v>161.05000000000001</v>
      </c>
      <c r="BF1079" s="1">
        <v>157.59</v>
      </c>
      <c r="BG1079" s="1">
        <v>166.71</v>
      </c>
      <c r="BH1079" s="1">
        <v>158.85</v>
      </c>
      <c r="BI1079" s="1">
        <v>157.27000000000001</v>
      </c>
      <c r="BJ1079" s="1">
        <v>164.94</v>
      </c>
      <c r="BL1079" s="1">
        <v>152.37</v>
      </c>
      <c r="BN1079" s="1">
        <v>152.32</v>
      </c>
    </row>
    <row r="1080" spans="1:66" x14ac:dyDescent="0.3">
      <c r="A1080" s="2"/>
      <c r="C1080" s="14" t="str">
        <f t="shared" si="17"/>
        <v>202112</v>
      </c>
      <c r="D1080" s="3">
        <v>44532</v>
      </c>
      <c r="E1080" s="21">
        <v>2189.7399999999998</v>
      </c>
      <c r="F1080" s="21">
        <v>2150.5</v>
      </c>
      <c r="G1080" s="21">
        <v>2187.11</v>
      </c>
      <c r="H1080" s="21">
        <v>2063.06</v>
      </c>
      <c r="I1080" s="21">
        <v>2162.92</v>
      </c>
      <c r="J1080" s="21">
        <v>2296.67</v>
      </c>
      <c r="K1080" s="21">
        <v>2064.86</v>
      </c>
      <c r="L1080" s="21"/>
      <c r="M1080" s="21">
        <v>2170.52</v>
      </c>
      <c r="N1080" s="21">
        <v>1977.28</v>
      </c>
      <c r="O1080" s="21">
        <v>2303.33</v>
      </c>
      <c r="P1080" s="21">
        <v>2057.7600000000002</v>
      </c>
      <c r="Q1080" s="21">
        <v>8220.0499999999993</v>
      </c>
      <c r="R1080" s="20">
        <v>148.06</v>
      </c>
      <c r="S1080" s="20">
        <v>142.35</v>
      </c>
      <c r="T1080" s="21">
        <v>156.22</v>
      </c>
      <c r="V1080" s="1">
        <v>149.08000000000001</v>
      </c>
      <c r="W1080" s="1">
        <v>156.78</v>
      </c>
      <c r="X1080" s="1">
        <v>157.32</v>
      </c>
      <c r="Y1080" s="1">
        <v>155.51</v>
      </c>
      <c r="Z1080" s="1">
        <v>154.5</v>
      </c>
      <c r="AA1080" s="1">
        <v>150.21</v>
      </c>
      <c r="AB1080" s="1">
        <v>158.11000000000001</v>
      </c>
      <c r="AE1080" s="1">
        <v>164.59</v>
      </c>
      <c r="AF1080" s="1">
        <v>159.1</v>
      </c>
      <c r="AG1080" s="1">
        <v>144.9</v>
      </c>
      <c r="AK1080" s="1">
        <v>40</v>
      </c>
      <c r="AP1080" s="1">
        <v>4627.5</v>
      </c>
      <c r="AQ1080" s="1">
        <v>4213.25</v>
      </c>
      <c r="AS1080" s="1">
        <v>4739.3599999999997</v>
      </c>
      <c r="AX1080" s="1">
        <v>150.86000000000001</v>
      </c>
      <c r="AZ1080" s="1">
        <v>3926.33</v>
      </c>
      <c r="BA1080" s="1">
        <v>147.25</v>
      </c>
      <c r="BB1080" s="1">
        <v>163.19</v>
      </c>
      <c r="BC1080" s="1">
        <v>163.44</v>
      </c>
      <c r="BD1080" s="1">
        <v>161.84</v>
      </c>
      <c r="BE1080" s="1">
        <v>157.96</v>
      </c>
      <c r="BF1080" s="1">
        <v>156</v>
      </c>
      <c r="BG1080" s="1">
        <v>164.97</v>
      </c>
      <c r="BH1080" s="1">
        <v>153.91</v>
      </c>
      <c r="BI1080" s="1">
        <v>156.68</v>
      </c>
      <c r="BL1080" s="1">
        <v>150.62</v>
      </c>
      <c r="BN1080" s="1">
        <v>150.57</v>
      </c>
    </row>
    <row r="1081" spans="1:66" x14ac:dyDescent="0.3">
      <c r="A1081" s="2"/>
      <c r="C1081" s="14" t="str">
        <f t="shared" si="17"/>
        <v>202112</v>
      </c>
      <c r="D1081" s="3">
        <v>44531</v>
      </c>
      <c r="E1081" s="21">
        <v>2133</v>
      </c>
      <c r="F1081" s="21">
        <v>2113.0300000000002</v>
      </c>
      <c r="G1081" s="21">
        <v>2171.2199999999998</v>
      </c>
      <c r="H1081" s="21">
        <v>2036.81</v>
      </c>
      <c r="I1081" s="21">
        <v>2172.85</v>
      </c>
      <c r="J1081" s="21">
        <v>2285</v>
      </c>
      <c r="K1081" s="21">
        <v>2064.86</v>
      </c>
      <c r="L1081" s="21"/>
      <c r="M1081" s="21">
        <v>2135.63</v>
      </c>
      <c r="N1081" s="21">
        <v>1966.36</v>
      </c>
      <c r="O1081" s="21">
        <v>2296.67</v>
      </c>
      <c r="P1081" s="21">
        <v>2057.7600000000002</v>
      </c>
      <c r="Q1081" s="21">
        <v>8238.56</v>
      </c>
      <c r="R1081" s="20">
        <v>149.56</v>
      </c>
      <c r="S1081" s="20">
        <v>141.4</v>
      </c>
      <c r="T1081" s="21">
        <v>154.88</v>
      </c>
      <c r="V1081" s="1">
        <v>149.35</v>
      </c>
      <c r="W1081" s="1">
        <v>156.46</v>
      </c>
      <c r="X1081" s="1">
        <v>156.96</v>
      </c>
      <c r="Y1081" s="1">
        <v>154.59</v>
      </c>
      <c r="Z1081" s="1">
        <v>154.69999999999999</v>
      </c>
      <c r="AA1081" s="1">
        <v>150.44</v>
      </c>
      <c r="AB1081" s="1">
        <v>157.32</v>
      </c>
      <c r="AE1081" s="1">
        <v>164.15</v>
      </c>
      <c r="AF1081" s="1">
        <v>158.04</v>
      </c>
      <c r="AG1081" s="1">
        <v>142.24</v>
      </c>
      <c r="AQ1081" s="1">
        <v>4213.25</v>
      </c>
      <c r="AV1081" s="1">
        <v>30</v>
      </c>
      <c r="AW1081" s="1">
        <v>3426.77</v>
      </c>
      <c r="AX1081" s="1">
        <v>151.97</v>
      </c>
      <c r="AZ1081" s="1">
        <v>3926.33</v>
      </c>
      <c r="BA1081" s="1">
        <v>148.63</v>
      </c>
      <c r="BB1081" s="1">
        <v>162.09</v>
      </c>
      <c r="BC1081" s="1">
        <v>160.41999999999999</v>
      </c>
      <c r="BD1081" s="1">
        <v>159.76</v>
      </c>
      <c r="BE1081" s="1">
        <v>157.19</v>
      </c>
      <c r="BF1081" s="1">
        <v>155.6</v>
      </c>
      <c r="BG1081" s="1">
        <v>164.95</v>
      </c>
      <c r="BH1081" s="1">
        <v>153.91</v>
      </c>
      <c r="BI1081" s="1">
        <v>156.68</v>
      </c>
      <c r="BJ1081" s="1">
        <v>165.04</v>
      </c>
      <c r="BL1081" s="1">
        <v>151.08000000000001</v>
      </c>
      <c r="BN1081" s="1">
        <v>149.94999999999999</v>
      </c>
    </row>
    <row r="1082" spans="1:66" x14ac:dyDescent="0.3">
      <c r="A1082" s="2"/>
      <c r="C1082" s="14" t="str">
        <f t="shared" si="17"/>
        <v>202111</v>
      </c>
      <c r="D1082" s="3">
        <v>44530</v>
      </c>
      <c r="E1082" s="21">
        <v>2110.91</v>
      </c>
      <c r="F1082" s="21">
        <v>2131.66</v>
      </c>
      <c r="G1082" s="21">
        <v>2178.3000000000002</v>
      </c>
      <c r="H1082" s="21">
        <v>2018.91</v>
      </c>
      <c r="I1082" s="21">
        <v>2158.5300000000002</v>
      </c>
      <c r="J1082" s="21">
        <v>2335</v>
      </c>
      <c r="K1082" s="21">
        <v>2115.0500000000002</v>
      </c>
      <c r="L1082" s="21"/>
      <c r="M1082" s="21">
        <v>2166.86</v>
      </c>
      <c r="N1082" s="21">
        <v>1961.45</v>
      </c>
      <c r="O1082" s="21">
        <v>2273.33</v>
      </c>
      <c r="P1082" s="21">
        <v>2087.9299999999998</v>
      </c>
      <c r="Q1082" s="21">
        <v>8402.36</v>
      </c>
      <c r="R1082" s="20">
        <v>150.13</v>
      </c>
      <c r="S1082" s="20">
        <v>143.03</v>
      </c>
      <c r="T1082" s="21">
        <v>155.4</v>
      </c>
      <c r="V1082" s="1">
        <v>150.21</v>
      </c>
      <c r="W1082" s="1">
        <v>157.09</v>
      </c>
      <c r="X1082" s="1">
        <v>157.97999999999999</v>
      </c>
      <c r="Y1082" s="1">
        <v>154.91999999999999</v>
      </c>
      <c r="Z1082" s="1">
        <v>154.99</v>
      </c>
      <c r="AA1082" s="1">
        <v>150.69999999999999</v>
      </c>
      <c r="AB1082" s="1">
        <v>157.88</v>
      </c>
      <c r="AE1082" s="1">
        <v>165.48</v>
      </c>
      <c r="AF1082" s="1">
        <v>158.08000000000001</v>
      </c>
      <c r="AG1082" s="1">
        <v>143.22</v>
      </c>
      <c r="AN1082" s="1">
        <v>3130.08</v>
      </c>
      <c r="AQ1082" s="1">
        <v>4212.0200000000004</v>
      </c>
      <c r="AV1082" s="1">
        <v>30</v>
      </c>
      <c r="AW1082" s="1">
        <v>3426.77</v>
      </c>
      <c r="AX1082" s="1">
        <v>153</v>
      </c>
      <c r="AZ1082" s="1">
        <v>3925.18</v>
      </c>
      <c r="BA1082" s="1">
        <v>150.06</v>
      </c>
      <c r="BB1082" s="1">
        <v>163.06</v>
      </c>
      <c r="BC1082" s="1">
        <v>162.02000000000001</v>
      </c>
      <c r="BD1082" s="1">
        <v>160.41999999999999</v>
      </c>
      <c r="BE1082" s="1">
        <v>158.36000000000001</v>
      </c>
      <c r="BF1082" s="1">
        <v>156.32</v>
      </c>
      <c r="BG1082" s="1">
        <v>165.43</v>
      </c>
      <c r="BH1082" s="1">
        <v>157.19</v>
      </c>
      <c r="BI1082" s="1">
        <v>158.68</v>
      </c>
      <c r="BJ1082" s="1">
        <v>168.92</v>
      </c>
      <c r="BL1082" s="1">
        <v>151.38999999999999</v>
      </c>
      <c r="BN1082" s="1">
        <v>150.08000000000001</v>
      </c>
    </row>
    <row r="1083" spans="1:66" x14ac:dyDescent="0.3">
      <c r="A1083" s="2"/>
      <c r="C1083" s="14" t="str">
        <f t="shared" si="17"/>
        <v>202111</v>
      </c>
      <c r="D1083" s="3">
        <v>44529</v>
      </c>
      <c r="E1083" s="21">
        <v>2166.92</v>
      </c>
      <c r="F1083" s="21">
        <v>2172.31</v>
      </c>
      <c r="G1083" s="21">
        <v>2205.0500000000002</v>
      </c>
      <c r="H1083" s="21">
        <v>2038.63</v>
      </c>
      <c r="I1083" s="21">
        <v>2182.5500000000002</v>
      </c>
      <c r="J1083" s="21">
        <v>2380</v>
      </c>
      <c r="K1083" s="21">
        <v>2115.0500000000002</v>
      </c>
      <c r="L1083" s="21"/>
      <c r="M1083" s="21">
        <v>2074.3000000000002</v>
      </c>
      <c r="N1083" s="21">
        <v>1978.4</v>
      </c>
      <c r="O1083" s="21">
        <v>2337.5</v>
      </c>
      <c r="P1083" s="21">
        <v>2087.9299999999998</v>
      </c>
      <c r="Q1083" s="21">
        <v>8482.77</v>
      </c>
      <c r="R1083" s="20">
        <v>150.28</v>
      </c>
      <c r="S1083" s="20">
        <v>144.69999999999999</v>
      </c>
      <c r="T1083" s="21">
        <v>156.79</v>
      </c>
      <c r="V1083" s="1">
        <v>151.06</v>
      </c>
      <c r="W1083" s="1">
        <v>157.5</v>
      </c>
      <c r="X1083" s="1">
        <v>159.24</v>
      </c>
      <c r="Y1083" s="1">
        <v>155.51</v>
      </c>
      <c r="Z1083" s="1">
        <v>155.28</v>
      </c>
      <c r="AA1083" s="1">
        <v>151.79</v>
      </c>
      <c r="AB1083" s="1">
        <v>159.32</v>
      </c>
      <c r="AE1083" s="1">
        <v>165.84</v>
      </c>
      <c r="AF1083" s="1">
        <v>158.41999999999999</v>
      </c>
      <c r="AG1083" s="1">
        <v>148.43</v>
      </c>
      <c r="AN1083" s="1">
        <v>3130.08</v>
      </c>
      <c r="AV1083" s="1">
        <v>30</v>
      </c>
      <c r="AW1083" s="1">
        <v>3426.77</v>
      </c>
      <c r="AX1083" s="1">
        <v>152</v>
      </c>
      <c r="BA1083" s="1">
        <v>152.02000000000001</v>
      </c>
      <c r="BB1083" s="1">
        <v>163.83000000000001</v>
      </c>
      <c r="BC1083" s="1">
        <v>163.97</v>
      </c>
      <c r="BD1083" s="1">
        <v>162.22</v>
      </c>
      <c r="BE1083" s="1">
        <v>159.46</v>
      </c>
      <c r="BF1083" s="1">
        <v>158.82</v>
      </c>
      <c r="BG1083" s="1">
        <v>166.42</v>
      </c>
      <c r="BH1083" s="1">
        <v>157.19</v>
      </c>
      <c r="BI1083" s="1">
        <v>158.68</v>
      </c>
      <c r="BJ1083" s="1">
        <v>168.96</v>
      </c>
      <c r="BL1083" s="1">
        <v>151.38</v>
      </c>
      <c r="BN1083" s="1">
        <v>151.58000000000001</v>
      </c>
    </row>
    <row r="1084" spans="1:66" x14ac:dyDescent="0.3">
      <c r="A1084" s="2"/>
      <c r="C1084" s="14" t="str">
        <f t="shared" si="17"/>
        <v>202111</v>
      </c>
      <c r="D1084" s="3">
        <v>44526</v>
      </c>
      <c r="E1084" s="21">
        <v>2153.61</v>
      </c>
      <c r="F1084" s="21">
        <v>2185.86</v>
      </c>
      <c r="G1084" s="21">
        <v>2229.91</v>
      </c>
      <c r="H1084" s="21">
        <v>2018.91</v>
      </c>
      <c r="I1084" s="21">
        <v>2182.5500000000002</v>
      </c>
      <c r="J1084" s="21">
        <v>2375</v>
      </c>
      <c r="K1084" s="21">
        <v>2118.48</v>
      </c>
      <c r="L1084" s="21"/>
      <c r="M1084" s="21">
        <v>2105.6799999999998</v>
      </c>
      <c r="N1084" s="21">
        <v>2000.27</v>
      </c>
      <c r="O1084" s="21">
        <v>2347.5</v>
      </c>
      <c r="P1084" s="21">
        <v>2117.6799999999998</v>
      </c>
      <c r="Q1084" s="21">
        <v>8512.36</v>
      </c>
      <c r="R1084" s="20">
        <v>150.28</v>
      </c>
      <c r="S1084" s="20">
        <v>143.97999999999999</v>
      </c>
      <c r="T1084" s="21">
        <v>157.44</v>
      </c>
      <c r="V1084" s="1">
        <v>151.91999999999999</v>
      </c>
      <c r="W1084" s="1">
        <v>157.82</v>
      </c>
      <c r="X1084" s="1">
        <v>159.19</v>
      </c>
      <c r="Y1084" s="1">
        <v>155.91999999999999</v>
      </c>
      <c r="Z1084" s="1">
        <v>156</v>
      </c>
      <c r="AA1084" s="1">
        <v>151.71</v>
      </c>
      <c r="AB1084" s="1">
        <v>158.93</v>
      </c>
      <c r="AE1084" s="1">
        <v>166.26</v>
      </c>
      <c r="AF1084" s="1">
        <v>160.9</v>
      </c>
      <c r="AG1084" s="1">
        <v>147.34</v>
      </c>
      <c r="AN1084" s="1">
        <v>3130.08</v>
      </c>
      <c r="AO1084" s="1">
        <v>7</v>
      </c>
      <c r="AT1084" s="1">
        <v>3577.61</v>
      </c>
      <c r="AV1084" s="1">
        <v>30</v>
      </c>
      <c r="AW1084" s="1">
        <v>3426.77</v>
      </c>
      <c r="AX1084" s="1">
        <v>152.84</v>
      </c>
      <c r="BA1084" s="1">
        <v>154.29</v>
      </c>
      <c r="BB1084" s="1">
        <v>163.02000000000001</v>
      </c>
      <c r="BC1084" s="1">
        <v>164.75</v>
      </c>
      <c r="BD1084" s="1">
        <v>162.28</v>
      </c>
      <c r="BE1084" s="1">
        <v>158.32</v>
      </c>
      <c r="BF1084" s="1">
        <v>155.65</v>
      </c>
      <c r="BG1084" s="1">
        <v>166.84</v>
      </c>
      <c r="BH1084" s="1">
        <v>162.05000000000001</v>
      </c>
      <c r="BI1084" s="1">
        <v>159.68</v>
      </c>
      <c r="BJ1084" s="1">
        <v>168.96</v>
      </c>
      <c r="BL1084" s="1">
        <v>151.63</v>
      </c>
      <c r="BN1084" s="1">
        <v>151.58000000000001</v>
      </c>
    </row>
    <row r="1085" spans="1:66" x14ac:dyDescent="0.3">
      <c r="A1085" s="2"/>
      <c r="C1085" s="14" t="str">
        <f t="shared" si="17"/>
        <v>202111</v>
      </c>
      <c r="D1085" s="3">
        <v>44525</v>
      </c>
      <c r="E1085" s="21">
        <v>2188.8000000000002</v>
      </c>
      <c r="F1085" s="21">
        <v>2185.86</v>
      </c>
      <c r="G1085" s="21">
        <v>2237.38</v>
      </c>
      <c r="H1085" s="21">
        <v>2063.02</v>
      </c>
      <c r="I1085" s="21">
        <v>2158.5300000000002</v>
      </c>
      <c r="J1085" s="21">
        <v>2375</v>
      </c>
      <c r="K1085" s="21">
        <v>2128.46</v>
      </c>
      <c r="L1085" s="21"/>
      <c r="M1085" s="21">
        <v>2145.92</v>
      </c>
      <c r="N1085" s="21">
        <v>2021.8</v>
      </c>
      <c r="O1085" s="21">
        <v>2357.7800000000002</v>
      </c>
      <c r="P1085" s="21">
        <v>2117.6799999999998</v>
      </c>
      <c r="Q1085" s="21">
        <v>8439.08</v>
      </c>
      <c r="R1085" s="20">
        <v>152.16999999999999</v>
      </c>
      <c r="S1085" s="20">
        <v>146.24</v>
      </c>
      <c r="T1085" s="21">
        <v>157.93</v>
      </c>
      <c r="V1085" s="1">
        <v>151.91999999999999</v>
      </c>
      <c r="W1085" s="1">
        <v>159.74</v>
      </c>
      <c r="X1085" s="1">
        <v>159.37</v>
      </c>
      <c r="Y1085" s="1">
        <v>156.44999999999999</v>
      </c>
      <c r="Z1085" s="1">
        <v>156.28</v>
      </c>
      <c r="AA1085" s="1">
        <v>153.38</v>
      </c>
      <c r="AB1085" s="1">
        <v>158.93</v>
      </c>
      <c r="AE1085" s="1">
        <v>166.98</v>
      </c>
      <c r="AF1085" s="1">
        <v>162.72999999999999</v>
      </c>
      <c r="AG1085" s="1">
        <v>149.07</v>
      </c>
      <c r="AN1085" s="1">
        <v>3130.08</v>
      </c>
      <c r="AO1085" s="1">
        <v>3.5</v>
      </c>
      <c r="AT1085" s="1">
        <v>3829.39</v>
      </c>
      <c r="AU1085" s="1">
        <v>4227.12</v>
      </c>
      <c r="AV1085" s="1">
        <v>30</v>
      </c>
      <c r="AW1085" s="1">
        <v>3426.77</v>
      </c>
      <c r="AX1085" s="1">
        <v>154.83000000000001</v>
      </c>
      <c r="BA1085" s="1">
        <v>152.91999999999999</v>
      </c>
      <c r="BB1085" s="1">
        <v>165.47</v>
      </c>
      <c r="BC1085" s="1">
        <v>164.14</v>
      </c>
      <c r="BD1085" s="1">
        <v>163.34</v>
      </c>
      <c r="BE1085" s="1">
        <v>160.66</v>
      </c>
      <c r="BF1085" s="1">
        <v>160.68</v>
      </c>
      <c r="BG1085" s="1">
        <v>168.75</v>
      </c>
      <c r="BH1085" s="1">
        <v>161.35</v>
      </c>
      <c r="BI1085" s="1">
        <v>159.68</v>
      </c>
      <c r="BJ1085" s="1">
        <v>168.95</v>
      </c>
      <c r="BL1085" s="1">
        <v>152.16999999999999</v>
      </c>
      <c r="BN1085" s="1">
        <v>152.1</v>
      </c>
    </row>
    <row r="1086" spans="1:66" x14ac:dyDescent="0.3">
      <c r="A1086" s="2"/>
      <c r="C1086" s="14" t="str">
        <f t="shared" si="17"/>
        <v>202111</v>
      </c>
      <c r="D1086" s="3">
        <v>44524</v>
      </c>
      <c r="E1086" s="21">
        <v>2193.7800000000002</v>
      </c>
      <c r="F1086" s="21">
        <v>2198.2800000000002</v>
      </c>
      <c r="G1086" s="21">
        <v>2254.81</v>
      </c>
      <c r="H1086" s="21">
        <v>2077.23</v>
      </c>
      <c r="I1086" s="21">
        <v>2158.5300000000002</v>
      </c>
      <c r="J1086" s="21">
        <v>2403.33</v>
      </c>
      <c r="K1086" s="21">
        <v>2108.39</v>
      </c>
      <c r="L1086" s="21"/>
      <c r="M1086" s="21">
        <v>2185.8000000000002</v>
      </c>
      <c r="N1086" s="21">
        <v>2050</v>
      </c>
      <c r="O1086" s="21">
        <v>2373.33</v>
      </c>
      <c r="P1086" s="21">
        <v>2101.9</v>
      </c>
      <c r="Q1086" s="21">
        <v>8622.23</v>
      </c>
      <c r="R1086" s="20">
        <v>152.16999999999999</v>
      </c>
      <c r="S1086" s="20">
        <v>146.71</v>
      </c>
      <c r="T1086" s="21">
        <v>160.69999999999999</v>
      </c>
      <c r="V1086" s="1">
        <v>151.91999999999999</v>
      </c>
      <c r="W1086" s="1">
        <v>159.79</v>
      </c>
      <c r="X1086" s="1">
        <v>159.13999999999999</v>
      </c>
      <c r="Y1086" s="1">
        <v>158.91999999999999</v>
      </c>
      <c r="Z1086" s="1">
        <v>159</v>
      </c>
      <c r="AA1086" s="1">
        <v>153.46</v>
      </c>
      <c r="AB1086" s="1">
        <v>158.55000000000001</v>
      </c>
      <c r="AE1086" s="1">
        <v>166.68</v>
      </c>
      <c r="AF1086" s="1">
        <v>161.47</v>
      </c>
      <c r="AG1086" s="1">
        <v>146.97999999999999</v>
      </c>
      <c r="AK1086" s="1">
        <v>0</v>
      </c>
      <c r="AN1086" s="1">
        <v>3130.08</v>
      </c>
      <c r="AO1086" s="1">
        <v>3.5</v>
      </c>
      <c r="AS1086" s="1">
        <v>4428.41</v>
      </c>
      <c r="AT1086" s="1">
        <v>3829.39</v>
      </c>
      <c r="AU1086" s="1">
        <v>4227.12</v>
      </c>
      <c r="AX1086" s="1">
        <v>154.83000000000001</v>
      </c>
      <c r="BA1086" s="1">
        <v>153.44999999999999</v>
      </c>
      <c r="BB1086" s="1">
        <v>167.25</v>
      </c>
      <c r="BC1086" s="1">
        <v>164.99</v>
      </c>
      <c r="BD1086" s="1">
        <v>165.16</v>
      </c>
      <c r="BE1086" s="1">
        <v>161.08000000000001</v>
      </c>
      <c r="BF1086" s="1">
        <v>158.74</v>
      </c>
      <c r="BG1086" s="1">
        <v>167.85</v>
      </c>
      <c r="BH1086" s="1">
        <v>161.35</v>
      </c>
      <c r="BI1086" s="1">
        <v>159.68</v>
      </c>
      <c r="BJ1086" s="1">
        <v>168.94</v>
      </c>
      <c r="BL1086" s="1">
        <v>154</v>
      </c>
      <c r="BN1086" s="1">
        <v>153.94999999999999</v>
      </c>
    </row>
    <row r="1087" spans="1:66" x14ac:dyDescent="0.3">
      <c r="A1087" s="2"/>
      <c r="C1087" s="14" t="str">
        <f t="shared" si="17"/>
        <v>202111</v>
      </c>
      <c r="D1087" s="3">
        <v>44523</v>
      </c>
      <c r="E1087" s="21">
        <v>2215.0700000000002</v>
      </c>
      <c r="F1087" s="21">
        <v>2198.2800000000002</v>
      </c>
      <c r="G1087" s="21">
        <v>2262.2600000000002</v>
      </c>
      <c r="H1087" s="21">
        <v>2150.08</v>
      </c>
      <c r="I1087" s="21">
        <v>2133.69</v>
      </c>
      <c r="J1087" s="21">
        <v>2443.33</v>
      </c>
      <c r="K1087" s="21">
        <v>2105.0700000000002</v>
      </c>
      <c r="L1087" s="21"/>
      <c r="M1087" s="21">
        <v>2185.8000000000002</v>
      </c>
      <c r="N1087" s="21">
        <v>2070.2399999999998</v>
      </c>
      <c r="O1087" s="21">
        <v>2417.5</v>
      </c>
      <c r="P1087" s="21">
        <v>2101.9</v>
      </c>
      <c r="Q1087" s="21">
        <v>8536.11</v>
      </c>
      <c r="R1087" s="20">
        <v>152.30000000000001</v>
      </c>
      <c r="S1087" s="20">
        <v>147.41</v>
      </c>
      <c r="T1087" s="21">
        <v>158.59</v>
      </c>
      <c r="V1087" s="1">
        <v>151.91999999999999</v>
      </c>
      <c r="W1087" s="1">
        <v>158.05000000000001</v>
      </c>
      <c r="X1087" s="1">
        <v>158.31</v>
      </c>
      <c r="Y1087" s="1">
        <v>158.15</v>
      </c>
      <c r="Z1087" s="1">
        <v>157.99</v>
      </c>
      <c r="AA1087" s="1">
        <v>154.24</v>
      </c>
      <c r="AB1087" s="1">
        <v>157.88</v>
      </c>
      <c r="AE1087" s="1">
        <v>165.38</v>
      </c>
      <c r="AF1087" s="1">
        <v>161.53</v>
      </c>
      <c r="AG1087" s="1">
        <v>146.91999999999999</v>
      </c>
      <c r="AK1087" s="1">
        <v>0</v>
      </c>
      <c r="AO1087" s="1">
        <v>3.5</v>
      </c>
      <c r="AS1087" s="1">
        <v>4428.41</v>
      </c>
      <c r="AT1087" s="1">
        <v>3829.39</v>
      </c>
      <c r="AU1087" s="1">
        <v>4227.12</v>
      </c>
      <c r="AW1087" s="1">
        <v>2984.97</v>
      </c>
      <c r="AX1087" s="1">
        <v>156.06</v>
      </c>
      <c r="BA1087" s="1">
        <v>154.31</v>
      </c>
      <c r="BB1087" s="1">
        <v>167.71</v>
      </c>
      <c r="BC1087" s="1">
        <v>166.11</v>
      </c>
      <c r="BD1087" s="1">
        <v>165.56</v>
      </c>
      <c r="BE1087" s="1">
        <v>160.99</v>
      </c>
      <c r="BF1087" s="1">
        <v>156.97999999999999</v>
      </c>
      <c r="BG1087" s="1">
        <v>166.68</v>
      </c>
      <c r="BH1087" s="1">
        <v>157.85</v>
      </c>
      <c r="BI1087" s="1">
        <v>157.47999999999999</v>
      </c>
      <c r="BJ1087" s="1">
        <v>162.22999999999999</v>
      </c>
      <c r="BL1087" s="1">
        <v>154.13</v>
      </c>
      <c r="BN1087" s="1">
        <v>154.08000000000001</v>
      </c>
    </row>
    <row r="1088" spans="1:66" x14ac:dyDescent="0.3">
      <c r="A1088" s="2"/>
      <c r="C1088" s="14" t="str">
        <f t="shared" si="17"/>
        <v>202111</v>
      </c>
      <c r="D1088" s="3">
        <v>44522</v>
      </c>
      <c r="E1088" s="21">
        <v>2233.33</v>
      </c>
      <c r="F1088" s="21">
        <v>2198.2800000000002</v>
      </c>
      <c r="G1088" s="21">
        <v>2287.14</v>
      </c>
      <c r="H1088" s="21">
        <v>2158.44</v>
      </c>
      <c r="I1088" s="21">
        <v>2133.69</v>
      </c>
      <c r="J1088" s="21">
        <v>2443.33</v>
      </c>
      <c r="K1088" s="21">
        <v>2105.0700000000002</v>
      </c>
      <c r="L1088" s="21"/>
      <c r="M1088" s="21">
        <v>2240.94</v>
      </c>
      <c r="N1088" s="21">
        <v>2065.58</v>
      </c>
      <c r="O1088" s="21">
        <v>2422.5</v>
      </c>
      <c r="P1088" s="21">
        <v>2109.89</v>
      </c>
      <c r="Q1088" s="21">
        <v>8369.48</v>
      </c>
      <c r="R1088" s="20">
        <v>148.96</v>
      </c>
      <c r="S1088" s="20">
        <v>146.4</v>
      </c>
      <c r="T1088" s="21">
        <v>157.57</v>
      </c>
      <c r="V1088" s="1">
        <v>151.63</v>
      </c>
      <c r="W1088" s="1">
        <v>157.57</v>
      </c>
      <c r="X1088" s="1">
        <v>158.31</v>
      </c>
      <c r="Y1088" s="1">
        <v>157.22</v>
      </c>
      <c r="Z1088" s="1">
        <v>156.56</v>
      </c>
      <c r="AA1088" s="1">
        <v>153.02000000000001</v>
      </c>
      <c r="AB1088" s="1">
        <v>157.88</v>
      </c>
      <c r="AE1088" s="1">
        <v>165.37</v>
      </c>
      <c r="AF1088" s="1">
        <v>160.12</v>
      </c>
      <c r="AG1088" s="1">
        <v>149.16</v>
      </c>
      <c r="AK1088" s="1">
        <v>0</v>
      </c>
      <c r="AO1088" s="1">
        <v>3.5</v>
      </c>
      <c r="AS1088" s="1">
        <v>4428.41</v>
      </c>
      <c r="AT1088" s="1">
        <v>3829.39</v>
      </c>
      <c r="AU1088" s="1">
        <v>4227.12</v>
      </c>
      <c r="AW1088" s="1">
        <v>2984.97</v>
      </c>
      <c r="AX1088" s="1">
        <v>156.22</v>
      </c>
      <c r="BA1088" s="1">
        <v>154.75</v>
      </c>
      <c r="BB1088" s="1">
        <v>166.01</v>
      </c>
      <c r="BC1088" s="1">
        <v>164.48</v>
      </c>
      <c r="BD1088" s="1">
        <v>165.22</v>
      </c>
      <c r="BE1088" s="1">
        <v>158.85</v>
      </c>
      <c r="BF1088" s="1">
        <v>156.97999999999999</v>
      </c>
      <c r="BG1088" s="1">
        <v>166.5</v>
      </c>
      <c r="BH1088" s="1">
        <v>157.85</v>
      </c>
      <c r="BI1088" s="1">
        <v>157.49</v>
      </c>
      <c r="BJ1088" s="1">
        <v>162.22</v>
      </c>
      <c r="BL1088" s="1">
        <v>153.13</v>
      </c>
      <c r="BN1088" s="1">
        <v>153.08000000000001</v>
      </c>
    </row>
    <row r="1089" spans="1:66" x14ac:dyDescent="0.3">
      <c r="A1089" s="2"/>
      <c r="C1089" s="14" t="str">
        <f t="shared" si="17"/>
        <v>202111</v>
      </c>
      <c r="D1089" s="3">
        <v>44519</v>
      </c>
      <c r="E1089" s="21">
        <v>2248.5700000000002</v>
      </c>
      <c r="F1089" s="21">
        <v>2198.2800000000002</v>
      </c>
      <c r="G1089" s="21">
        <v>2287.14</v>
      </c>
      <c r="H1089" s="21">
        <v>2163.91</v>
      </c>
      <c r="I1089" s="21">
        <v>2128.73</v>
      </c>
      <c r="J1089" s="21">
        <v>2443.33</v>
      </c>
      <c r="K1089" s="21">
        <v>2095.09</v>
      </c>
      <c r="L1089" s="21"/>
      <c r="M1089" s="21">
        <v>2240.94</v>
      </c>
      <c r="N1089" s="21">
        <v>2093.75</v>
      </c>
      <c r="O1089" s="21">
        <v>2416.67</v>
      </c>
      <c r="P1089" s="21">
        <v>2101.92</v>
      </c>
      <c r="Q1089" s="21">
        <v>8361.57</v>
      </c>
      <c r="R1089" s="20">
        <v>148.41999999999999</v>
      </c>
      <c r="S1089" s="20">
        <v>146.15</v>
      </c>
      <c r="T1089" s="21">
        <v>155.01</v>
      </c>
      <c r="V1089" s="1">
        <v>151.49</v>
      </c>
      <c r="W1089" s="1">
        <v>155</v>
      </c>
      <c r="X1089" s="1">
        <v>158.62</v>
      </c>
      <c r="Y1089" s="1">
        <v>155.29</v>
      </c>
      <c r="Z1089" s="1">
        <v>156</v>
      </c>
      <c r="AA1089" s="1">
        <v>151.59</v>
      </c>
      <c r="AB1089" s="1">
        <v>157.88</v>
      </c>
      <c r="AE1089" s="1">
        <v>165.89</v>
      </c>
      <c r="AF1089" s="1">
        <v>159.28</v>
      </c>
      <c r="AG1089" s="1">
        <v>150.74</v>
      </c>
      <c r="AK1089" s="1">
        <v>0</v>
      </c>
      <c r="AO1089" s="1">
        <v>0</v>
      </c>
      <c r="AS1089" s="1">
        <v>4428.41</v>
      </c>
      <c r="AT1089" s="1">
        <v>4076.15</v>
      </c>
      <c r="AU1089" s="1">
        <v>4227.12</v>
      </c>
      <c r="AW1089" s="1">
        <v>2984.97</v>
      </c>
      <c r="AX1089" s="1">
        <v>155.66</v>
      </c>
      <c r="BA1089" s="1">
        <v>154.96</v>
      </c>
      <c r="BB1089" s="1">
        <v>164.35</v>
      </c>
      <c r="BC1089" s="1">
        <v>164.68</v>
      </c>
      <c r="BD1089" s="1">
        <v>163.52000000000001</v>
      </c>
      <c r="BE1089" s="1">
        <v>156.80000000000001</v>
      </c>
      <c r="BF1089" s="1">
        <v>157.04</v>
      </c>
      <c r="BG1089" s="1">
        <v>166.17</v>
      </c>
      <c r="BH1089" s="1">
        <v>155.86000000000001</v>
      </c>
      <c r="BI1089" s="1">
        <v>157.47999999999999</v>
      </c>
      <c r="BJ1089" s="1">
        <v>162.19</v>
      </c>
      <c r="BL1089" s="1">
        <v>151.38</v>
      </c>
      <c r="BN1089" s="1">
        <v>151.33000000000001</v>
      </c>
    </row>
    <row r="1090" spans="1:66" x14ac:dyDescent="0.3">
      <c r="A1090" s="2"/>
      <c r="C1090" s="14" t="str">
        <f t="shared" si="17"/>
        <v>202111</v>
      </c>
      <c r="D1090" s="3">
        <v>44518</v>
      </c>
      <c r="E1090" s="21">
        <v>2260.79</v>
      </c>
      <c r="F1090" s="21">
        <v>2181.34</v>
      </c>
      <c r="G1090" s="21">
        <v>2287.14</v>
      </c>
      <c r="H1090" s="21">
        <v>2184.12</v>
      </c>
      <c r="I1090" s="21">
        <v>2103.89</v>
      </c>
      <c r="J1090" s="21">
        <v>2376.67</v>
      </c>
      <c r="K1090" s="21">
        <v>2058.54</v>
      </c>
      <c r="L1090" s="21"/>
      <c r="M1090" s="21">
        <v>2245.9299999999998</v>
      </c>
      <c r="N1090" s="21">
        <v>2107.27</v>
      </c>
      <c r="O1090" s="21">
        <v>2346</v>
      </c>
      <c r="P1090" s="21">
        <v>2070.02</v>
      </c>
      <c r="Q1090" s="21">
        <v>8346.14</v>
      </c>
      <c r="R1090" s="20">
        <v>143.91</v>
      </c>
      <c r="S1090" s="20">
        <v>145.80000000000001</v>
      </c>
      <c r="T1090" s="21">
        <v>153.55000000000001</v>
      </c>
      <c r="V1090" s="1">
        <v>151.49</v>
      </c>
      <c r="W1090" s="1">
        <v>155.85</v>
      </c>
      <c r="X1090" s="1">
        <v>157.72</v>
      </c>
      <c r="Y1090" s="1">
        <v>154.91999999999999</v>
      </c>
      <c r="Z1090" s="1">
        <v>155</v>
      </c>
      <c r="AA1090" s="1">
        <v>150.62</v>
      </c>
      <c r="AB1090" s="1">
        <v>156.11000000000001</v>
      </c>
      <c r="AE1090" s="1">
        <v>164.95</v>
      </c>
      <c r="AF1090" s="1">
        <v>161.06</v>
      </c>
      <c r="AG1090" s="1">
        <v>149.38</v>
      </c>
      <c r="AK1090" s="1">
        <v>0</v>
      </c>
      <c r="AS1090" s="1">
        <v>4428.41</v>
      </c>
      <c r="AW1090" s="1">
        <v>2984.97</v>
      </c>
      <c r="AX1090" s="1">
        <v>155.06</v>
      </c>
      <c r="BA1090" s="1">
        <v>154.86000000000001</v>
      </c>
      <c r="BB1090" s="1">
        <v>164.29</v>
      </c>
      <c r="BC1090" s="1">
        <v>164.53</v>
      </c>
      <c r="BD1090" s="1">
        <v>163.01</v>
      </c>
      <c r="BE1090" s="1">
        <v>153.01</v>
      </c>
      <c r="BF1090" s="1">
        <v>147.9</v>
      </c>
      <c r="BG1090" s="1">
        <v>165.37</v>
      </c>
      <c r="BH1090" s="1">
        <v>156.52000000000001</v>
      </c>
      <c r="BI1090" s="1">
        <v>157.47999999999999</v>
      </c>
      <c r="BJ1090" s="1">
        <v>167.4</v>
      </c>
      <c r="BL1090" s="1">
        <v>150.63</v>
      </c>
      <c r="BN1090" s="1">
        <v>150.58000000000001</v>
      </c>
    </row>
    <row r="1091" spans="1:66" x14ac:dyDescent="0.3">
      <c r="A1091" s="2"/>
      <c r="C1091" s="14" t="str">
        <f t="shared" si="17"/>
        <v>202111</v>
      </c>
      <c r="D1091" s="3">
        <v>44517</v>
      </c>
      <c r="E1091" s="21">
        <v>2233.64</v>
      </c>
      <c r="F1091" s="21">
        <v>2169.3000000000002</v>
      </c>
      <c r="G1091" s="21">
        <v>2282.17</v>
      </c>
      <c r="H1091" s="21">
        <v>2147.86</v>
      </c>
      <c r="I1091" s="21">
        <v>2103.89</v>
      </c>
      <c r="J1091" s="21">
        <v>2376.67</v>
      </c>
      <c r="K1091" s="21">
        <v>2048.5700000000002</v>
      </c>
      <c r="L1091" s="21"/>
      <c r="M1091" s="21">
        <v>2210.7199999999998</v>
      </c>
      <c r="N1091" s="21">
        <v>2080.02</v>
      </c>
      <c r="O1091" s="21">
        <v>2342.5</v>
      </c>
      <c r="P1091" s="21">
        <v>2057.46</v>
      </c>
      <c r="Q1091" s="21">
        <v>8362.5</v>
      </c>
      <c r="R1091" s="20">
        <v>143.82</v>
      </c>
      <c r="S1091" s="20">
        <v>145.79</v>
      </c>
      <c r="T1091" s="21">
        <v>152.94</v>
      </c>
      <c r="V1091" s="1">
        <v>149.06</v>
      </c>
      <c r="W1091" s="1">
        <v>154.08000000000001</v>
      </c>
      <c r="X1091" s="1">
        <v>155.29</v>
      </c>
      <c r="Y1091" s="1">
        <v>153.22</v>
      </c>
      <c r="Z1091" s="1">
        <v>153.83000000000001</v>
      </c>
      <c r="AA1091" s="1">
        <v>149.46</v>
      </c>
      <c r="AB1091" s="1">
        <v>154.44</v>
      </c>
      <c r="AE1091" s="1">
        <v>163.59</v>
      </c>
      <c r="AF1091" s="1">
        <v>157.88</v>
      </c>
      <c r="AG1091" s="1">
        <v>148.6</v>
      </c>
      <c r="AW1091" s="1">
        <v>2984.97</v>
      </c>
      <c r="AX1091" s="1">
        <v>153.61000000000001</v>
      </c>
      <c r="BA1091" s="1">
        <v>153.96</v>
      </c>
      <c r="BB1091" s="1">
        <v>163.12</v>
      </c>
      <c r="BC1091" s="1">
        <v>161.28</v>
      </c>
      <c r="BD1091" s="1">
        <v>162.18</v>
      </c>
      <c r="BE1091" s="1">
        <v>151.53</v>
      </c>
      <c r="BF1091" s="1">
        <v>150.88</v>
      </c>
      <c r="BG1091" s="1">
        <v>164.45</v>
      </c>
      <c r="BH1091" s="1">
        <v>156.52000000000001</v>
      </c>
      <c r="BI1091" s="1">
        <v>154.69</v>
      </c>
      <c r="BJ1091" s="1">
        <v>160.05000000000001</v>
      </c>
      <c r="BL1091" s="1">
        <v>150.38</v>
      </c>
      <c r="BN1091" s="1">
        <v>150.33000000000001</v>
      </c>
    </row>
    <row r="1092" spans="1:66" x14ac:dyDescent="0.3">
      <c r="A1092" s="2"/>
      <c r="C1092" s="14" t="str">
        <f t="shared" si="17"/>
        <v>202111</v>
      </c>
      <c r="D1092" s="3">
        <v>44516</v>
      </c>
      <c r="E1092" s="21">
        <v>2223.7600000000002</v>
      </c>
      <c r="F1092" s="21">
        <v>2136.1799999999998</v>
      </c>
      <c r="G1092" s="21">
        <v>2224.96</v>
      </c>
      <c r="H1092" s="21">
        <v>2147.86</v>
      </c>
      <c r="I1092" s="21">
        <v>2093.9499999999998</v>
      </c>
      <c r="J1092" s="21">
        <v>2302.63</v>
      </c>
      <c r="K1092" s="21">
        <v>1984.89</v>
      </c>
      <c r="L1092" s="21"/>
      <c r="M1092" s="21">
        <v>2204.44</v>
      </c>
      <c r="N1092" s="21">
        <v>2073.85</v>
      </c>
      <c r="O1092" s="21">
        <v>2338</v>
      </c>
      <c r="P1092" s="21">
        <v>1994.21</v>
      </c>
      <c r="Q1092" s="21">
        <v>8334.98</v>
      </c>
      <c r="R1092" s="20">
        <v>145.96</v>
      </c>
      <c r="S1092" s="20">
        <v>142.53</v>
      </c>
      <c r="T1092" s="21">
        <v>150.81</v>
      </c>
      <c r="V1092" s="1">
        <v>148.09</v>
      </c>
      <c r="W1092" s="1">
        <v>150.83000000000001</v>
      </c>
      <c r="X1092" s="1">
        <v>154.54</v>
      </c>
      <c r="Y1092" s="1">
        <v>151.21</v>
      </c>
      <c r="Z1092" s="1">
        <v>149.71</v>
      </c>
      <c r="AA1092" s="1">
        <v>148.27000000000001</v>
      </c>
      <c r="AB1092" s="1">
        <v>153.75</v>
      </c>
      <c r="AE1092" s="1">
        <v>161.82</v>
      </c>
      <c r="AF1092" s="1">
        <v>153.80000000000001</v>
      </c>
      <c r="AG1092" s="1">
        <v>148.78</v>
      </c>
      <c r="AX1092" s="1">
        <v>150.1</v>
      </c>
      <c r="BA1092" s="1">
        <v>154.66</v>
      </c>
      <c r="BB1092" s="1">
        <v>159.41</v>
      </c>
      <c r="BC1092" s="1">
        <v>158.37</v>
      </c>
      <c r="BD1092" s="1">
        <v>156.1</v>
      </c>
      <c r="BE1092" s="1">
        <v>154.04</v>
      </c>
      <c r="BF1092" s="1">
        <v>156.96</v>
      </c>
      <c r="BG1092" s="1">
        <v>160.86000000000001</v>
      </c>
      <c r="BH1092" s="1">
        <v>151.15</v>
      </c>
      <c r="BI1092" s="1">
        <v>154.69</v>
      </c>
      <c r="BJ1092" s="1">
        <v>160.04</v>
      </c>
      <c r="BL1092" s="1">
        <v>147.01</v>
      </c>
      <c r="BN1092" s="1">
        <v>146.46</v>
      </c>
    </row>
    <row r="1093" spans="1:66" x14ac:dyDescent="0.3">
      <c r="A1093" s="2"/>
      <c r="C1093" s="14" t="str">
        <f t="shared" si="17"/>
        <v>202111</v>
      </c>
      <c r="D1093" s="3">
        <v>44512</v>
      </c>
      <c r="E1093" s="21">
        <v>2105.5500000000002</v>
      </c>
      <c r="F1093" s="21">
        <v>2086.5</v>
      </c>
      <c r="G1093" s="21">
        <v>2200.12</v>
      </c>
      <c r="H1093" s="21">
        <v>2048.5</v>
      </c>
      <c r="I1093" s="21">
        <v>2103.89</v>
      </c>
      <c r="J1093" s="21">
        <v>2140.52</v>
      </c>
      <c r="K1093" s="21">
        <v>1979.19</v>
      </c>
      <c r="L1093" s="21"/>
      <c r="M1093" s="21">
        <v>2021.7</v>
      </c>
      <c r="N1093" s="21">
        <v>1919.85</v>
      </c>
      <c r="O1093" s="21">
        <v>2270</v>
      </c>
      <c r="P1093" s="21">
        <v>1985.63</v>
      </c>
      <c r="Q1093" s="21">
        <v>8210.07</v>
      </c>
      <c r="R1093" s="20">
        <v>144.76</v>
      </c>
      <c r="S1093" s="20">
        <v>141.91</v>
      </c>
      <c r="T1093" s="21">
        <v>150.12</v>
      </c>
      <c r="V1093" s="1">
        <v>147.07</v>
      </c>
      <c r="W1093" s="1">
        <v>150.55000000000001</v>
      </c>
      <c r="X1093" s="1">
        <v>152.91</v>
      </c>
      <c r="Y1093" s="1">
        <v>149.54</v>
      </c>
      <c r="Z1093" s="1">
        <v>148.99</v>
      </c>
      <c r="AA1093" s="1">
        <v>146.99</v>
      </c>
      <c r="AB1093" s="1">
        <v>151.93</v>
      </c>
      <c r="AE1093" s="1">
        <v>159.49</v>
      </c>
      <c r="AF1093" s="1">
        <v>150.07</v>
      </c>
      <c r="AG1093" s="1">
        <v>145.03</v>
      </c>
      <c r="AX1093" s="1">
        <v>148.97999999999999</v>
      </c>
      <c r="BA1093" s="1">
        <v>149.25</v>
      </c>
      <c r="BB1093" s="1">
        <v>157.58000000000001</v>
      </c>
      <c r="BC1093" s="1">
        <v>155.13999999999999</v>
      </c>
      <c r="BD1093" s="1">
        <v>154.79</v>
      </c>
      <c r="BE1093" s="1">
        <v>151.68</v>
      </c>
      <c r="BF1093" s="1">
        <v>156.30000000000001</v>
      </c>
      <c r="BG1093" s="1">
        <v>160.59</v>
      </c>
      <c r="BH1093" s="1">
        <v>152.53</v>
      </c>
      <c r="BI1093" s="1">
        <v>154.69</v>
      </c>
      <c r="BJ1093" s="1">
        <v>159.99</v>
      </c>
      <c r="BL1093" s="1">
        <v>145.02000000000001</v>
      </c>
      <c r="BN1093" s="1">
        <v>144.97</v>
      </c>
    </row>
    <row r="1094" spans="1:66" x14ac:dyDescent="0.3">
      <c r="A1094" s="2"/>
      <c r="C1094" s="14" t="str">
        <f t="shared" ref="C1094:C1157" si="18">YEAR(D1094)&amp;MONTH(D1094)</f>
        <v>202111</v>
      </c>
      <c r="D1094" s="3">
        <v>44511</v>
      </c>
      <c r="E1094" s="21">
        <v>2105.5500000000002</v>
      </c>
      <c r="F1094" s="21">
        <v>2086.5</v>
      </c>
      <c r="G1094" s="21">
        <v>2187.6999999999998</v>
      </c>
      <c r="H1094" s="21">
        <v>2047.07</v>
      </c>
      <c r="I1094" s="21">
        <v>2094.4499999999998</v>
      </c>
      <c r="J1094" s="21">
        <v>2274.06</v>
      </c>
      <c r="K1094" s="21">
        <v>1983.44</v>
      </c>
      <c r="L1094" s="21"/>
      <c r="M1094" s="21">
        <v>2060.5</v>
      </c>
      <c r="N1094" s="21">
        <v>1927.23</v>
      </c>
      <c r="O1094" s="21">
        <v>2257.75</v>
      </c>
      <c r="P1094" s="21">
        <v>2003.65</v>
      </c>
      <c r="Q1094" s="21">
        <v>8273.23</v>
      </c>
      <c r="R1094" s="20">
        <v>149.36000000000001</v>
      </c>
      <c r="S1094" s="20">
        <v>141.16999999999999</v>
      </c>
      <c r="T1094" s="21">
        <v>151.38999999999999</v>
      </c>
      <c r="V1094" s="1">
        <v>148.06</v>
      </c>
      <c r="W1094" s="1">
        <v>150.91999999999999</v>
      </c>
      <c r="X1094" s="1">
        <v>155.34</v>
      </c>
      <c r="Y1094" s="1">
        <v>149.54</v>
      </c>
      <c r="Z1094" s="1">
        <v>149.99</v>
      </c>
      <c r="AA1094" s="1">
        <v>147.83000000000001</v>
      </c>
      <c r="AB1094" s="1">
        <v>154.62</v>
      </c>
      <c r="AE1094" s="1">
        <v>160.25</v>
      </c>
      <c r="AF1094" s="1">
        <v>153.88</v>
      </c>
      <c r="AG1094" s="1">
        <v>145.22999999999999</v>
      </c>
      <c r="AX1094" s="1">
        <v>148.80000000000001</v>
      </c>
      <c r="BA1094" s="1">
        <v>149.51</v>
      </c>
      <c r="BB1094" s="1">
        <v>157.16</v>
      </c>
      <c r="BC1094" s="1">
        <v>155.13999999999999</v>
      </c>
      <c r="BD1094" s="1">
        <v>154.58000000000001</v>
      </c>
      <c r="BE1094" s="1">
        <v>152.19999999999999</v>
      </c>
      <c r="BF1094" s="1">
        <v>155.63</v>
      </c>
      <c r="BG1094" s="1">
        <v>160.13999999999999</v>
      </c>
      <c r="BH1094" s="1">
        <v>154.86000000000001</v>
      </c>
      <c r="BI1094" s="1">
        <v>156.47999999999999</v>
      </c>
      <c r="BJ1094" s="1">
        <v>163.03</v>
      </c>
      <c r="BL1094" s="1">
        <v>144.63999999999999</v>
      </c>
      <c r="BN1094" s="1">
        <v>144.59</v>
      </c>
    </row>
    <row r="1095" spans="1:66" x14ac:dyDescent="0.3">
      <c r="A1095" s="2"/>
      <c r="C1095" s="14" t="str">
        <f t="shared" si="18"/>
        <v>202111</v>
      </c>
      <c r="D1095" s="3">
        <v>44510</v>
      </c>
      <c r="E1095" s="21">
        <v>2107.21</v>
      </c>
      <c r="F1095" s="21">
        <v>2098.92</v>
      </c>
      <c r="G1095" s="21">
        <v>2187.6999999999998</v>
      </c>
      <c r="H1095" s="21">
        <v>2045.12</v>
      </c>
      <c r="I1095" s="21">
        <v>2094.4499999999998</v>
      </c>
      <c r="J1095" s="21">
        <v>2333.33</v>
      </c>
      <c r="K1095" s="21">
        <v>1979.19</v>
      </c>
      <c r="L1095" s="21"/>
      <c r="M1095" s="21">
        <v>2115.7800000000002</v>
      </c>
      <c r="N1095" s="21">
        <v>1937.5</v>
      </c>
      <c r="O1095" s="21">
        <v>2257.19</v>
      </c>
      <c r="P1095" s="21">
        <v>1989.62</v>
      </c>
      <c r="Q1095" s="21">
        <v>8292.4500000000007</v>
      </c>
      <c r="R1095" s="20">
        <v>146.36000000000001</v>
      </c>
      <c r="S1095" s="20">
        <v>142.16999999999999</v>
      </c>
      <c r="T1095" s="21">
        <v>149.72</v>
      </c>
      <c r="V1095" s="1">
        <v>147.35</v>
      </c>
      <c r="W1095" s="1">
        <v>150.32</v>
      </c>
      <c r="X1095" s="1">
        <v>155.41999999999999</v>
      </c>
      <c r="Y1095" s="1">
        <v>149.22</v>
      </c>
      <c r="Z1095" s="1">
        <v>148.56</v>
      </c>
      <c r="AA1095" s="1">
        <v>148.94999999999999</v>
      </c>
      <c r="AB1095" s="1">
        <v>154.44</v>
      </c>
      <c r="AE1095" s="1">
        <v>160.52000000000001</v>
      </c>
      <c r="AF1095" s="1">
        <v>152.91999999999999</v>
      </c>
      <c r="AG1095" s="1">
        <v>146.97999999999999</v>
      </c>
      <c r="AI1095" s="1">
        <v>30</v>
      </c>
      <c r="AN1095" s="1">
        <v>3210.01</v>
      </c>
      <c r="AX1095" s="1">
        <v>149.80000000000001</v>
      </c>
      <c r="BA1095" s="1">
        <v>150.06</v>
      </c>
      <c r="BB1095" s="1">
        <v>157.6</v>
      </c>
      <c r="BC1095" s="1">
        <v>156.34</v>
      </c>
      <c r="BD1095" s="1">
        <v>154.51</v>
      </c>
      <c r="BE1095" s="1">
        <v>151.66</v>
      </c>
      <c r="BF1095" s="1">
        <v>152.83000000000001</v>
      </c>
      <c r="BG1095" s="1">
        <v>160.12</v>
      </c>
      <c r="BH1095" s="1">
        <v>154.86000000000001</v>
      </c>
      <c r="BI1095" s="1">
        <v>156.47999999999999</v>
      </c>
      <c r="BJ1095" s="1">
        <v>163.02000000000001</v>
      </c>
      <c r="BL1095" s="1">
        <v>144.38999999999999</v>
      </c>
      <c r="BN1095" s="1">
        <v>143.84</v>
      </c>
    </row>
    <row r="1096" spans="1:66" x14ac:dyDescent="0.3">
      <c r="A1096" s="2"/>
      <c r="C1096" s="14" t="str">
        <f t="shared" si="18"/>
        <v>202111</v>
      </c>
      <c r="D1096" s="3">
        <v>44509</v>
      </c>
      <c r="E1096" s="21">
        <v>2082.3000000000002</v>
      </c>
      <c r="F1096" s="21">
        <v>2094.7800000000002</v>
      </c>
      <c r="G1096" s="21">
        <v>2187.6999999999998</v>
      </c>
      <c r="H1096" s="21">
        <v>2020.97</v>
      </c>
      <c r="I1096" s="21">
        <v>2126.2399999999998</v>
      </c>
      <c r="J1096" s="21">
        <v>2205.4299999999998</v>
      </c>
      <c r="K1096" s="21">
        <v>1979.21</v>
      </c>
      <c r="L1096" s="21"/>
      <c r="M1096" s="21">
        <v>2076.86</v>
      </c>
      <c r="N1096" s="21">
        <v>1919.55</v>
      </c>
      <c r="O1096" s="21">
        <v>2268</v>
      </c>
      <c r="P1096" s="21">
        <v>1975.69</v>
      </c>
      <c r="Q1096" s="21">
        <v>8222.76</v>
      </c>
      <c r="R1096" s="20">
        <v>147.06</v>
      </c>
      <c r="S1096" s="20">
        <v>141.16999999999999</v>
      </c>
      <c r="T1096" s="21">
        <v>150.03</v>
      </c>
      <c r="V1096" s="1">
        <v>150.22999999999999</v>
      </c>
      <c r="W1096" s="1">
        <v>152.46</v>
      </c>
      <c r="X1096" s="1">
        <v>154.66</v>
      </c>
      <c r="Y1096" s="1">
        <v>148.43</v>
      </c>
      <c r="Z1096" s="1">
        <v>149.41999999999999</v>
      </c>
      <c r="AA1096" s="1">
        <v>149.22</v>
      </c>
      <c r="AB1096" s="1">
        <v>154.37</v>
      </c>
      <c r="AE1096" s="1">
        <v>161.08000000000001</v>
      </c>
      <c r="AF1096" s="1">
        <v>154.35</v>
      </c>
      <c r="AG1096" s="1">
        <v>151.72</v>
      </c>
      <c r="AI1096" s="1">
        <v>30</v>
      </c>
      <c r="AN1096" s="1">
        <v>3300</v>
      </c>
      <c r="AO1096" s="1">
        <v>7</v>
      </c>
      <c r="AT1096" s="1">
        <v>3658</v>
      </c>
      <c r="AX1096" s="1">
        <v>156.77000000000001</v>
      </c>
      <c r="BA1096" s="1">
        <v>151.03</v>
      </c>
      <c r="BB1096" s="1">
        <v>156.81</v>
      </c>
      <c r="BC1096" s="1">
        <v>155.84</v>
      </c>
      <c r="BD1096" s="1">
        <v>153.96</v>
      </c>
      <c r="BE1096" s="1">
        <v>152.78</v>
      </c>
      <c r="BF1096" s="1">
        <v>154.58000000000001</v>
      </c>
      <c r="BG1096" s="1">
        <v>161.16</v>
      </c>
      <c r="BH1096" s="1">
        <v>157.85</v>
      </c>
      <c r="BI1096" s="1">
        <v>156.47999999999999</v>
      </c>
      <c r="BJ1096" s="1">
        <v>163.01</v>
      </c>
      <c r="BL1096" s="1">
        <v>143.99</v>
      </c>
      <c r="BN1096" s="1">
        <v>143.94</v>
      </c>
    </row>
    <row r="1097" spans="1:66" x14ac:dyDescent="0.3">
      <c r="A1097" s="2"/>
      <c r="C1097" s="14" t="str">
        <f t="shared" si="18"/>
        <v>202111</v>
      </c>
      <c r="D1097" s="3">
        <v>44508</v>
      </c>
      <c r="E1097" s="21">
        <v>2116.06</v>
      </c>
      <c r="F1097" s="21">
        <v>2149.4299999999998</v>
      </c>
      <c r="G1097" s="21">
        <v>2229.9299999999998</v>
      </c>
      <c r="H1097" s="21">
        <v>2007.34</v>
      </c>
      <c r="I1097" s="21">
        <v>2163.5</v>
      </c>
      <c r="J1097" s="21">
        <v>2270.58</v>
      </c>
      <c r="K1097" s="21">
        <v>1993.45</v>
      </c>
      <c r="L1097" s="21"/>
      <c r="M1097" s="21">
        <v>2064.89</v>
      </c>
      <c r="N1097" s="21">
        <v>1940.82</v>
      </c>
      <c r="O1097" s="21">
        <v>2304</v>
      </c>
      <c r="P1097" s="21">
        <v>1995.62</v>
      </c>
      <c r="Q1097" s="21">
        <v>8276.42</v>
      </c>
      <c r="R1097" s="20">
        <v>146.46</v>
      </c>
      <c r="S1097" s="20">
        <v>142.88</v>
      </c>
      <c r="T1097" s="21">
        <v>150.76</v>
      </c>
      <c r="V1097" s="1">
        <v>152.06</v>
      </c>
      <c r="W1097" s="1">
        <v>151.86000000000001</v>
      </c>
      <c r="X1097" s="1">
        <v>154.78</v>
      </c>
      <c r="Y1097" s="1">
        <v>150.47999999999999</v>
      </c>
      <c r="Z1097" s="1">
        <v>150.41999999999999</v>
      </c>
      <c r="AA1097" s="1">
        <v>149.19</v>
      </c>
      <c r="AB1097" s="1">
        <v>154.5</v>
      </c>
      <c r="AE1097" s="1">
        <v>161.57</v>
      </c>
      <c r="AF1097" s="1">
        <v>155.06</v>
      </c>
      <c r="AG1097" s="1">
        <v>154</v>
      </c>
      <c r="AI1097" s="1">
        <v>30</v>
      </c>
      <c r="AN1097" s="1">
        <v>3300</v>
      </c>
      <c r="AO1097" s="1">
        <v>7</v>
      </c>
      <c r="AT1097" s="1">
        <v>3658</v>
      </c>
      <c r="AX1097" s="1">
        <v>156.19999999999999</v>
      </c>
      <c r="BA1097" s="1">
        <v>152.85</v>
      </c>
      <c r="BB1097" s="1">
        <v>157.26</v>
      </c>
      <c r="BC1097" s="1">
        <v>157.19</v>
      </c>
      <c r="BD1097" s="1">
        <v>154.43</v>
      </c>
      <c r="BE1097" s="1">
        <v>157.4</v>
      </c>
      <c r="BF1097" s="1">
        <v>158.91999999999999</v>
      </c>
      <c r="BG1097" s="1">
        <v>161.51</v>
      </c>
      <c r="BH1097" s="1">
        <v>157.85</v>
      </c>
      <c r="BI1097" s="1">
        <v>156.97999999999999</v>
      </c>
      <c r="BJ1097" s="1">
        <v>164.81</v>
      </c>
      <c r="BL1097" s="1">
        <v>145.49</v>
      </c>
      <c r="BN1097" s="1">
        <v>145.44</v>
      </c>
    </row>
    <row r="1098" spans="1:66" x14ac:dyDescent="0.3">
      <c r="A1098" s="2"/>
      <c r="C1098" s="14" t="str">
        <f t="shared" si="18"/>
        <v>202111</v>
      </c>
      <c r="D1098" s="3">
        <v>44505</v>
      </c>
      <c r="E1098" s="21">
        <v>2126.02</v>
      </c>
      <c r="F1098" s="21">
        <v>2161.85</v>
      </c>
      <c r="G1098" s="21">
        <v>2262.2600000000002</v>
      </c>
      <c r="H1098" s="21">
        <v>2011.41</v>
      </c>
      <c r="I1098" s="21">
        <v>2235.54</v>
      </c>
      <c r="J1098" s="21">
        <v>2323.9499999999998</v>
      </c>
      <c r="K1098" s="21">
        <v>2050.61</v>
      </c>
      <c r="L1098" s="21"/>
      <c r="M1098" s="21">
        <v>2135.7199999999998</v>
      </c>
      <c r="N1098" s="21">
        <v>1952.28</v>
      </c>
      <c r="O1098" s="21">
        <v>2367.5</v>
      </c>
      <c r="P1098" s="21">
        <v>2063.4</v>
      </c>
      <c r="Q1098" s="21">
        <v>8350.11</v>
      </c>
      <c r="R1098" s="20">
        <v>148.37</v>
      </c>
      <c r="S1098" s="20">
        <v>144.03</v>
      </c>
      <c r="T1098" s="21">
        <v>155.09</v>
      </c>
      <c r="V1098" s="1">
        <v>154.24</v>
      </c>
      <c r="W1098" s="1">
        <v>154.13</v>
      </c>
      <c r="X1098" s="1">
        <v>156.44</v>
      </c>
      <c r="Y1098" s="1">
        <v>153.1</v>
      </c>
      <c r="Z1098" s="1">
        <v>154</v>
      </c>
      <c r="AA1098" s="1">
        <v>150.05000000000001</v>
      </c>
      <c r="AB1098" s="1">
        <v>156.74</v>
      </c>
      <c r="AE1098" s="1">
        <v>162.32</v>
      </c>
      <c r="AF1098" s="1">
        <v>158.44999999999999</v>
      </c>
      <c r="AG1098" s="1">
        <v>150.26</v>
      </c>
      <c r="AI1098" s="1">
        <v>30</v>
      </c>
      <c r="AN1098" s="1">
        <v>3300</v>
      </c>
      <c r="AO1098" s="1">
        <v>7</v>
      </c>
      <c r="AT1098" s="1">
        <v>3378.94</v>
      </c>
      <c r="AX1098" s="1">
        <v>152.75</v>
      </c>
      <c r="BA1098" s="1">
        <v>153.04</v>
      </c>
      <c r="BB1098" s="1">
        <v>159.9</v>
      </c>
      <c r="BC1098" s="1">
        <v>159.25</v>
      </c>
      <c r="BD1098" s="1">
        <v>158.9</v>
      </c>
      <c r="BE1098" s="1">
        <v>157.94999999999999</v>
      </c>
      <c r="BF1098" s="1">
        <v>160.81</v>
      </c>
      <c r="BG1098" s="1">
        <v>163.91</v>
      </c>
      <c r="BH1098" s="1">
        <v>160.33000000000001</v>
      </c>
      <c r="BI1098" s="1">
        <v>158.88</v>
      </c>
      <c r="BJ1098" s="1">
        <v>167.44</v>
      </c>
      <c r="BL1098" s="1">
        <v>147.56</v>
      </c>
      <c r="BN1098" s="1">
        <v>147.51</v>
      </c>
    </row>
    <row r="1099" spans="1:66" x14ac:dyDescent="0.3">
      <c r="A1099" s="2"/>
      <c r="C1099" s="14" t="str">
        <f t="shared" si="18"/>
        <v>202111</v>
      </c>
      <c r="D1099" s="3">
        <v>44504</v>
      </c>
      <c r="E1099" s="21">
        <v>2173.5500000000002</v>
      </c>
      <c r="F1099" s="21">
        <v>2178.41</v>
      </c>
      <c r="G1099" s="21">
        <v>2245.4699999999998</v>
      </c>
      <c r="H1099" s="21">
        <v>2015.67</v>
      </c>
      <c r="I1099" s="21">
        <v>2235.54</v>
      </c>
      <c r="J1099" s="21">
        <v>2300.4899999999998</v>
      </c>
      <c r="K1099" s="21">
        <v>2050.61</v>
      </c>
      <c r="L1099" s="21"/>
      <c r="M1099" s="21">
        <v>2094.63</v>
      </c>
      <c r="N1099" s="21">
        <v>1984.25</v>
      </c>
      <c r="O1099" s="21">
        <v>2316</v>
      </c>
      <c r="P1099" s="21">
        <v>2063.4</v>
      </c>
      <c r="Q1099" s="21">
        <v>8483.98</v>
      </c>
      <c r="R1099" s="20">
        <v>152.05000000000001</v>
      </c>
      <c r="S1099" s="20">
        <v>147.46</v>
      </c>
      <c r="T1099" s="21">
        <v>156</v>
      </c>
      <c r="V1099" s="1">
        <v>156.55000000000001</v>
      </c>
      <c r="W1099" s="1">
        <v>157.25</v>
      </c>
      <c r="X1099" s="1">
        <v>159.12</v>
      </c>
      <c r="Y1099" s="1">
        <v>154.38999999999999</v>
      </c>
      <c r="Z1099" s="1">
        <v>154</v>
      </c>
      <c r="AA1099" s="1">
        <v>153.25</v>
      </c>
      <c r="AB1099" s="1">
        <v>158.44</v>
      </c>
      <c r="AE1099" s="1">
        <v>166.96</v>
      </c>
      <c r="AF1099" s="1">
        <v>158.33000000000001</v>
      </c>
      <c r="AG1099" s="1">
        <v>151.96</v>
      </c>
      <c r="AI1099" s="1">
        <v>30</v>
      </c>
      <c r="AN1099" s="1">
        <v>3300</v>
      </c>
      <c r="AO1099" s="1">
        <v>7</v>
      </c>
      <c r="AT1099" s="1">
        <v>3378.94</v>
      </c>
      <c r="AX1099" s="1">
        <v>153.4</v>
      </c>
      <c r="BA1099" s="1">
        <v>156.58000000000001</v>
      </c>
      <c r="BB1099" s="1">
        <v>162.77000000000001</v>
      </c>
      <c r="BC1099" s="1">
        <v>165</v>
      </c>
      <c r="BD1099" s="1">
        <v>159.77000000000001</v>
      </c>
      <c r="BE1099" s="1">
        <v>161.29</v>
      </c>
      <c r="BF1099" s="1">
        <v>163.99</v>
      </c>
      <c r="BG1099" s="1">
        <v>167.23</v>
      </c>
      <c r="BH1099" s="1">
        <v>162.84</v>
      </c>
      <c r="BI1099" s="1">
        <v>159.88</v>
      </c>
      <c r="BJ1099" s="1">
        <v>167.44</v>
      </c>
      <c r="BL1099" s="1">
        <v>150.76</v>
      </c>
      <c r="BN1099" s="1">
        <v>151.1</v>
      </c>
    </row>
    <row r="1100" spans="1:66" x14ac:dyDescent="0.3">
      <c r="A1100" s="2"/>
      <c r="C1100" s="14" t="str">
        <f t="shared" si="18"/>
        <v>202111</v>
      </c>
      <c r="D1100" s="3">
        <v>44503</v>
      </c>
      <c r="E1100" s="21">
        <v>2176.87</v>
      </c>
      <c r="F1100" s="21">
        <v>2178.41</v>
      </c>
      <c r="G1100" s="21">
        <v>2274.6999999999998</v>
      </c>
      <c r="H1100" s="21">
        <v>2036.19</v>
      </c>
      <c r="I1100" s="21">
        <v>2235.54</v>
      </c>
      <c r="J1100" s="21">
        <v>2326.67</v>
      </c>
      <c r="K1100" s="21">
        <v>2050.61</v>
      </c>
      <c r="L1100" s="21"/>
      <c r="M1100" s="21">
        <v>2089.04</v>
      </c>
      <c r="N1100" s="21">
        <v>2001.86</v>
      </c>
      <c r="O1100" s="21">
        <v>2316</v>
      </c>
      <c r="P1100" s="21">
        <v>2063.4</v>
      </c>
      <c r="Q1100" s="21">
        <v>8549.43</v>
      </c>
      <c r="R1100" s="20">
        <v>152.25</v>
      </c>
      <c r="S1100" s="20">
        <v>150.4</v>
      </c>
      <c r="T1100" s="21">
        <v>157.99</v>
      </c>
      <c r="V1100" s="1">
        <v>157.91999999999999</v>
      </c>
      <c r="W1100" s="1">
        <v>160.51</v>
      </c>
      <c r="X1100" s="1">
        <v>160.28</v>
      </c>
      <c r="Y1100" s="1">
        <v>158.16</v>
      </c>
      <c r="Z1100" s="1">
        <v>159</v>
      </c>
      <c r="AA1100" s="1">
        <v>154.33000000000001</v>
      </c>
      <c r="AB1100" s="1">
        <v>160.87</v>
      </c>
      <c r="AE1100" s="1">
        <v>167.09</v>
      </c>
      <c r="AF1100" s="1">
        <v>162.76</v>
      </c>
      <c r="AG1100" s="1">
        <v>154.63999999999999</v>
      </c>
      <c r="AO1100" s="1">
        <v>7</v>
      </c>
      <c r="AT1100" s="1">
        <v>3378.94</v>
      </c>
      <c r="AX1100" s="1">
        <v>161.13</v>
      </c>
      <c r="BA1100" s="1">
        <v>160.93</v>
      </c>
      <c r="BB1100" s="1">
        <v>166.07</v>
      </c>
      <c r="BC1100" s="1">
        <v>166.97</v>
      </c>
      <c r="BD1100" s="1">
        <v>165.51</v>
      </c>
      <c r="BE1100" s="1">
        <v>162.49</v>
      </c>
      <c r="BF1100" s="1">
        <v>163.78</v>
      </c>
      <c r="BG1100" s="1">
        <v>167.37</v>
      </c>
      <c r="BH1100" s="1">
        <v>163.61000000000001</v>
      </c>
      <c r="BI1100" s="1">
        <v>161.47999999999999</v>
      </c>
      <c r="BJ1100" s="1">
        <v>167.88</v>
      </c>
      <c r="BK1100" s="1">
        <v>153.27000000000001</v>
      </c>
      <c r="BL1100" s="1">
        <v>153.25</v>
      </c>
      <c r="BN1100" s="1">
        <v>153.44999999999999</v>
      </c>
    </row>
    <row r="1101" spans="1:66" x14ac:dyDescent="0.3">
      <c r="A1101" s="2"/>
      <c r="C1101" s="14" t="str">
        <f t="shared" si="18"/>
        <v>202111</v>
      </c>
      <c r="D1101" s="3">
        <v>44501</v>
      </c>
      <c r="E1101" s="21">
        <v>2155.2800000000002</v>
      </c>
      <c r="F1101" s="21">
        <v>2178.41</v>
      </c>
      <c r="G1101" s="21">
        <v>2245.4699999999998</v>
      </c>
      <c r="H1101" s="21">
        <v>2036.55</v>
      </c>
      <c r="I1101" s="21">
        <v>2235.54</v>
      </c>
      <c r="J1101" s="21">
        <v>2321.67</v>
      </c>
      <c r="K1101" s="21">
        <v>2054.37</v>
      </c>
      <c r="L1101" s="21"/>
      <c r="M1101" s="21">
        <v>2089.04</v>
      </c>
      <c r="N1101" s="21">
        <v>1958.44</v>
      </c>
      <c r="O1101" s="21">
        <v>2332</v>
      </c>
      <c r="P1101" s="21">
        <v>2063.4</v>
      </c>
      <c r="Q1101" s="21">
        <v>8550.24</v>
      </c>
      <c r="R1101" s="20">
        <v>152.25</v>
      </c>
      <c r="S1101" s="20">
        <v>152.38999999999999</v>
      </c>
      <c r="T1101" s="21">
        <v>159.13999999999999</v>
      </c>
      <c r="V1101" s="1">
        <v>157.91999999999999</v>
      </c>
      <c r="W1101" s="1">
        <v>161.72999999999999</v>
      </c>
      <c r="X1101" s="1">
        <v>160.28</v>
      </c>
      <c r="Y1101" s="1">
        <v>158.41999999999999</v>
      </c>
      <c r="Z1101" s="1">
        <v>158.99</v>
      </c>
      <c r="AA1101" s="1">
        <v>155.15</v>
      </c>
      <c r="AB1101" s="1">
        <v>160.66</v>
      </c>
      <c r="AE1101" s="1">
        <v>166.8</v>
      </c>
      <c r="AF1101" s="1">
        <v>164.81</v>
      </c>
      <c r="AG1101" s="1">
        <v>157.13999999999999</v>
      </c>
      <c r="AS1101" s="1">
        <v>3733.95</v>
      </c>
      <c r="AT1101" s="1">
        <v>3099.89</v>
      </c>
      <c r="AW1101" s="1">
        <v>4106.34</v>
      </c>
      <c r="AX1101" s="1">
        <v>161.66999999999999</v>
      </c>
      <c r="BA1101" s="1">
        <v>161.76</v>
      </c>
      <c r="BB1101" s="1">
        <v>169.15</v>
      </c>
      <c r="BC1101" s="1">
        <v>167.2</v>
      </c>
      <c r="BD1101" s="1">
        <v>166.67</v>
      </c>
      <c r="BE1101" s="1">
        <v>163.30000000000001</v>
      </c>
      <c r="BF1101" s="1">
        <v>164.8</v>
      </c>
      <c r="BG1101" s="1">
        <v>167.58</v>
      </c>
      <c r="BH1101" s="1">
        <v>162.26</v>
      </c>
      <c r="BI1101" s="1">
        <v>161.47999999999999</v>
      </c>
      <c r="BJ1101" s="1">
        <v>167.86</v>
      </c>
      <c r="BK1101" s="1">
        <v>153.51</v>
      </c>
      <c r="BL1101" s="1">
        <v>154.13</v>
      </c>
      <c r="BN1101" s="1">
        <v>153.83000000000001</v>
      </c>
    </row>
    <row r="1102" spans="1:66" x14ac:dyDescent="0.3">
      <c r="A1102" s="2"/>
      <c r="C1102" s="14" t="str">
        <f t="shared" si="18"/>
        <v>202110</v>
      </c>
      <c r="D1102" s="3">
        <v>44498</v>
      </c>
      <c r="E1102" s="21">
        <v>2159.0500000000002</v>
      </c>
      <c r="F1102" s="21">
        <v>2179.06</v>
      </c>
      <c r="G1102" s="21">
        <v>2270.31</v>
      </c>
      <c r="H1102" s="21">
        <v>2023.88</v>
      </c>
      <c r="I1102" s="21">
        <v>2236.21</v>
      </c>
      <c r="J1102" s="21">
        <v>2360</v>
      </c>
      <c r="K1102" s="21">
        <v>2057.14</v>
      </c>
      <c r="L1102" s="21"/>
      <c r="M1102" s="21"/>
      <c r="N1102" s="21">
        <v>1952.52</v>
      </c>
      <c r="O1102" s="21">
        <v>2289.39</v>
      </c>
      <c r="P1102" s="21">
        <v>2073.66</v>
      </c>
      <c r="Q1102" s="21">
        <v>8518.7800000000007</v>
      </c>
      <c r="R1102" s="20">
        <v>152.26</v>
      </c>
      <c r="S1102" s="20">
        <v>152.41</v>
      </c>
      <c r="T1102" s="21">
        <v>159.47</v>
      </c>
      <c r="V1102" s="1">
        <v>157.91999999999999</v>
      </c>
      <c r="W1102" s="1">
        <v>161.07</v>
      </c>
      <c r="X1102" s="1">
        <v>160.19999999999999</v>
      </c>
      <c r="Y1102" s="1">
        <v>159.65</v>
      </c>
      <c r="Z1102" s="1">
        <v>158.99</v>
      </c>
      <c r="AA1102" s="1">
        <v>155.29</v>
      </c>
      <c r="AB1102" s="1">
        <v>160.44</v>
      </c>
      <c r="AE1102" s="1">
        <v>165.01</v>
      </c>
      <c r="AF1102" s="1">
        <v>164.69</v>
      </c>
      <c r="AG1102" s="1">
        <v>154.85</v>
      </c>
      <c r="AS1102" s="1">
        <v>3732.86</v>
      </c>
      <c r="AW1102" s="1">
        <v>4105.1400000000003</v>
      </c>
      <c r="AX1102" s="1">
        <v>162.47999999999999</v>
      </c>
      <c r="BA1102" s="1">
        <v>163.6</v>
      </c>
      <c r="BB1102" s="1">
        <v>169.29</v>
      </c>
      <c r="BC1102" s="1">
        <v>166.8</v>
      </c>
      <c r="BD1102" s="1">
        <v>167.06</v>
      </c>
      <c r="BE1102" s="1">
        <v>163.69</v>
      </c>
      <c r="BF1102" s="1">
        <v>164.8</v>
      </c>
      <c r="BG1102" s="1">
        <v>167.18</v>
      </c>
      <c r="BH1102" s="1">
        <v>162.56</v>
      </c>
      <c r="BI1102" s="1">
        <v>161.59</v>
      </c>
      <c r="BJ1102" s="1">
        <v>169.13</v>
      </c>
      <c r="BK1102" s="1">
        <v>154.24</v>
      </c>
      <c r="BL1102" s="1">
        <v>154.88999999999999</v>
      </c>
      <c r="BN1102" s="1">
        <v>154.25</v>
      </c>
    </row>
    <row r="1103" spans="1:66" x14ac:dyDescent="0.3">
      <c r="A1103" s="2"/>
      <c r="C1103" s="14" t="str">
        <f t="shared" si="18"/>
        <v>202110</v>
      </c>
      <c r="D1103" s="3">
        <v>44497</v>
      </c>
      <c r="E1103" s="21">
        <v>2169.11</v>
      </c>
      <c r="F1103" s="21">
        <v>2208.0700000000002</v>
      </c>
      <c r="G1103" s="21">
        <v>2287.5500000000002</v>
      </c>
      <c r="H1103" s="21">
        <v>2015.46</v>
      </c>
      <c r="I1103" s="21">
        <v>2194.0500000000002</v>
      </c>
      <c r="J1103" s="21">
        <v>2337.5</v>
      </c>
      <c r="K1103" s="21">
        <v>2102.65</v>
      </c>
      <c r="L1103" s="21"/>
      <c r="M1103" s="21"/>
      <c r="N1103" s="21">
        <v>1988.5</v>
      </c>
      <c r="O1103" s="21">
        <v>2322</v>
      </c>
      <c r="P1103" s="21">
        <v>2094.66</v>
      </c>
      <c r="Q1103" s="21">
        <v>8439.34</v>
      </c>
      <c r="R1103" s="20">
        <v>151.47999999999999</v>
      </c>
      <c r="S1103" s="20">
        <v>151.80000000000001</v>
      </c>
      <c r="T1103" s="21">
        <v>160.06</v>
      </c>
      <c r="V1103" s="1">
        <v>156.66</v>
      </c>
      <c r="W1103" s="1">
        <v>161.84</v>
      </c>
      <c r="X1103" s="1">
        <v>159.13999999999999</v>
      </c>
      <c r="Y1103" s="1">
        <v>159.56</v>
      </c>
      <c r="Z1103" s="1">
        <v>159.71</v>
      </c>
      <c r="AA1103" s="1">
        <v>154.71</v>
      </c>
      <c r="AB1103" s="1">
        <v>159.15</v>
      </c>
      <c r="AE1103" s="1">
        <v>169.32</v>
      </c>
      <c r="AF1103" s="1">
        <v>164</v>
      </c>
      <c r="AG1103" s="1">
        <v>158.38</v>
      </c>
      <c r="AS1103" s="1">
        <v>3728.5</v>
      </c>
      <c r="AW1103" s="1">
        <v>4100.34</v>
      </c>
      <c r="AX1103" s="1">
        <v>162.36000000000001</v>
      </c>
      <c r="BA1103" s="1">
        <v>161.81</v>
      </c>
      <c r="BB1103" s="1">
        <v>169.41</v>
      </c>
      <c r="BC1103" s="1">
        <v>167.73</v>
      </c>
      <c r="BD1103" s="1">
        <v>166.63</v>
      </c>
      <c r="BE1103" s="1">
        <v>163.16</v>
      </c>
      <c r="BF1103" s="1">
        <v>163.63999999999999</v>
      </c>
      <c r="BG1103" s="1">
        <v>168.88</v>
      </c>
      <c r="BH1103" s="1">
        <v>161.88</v>
      </c>
      <c r="BI1103" s="1">
        <v>161.93</v>
      </c>
      <c r="BJ1103" s="1">
        <v>169.33</v>
      </c>
      <c r="BK1103" s="1">
        <v>154.43</v>
      </c>
      <c r="BL1103" s="1">
        <v>155.43</v>
      </c>
      <c r="BN1103" s="1">
        <v>154.69</v>
      </c>
    </row>
    <row r="1104" spans="1:66" x14ac:dyDescent="0.3">
      <c r="A1104" s="2"/>
      <c r="C1104" s="14" t="str">
        <f t="shared" si="18"/>
        <v>202110</v>
      </c>
      <c r="D1104" s="3">
        <v>44496</v>
      </c>
      <c r="E1104" s="21">
        <v>2180.4899999999998</v>
      </c>
      <c r="F1104" s="21">
        <v>2218.92</v>
      </c>
      <c r="G1104" s="21">
        <v>2285.79</v>
      </c>
      <c r="H1104" s="21">
        <v>1996.38</v>
      </c>
      <c r="I1104" s="21">
        <v>2194.0500000000002</v>
      </c>
      <c r="J1104" s="21">
        <v>2345</v>
      </c>
      <c r="K1104" s="21">
        <v>2102.65</v>
      </c>
      <c r="L1104" s="21"/>
      <c r="M1104" s="21">
        <v>2227.71</v>
      </c>
      <c r="N1104" s="21">
        <v>1980.84</v>
      </c>
      <c r="O1104" s="21">
        <v>2340</v>
      </c>
      <c r="P1104" s="21">
        <v>2094.66</v>
      </c>
      <c r="Q1104" s="21">
        <v>8514.7099999999991</v>
      </c>
      <c r="R1104" s="20">
        <v>151.28</v>
      </c>
      <c r="S1104" s="20">
        <v>152.22999999999999</v>
      </c>
      <c r="T1104" s="21">
        <v>157.75</v>
      </c>
      <c r="V1104" s="1">
        <v>156.65</v>
      </c>
      <c r="W1104" s="1">
        <v>161.80000000000001</v>
      </c>
      <c r="X1104" s="1">
        <v>159.31</v>
      </c>
      <c r="Y1104" s="1">
        <v>159.94</v>
      </c>
      <c r="Z1104" s="1">
        <v>160.66999999999999</v>
      </c>
      <c r="AA1104" s="1">
        <v>153.38999999999999</v>
      </c>
      <c r="AB1104" s="1">
        <v>159.16</v>
      </c>
      <c r="AE1104" s="1">
        <v>168.95</v>
      </c>
      <c r="AF1104" s="1">
        <v>161.38</v>
      </c>
      <c r="AG1104" s="1">
        <v>158.12</v>
      </c>
      <c r="AS1104" s="1">
        <v>3728.5</v>
      </c>
      <c r="AW1104" s="1">
        <v>4100.34</v>
      </c>
      <c r="AX1104" s="1">
        <v>162.16999999999999</v>
      </c>
      <c r="BA1104" s="1">
        <v>161.25</v>
      </c>
      <c r="BB1104" s="1">
        <v>169.42</v>
      </c>
      <c r="BC1104" s="1">
        <v>168.11</v>
      </c>
      <c r="BD1104" s="1">
        <v>167.36</v>
      </c>
      <c r="BE1104" s="1">
        <v>161.71</v>
      </c>
      <c r="BF1104" s="1">
        <v>163.71</v>
      </c>
      <c r="BG1104" s="1">
        <v>168.9</v>
      </c>
      <c r="BH1104" s="1">
        <v>161.68</v>
      </c>
      <c r="BI1104" s="1">
        <v>161.93</v>
      </c>
      <c r="BJ1104" s="1">
        <v>169.33</v>
      </c>
      <c r="BK1104" s="1">
        <v>154.44999999999999</v>
      </c>
      <c r="BL1104" s="1">
        <v>155.94</v>
      </c>
      <c r="BN1104" s="1">
        <v>155.06</v>
      </c>
    </row>
    <row r="1105" spans="1:66" x14ac:dyDescent="0.3">
      <c r="A1105" s="2"/>
      <c r="C1105" s="14" t="str">
        <f t="shared" si="18"/>
        <v>202110</v>
      </c>
      <c r="D1105" s="3">
        <v>44495</v>
      </c>
      <c r="E1105" s="21">
        <v>2164.23</v>
      </c>
      <c r="F1105" s="21">
        <v>2230.6799999999998</v>
      </c>
      <c r="G1105" s="21">
        <v>2304.9899999999998</v>
      </c>
      <c r="H1105" s="21">
        <v>1968.5</v>
      </c>
      <c r="I1105" s="21">
        <v>2194.0500000000002</v>
      </c>
      <c r="J1105" s="21">
        <v>2299.9699999999998</v>
      </c>
      <c r="K1105" s="21">
        <v>2102.65</v>
      </c>
      <c r="L1105" s="21"/>
      <c r="M1105" s="21">
        <v>2227.71</v>
      </c>
      <c r="N1105" s="21">
        <v>1984.72</v>
      </c>
      <c r="O1105" s="21">
        <v>2315</v>
      </c>
      <c r="P1105" s="21">
        <v>2094.66</v>
      </c>
      <c r="Q1105" s="21">
        <v>8553.7000000000007</v>
      </c>
      <c r="R1105" s="20">
        <v>151.47999999999999</v>
      </c>
      <c r="S1105" s="20">
        <v>154.44999999999999</v>
      </c>
      <c r="T1105" s="21">
        <v>160.28</v>
      </c>
      <c r="V1105" s="1">
        <v>156.94</v>
      </c>
      <c r="W1105" s="1">
        <v>162.15</v>
      </c>
      <c r="X1105" s="1">
        <v>160.1</v>
      </c>
      <c r="Y1105" s="1">
        <v>160.68</v>
      </c>
      <c r="Z1105" s="1">
        <v>161</v>
      </c>
      <c r="AA1105" s="1">
        <v>153.44999999999999</v>
      </c>
      <c r="AB1105" s="1">
        <v>160.38</v>
      </c>
      <c r="AE1105" s="1">
        <v>169.08</v>
      </c>
      <c r="AF1105" s="1">
        <v>164.25</v>
      </c>
      <c r="AG1105" s="1">
        <v>158.05000000000001</v>
      </c>
      <c r="AS1105" s="1">
        <v>3658.15</v>
      </c>
      <c r="AX1105" s="1">
        <v>161.66999999999999</v>
      </c>
      <c r="BA1105" s="1">
        <v>161.36000000000001</v>
      </c>
      <c r="BB1105" s="1">
        <v>169.53</v>
      </c>
      <c r="BC1105" s="1">
        <v>168.02</v>
      </c>
      <c r="BD1105" s="1">
        <v>167.2</v>
      </c>
      <c r="BE1105" s="1">
        <v>163.05000000000001</v>
      </c>
      <c r="BF1105" s="1">
        <v>163.71</v>
      </c>
      <c r="BG1105" s="1">
        <v>169.25</v>
      </c>
      <c r="BH1105" s="1">
        <v>163.4</v>
      </c>
      <c r="BI1105" s="1">
        <v>161.93</v>
      </c>
      <c r="BJ1105" s="1">
        <v>169.32</v>
      </c>
      <c r="BL1105" s="1">
        <v>156.22999999999999</v>
      </c>
      <c r="BN1105" s="1">
        <v>154.49</v>
      </c>
    </row>
    <row r="1106" spans="1:66" x14ac:dyDescent="0.3">
      <c r="A1106" s="2"/>
      <c r="C1106" s="14" t="str">
        <f t="shared" si="18"/>
        <v>202110</v>
      </c>
      <c r="D1106" s="3">
        <v>44494</v>
      </c>
      <c r="E1106" s="21">
        <v>2189.04</v>
      </c>
      <c r="F1106" s="21">
        <v>2239.73</v>
      </c>
      <c r="G1106" s="21">
        <v>2314.94</v>
      </c>
      <c r="H1106" s="21">
        <v>2061.48</v>
      </c>
      <c r="I1106" s="21">
        <v>2194.0500000000002</v>
      </c>
      <c r="J1106" s="21">
        <v>2386.67</v>
      </c>
      <c r="K1106" s="21">
        <v>2102.65</v>
      </c>
      <c r="L1106" s="21"/>
      <c r="M1106" s="21">
        <v>2227.71</v>
      </c>
      <c r="N1106" s="21">
        <v>2001.65</v>
      </c>
      <c r="O1106" s="21">
        <v>2319.5700000000002</v>
      </c>
      <c r="P1106" s="21">
        <v>2094.66</v>
      </c>
      <c r="Q1106" s="21">
        <v>8568.43</v>
      </c>
      <c r="R1106" s="20">
        <v>151.47999999999999</v>
      </c>
      <c r="S1106" s="20">
        <v>153.97</v>
      </c>
      <c r="T1106" s="21">
        <v>159.99</v>
      </c>
      <c r="V1106" s="1">
        <v>157.08000000000001</v>
      </c>
      <c r="W1106" s="1">
        <v>163.13</v>
      </c>
      <c r="X1106" s="1">
        <v>160.02000000000001</v>
      </c>
      <c r="Y1106" s="1">
        <v>161.66999999999999</v>
      </c>
      <c r="Z1106" s="1">
        <v>162</v>
      </c>
      <c r="AA1106" s="1">
        <v>153.77000000000001</v>
      </c>
      <c r="AB1106" s="1">
        <v>160.38</v>
      </c>
      <c r="AE1106" s="1">
        <v>169.57</v>
      </c>
      <c r="AF1106" s="1">
        <v>162.55000000000001</v>
      </c>
      <c r="AG1106" s="1">
        <v>159.18</v>
      </c>
      <c r="AX1106" s="1">
        <v>162.78</v>
      </c>
      <c r="BA1106" s="1">
        <v>161.21</v>
      </c>
      <c r="BB1106" s="1">
        <v>169.39</v>
      </c>
      <c r="BC1106" s="1">
        <v>168.84</v>
      </c>
      <c r="BD1106" s="1">
        <v>166.53</v>
      </c>
      <c r="BE1106" s="1">
        <v>162.77000000000001</v>
      </c>
      <c r="BF1106" s="1">
        <v>164.86</v>
      </c>
      <c r="BG1106" s="1">
        <v>170.23</v>
      </c>
      <c r="BH1106" s="1">
        <v>164.23</v>
      </c>
      <c r="BI1106" s="1">
        <v>161.93</v>
      </c>
      <c r="BJ1106" s="1">
        <v>169.31</v>
      </c>
      <c r="BL1106" s="1">
        <v>156.18</v>
      </c>
      <c r="BN1106" s="1">
        <v>155.09</v>
      </c>
    </row>
    <row r="1107" spans="1:66" x14ac:dyDescent="0.3">
      <c r="A1107" s="2"/>
      <c r="C1107" s="14" t="str">
        <f t="shared" si="18"/>
        <v>202110</v>
      </c>
      <c r="D1107" s="3">
        <v>44491</v>
      </c>
      <c r="E1107" s="21">
        <v>2271.02</v>
      </c>
      <c r="F1107" s="21">
        <v>2244.35</v>
      </c>
      <c r="G1107" s="21">
        <v>2334.84</v>
      </c>
      <c r="H1107" s="21">
        <v>2073.0100000000002</v>
      </c>
      <c r="I1107" s="21">
        <v>2194.0500000000002</v>
      </c>
      <c r="J1107" s="21">
        <v>2405.92</v>
      </c>
      <c r="K1107" s="21">
        <v>2102.65</v>
      </c>
      <c r="L1107" s="21"/>
      <c r="M1107" s="21">
        <v>2183.64</v>
      </c>
      <c r="N1107" s="21">
        <v>2039.87</v>
      </c>
      <c r="O1107" s="21">
        <v>2359.41</v>
      </c>
      <c r="P1107" s="21">
        <v>2094.66</v>
      </c>
      <c r="Q1107" s="21">
        <v>8556.73</v>
      </c>
      <c r="R1107" s="20">
        <v>149.86000000000001</v>
      </c>
      <c r="S1107" s="20">
        <v>155.72</v>
      </c>
      <c r="T1107" s="21">
        <v>160.12</v>
      </c>
      <c r="V1107" s="1">
        <v>156.93</v>
      </c>
      <c r="W1107" s="1">
        <v>163.13999999999999</v>
      </c>
      <c r="X1107" s="1">
        <v>160.02000000000001</v>
      </c>
      <c r="Y1107" s="1">
        <v>161.97</v>
      </c>
      <c r="Z1107" s="1">
        <v>161.99</v>
      </c>
      <c r="AA1107" s="1">
        <v>154.08000000000001</v>
      </c>
      <c r="AB1107" s="1">
        <v>159.94999999999999</v>
      </c>
      <c r="AE1107" s="1">
        <v>170.04</v>
      </c>
      <c r="AF1107" s="1">
        <v>165.71</v>
      </c>
      <c r="AG1107" s="1">
        <v>159.52000000000001</v>
      </c>
      <c r="AX1107" s="1">
        <v>162.76</v>
      </c>
      <c r="BA1107" s="1">
        <v>161.9</v>
      </c>
      <c r="BB1107" s="1">
        <v>171.27</v>
      </c>
      <c r="BC1107" s="1">
        <v>169.98</v>
      </c>
      <c r="BD1107" s="1">
        <v>168.63</v>
      </c>
      <c r="BE1107" s="1">
        <v>162.76</v>
      </c>
      <c r="BF1107" s="1">
        <v>164.9</v>
      </c>
      <c r="BG1107" s="1">
        <v>170.3</v>
      </c>
      <c r="BH1107" s="1">
        <v>163.80000000000001</v>
      </c>
      <c r="BI1107" s="1">
        <v>161.72999999999999</v>
      </c>
      <c r="BJ1107" s="1">
        <v>169.38</v>
      </c>
      <c r="BK1107" s="1">
        <v>156.97999999999999</v>
      </c>
      <c r="BL1107" s="1">
        <v>156.53</v>
      </c>
      <c r="BN1107" s="1">
        <v>157.09</v>
      </c>
    </row>
    <row r="1108" spans="1:66" x14ac:dyDescent="0.3">
      <c r="A1108" s="2"/>
      <c r="C1108" s="14" t="str">
        <f t="shared" si="18"/>
        <v>202110</v>
      </c>
      <c r="D1108" s="3">
        <v>44490</v>
      </c>
      <c r="E1108" s="21">
        <v>2282.08</v>
      </c>
      <c r="F1108" s="21">
        <v>2252.39</v>
      </c>
      <c r="G1108" s="21">
        <v>2334.84</v>
      </c>
      <c r="H1108" s="21">
        <v>2134.61</v>
      </c>
      <c r="I1108" s="21">
        <v>2194.0500000000002</v>
      </c>
      <c r="J1108" s="21">
        <v>2415.92</v>
      </c>
      <c r="K1108" s="21">
        <v>2089.35</v>
      </c>
      <c r="L1108" s="21"/>
      <c r="M1108" s="21">
        <v>2196.94</v>
      </c>
      <c r="N1108" s="21">
        <v>2076.23</v>
      </c>
      <c r="O1108" s="21">
        <v>2329.5</v>
      </c>
      <c r="P1108" s="21">
        <v>2086.6799999999998</v>
      </c>
      <c r="Q1108" s="21">
        <v>8540.19</v>
      </c>
      <c r="R1108" s="20">
        <v>153.88</v>
      </c>
      <c r="S1108" s="20">
        <v>155.97</v>
      </c>
      <c r="T1108" s="21">
        <v>162.55000000000001</v>
      </c>
      <c r="V1108" s="1">
        <v>156.79</v>
      </c>
      <c r="W1108" s="1">
        <v>162.80000000000001</v>
      </c>
      <c r="X1108" s="1">
        <v>159.99</v>
      </c>
      <c r="Y1108" s="1">
        <v>161.94999999999999</v>
      </c>
      <c r="Z1108" s="1">
        <v>161.99</v>
      </c>
      <c r="AA1108" s="1">
        <v>154.52000000000001</v>
      </c>
      <c r="AB1108" s="1">
        <v>160.52000000000001</v>
      </c>
      <c r="AE1108" s="1">
        <v>168.7</v>
      </c>
      <c r="AF1108" s="1">
        <v>166.84</v>
      </c>
      <c r="AG1108" s="1">
        <v>160.07</v>
      </c>
      <c r="AX1108" s="1">
        <v>161.94999999999999</v>
      </c>
      <c r="BA1108" s="1">
        <v>165.27</v>
      </c>
      <c r="BB1108" s="1">
        <v>170.6</v>
      </c>
      <c r="BC1108" s="1">
        <v>169.95</v>
      </c>
      <c r="BD1108" s="1">
        <v>168.08</v>
      </c>
      <c r="BE1108" s="1">
        <v>165.16</v>
      </c>
      <c r="BF1108" s="1">
        <v>165.98</v>
      </c>
      <c r="BG1108" s="1">
        <v>169.94</v>
      </c>
      <c r="BH1108" s="1">
        <v>160.31</v>
      </c>
      <c r="BI1108" s="1">
        <v>160.33000000000001</v>
      </c>
      <c r="BJ1108" s="1">
        <v>168.17</v>
      </c>
      <c r="BK1108" s="1">
        <v>156.63999999999999</v>
      </c>
      <c r="BL1108" s="1">
        <v>156.33000000000001</v>
      </c>
      <c r="BN1108" s="1">
        <v>157.38</v>
      </c>
    </row>
    <row r="1109" spans="1:66" x14ac:dyDescent="0.3">
      <c r="A1109" s="2"/>
      <c r="C1109" s="14" t="str">
        <f t="shared" si="18"/>
        <v>202110</v>
      </c>
      <c r="D1109" s="3">
        <v>44489</v>
      </c>
      <c r="E1109" s="21">
        <v>2348.34</v>
      </c>
      <c r="F1109" s="21">
        <v>2233.85</v>
      </c>
      <c r="G1109" s="21">
        <v>2340.31</v>
      </c>
      <c r="H1109" s="21">
        <v>2148.3200000000002</v>
      </c>
      <c r="I1109" s="21">
        <v>2194.0500000000002</v>
      </c>
      <c r="J1109" s="21">
        <v>2387.3000000000002</v>
      </c>
      <c r="K1109" s="21">
        <v>2082.6999999999998</v>
      </c>
      <c r="L1109" s="21"/>
      <c r="M1109" s="21">
        <v>2234.56</v>
      </c>
      <c r="N1109" s="21">
        <v>2075.0700000000002</v>
      </c>
      <c r="O1109" s="21">
        <v>2326.23</v>
      </c>
      <c r="P1109" s="21">
        <v>2074.71</v>
      </c>
      <c r="Q1109" s="21">
        <v>8432.52</v>
      </c>
      <c r="R1109" s="20">
        <v>153.08000000000001</v>
      </c>
      <c r="S1109" s="20">
        <v>155.72</v>
      </c>
      <c r="T1109" s="21">
        <v>161.15</v>
      </c>
      <c r="V1109" s="1">
        <v>156.51</v>
      </c>
      <c r="W1109" s="1">
        <v>161.59</v>
      </c>
      <c r="X1109" s="1">
        <v>159.88999999999999</v>
      </c>
      <c r="Y1109" s="1">
        <v>161.88999999999999</v>
      </c>
      <c r="Z1109" s="1">
        <v>161.41999999999999</v>
      </c>
      <c r="AA1109" s="1">
        <v>154.34</v>
      </c>
      <c r="AB1109" s="1">
        <v>160.52000000000001</v>
      </c>
      <c r="AE1109" s="1">
        <v>169.36</v>
      </c>
      <c r="AF1109" s="1">
        <v>163.88</v>
      </c>
      <c r="AG1109" s="1">
        <v>159.74</v>
      </c>
      <c r="AX1109" s="1">
        <v>161.69999999999999</v>
      </c>
      <c r="BA1109" s="1">
        <v>165.56</v>
      </c>
      <c r="BB1109" s="1">
        <v>170.28</v>
      </c>
      <c r="BC1109" s="1">
        <v>169.97</v>
      </c>
      <c r="BD1109" s="1">
        <v>167.94</v>
      </c>
      <c r="BE1109" s="1">
        <v>164.6</v>
      </c>
      <c r="BF1109" s="1">
        <v>165.48</v>
      </c>
      <c r="BG1109" s="1">
        <v>169.93</v>
      </c>
      <c r="BH1109" s="1">
        <v>159.81</v>
      </c>
      <c r="BI1109" s="1">
        <v>159.93</v>
      </c>
      <c r="BJ1109" s="1">
        <v>167.36</v>
      </c>
      <c r="BK1109" s="1">
        <v>155.62</v>
      </c>
      <c r="BL1109" s="1">
        <v>155.79</v>
      </c>
      <c r="BN1109" s="1">
        <v>155.97</v>
      </c>
    </row>
    <row r="1110" spans="1:66" x14ac:dyDescent="0.3">
      <c r="A1110" s="2"/>
      <c r="C1110" s="14" t="str">
        <f t="shared" si="18"/>
        <v>202110</v>
      </c>
      <c r="D1110" s="3">
        <v>44488</v>
      </c>
      <c r="E1110" s="21">
        <v>2354.29</v>
      </c>
      <c r="F1110" s="21">
        <v>2229.87</v>
      </c>
      <c r="G1110" s="21">
        <v>2339.7800000000002</v>
      </c>
      <c r="H1110" s="21">
        <v>2108.8000000000002</v>
      </c>
      <c r="I1110" s="21">
        <v>2194.0500000000002</v>
      </c>
      <c r="J1110" s="21">
        <v>2367.3000000000002</v>
      </c>
      <c r="K1110" s="21">
        <v>2060.39</v>
      </c>
      <c r="L1110" s="21"/>
      <c r="M1110" s="21">
        <v>2221.2600000000002</v>
      </c>
      <c r="N1110" s="21">
        <v>2047.76</v>
      </c>
      <c r="O1110" s="21">
        <v>2360</v>
      </c>
      <c r="P1110" s="21">
        <v>2082.69</v>
      </c>
      <c r="Q1110" s="21">
        <v>8353.99</v>
      </c>
      <c r="R1110" s="20">
        <v>152.28</v>
      </c>
      <c r="S1110" s="20">
        <v>153.97</v>
      </c>
      <c r="T1110" s="21">
        <v>159.08000000000001</v>
      </c>
      <c r="V1110" s="1">
        <v>154.22</v>
      </c>
      <c r="W1110" s="1">
        <v>160.16999999999999</v>
      </c>
      <c r="X1110" s="1">
        <v>159.16999999999999</v>
      </c>
      <c r="Y1110" s="1">
        <v>160.19</v>
      </c>
      <c r="Z1110" s="1">
        <v>159.99</v>
      </c>
      <c r="AA1110" s="1">
        <v>153.81</v>
      </c>
      <c r="AB1110" s="1">
        <v>159.27000000000001</v>
      </c>
      <c r="AE1110" s="1">
        <v>167.66</v>
      </c>
      <c r="AF1110" s="1">
        <v>161.11000000000001</v>
      </c>
      <c r="AG1110" s="1">
        <v>158.63</v>
      </c>
      <c r="AX1110" s="1">
        <v>158.03</v>
      </c>
      <c r="BA1110" s="1">
        <v>164.05</v>
      </c>
      <c r="BB1110" s="1">
        <v>168.84</v>
      </c>
      <c r="BC1110" s="1">
        <v>167</v>
      </c>
      <c r="BD1110" s="1">
        <v>166.01</v>
      </c>
      <c r="BE1110" s="1">
        <v>163.91</v>
      </c>
      <c r="BF1110" s="1">
        <v>164.36</v>
      </c>
      <c r="BG1110" s="1">
        <v>168.27</v>
      </c>
      <c r="BH1110" s="1">
        <v>155.82</v>
      </c>
      <c r="BI1110" s="1">
        <v>159.72999999999999</v>
      </c>
      <c r="BJ1110" s="1">
        <v>167.35</v>
      </c>
      <c r="BK1110" s="1">
        <v>154.43</v>
      </c>
      <c r="BL1110" s="1">
        <v>155.18</v>
      </c>
      <c r="BN1110" s="1">
        <v>154.38</v>
      </c>
    </row>
    <row r="1111" spans="1:66" x14ac:dyDescent="0.3">
      <c r="A1111" s="2"/>
      <c r="C1111" s="14" t="str">
        <f t="shared" si="18"/>
        <v>202110</v>
      </c>
      <c r="D1111" s="3">
        <v>44487</v>
      </c>
      <c r="E1111" s="21">
        <v>2330.36</v>
      </c>
      <c r="F1111" s="21">
        <v>2231.86</v>
      </c>
      <c r="G1111" s="21">
        <v>2344.77</v>
      </c>
      <c r="H1111" s="21">
        <v>2104.77</v>
      </c>
      <c r="I1111" s="21">
        <v>2194.0500000000002</v>
      </c>
      <c r="J1111" s="21">
        <v>2329.73</v>
      </c>
      <c r="K1111" s="21">
        <v>2060.39</v>
      </c>
      <c r="L1111" s="21"/>
      <c r="M1111" s="21">
        <v>2221.2600000000002</v>
      </c>
      <c r="N1111" s="21">
        <v>2066.91</v>
      </c>
      <c r="O1111" s="21">
        <v>2366</v>
      </c>
      <c r="P1111" s="21">
        <v>2082.69</v>
      </c>
      <c r="Q1111" s="21">
        <v>8251.56</v>
      </c>
      <c r="R1111" s="20">
        <v>152.28</v>
      </c>
      <c r="S1111" s="20">
        <v>152.47999999999999</v>
      </c>
      <c r="T1111" s="21">
        <v>158.07</v>
      </c>
      <c r="V1111" s="1">
        <v>153.65</v>
      </c>
      <c r="W1111" s="1">
        <v>158.93</v>
      </c>
      <c r="X1111" s="1">
        <v>157.94999999999999</v>
      </c>
      <c r="Y1111" s="1">
        <v>159.88999999999999</v>
      </c>
      <c r="Z1111" s="1">
        <v>159.99</v>
      </c>
      <c r="AA1111" s="1">
        <v>152.54</v>
      </c>
      <c r="AB1111" s="1">
        <v>158.57</v>
      </c>
      <c r="AE1111" s="1">
        <v>164.47</v>
      </c>
      <c r="AF1111" s="1">
        <v>158.88</v>
      </c>
      <c r="AG1111" s="1">
        <v>158.46</v>
      </c>
      <c r="AX1111" s="1">
        <v>158.03</v>
      </c>
      <c r="BA1111" s="1">
        <v>163.65</v>
      </c>
      <c r="BB1111" s="1">
        <v>168.65</v>
      </c>
      <c r="BC1111" s="1">
        <v>166.46</v>
      </c>
      <c r="BD1111" s="1">
        <v>163.34</v>
      </c>
      <c r="BE1111" s="1">
        <v>162.34</v>
      </c>
      <c r="BF1111" s="1">
        <v>163.98</v>
      </c>
      <c r="BG1111" s="1">
        <v>165.49</v>
      </c>
      <c r="BH1111" s="1">
        <v>155.82</v>
      </c>
      <c r="BI1111" s="1">
        <v>159.72999999999999</v>
      </c>
      <c r="BJ1111" s="1">
        <v>167.34</v>
      </c>
      <c r="BK1111" s="1">
        <v>154.43</v>
      </c>
      <c r="BL1111" s="1">
        <v>154.5</v>
      </c>
      <c r="BN1111" s="1">
        <v>153.77000000000001</v>
      </c>
    </row>
    <row r="1112" spans="1:66" x14ac:dyDescent="0.3">
      <c r="A1112" s="2"/>
      <c r="C1112" s="14" t="str">
        <f t="shared" si="18"/>
        <v>202110</v>
      </c>
      <c r="D1112" s="3">
        <v>44484</v>
      </c>
      <c r="E1112" s="21">
        <v>2370.67</v>
      </c>
      <c r="F1112" s="21">
        <v>2239.8200000000002</v>
      </c>
      <c r="G1112" s="21">
        <v>2344.7600000000002</v>
      </c>
      <c r="H1112" s="21">
        <v>2107.06</v>
      </c>
      <c r="I1112" s="21">
        <v>2194.0500000000002</v>
      </c>
      <c r="J1112" s="21">
        <v>2308.62</v>
      </c>
      <c r="K1112" s="21">
        <v>2066.61</v>
      </c>
      <c r="L1112" s="21"/>
      <c r="M1112" s="21"/>
      <c r="N1112" s="21">
        <v>2085.77</v>
      </c>
      <c r="O1112" s="21">
        <v>2356.25</v>
      </c>
      <c r="P1112" s="21">
        <v>2104.59</v>
      </c>
      <c r="Q1112" s="21">
        <v>8251.56</v>
      </c>
      <c r="R1112" s="20">
        <v>152.74</v>
      </c>
      <c r="S1112" s="20">
        <v>152.35</v>
      </c>
      <c r="T1112" s="21">
        <v>157.29</v>
      </c>
      <c r="V1112" s="1">
        <v>153.79</v>
      </c>
      <c r="W1112" s="1">
        <v>158.19999999999999</v>
      </c>
      <c r="X1112" s="1">
        <v>158.06</v>
      </c>
      <c r="Y1112" s="1">
        <v>159.88999999999999</v>
      </c>
      <c r="Z1112" s="1">
        <v>159.41999999999999</v>
      </c>
      <c r="AA1112" s="1">
        <v>152.51</v>
      </c>
      <c r="AB1112" s="1">
        <v>158.38</v>
      </c>
      <c r="AE1112" s="1">
        <v>165.08</v>
      </c>
      <c r="AF1112" s="1">
        <v>160.22</v>
      </c>
      <c r="AG1112" s="1">
        <v>157.9</v>
      </c>
      <c r="AX1112" s="1">
        <v>156.54</v>
      </c>
      <c r="BA1112" s="1">
        <v>162.57</v>
      </c>
      <c r="BB1112" s="1">
        <v>167.64</v>
      </c>
      <c r="BC1112" s="1">
        <v>166.07</v>
      </c>
      <c r="BD1112" s="1">
        <v>164.88</v>
      </c>
      <c r="BE1112" s="1">
        <v>162.16999999999999</v>
      </c>
      <c r="BF1112" s="1">
        <v>163.11000000000001</v>
      </c>
      <c r="BG1112" s="1">
        <v>165.55</v>
      </c>
      <c r="BH1112" s="1">
        <v>161.87</v>
      </c>
      <c r="BI1112" s="1">
        <v>159.72999999999999</v>
      </c>
      <c r="BJ1112" s="1">
        <v>167.31</v>
      </c>
      <c r="BK1112" s="1">
        <v>153.56</v>
      </c>
      <c r="BL1112" s="1">
        <v>154.5</v>
      </c>
      <c r="BN1112" s="1">
        <v>153.77000000000001</v>
      </c>
    </row>
    <row r="1113" spans="1:66" x14ac:dyDescent="0.3">
      <c r="A1113" s="2"/>
      <c r="C1113" s="14" t="str">
        <f t="shared" si="18"/>
        <v>202110</v>
      </c>
      <c r="D1113" s="3">
        <v>44483</v>
      </c>
      <c r="E1113" s="21">
        <v>2353.23</v>
      </c>
      <c r="F1113" s="21">
        <v>2243.8000000000002</v>
      </c>
      <c r="G1113" s="21">
        <v>2347.27</v>
      </c>
      <c r="H1113" s="21">
        <v>2105.65</v>
      </c>
      <c r="I1113" s="21">
        <v>2194.0500000000002</v>
      </c>
      <c r="J1113" s="21">
        <v>2355.7800000000002</v>
      </c>
      <c r="K1113" s="21">
        <v>2102.65</v>
      </c>
      <c r="L1113" s="21"/>
      <c r="M1113" s="21"/>
      <c r="N1113" s="21">
        <v>2068.7600000000002</v>
      </c>
      <c r="O1113" s="21">
        <v>2350</v>
      </c>
      <c r="P1113" s="21">
        <v>2090.67</v>
      </c>
      <c r="Q1113" s="21">
        <v>8107.42</v>
      </c>
      <c r="R1113" s="20">
        <v>155.99</v>
      </c>
      <c r="S1113" s="20">
        <v>151.36000000000001</v>
      </c>
      <c r="T1113" s="21">
        <v>156.66</v>
      </c>
      <c r="V1113" s="1">
        <v>153.51</v>
      </c>
      <c r="W1113" s="1">
        <v>159.16</v>
      </c>
      <c r="X1113" s="1">
        <v>158.38999999999999</v>
      </c>
      <c r="Y1113" s="1">
        <v>158.12</v>
      </c>
      <c r="Z1113" s="1">
        <v>158</v>
      </c>
      <c r="AA1113" s="1">
        <v>153.36000000000001</v>
      </c>
      <c r="AB1113" s="1">
        <v>158.49</v>
      </c>
      <c r="AE1113" s="1">
        <v>166.88</v>
      </c>
      <c r="AF1113" s="1">
        <v>158.91</v>
      </c>
      <c r="AG1113" s="1">
        <v>157.46</v>
      </c>
      <c r="AX1113" s="1">
        <v>158.54</v>
      </c>
      <c r="BA1113" s="1">
        <v>160.16999999999999</v>
      </c>
      <c r="BB1113" s="1">
        <v>167.04</v>
      </c>
      <c r="BC1113" s="1">
        <v>165.88</v>
      </c>
      <c r="BD1113" s="1">
        <v>162.99</v>
      </c>
      <c r="BE1113" s="1">
        <v>160.49</v>
      </c>
      <c r="BF1113" s="1">
        <v>163.19</v>
      </c>
      <c r="BG1113" s="1">
        <v>166.9</v>
      </c>
      <c r="BH1113" s="1">
        <v>161.93</v>
      </c>
      <c r="BI1113" s="1">
        <v>159.72999999999999</v>
      </c>
      <c r="BJ1113" s="1">
        <v>167.3</v>
      </c>
      <c r="BK1113" s="1">
        <v>153.37</v>
      </c>
      <c r="BL1113" s="1">
        <v>153.83000000000001</v>
      </c>
      <c r="BN1113" s="1">
        <v>153.43</v>
      </c>
    </row>
    <row r="1114" spans="1:66" x14ac:dyDescent="0.3">
      <c r="A1114" s="2"/>
      <c r="C1114" s="14" t="str">
        <f t="shared" si="18"/>
        <v>202110</v>
      </c>
      <c r="D1114" s="3">
        <v>44482</v>
      </c>
      <c r="E1114" s="21">
        <v>2360.69</v>
      </c>
      <c r="F1114" s="21">
        <v>2275.64</v>
      </c>
      <c r="G1114" s="21">
        <v>2364.69</v>
      </c>
      <c r="H1114" s="21">
        <v>2107.1999999999998</v>
      </c>
      <c r="I1114" s="21">
        <v>2199.02</v>
      </c>
      <c r="J1114" s="21">
        <v>2416.67</v>
      </c>
      <c r="K1114" s="21">
        <v>2102.65</v>
      </c>
      <c r="L1114" s="21"/>
      <c r="M1114" s="21">
        <v>2257.5</v>
      </c>
      <c r="N1114" s="21">
        <v>2062.9899999999998</v>
      </c>
      <c r="O1114" s="21">
        <v>2352.5</v>
      </c>
      <c r="P1114" s="21">
        <v>2090.67</v>
      </c>
      <c r="Q1114" s="21">
        <v>8098.16</v>
      </c>
      <c r="R1114" s="20">
        <v>153.88</v>
      </c>
      <c r="S1114" s="20">
        <v>150.61000000000001</v>
      </c>
      <c r="T1114" s="21">
        <v>160.08000000000001</v>
      </c>
      <c r="V1114" s="1">
        <v>153.94</v>
      </c>
      <c r="W1114" s="1">
        <v>160.66</v>
      </c>
      <c r="X1114" s="1">
        <v>158.25</v>
      </c>
      <c r="Y1114" s="1">
        <v>157.94</v>
      </c>
      <c r="Z1114" s="1">
        <v>158.56</v>
      </c>
      <c r="AA1114" s="1">
        <v>153.51</v>
      </c>
      <c r="AB1114" s="1">
        <v>157.99</v>
      </c>
      <c r="AE1114" s="1">
        <v>168.42</v>
      </c>
      <c r="AF1114" s="1">
        <v>160.97999999999999</v>
      </c>
      <c r="AG1114" s="1">
        <v>156.22</v>
      </c>
      <c r="AK1114" s="1">
        <v>0</v>
      </c>
      <c r="AS1114" s="1">
        <v>3959.64</v>
      </c>
      <c r="AX1114" s="1">
        <v>159.11000000000001</v>
      </c>
      <c r="BA1114" s="1">
        <v>159.68</v>
      </c>
      <c r="BB1114" s="1">
        <v>166.75</v>
      </c>
      <c r="BC1114" s="1">
        <v>168.68</v>
      </c>
      <c r="BD1114" s="1">
        <v>165.66</v>
      </c>
      <c r="BE1114" s="1">
        <v>164.37</v>
      </c>
      <c r="BF1114" s="1">
        <v>164.1</v>
      </c>
      <c r="BG1114" s="1">
        <v>168.21</v>
      </c>
      <c r="BH1114" s="1">
        <v>161.93</v>
      </c>
      <c r="BI1114" s="1">
        <v>159.72999999999999</v>
      </c>
      <c r="BJ1114" s="1">
        <v>168.48</v>
      </c>
      <c r="BK1114" s="1">
        <v>153.80000000000001</v>
      </c>
      <c r="BL1114" s="1">
        <v>153.5</v>
      </c>
      <c r="BN1114" s="1">
        <v>153.43</v>
      </c>
    </row>
    <row r="1115" spans="1:66" x14ac:dyDescent="0.3">
      <c r="A1115" s="2"/>
      <c r="C1115" s="14" t="str">
        <f t="shared" si="18"/>
        <v>202110</v>
      </c>
      <c r="D1115" s="3">
        <v>44480</v>
      </c>
      <c r="E1115" s="21">
        <v>2390.6</v>
      </c>
      <c r="F1115" s="21">
        <v>2283.6</v>
      </c>
      <c r="G1115" s="21">
        <v>2369.67</v>
      </c>
      <c r="H1115" s="21">
        <v>2147.9299999999998</v>
      </c>
      <c r="I1115" s="21">
        <v>2199.02</v>
      </c>
      <c r="J1115" s="21">
        <v>2416.67</v>
      </c>
      <c r="K1115" s="21">
        <v>2106.56</v>
      </c>
      <c r="L1115" s="21"/>
      <c r="M1115" s="21">
        <v>2253.06</v>
      </c>
      <c r="N1115" s="21">
        <v>2099.56</v>
      </c>
      <c r="O1115" s="21">
        <v>2376</v>
      </c>
      <c r="P1115" s="21">
        <v>2132.5700000000002</v>
      </c>
      <c r="Q1115" s="21">
        <v>8154.94</v>
      </c>
      <c r="R1115" s="20">
        <v>155.47999999999999</v>
      </c>
      <c r="S1115" s="20">
        <v>155.6</v>
      </c>
      <c r="T1115" s="21">
        <v>160.53</v>
      </c>
      <c r="V1115" s="1">
        <v>155.65</v>
      </c>
      <c r="W1115" s="1">
        <v>161.34</v>
      </c>
      <c r="X1115" s="1">
        <v>159.97</v>
      </c>
      <c r="Y1115" s="1">
        <v>158.91</v>
      </c>
      <c r="Z1115" s="1">
        <v>158.99</v>
      </c>
      <c r="AA1115" s="1">
        <v>155.86000000000001</v>
      </c>
      <c r="AB1115" s="1">
        <v>160.15</v>
      </c>
      <c r="AE1115" s="1">
        <v>169.11</v>
      </c>
      <c r="AF1115" s="1">
        <v>163.78</v>
      </c>
      <c r="AG1115" s="1">
        <v>159.57</v>
      </c>
      <c r="AK1115" s="1">
        <v>0</v>
      </c>
      <c r="AS1115" s="1">
        <v>3959.64</v>
      </c>
      <c r="AX1115" s="1">
        <v>162.91999999999999</v>
      </c>
      <c r="BA1115" s="1">
        <v>164.77</v>
      </c>
      <c r="BB1115" s="1">
        <v>170.08</v>
      </c>
      <c r="BC1115" s="1">
        <v>167.29</v>
      </c>
      <c r="BD1115" s="1">
        <v>167.62</v>
      </c>
      <c r="BE1115" s="1">
        <v>166.69</v>
      </c>
      <c r="BF1115" s="1">
        <v>166.31</v>
      </c>
      <c r="BG1115" s="1">
        <v>169.14</v>
      </c>
      <c r="BH1115" s="1">
        <v>162.96</v>
      </c>
      <c r="BI1115" s="1">
        <v>161.72999999999999</v>
      </c>
      <c r="BJ1115" s="1">
        <v>169.65</v>
      </c>
      <c r="BK1115" s="1">
        <v>155.1</v>
      </c>
      <c r="BL1115" s="1">
        <v>155.93</v>
      </c>
      <c r="BN1115" s="1">
        <v>154.38</v>
      </c>
    </row>
    <row r="1116" spans="1:66" x14ac:dyDescent="0.3">
      <c r="A1116" s="2"/>
      <c r="C1116" s="14" t="str">
        <f t="shared" si="18"/>
        <v>202110</v>
      </c>
      <c r="D1116" s="3">
        <v>44477</v>
      </c>
      <c r="E1116" s="21">
        <v>2380.63</v>
      </c>
      <c r="F1116" s="21">
        <v>2283.6</v>
      </c>
      <c r="G1116" s="21">
        <v>2369.67</v>
      </c>
      <c r="H1116" s="21">
        <v>2121.8200000000002</v>
      </c>
      <c r="I1116" s="21">
        <v>2199.02</v>
      </c>
      <c r="J1116" s="21">
        <v>2362.96</v>
      </c>
      <c r="K1116" s="21">
        <v>2113.6799999999998</v>
      </c>
      <c r="L1116" s="21"/>
      <c r="M1116" s="21">
        <v>2239.7399999999998</v>
      </c>
      <c r="N1116" s="21">
        <v>2112.5300000000002</v>
      </c>
      <c r="O1116" s="21">
        <v>2364.56</v>
      </c>
      <c r="P1116" s="21">
        <v>2142.54</v>
      </c>
      <c r="Q1116" s="21">
        <v>8146.65</v>
      </c>
      <c r="R1116" s="20">
        <v>155.08000000000001</v>
      </c>
      <c r="S1116" s="20">
        <v>154.93</v>
      </c>
      <c r="T1116" s="21">
        <v>159.16999999999999</v>
      </c>
      <c r="V1116" s="1">
        <v>156.51</v>
      </c>
      <c r="W1116" s="1">
        <v>161.66999999999999</v>
      </c>
      <c r="X1116" s="1">
        <v>159.97</v>
      </c>
      <c r="Y1116" s="1">
        <v>158.62</v>
      </c>
      <c r="Z1116" s="1">
        <v>158.28</v>
      </c>
      <c r="AA1116" s="1">
        <v>155.51</v>
      </c>
      <c r="AB1116" s="1">
        <v>160.38</v>
      </c>
      <c r="AE1116" s="1">
        <v>169.39</v>
      </c>
      <c r="AF1116" s="1">
        <v>163.06</v>
      </c>
      <c r="AG1116" s="1">
        <v>161.35</v>
      </c>
      <c r="AK1116" s="1">
        <v>0</v>
      </c>
      <c r="AS1116" s="1">
        <v>3959.64</v>
      </c>
      <c r="AX1116" s="1">
        <v>161.66999999999999</v>
      </c>
      <c r="BA1116" s="1">
        <v>163.19</v>
      </c>
      <c r="BB1116" s="1">
        <v>171.42</v>
      </c>
      <c r="BC1116" s="1">
        <v>167.64</v>
      </c>
      <c r="BD1116" s="1">
        <v>167.16</v>
      </c>
      <c r="BE1116" s="1">
        <v>163.69999999999999</v>
      </c>
      <c r="BF1116" s="1">
        <v>166.42</v>
      </c>
      <c r="BG1116" s="1">
        <v>169.42</v>
      </c>
      <c r="BH1116" s="1">
        <v>162.96</v>
      </c>
      <c r="BI1116" s="1">
        <v>160.72999999999999</v>
      </c>
      <c r="BJ1116" s="1">
        <v>168.82</v>
      </c>
      <c r="BK1116" s="1">
        <v>155.1</v>
      </c>
      <c r="BL1116" s="1">
        <v>154.43</v>
      </c>
      <c r="BN1116" s="1">
        <v>154.38</v>
      </c>
    </row>
    <row r="1117" spans="1:66" x14ac:dyDescent="0.3">
      <c r="A1117" s="2"/>
      <c r="C1117" s="14" t="str">
        <f t="shared" si="18"/>
        <v>202110</v>
      </c>
      <c r="D1117" s="3">
        <v>44476</v>
      </c>
      <c r="E1117" s="21">
        <v>2368.19</v>
      </c>
      <c r="F1117" s="21">
        <v>2286.36</v>
      </c>
      <c r="G1117" s="21">
        <v>2344.96</v>
      </c>
      <c r="H1117" s="21">
        <v>2155.16</v>
      </c>
      <c r="I1117" s="21">
        <v>2194.0500000000002</v>
      </c>
      <c r="J1117" s="21">
        <v>2362.96</v>
      </c>
      <c r="K1117" s="21">
        <v>2159.19</v>
      </c>
      <c r="L1117" s="21"/>
      <c r="M1117" s="21">
        <v>2239.7399999999998</v>
      </c>
      <c r="N1117" s="21">
        <v>2100.5300000000002</v>
      </c>
      <c r="O1117" s="21">
        <v>2357.9</v>
      </c>
      <c r="P1117" s="21">
        <v>2146.5300000000002</v>
      </c>
      <c r="Q1117" s="21">
        <v>7884.64</v>
      </c>
      <c r="R1117" s="20">
        <v>158.55000000000001</v>
      </c>
      <c r="S1117" s="20">
        <v>154.33000000000001</v>
      </c>
      <c r="T1117" s="21">
        <v>159.9</v>
      </c>
      <c r="V1117" s="1">
        <v>155.22</v>
      </c>
      <c r="W1117" s="1">
        <v>160.43</v>
      </c>
      <c r="X1117" s="1">
        <v>157.56</v>
      </c>
      <c r="Y1117" s="1">
        <v>157.94</v>
      </c>
      <c r="Z1117" s="1">
        <v>157.99</v>
      </c>
      <c r="AA1117" s="1">
        <v>156.86000000000001</v>
      </c>
      <c r="AB1117" s="1">
        <v>157.94999999999999</v>
      </c>
      <c r="AE1117" s="1">
        <v>168.06</v>
      </c>
      <c r="AF1117" s="1">
        <v>162.66</v>
      </c>
      <c r="AG1117" s="1">
        <v>158.61000000000001</v>
      </c>
      <c r="AK1117" s="1">
        <v>0</v>
      </c>
      <c r="AS1117" s="1">
        <v>3959.64</v>
      </c>
      <c r="AX1117" s="1">
        <v>161.79</v>
      </c>
      <c r="BA1117" s="1">
        <v>163.74</v>
      </c>
      <c r="BB1117" s="1">
        <v>170.09</v>
      </c>
      <c r="BC1117" s="1">
        <v>166.5</v>
      </c>
      <c r="BD1117" s="1">
        <v>167.81</v>
      </c>
      <c r="BE1117" s="1">
        <v>163.51</v>
      </c>
      <c r="BF1117" s="1">
        <v>166.82</v>
      </c>
      <c r="BG1117" s="1">
        <v>168.27</v>
      </c>
      <c r="BH1117" s="1">
        <v>160.80000000000001</v>
      </c>
      <c r="BI1117" s="1">
        <v>160.33000000000001</v>
      </c>
      <c r="BJ1117" s="1">
        <v>168.57</v>
      </c>
      <c r="BK1117" s="1">
        <v>154.43</v>
      </c>
      <c r="BL1117" s="1">
        <v>154.33000000000001</v>
      </c>
      <c r="BN1117" s="1">
        <v>153.88</v>
      </c>
    </row>
    <row r="1118" spans="1:66" x14ac:dyDescent="0.3">
      <c r="A1118" s="2"/>
      <c r="C1118" s="14" t="str">
        <f t="shared" si="18"/>
        <v>202110</v>
      </c>
      <c r="D1118" s="3">
        <v>44475</v>
      </c>
      <c r="E1118" s="21">
        <v>2290.36</v>
      </c>
      <c r="F1118" s="21">
        <v>2286.36</v>
      </c>
      <c r="G1118" s="21">
        <v>2332.3200000000002</v>
      </c>
      <c r="H1118" s="21">
        <v>2129.1999999999998</v>
      </c>
      <c r="I1118" s="21">
        <v>2194.0500000000002</v>
      </c>
      <c r="J1118" s="21">
        <v>2420</v>
      </c>
      <c r="K1118" s="21">
        <v>2103.3000000000002</v>
      </c>
      <c r="L1118" s="21"/>
      <c r="M1118" s="21"/>
      <c r="N1118" s="21">
        <v>2079.5</v>
      </c>
      <c r="O1118" s="21">
        <v>2374</v>
      </c>
      <c r="P1118" s="21">
        <v>2124.52</v>
      </c>
      <c r="Q1118" s="21">
        <v>7841.1</v>
      </c>
      <c r="R1118" s="20">
        <v>155.08000000000001</v>
      </c>
      <c r="S1118" s="20">
        <v>155.6</v>
      </c>
      <c r="T1118" s="21">
        <v>159.07</v>
      </c>
      <c r="V1118" s="1">
        <v>155.08000000000001</v>
      </c>
      <c r="W1118" s="1">
        <v>160.68</v>
      </c>
      <c r="X1118" s="1">
        <v>157.31</v>
      </c>
      <c r="Y1118" s="1">
        <v>157.93</v>
      </c>
      <c r="Z1118" s="1">
        <v>157.49</v>
      </c>
      <c r="AA1118" s="1">
        <v>155.78</v>
      </c>
      <c r="AB1118" s="1">
        <v>157.94999999999999</v>
      </c>
      <c r="AE1118" s="1">
        <v>167.37</v>
      </c>
      <c r="AF1118" s="1">
        <v>164.26</v>
      </c>
      <c r="AG1118" s="1">
        <v>157.52000000000001</v>
      </c>
      <c r="AX1118" s="1">
        <v>161.85</v>
      </c>
      <c r="BA1118" s="1">
        <v>163.59</v>
      </c>
      <c r="BB1118" s="1">
        <v>169.55</v>
      </c>
      <c r="BC1118" s="1">
        <v>168.04</v>
      </c>
      <c r="BD1118" s="1">
        <v>165.86</v>
      </c>
      <c r="BE1118" s="1">
        <v>168.82</v>
      </c>
      <c r="BF1118" s="1">
        <v>165.08</v>
      </c>
      <c r="BG1118" s="1">
        <v>166.48</v>
      </c>
      <c r="BH1118" s="1">
        <v>160.80000000000001</v>
      </c>
      <c r="BI1118" s="1">
        <v>159.72999999999999</v>
      </c>
      <c r="BJ1118" s="1">
        <v>168.56</v>
      </c>
      <c r="BL1118" s="1">
        <v>154.18</v>
      </c>
      <c r="BN1118" s="1">
        <v>154.13</v>
      </c>
    </row>
    <row r="1119" spans="1:66" x14ac:dyDescent="0.3">
      <c r="A1119" s="2"/>
      <c r="C1119" s="14" t="str">
        <f t="shared" si="18"/>
        <v>202110</v>
      </c>
      <c r="D1119" s="3">
        <v>44474</v>
      </c>
      <c r="E1119" s="21">
        <v>2280.39</v>
      </c>
      <c r="F1119" s="21">
        <v>2306.4899999999998</v>
      </c>
      <c r="G1119" s="21">
        <v>2337.3000000000002</v>
      </c>
      <c r="H1119" s="21">
        <v>2140.4499999999998</v>
      </c>
      <c r="I1119" s="21">
        <v>2199.02</v>
      </c>
      <c r="J1119" s="21">
        <v>2420</v>
      </c>
      <c r="K1119" s="21">
        <v>2167.5</v>
      </c>
      <c r="L1119" s="21"/>
      <c r="M1119" s="21"/>
      <c r="N1119" s="21">
        <v>2067.23</v>
      </c>
      <c r="O1119" s="21">
        <v>2390</v>
      </c>
      <c r="P1119" s="21">
        <v>2154.5100000000002</v>
      </c>
      <c r="Q1119" s="21">
        <v>7891.87</v>
      </c>
      <c r="R1119" s="20">
        <v>155.08000000000001</v>
      </c>
      <c r="S1119" s="20">
        <v>156.88</v>
      </c>
      <c r="T1119" s="21">
        <v>159.02000000000001</v>
      </c>
      <c r="V1119" s="1">
        <v>154.79</v>
      </c>
      <c r="W1119" s="1">
        <v>159.74</v>
      </c>
      <c r="X1119" s="1">
        <v>155.72999999999999</v>
      </c>
      <c r="Y1119" s="1">
        <v>157.22999999999999</v>
      </c>
      <c r="Z1119" s="1">
        <v>156.99</v>
      </c>
      <c r="AA1119" s="1">
        <v>155.21</v>
      </c>
      <c r="AB1119" s="1">
        <v>156.05000000000001</v>
      </c>
      <c r="AE1119" s="1">
        <v>166.45</v>
      </c>
      <c r="AF1119" s="1">
        <v>161.02000000000001</v>
      </c>
      <c r="AG1119" s="1">
        <v>157.53</v>
      </c>
      <c r="AX1119" s="1">
        <v>161.81</v>
      </c>
      <c r="BA1119" s="1">
        <v>163.37</v>
      </c>
      <c r="BB1119" s="1">
        <v>168.58</v>
      </c>
      <c r="BC1119" s="1">
        <v>165.94</v>
      </c>
      <c r="BD1119" s="1">
        <v>167.02</v>
      </c>
      <c r="BE1119" s="1">
        <v>168.25</v>
      </c>
      <c r="BF1119" s="1">
        <v>165.08</v>
      </c>
      <c r="BG1119" s="1">
        <v>166.78</v>
      </c>
      <c r="BH1119" s="1">
        <v>160.80000000000001</v>
      </c>
      <c r="BI1119" s="1">
        <v>159.53</v>
      </c>
      <c r="BJ1119" s="1">
        <v>167.06</v>
      </c>
      <c r="BL1119" s="1">
        <v>152.93</v>
      </c>
      <c r="BN1119" s="1">
        <v>152.63</v>
      </c>
    </row>
    <row r="1120" spans="1:66" x14ac:dyDescent="0.3">
      <c r="A1120" s="2"/>
      <c r="C1120" s="14" t="str">
        <f t="shared" si="18"/>
        <v>202110</v>
      </c>
      <c r="D1120" s="3">
        <v>44473</v>
      </c>
      <c r="E1120" s="21">
        <v>2296.98</v>
      </c>
      <c r="F1120" s="21">
        <v>2323.4</v>
      </c>
      <c r="G1120" s="21">
        <v>2359.6999999999998</v>
      </c>
      <c r="H1120" s="21">
        <v>2155.65</v>
      </c>
      <c r="I1120" s="21">
        <v>2199.02</v>
      </c>
      <c r="J1120" s="21">
        <v>2443.33</v>
      </c>
      <c r="K1120" s="21">
        <v>2167.5</v>
      </c>
      <c r="L1120" s="21"/>
      <c r="M1120" s="21"/>
      <c r="N1120" s="21">
        <v>2112.9</v>
      </c>
      <c r="O1120" s="21">
        <v>2377.5</v>
      </c>
      <c r="P1120" s="21">
        <v>2154.5100000000002</v>
      </c>
      <c r="Q1120" s="21">
        <v>7805.76</v>
      </c>
      <c r="R1120" s="20">
        <v>154.88</v>
      </c>
      <c r="S1120" s="20">
        <v>153.35</v>
      </c>
      <c r="T1120" s="21">
        <v>158.47</v>
      </c>
      <c r="V1120" s="1">
        <v>154.51</v>
      </c>
      <c r="W1120" s="1">
        <v>159.94999999999999</v>
      </c>
      <c r="X1120" s="1">
        <v>155.22999999999999</v>
      </c>
      <c r="Y1120" s="1">
        <v>157.07</v>
      </c>
      <c r="Z1120" s="1">
        <v>158.71</v>
      </c>
      <c r="AA1120" s="1">
        <v>154.91</v>
      </c>
      <c r="AB1120" s="1">
        <v>155.94</v>
      </c>
      <c r="AE1120" s="1">
        <v>166.04</v>
      </c>
      <c r="AF1120" s="1">
        <v>159.47</v>
      </c>
      <c r="AG1120" s="1">
        <v>157.5</v>
      </c>
      <c r="AT1120" s="1">
        <v>3738.55</v>
      </c>
      <c r="AX1120" s="1">
        <v>161.59</v>
      </c>
      <c r="BA1120" s="1">
        <v>162.16999999999999</v>
      </c>
      <c r="BB1120" s="1">
        <v>167.6</v>
      </c>
      <c r="BC1120" s="1">
        <v>165.5</v>
      </c>
      <c r="BD1120" s="1">
        <v>166.49</v>
      </c>
      <c r="BE1120" s="1">
        <v>167.96</v>
      </c>
      <c r="BF1120" s="1">
        <v>164.58</v>
      </c>
      <c r="BG1120" s="1">
        <v>166.68</v>
      </c>
      <c r="BI1120" s="1">
        <v>160.13</v>
      </c>
      <c r="BJ1120" s="1">
        <v>167.05</v>
      </c>
      <c r="BL1120" s="1">
        <v>151.44</v>
      </c>
      <c r="BN1120" s="1">
        <v>151.38999999999999</v>
      </c>
    </row>
    <row r="1121" spans="1:66" x14ac:dyDescent="0.3">
      <c r="A1121" s="2"/>
      <c r="C1121" s="14" t="str">
        <f t="shared" si="18"/>
        <v>202110</v>
      </c>
      <c r="D1121" s="3">
        <v>44470</v>
      </c>
      <c r="E1121" s="21">
        <v>2318.5700000000002</v>
      </c>
      <c r="F1121" s="21">
        <v>2331.36</v>
      </c>
      <c r="G1121" s="21">
        <v>2389.5700000000002</v>
      </c>
      <c r="H1121" s="21">
        <v>2168.48</v>
      </c>
      <c r="I1121" s="21">
        <v>2213.9499999999998</v>
      </c>
      <c r="J1121" s="21">
        <v>2443.33</v>
      </c>
      <c r="K1121" s="21">
        <v>2172.4899999999998</v>
      </c>
      <c r="L1121" s="21"/>
      <c r="M1121" s="21"/>
      <c r="N1121" s="21">
        <v>2105.48</v>
      </c>
      <c r="O1121" s="21">
        <v>2385</v>
      </c>
      <c r="P1121" s="21">
        <v>2158.5</v>
      </c>
      <c r="Q1121" s="21">
        <v>7822.35</v>
      </c>
      <c r="R1121" s="20">
        <v>151.52000000000001</v>
      </c>
      <c r="S1121" s="20">
        <v>154.63</v>
      </c>
      <c r="T1121" s="21">
        <v>158.96</v>
      </c>
      <c r="V1121" s="1">
        <v>155.08000000000001</v>
      </c>
      <c r="W1121" s="1">
        <v>160.75</v>
      </c>
      <c r="X1121" s="1">
        <v>157.47</v>
      </c>
      <c r="Y1121" s="1">
        <v>159.66999999999999</v>
      </c>
      <c r="Z1121" s="1">
        <v>159.99</v>
      </c>
      <c r="AA1121" s="1">
        <v>154.49</v>
      </c>
      <c r="AB1121" s="1">
        <v>157.16</v>
      </c>
      <c r="AE1121" s="1">
        <v>168.39</v>
      </c>
      <c r="AF1121" s="1">
        <v>160.26</v>
      </c>
      <c r="AG1121" s="1">
        <v>161.29</v>
      </c>
      <c r="AK1121" s="1">
        <v>0</v>
      </c>
      <c r="AS1121" s="1">
        <v>4406.8599999999997</v>
      </c>
      <c r="AT1121" s="1">
        <v>3738.55</v>
      </c>
      <c r="AW1121" s="1">
        <v>3396.92</v>
      </c>
      <c r="AX1121" s="1">
        <v>163.66</v>
      </c>
      <c r="BA1121" s="1">
        <v>161.6</v>
      </c>
      <c r="BB1121" s="1">
        <v>168.34</v>
      </c>
      <c r="BC1121" s="1">
        <v>167.41</v>
      </c>
      <c r="BD1121" s="1">
        <v>167.9</v>
      </c>
      <c r="BE1121" s="1">
        <v>167.86</v>
      </c>
      <c r="BF1121" s="1">
        <v>167.57</v>
      </c>
      <c r="BG1121" s="1">
        <v>167.15</v>
      </c>
      <c r="BI1121" s="1">
        <v>161.72999999999999</v>
      </c>
      <c r="BJ1121" s="1">
        <v>169.67</v>
      </c>
      <c r="BL1121" s="1">
        <v>153.81</v>
      </c>
      <c r="BN1121" s="1">
        <v>153.88999999999999</v>
      </c>
    </row>
    <row r="1122" spans="1:66" x14ac:dyDescent="0.3">
      <c r="A1122" s="2"/>
      <c r="C1122" s="14" t="str">
        <f t="shared" si="18"/>
        <v>20219</v>
      </c>
      <c r="D1122" s="3">
        <v>44469</v>
      </c>
      <c r="E1122" s="21">
        <v>2328.15</v>
      </c>
      <c r="F1122" s="21">
        <v>2330.8000000000002</v>
      </c>
      <c r="G1122" s="21">
        <v>2389.0700000000002</v>
      </c>
      <c r="H1122" s="21">
        <v>2191.52</v>
      </c>
      <c r="I1122" s="21">
        <v>2213.42</v>
      </c>
      <c r="J1122" s="21">
        <v>2443.33</v>
      </c>
      <c r="K1122" s="21">
        <v>2195.48</v>
      </c>
      <c r="L1122" s="21"/>
      <c r="M1122" s="21"/>
      <c r="N1122" s="21">
        <v>2131.37</v>
      </c>
      <c r="O1122" s="21">
        <v>2425</v>
      </c>
      <c r="P1122" s="21">
        <v>2182.2199999999998</v>
      </c>
      <c r="Q1122" s="21">
        <v>7418.14</v>
      </c>
      <c r="R1122" s="20">
        <v>154.47999999999999</v>
      </c>
      <c r="S1122" s="20">
        <v>159.6</v>
      </c>
      <c r="T1122" s="21">
        <v>162.34</v>
      </c>
      <c r="V1122" s="1">
        <v>156.36000000000001</v>
      </c>
      <c r="W1122" s="1">
        <v>162.19999999999999</v>
      </c>
      <c r="X1122" s="1">
        <v>160.02000000000001</v>
      </c>
      <c r="Y1122" s="1">
        <v>160.74</v>
      </c>
      <c r="Z1122" s="1">
        <v>160.99</v>
      </c>
      <c r="AA1122" s="1">
        <v>155.28</v>
      </c>
      <c r="AB1122" s="1">
        <v>159.97999999999999</v>
      </c>
      <c r="AE1122" s="1">
        <v>169.33</v>
      </c>
      <c r="AF1122" s="1">
        <v>168.5</v>
      </c>
      <c r="AG1122" s="1">
        <v>164.64</v>
      </c>
      <c r="AI1122" s="1">
        <v>30</v>
      </c>
      <c r="AK1122" s="1">
        <v>0</v>
      </c>
      <c r="AN1122" s="1">
        <v>3700</v>
      </c>
      <c r="AS1122" s="1">
        <v>4407.91</v>
      </c>
      <c r="AT1122" s="1">
        <v>3739.43</v>
      </c>
      <c r="AW1122" s="1">
        <v>3397.73</v>
      </c>
      <c r="AX1122" s="1">
        <v>164.21</v>
      </c>
      <c r="BA1122" s="1">
        <v>166.54</v>
      </c>
      <c r="BB1122" s="1">
        <v>172.03</v>
      </c>
      <c r="BC1122" s="1">
        <v>171.5</v>
      </c>
      <c r="BD1122" s="1">
        <v>169.5</v>
      </c>
      <c r="BE1122" s="1">
        <v>168.94</v>
      </c>
      <c r="BF1122" s="1">
        <v>167.58</v>
      </c>
      <c r="BG1122" s="1">
        <v>168.78</v>
      </c>
      <c r="BH1122" s="1">
        <v>166</v>
      </c>
      <c r="BI1122" s="1">
        <v>164.32</v>
      </c>
      <c r="BJ1122" s="1">
        <v>170.37</v>
      </c>
      <c r="BL1122" s="1">
        <v>156.16999999999999</v>
      </c>
      <c r="BN1122" s="1">
        <v>156.24</v>
      </c>
    </row>
    <row r="1123" spans="1:66" x14ac:dyDescent="0.3">
      <c r="A1123" s="2"/>
      <c r="C1123" s="14" t="str">
        <f t="shared" si="18"/>
        <v>20219</v>
      </c>
      <c r="D1123" s="3">
        <v>44468</v>
      </c>
      <c r="E1123" s="21">
        <v>2349.7399999999998</v>
      </c>
      <c r="F1123" s="21">
        <v>2350.6999999999998</v>
      </c>
      <c r="G1123" s="21">
        <v>2401.5</v>
      </c>
      <c r="H1123" s="21">
        <v>2198.4</v>
      </c>
      <c r="I1123" s="21">
        <v>2213.42</v>
      </c>
      <c r="J1123" s="21">
        <v>2378.7600000000002</v>
      </c>
      <c r="K1123" s="21">
        <v>2130.9299999999998</v>
      </c>
      <c r="L1123" s="21"/>
      <c r="M1123" s="21"/>
      <c r="N1123" s="21">
        <v>2134.67</v>
      </c>
      <c r="O1123" s="21">
        <v>2417.5</v>
      </c>
      <c r="P1123" s="21">
        <v>2157.56</v>
      </c>
      <c r="Q1123" s="21">
        <v>7530.85</v>
      </c>
      <c r="R1123" s="20">
        <v>151.52000000000001</v>
      </c>
      <c r="S1123" s="20">
        <v>161.57</v>
      </c>
      <c r="T1123" s="21">
        <v>162.54</v>
      </c>
      <c r="V1123" s="1">
        <v>156.65</v>
      </c>
      <c r="W1123" s="1">
        <v>162.66</v>
      </c>
      <c r="X1123" s="1">
        <v>160.05000000000001</v>
      </c>
      <c r="Y1123" s="1">
        <v>160.94</v>
      </c>
      <c r="Z1123" s="1">
        <v>161</v>
      </c>
      <c r="AA1123" s="1">
        <v>155.05000000000001</v>
      </c>
      <c r="AB1123" s="1">
        <v>160.37</v>
      </c>
      <c r="AE1123" s="1">
        <v>168.49</v>
      </c>
      <c r="AF1123" s="1">
        <v>166.4</v>
      </c>
      <c r="AG1123" s="1">
        <v>165.57</v>
      </c>
      <c r="AI1123" s="1">
        <v>30</v>
      </c>
      <c r="AK1123" s="1">
        <v>0</v>
      </c>
      <c r="AN1123" s="1">
        <v>3700</v>
      </c>
      <c r="AS1123" s="1">
        <v>4407.91</v>
      </c>
      <c r="AT1123" s="1">
        <v>3739.43</v>
      </c>
      <c r="AW1123" s="1">
        <v>3397.73</v>
      </c>
      <c r="AX1123" s="1">
        <v>164.67</v>
      </c>
      <c r="BA1123" s="1">
        <v>169.31</v>
      </c>
      <c r="BB1123" s="1">
        <v>173.04</v>
      </c>
      <c r="BC1123" s="1">
        <v>171.3</v>
      </c>
      <c r="BD1123" s="1">
        <v>169.38</v>
      </c>
      <c r="BE1123" s="1">
        <v>169.53</v>
      </c>
      <c r="BF1123" s="1">
        <v>167.72</v>
      </c>
      <c r="BG1123" s="1">
        <v>169.68</v>
      </c>
      <c r="BH1123" s="1">
        <v>166</v>
      </c>
      <c r="BI1123" s="1">
        <v>163.72</v>
      </c>
      <c r="BJ1123" s="1">
        <v>170.36</v>
      </c>
      <c r="BL1123" s="1">
        <v>156.79</v>
      </c>
      <c r="BN1123" s="1">
        <v>156.74</v>
      </c>
    </row>
    <row r="1124" spans="1:66" x14ac:dyDescent="0.3">
      <c r="A1124" s="2"/>
      <c r="C1124" s="14" t="str">
        <f t="shared" si="18"/>
        <v>20219</v>
      </c>
      <c r="D1124" s="3">
        <v>44467</v>
      </c>
      <c r="E1124" s="21">
        <v>2353.04</v>
      </c>
      <c r="F1124" s="21">
        <v>2370.59</v>
      </c>
      <c r="G1124" s="21">
        <v>2413.94</v>
      </c>
      <c r="H1124" s="21">
        <v>2186.41</v>
      </c>
      <c r="I1124" s="21">
        <v>2228.34</v>
      </c>
      <c r="J1124" s="21">
        <v>2433.33</v>
      </c>
      <c r="K1124" s="21">
        <v>2154.89</v>
      </c>
      <c r="L1124" s="21"/>
      <c r="M1124" s="21">
        <v>2401.48</v>
      </c>
      <c r="N1124" s="21">
        <v>2134.84</v>
      </c>
      <c r="O1124" s="21">
        <v>2392</v>
      </c>
      <c r="P1124" s="21">
        <v>2204.14</v>
      </c>
      <c r="Q1124" s="21">
        <v>7467.29</v>
      </c>
      <c r="R1124" s="20">
        <v>154.08000000000001</v>
      </c>
      <c r="S1124" s="20">
        <v>160.69</v>
      </c>
      <c r="T1124" s="21">
        <v>162.6</v>
      </c>
      <c r="U1124" s="1">
        <v>164.38</v>
      </c>
      <c r="V1124" s="1">
        <v>155.79</v>
      </c>
      <c r="W1124" s="1">
        <v>161.88</v>
      </c>
      <c r="X1124" s="1">
        <v>160.05000000000001</v>
      </c>
      <c r="Y1124" s="1">
        <v>160.35</v>
      </c>
      <c r="Z1124" s="1">
        <v>159.99</v>
      </c>
      <c r="AA1124" s="1">
        <v>155.41</v>
      </c>
      <c r="AB1124" s="1">
        <v>160.29</v>
      </c>
      <c r="AE1124" s="1">
        <v>169.44</v>
      </c>
      <c r="AF1124" s="1">
        <v>166.42</v>
      </c>
      <c r="AG1124" s="1">
        <v>165.25</v>
      </c>
      <c r="AI1124" s="1">
        <v>30</v>
      </c>
      <c r="AK1124" s="1">
        <v>0</v>
      </c>
      <c r="AN1124" s="1">
        <v>3700</v>
      </c>
      <c r="AS1124" s="1">
        <v>4407.91</v>
      </c>
      <c r="AT1124" s="1">
        <v>3739.43</v>
      </c>
      <c r="AW1124" s="1">
        <v>3397.73</v>
      </c>
      <c r="AX1124" s="1">
        <v>164.53</v>
      </c>
      <c r="BA1124" s="1">
        <v>170.58</v>
      </c>
      <c r="BB1124" s="1">
        <v>173.13</v>
      </c>
      <c r="BC1124" s="1">
        <v>170.69</v>
      </c>
      <c r="BD1124" s="1">
        <v>169.95</v>
      </c>
      <c r="BE1124" s="1">
        <v>169.23</v>
      </c>
      <c r="BF1124" s="1">
        <v>167.51</v>
      </c>
      <c r="BG1124" s="1">
        <v>169.94</v>
      </c>
      <c r="BH1124" s="1">
        <v>166.77</v>
      </c>
      <c r="BI1124" s="1">
        <v>163.52000000000001</v>
      </c>
      <c r="BJ1124" s="1">
        <v>170.35</v>
      </c>
      <c r="BL1124" s="1">
        <v>154.22</v>
      </c>
      <c r="BN1124" s="1">
        <v>156.74</v>
      </c>
    </row>
    <row r="1125" spans="1:66" x14ac:dyDescent="0.3">
      <c r="A1125" s="2"/>
      <c r="C1125" s="14" t="str">
        <f t="shared" si="18"/>
        <v>20219</v>
      </c>
      <c r="D1125" s="3">
        <v>44466</v>
      </c>
      <c r="E1125" s="21">
        <v>2334.7600000000002</v>
      </c>
      <c r="F1125" s="21">
        <v>2369.27</v>
      </c>
      <c r="G1125" s="21">
        <v>2413.94</v>
      </c>
      <c r="H1125" s="21">
        <v>2201.9299999999998</v>
      </c>
      <c r="I1125" s="21">
        <v>2228.34</v>
      </c>
      <c r="J1125" s="21">
        <v>2433.33</v>
      </c>
      <c r="K1125" s="21">
        <v>2198.8000000000002</v>
      </c>
      <c r="L1125" s="21"/>
      <c r="M1125" s="21">
        <v>2286.5</v>
      </c>
      <c r="N1125" s="21">
        <v>2119.0300000000002</v>
      </c>
      <c r="O1125" s="21">
        <v>2394</v>
      </c>
      <c r="P1125" s="21">
        <v>2190.1999999999998</v>
      </c>
      <c r="Q1125" s="21">
        <v>7533.92</v>
      </c>
      <c r="R1125" s="20">
        <v>153.88</v>
      </c>
      <c r="S1125" s="20">
        <v>160.68</v>
      </c>
      <c r="T1125" s="21">
        <v>162.47999999999999</v>
      </c>
      <c r="U1125" s="1">
        <v>164.32</v>
      </c>
      <c r="V1125" s="1">
        <v>155.61000000000001</v>
      </c>
      <c r="W1125" s="1">
        <v>162.57</v>
      </c>
      <c r="X1125" s="1">
        <v>159.13999999999999</v>
      </c>
      <c r="Y1125" s="1">
        <v>159.16</v>
      </c>
      <c r="Z1125" s="1">
        <v>158.99</v>
      </c>
      <c r="AA1125" s="1">
        <v>154.77000000000001</v>
      </c>
      <c r="AB1125" s="1">
        <v>158.97999999999999</v>
      </c>
      <c r="AE1125" s="1">
        <v>169.36</v>
      </c>
      <c r="AF1125" s="1">
        <v>166.13</v>
      </c>
      <c r="AG1125" s="1">
        <v>165.02</v>
      </c>
      <c r="AI1125" s="1">
        <v>30</v>
      </c>
      <c r="AK1125" s="1">
        <v>0</v>
      </c>
      <c r="AN1125" s="1">
        <v>3700</v>
      </c>
      <c r="AS1125" s="1">
        <v>4407.91</v>
      </c>
      <c r="AW1125" s="1">
        <v>3397.73</v>
      </c>
      <c r="AX1125" s="1">
        <v>164.48</v>
      </c>
      <c r="BA1125" s="1">
        <v>170.58</v>
      </c>
      <c r="BB1125" s="1">
        <v>172.52</v>
      </c>
      <c r="BC1125" s="1">
        <v>170.72</v>
      </c>
      <c r="BD1125" s="1">
        <v>169.72</v>
      </c>
      <c r="BE1125" s="1">
        <v>169.23</v>
      </c>
      <c r="BF1125" s="1">
        <v>168.09</v>
      </c>
      <c r="BG1125" s="1">
        <v>169.75</v>
      </c>
      <c r="BH1125" s="1">
        <v>165.47</v>
      </c>
      <c r="BI1125" s="1">
        <v>163.52000000000001</v>
      </c>
      <c r="BJ1125" s="1">
        <v>170.34</v>
      </c>
      <c r="BL1125" s="1">
        <v>153.62</v>
      </c>
      <c r="BN1125" s="1">
        <v>155.99</v>
      </c>
    </row>
    <row r="1126" spans="1:66" x14ac:dyDescent="0.3">
      <c r="A1126" s="2"/>
      <c r="C1126" s="14" t="str">
        <f t="shared" si="18"/>
        <v>20219</v>
      </c>
      <c r="D1126" s="3">
        <v>44463</v>
      </c>
      <c r="E1126" s="21">
        <v>2335.69</v>
      </c>
      <c r="F1126" s="21">
        <v>2373.41</v>
      </c>
      <c r="G1126" s="21">
        <v>2421.42</v>
      </c>
      <c r="H1126" s="21">
        <v>2201.54</v>
      </c>
      <c r="I1126" s="21">
        <v>2274.7600000000002</v>
      </c>
      <c r="J1126" s="21">
        <v>2433.33</v>
      </c>
      <c r="K1126" s="21">
        <v>2126.94</v>
      </c>
      <c r="L1126" s="21"/>
      <c r="M1126" s="21">
        <v>2211.88</v>
      </c>
      <c r="N1126" s="21">
        <v>2130.23</v>
      </c>
      <c r="O1126" s="21">
        <v>2380</v>
      </c>
      <c r="P1126" s="21">
        <v>2157.56</v>
      </c>
      <c r="Q1126" s="21">
        <v>7588.37</v>
      </c>
      <c r="R1126" s="20">
        <v>153.28</v>
      </c>
      <c r="S1126" s="20">
        <v>160.16999999999999</v>
      </c>
      <c r="T1126" s="21">
        <v>161.29</v>
      </c>
      <c r="U1126" s="1">
        <v>164.12</v>
      </c>
      <c r="V1126" s="1">
        <v>156.6</v>
      </c>
      <c r="W1126" s="1">
        <v>160.16999999999999</v>
      </c>
      <c r="X1126" s="1">
        <v>159.05000000000001</v>
      </c>
      <c r="Y1126" s="1">
        <v>158.93</v>
      </c>
      <c r="Z1126" s="1">
        <v>159.56</v>
      </c>
      <c r="AA1126" s="1">
        <v>154.24</v>
      </c>
      <c r="AB1126" s="1">
        <v>158.97999999999999</v>
      </c>
      <c r="AE1126" s="1">
        <v>168.17</v>
      </c>
      <c r="AF1126" s="1">
        <v>164.88</v>
      </c>
      <c r="AG1126" s="1">
        <v>164.71</v>
      </c>
      <c r="AI1126" s="1">
        <v>30</v>
      </c>
      <c r="AN1126" s="1">
        <v>3700</v>
      </c>
      <c r="AX1126" s="1">
        <v>164.57</v>
      </c>
      <c r="BA1126" s="1">
        <v>170.36</v>
      </c>
      <c r="BB1126" s="1">
        <v>171.3</v>
      </c>
      <c r="BC1126" s="1">
        <v>169.47</v>
      </c>
      <c r="BD1126" s="1">
        <v>168.31</v>
      </c>
      <c r="BE1126" s="1">
        <v>167.09</v>
      </c>
      <c r="BF1126" s="1">
        <v>166.67</v>
      </c>
      <c r="BG1126" s="1">
        <v>168.81</v>
      </c>
      <c r="BH1126" s="1">
        <v>166</v>
      </c>
      <c r="BI1126" s="1">
        <v>162.74</v>
      </c>
      <c r="BJ1126" s="1">
        <v>170.32</v>
      </c>
      <c r="BL1126" s="1">
        <v>155.66999999999999</v>
      </c>
      <c r="BN1126" s="1">
        <v>155.87</v>
      </c>
    </row>
    <row r="1127" spans="1:66" x14ac:dyDescent="0.3">
      <c r="A1127" s="2"/>
      <c r="C1127" s="14" t="str">
        <f t="shared" si="18"/>
        <v>20219</v>
      </c>
      <c r="D1127" s="3">
        <v>44462</v>
      </c>
      <c r="E1127" s="21">
        <v>2317.7399999999998</v>
      </c>
      <c r="F1127" s="21">
        <v>2375.41</v>
      </c>
      <c r="G1127" s="21">
        <v>2430.66</v>
      </c>
      <c r="H1127" s="21">
        <v>2189.75</v>
      </c>
      <c r="I1127" s="21">
        <v>2276.67</v>
      </c>
      <c r="J1127" s="21">
        <v>2369.52</v>
      </c>
      <c r="K1127" s="21">
        <v>2203.15</v>
      </c>
      <c r="L1127" s="21"/>
      <c r="M1127" s="21">
        <v>2226.14</v>
      </c>
      <c r="N1127" s="21">
        <v>2140.87</v>
      </c>
      <c r="O1127" s="21">
        <v>2420</v>
      </c>
      <c r="P1127" s="21">
        <v>2194.9899999999998</v>
      </c>
      <c r="Q1127" s="21">
        <v>7583.55</v>
      </c>
      <c r="R1127" s="20">
        <v>153.30000000000001</v>
      </c>
      <c r="S1127" s="20">
        <v>159.91999999999999</v>
      </c>
      <c r="T1127" s="21">
        <v>162.05000000000001</v>
      </c>
      <c r="U1127" s="1">
        <v>164.04</v>
      </c>
      <c r="V1127" s="1">
        <v>156.38</v>
      </c>
      <c r="W1127" s="1">
        <v>160.68</v>
      </c>
      <c r="X1127" s="1">
        <v>159.19</v>
      </c>
      <c r="Y1127" s="1">
        <v>159.94999999999999</v>
      </c>
      <c r="Z1127" s="1">
        <v>160</v>
      </c>
      <c r="AA1127" s="1">
        <v>154.27000000000001</v>
      </c>
      <c r="AB1127" s="1">
        <v>158.85</v>
      </c>
      <c r="AE1127" s="1">
        <v>168.91</v>
      </c>
      <c r="AF1127" s="1">
        <v>164.72</v>
      </c>
      <c r="AG1127" s="1">
        <v>165.47</v>
      </c>
      <c r="AW1127" s="1">
        <v>4114</v>
      </c>
      <c r="AX1127" s="1">
        <v>165.68</v>
      </c>
      <c r="BA1127" s="1">
        <v>170.37</v>
      </c>
      <c r="BB1127" s="1">
        <v>169.73</v>
      </c>
      <c r="BC1127" s="1">
        <v>168.9</v>
      </c>
      <c r="BD1127" s="1">
        <v>166.9</v>
      </c>
      <c r="BE1127" s="1">
        <v>168.31</v>
      </c>
      <c r="BF1127" s="1">
        <v>165.88</v>
      </c>
      <c r="BG1127" s="1">
        <v>169.01</v>
      </c>
      <c r="BH1127" s="1">
        <v>166.12</v>
      </c>
      <c r="BI1127" s="1">
        <v>161.75</v>
      </c>
      <c r="BJ1127" s="1">
        <v>169.96</v>
      </c>
      <c r="BL1127" s="1">
        <v>155.85</v>
      </c>
      <c r="BN1127" s="1">
        <v>155.16</v>
      </c>
    </row>
    <row r="1128" spans="1:66" x14ac:dyDescent="0.3">
      <c r="A1128" s="2"/>
      <c r="C1128" s="14" t="str">
        <f t="shared" si="18"/>
        <v>20219</v>
      </c>
      <c r="D1128" s="3">
        <v>44461</v>
      </c>
      <c r="E1128" s="21">
        <v>2342.1799999999998</v>
      </c>
      <c r="F1128" s="21">
        <v>2362.63</v>
      </c>
      <c r="G1128" s="21">
        <v>2430.66</v>
      </c>
      <c r="H1128" s="21">
        <v>2207.7399999999998</v>
      </c>
      <c r="I1128" s="21">
        <v>2276.67</v>
      </c>
      <c r="J1128" s="21">
        <v>2338.1</v>
      </c>
      <c r="K1128" s="21">
        <v>2211.48</v>
      </c>
      <c r="L1128" s="21"/>
      <c r="M1128" s="21">
        <v>2266.62</v>
      </c>
      <c r="N1128" s="21">
        <v>2146.19</v>
      </c>
      <c r="O1128" s="21">
        <v>2420</v>
      </c>
      <c r="P1128" s="21">
        <v>2194.9899999999998</v>
      </c>
      <c r="Q1128" s="21">
        <v>7558.66</v>
      </c>
      <c r="R1128" s="20">
        <v>153.30000000000001</v>
      </c>
      <c r="S1128" s="20">
        <v>160.21</v>
      </c>
      <c r="T1128" s="21">
        <v>162.1</v>
      </c>
      <c r="U1128" s="1">
        <v>163.71</v>
      </c>
      <c r="V1128" s="1">
        <v>156.38</v>
      </c>
      <c r="W1128" s="1">
        <v>160.51</v>
      </c>
      <c r="X1128" s="1">
        <v>158.15</v>
      </c>
      <c r="Y1128" s="1">
        <v>159.30000000000001</v>
      </c>
      <c r="Z1128" s="1">
        <v>159.28</v>
      </c>
      <c r="AA1128" s="1">
        <v>153.81</v>
      </c>
      <c r="AB1128" s="1">
        <v>158.01</v>
      </c>
      <c r="AE1128" s="1">
        <v>168.39</v>
      </c>
      <c r="AF1128" s="1">
        <v>162.41</v>
      </c>
      <c r="AG1128" s="1">
        <v>165.31</v>
      </c>
      <c r="AR1128" s="1">
        <v>4337.13</v>
      </c>
      <c r="AW1128" s="1">
        <v>4114</v>
      </c>
      <c r="AX1128" s="1">
        <v>165.39</v>
      </c>
      <c r="BA1128" s="1">
        <v>169.29</v>
      </c>
      <c r="BB1128" s="1">
        <v>168.97</v>
      </c>
      <c r="BC1128" s="1">
        <v>168.68</v>
      </c>
      <c r="BD1128" s="1">
        <v>166.56</v>
      </c>
      <c r="BE1128" s="1">
        <v>168.45</v>
      </c>
      <c r="BF1128" s="1">
        <v>165.71</v>
      </c>
      <c r="BG1128" s="1">
        <v>168.67</v>
      </c>
      <c r="BH1128" s="1">
        <v>165.12</v>
      </c>
      <c r="BI1128" s="1">
        <v>161.75</v>
      </c>
      <c r="BJ1128" s="1">
        <v>169.98</v>
      </c>
      <c r="BL1128" s="1">
        <v>155.85</v>
      </c>
      <c r="BN1128" s="1">
        <v>155.16</v>
      </c>
    </row>
    <row r="1129" spans="1:66" x14ac:dyDescent="0.3">
      <c r="A1129" s="2"/>
      <c r="C1129" s="14" t="str">
        <f t="shared" si="18"/>
        <v>20219</v>
      </c>
      <c r="D1129" s="3">
        <v>44460</v>
      </c>
      <c r="E1129" s="21">
        <v>2341.44</v>
      </c>
      <c r="F1129" s="21">
        <v>2355.91</v>
      </c>
      <c r="G1129" s="21">
        <v>2427.79</v>
      </c>
      <c r="H1129" s="21">
        <v>2217.65</v>
      </c>
      <c r="I1129" s="21">
        <v>2276.67</v>
      </c>
      <c r="J1129" s="21">
        <v>2380.23</v>
      </c>
      <c r="K1129" s="21">
        <v>2218.13</v>
      </c>
      <c r="L1129" s="21"/>
      <c r="M1129" s="21">
        <v>2266.62</v>
      </c>
      <c r="N1129" s="21">
        <v>2148.6</v>
      </c>
      <c r="O1129" s="21">
        <v>2413.33</v>
      </c>
      <c r="P1129" s="21">
        <v>2202.9699999999998</v>
      </c>
      <c r="Q1129" s="21">
        <v>7518.72</v>
      </c>
      <c r="R1129" s="20">
        <v>153.69999999999999</v>
      </c>
      <c r="S1129" s="20">
        <v>160.37</v>
      </c>
      <c r="T1129" s="21">
        <v>160.66</v>
      </c>
      <c r="V1129" s="1">
        <v>156.38</v>
      </c>
      <c r="W1129" s="1">
        <v>160.44999999999999</v>
      </c>
      <c r="X1129" s="1">
        <v>158.15</v>
      </c>
      <c r="Y1129" s="1">
        <v>159.01</v>
      </c>
      <c r="Z1129" s="1">
        <v>159</v>
      </c>
      <c r="AA1129" s="1">
        <v>154.27000000000001</v>
      </c>
      <c r="AB1129" s="1">
        <v>158.01</v>
      </c>
      <c r="AE1129" s="1">
        <v>168.55</v>
      </c>
      <c r="AF1129" s="1">
        <v>164.92</v>
      </c>
      <c r="AG1129" s="1">
        <v>166.3</v>
      </c>
      <c r="AR1129" s="1">
        <v>4337.13</v>
      </c>
      <c r="AW1129" s="1">
        <v>4114</v>
      </c>
      <c r="AX1129" s="1">
        <v>165.1</v>
      </c>
      <c r="BA1129" s="1">
        <v>169.29</v>
      </c>
      <c r="BB1129" s="1">
        <v>169.91</v>
      </c>
      <c r="BC1129" s="1">
        <v>168.13</v>
      </c>
      <c r="BD1129" s="1">
        <v>167.43</v>
      </c>
      <c r="BE1129" s="1">
        <v>168.02</v>
      </c>
      <c r="BF1129" s="1">
        <v>166.21</v>
      </c>
      <c r="BG1129" s="1">
        <v>169.05</v>
      </c>
      <c r="BH1129" s="1">
        <v>165.32</v>
      </c>
      <c r="BI1129" s="1">
        <v>162.55000000000001</v>
      </c>
      <c r="BJ1129" s="1">
        <v>170.92</v>
      </c>
      <c r="BL1129" s="1">
        <v>152.94999999999999</v>
      </c>
      <c r="BN1129" s="1">
        <v>155.9</v>
      </c>
    </row>
    <row r="1130" spans="1:66" x14ac:dyDescent="0.3">
      <c r="A1130" s="2"/>
      <c r="C1130" s="14" t="str">
        <f t="shared" si="18"/>
        <v>20219</v>
      </c>
      <c r="D1130" s="3">
        <v>44459</v>
      </c>
      <c r="E1130" s="21">
        <v>2356.09</v>
      </c>
      <c r="F1130" s="21">
        <v>2369.6</v>
      </c>
      <c r="G1130" s="21">
        <v>2415.6999999999998</v>
      </c>
      <c r="H1130" s="21">
        <v>2218.37</v>
      </c>
      <c r="I1130" s="21">
        <v>2283.31</v>
      </c>
      <c r="J1130" s="21">
        <v>2433.33</v>
      </c>
      <c r="K1130" s="21">
        <v>2136</v>
      </c>
      <c r="L1130" s="21"/>
      <c r="M1130" s="21">
        <v>2209.9899999999998</v>
      </c>
      <c r="N1130" s="21">
        <v>2143.31</v>
      </c>
      <c r="O1130" s="21">
        <v>2412.5</v>
      </c>
      <c r="P1130" s="21">
        <v>2171.58</v>
      </c>
      <c r="Q1130" s="21">
        <v>7493.26</v>
      </c>
      <c r="R1130" s="20">
        <v>153.69999999999999</v>
      </c>
      <c r="S1130" s="20">
        <v>160.66</v>
      </c>
      <c r="T1130" s="21">
        <v>160.63999999999999</v>
      </c>
      <c r="V1130" s="1">
        <v>156.66</v>
      </c>
      <c r="W1130" s="1">
        <v>160.51</v>
      </c>
      <c r="X1130" s="1">
        <v>159.06</v>
      </c>
      <c r="Y1130" s="1">
        <v>159.94999999999999</v>
      </c>
      <c r="Z1130" s="1">
        <v>160</v>
      </c>
      <c r="AA1130" s="1">
        <v>154.57</v>
      </c>
      <c r="AB1130" s="1">
        <v>159.15</v>
      </c>
      <c r="AE1130" s="1">
        <v>169.75</v>
      </c>
      <c r="AF1130" s="1">
        <v>165.32</v>
      </c>
      <c r="AG1130" s="1">
        <v>166.2</v>
      </c>
      <c r="AR1130" s="1">
        <v>4337.13</v>
      </c>
      <c r="AW1130" s="1">
        <v>4114</v>
      </c>
      <c r="AX1130" s="1">
        <v>166.89</v>
      </c>
      <c r="BA1130" s="1">
        <v>169.79</v>
      </c>
      <c r="BB1130" s="1">
        <v>170.35</v>
      </c>
      <c r="BC1130" s="1">
        <v>169.33</v>
      </c>
      <c r="BD1130" s="1">
        <v>168.81</v>
      </c>
      <c r="BE1130" s="1">
        <v>168.02</v>
      </c>
      <c r="BF1130" s="1">
        <v>166.21</v>
      </c>
      <c r="BG1130" s="1">
        <v>170.38</v>
      </c>
      <c r="BH1130" s="1">
        <v>166.87</v>
      </c>
      <c r="BI1130" s="1">
        <v>161.94999999999999</v>
      </c>
      <c r="BJ1130" s="1">
        <v>170.79</v>
      </c>
      <c r="BL1130" s="1">
        <v>153.15</v>
      </c>
      <c r="BN1130" s="1">
        <v>155.9</v>
      </c>
    </row>
    <row r="1131" spans="1:66" x14ac:dyDescent="0.3">
      <c r="A1131" s="2"/>
      <c r="C1131" s="14" t="str">
        <f t="shared" si="18"/>
        <v>20219</v>
      </c>
      <c r="D1131" s="3">
        <v>44456</v>
      </c>
      <c r="E1131" s="21">
        <v>2349.4899999999998</v>
      </c>
      <c r="F1131" s="21">
        <v>2369.6</v>
      </c>
      <c r="G1131" s="21">
        <v>2403.2399999999998</v>
      </c>
      <c r="H1131" s="21">
        <v>2210.11</v>
      </c>
      <c r="I1131" s="21">
        <v>2283.31</v>
      </c>
      <c r="J1131" s="21">
        <v>2433.33</v>
      </c>
      <c r="K1131" s="21">
        <v>2136</v>
      </c>
      <c r="L1131" s="21"/>
      <c r="M1131" s="21">
        <v>2218.17</v>
      </c>
      <c r="N1131" s="21">
        <v>2131.16</v>
      </c>
      <c r="O1131" s="21">
        <v>2350.42</v>
      </c>
      <c r="P1131" s="21">
        <v>2171.58</v>
      </c>
      <c r="Q1131" s="21">
        <v>7432.61</v>
      </c>
      <c r="R1131" s="20">
        <v>152.1</v>
      </c>
      <c r="S1131" s="20">
        <v>161.24</v>
      </c>
      <c r="T1131" s="21">
        <v>162.63999999999999</v>
      </c>
      <c r="V1131" s="1">
        <v>155.52000000000001</v>
      </c>
      <c r="W1131" s="1">
        <v>160.79</v>
      </c>
      <c r="X1131" s="1">
        <v>158.94999999999999</v>
      </c>
      <c r="Y1131" s="1">
        <v>159.94999999999999</v>
      </c>
      <c r="Z1131" s="1">
        <v>159.97999999999999</v>
      </c>
      <c r="AA1131" s="1">
        <v>154.69</v>
      </c>
      <c r="AB1131" s="1">
        <v>159.53</v>
      </c>
      <c r="AE1131" s="1">
        <v>168.46</v>
      </c>
      <c r="AF1131" s="1">
        <v>167.1</v>
      </c>
      <c r="AG1131" s="1">
        <v>166.32</v>
      </c>
      <c r="AK1131" s="1">
        <v>0</v>
      </c>
      <c r="AN1131" s="1">
        <v>3414.94</v>
      </c>
      <c r="AR1131" s="1">
        <v>4337.13</v>
      </c>
      <c r="AS1131" s="1">
        <v>3866.92</v>
      </c>
      <c r="AW1131" s="1">
        <v>4114</v>
      </c>
      <c r="AX1131" s="1">
        <v>165.7</v>
      </c>
      <c r="BA1131" s="1">
        <v>170.61</v>
      </c>
      <c r="BB1131" s="1">
        <v>171.89</v>
      </c>
      <c r="BC1131" s="1">
        <v>172.1</v>
      </c>
      <c r="BD1131" s="1">
        <v>169.02</v>
      </c>
      <c r="BE1131" s="1">
        <v>168.16</v>
      </c>
      <c r="BF1131" s="1">
        <v>169.78</v>
      </c>
      <c r="BG1131" s="1">
        <v>169.34</v>
      </c>
      <c r="BH1131" s="1">
        <v>166.87</v>
      </c>
      <c r="BI1131" s="1">
        <v>161.85</v>
      </c>
      <c r="BJ1131" s="1">
        <v>170.78</v>
      </c>
      <c r="BL1131" s="1">
        <v>156.69999999999999</v>
      </c>
      <c r="BN1131" s="1">
        <v>156.65</v>
      </c>
    </row>
    <row r="1132" spans="1:66" x14ac:dyDescent="0.3">
      <c r="A1132" s="2"/>
      <c r="C1132" s="14" t="str">
        <f t="shared" si="18"/>
        <v>20219</v>
      </c>
      <c r="D1132" s="3">
        <v>44455</v>
      </c>
      <c r="E1132" s="21">
        <v>2352.7600000000002</v>
      </c>
      <c r="F1132" s="21">
        <v>2369.6</v>
      </c>
      <c r="G1132" s="21">
        <v>2415.71</v>
      </c>
      <c r="H1132" s="21">
        <v>2204.58</v>
      </c>
      <c r="I1132" s="21">
        <v>2242.16</v>
      </c>
      <c r="J1132" s="21">
        <v>2363.6799999999998</v>
      </c>
      <c r="K1132" s="21">
        <v>2112.04</v>
      </c>
      <c r="L1132" s="21"/>
      <c r="M1132" s="21">
        <v>2242.71</v>
      </c>
      <c r="N1132" s="21">
        <v>2147.3200000000002</v>
      </c>
      <c r="O1132" s="21">
        <v>2405</v>
      </c>
      <c r="P1132" s="21">
        <v>2164.81</v>
      </c>
      <c r="Q1132" s="21">
        <v>7646.73</v>
      </c>
      <c r="R1132" s="20">
        <v>151.30000000000001</v>
      </c>
      <c r="S1132" s="20">
        <v>160.72999999999999</v>
      </c>
      <c r="T1132" s="21">
        <v>162.63999999999999</v>
      </c>
      <c r="V1132" s="1">
        <v>155.69999999999999</v>
      </c>
      <c r="W1132" s="1">
        <v>160.22</v>
      </c>
      <c r="X1132" s="1">
        <v>159.09</v>
      </c>
      <c r="Y1132" s="1">
        <v>159.94999999999999</v>
      </c>
      <c r="Z1132" s="1">
        <v>159.97999999999999</v>
      </c>
      <c r="AA1132" s="1">
        <v>154.33000000000001</v>
      </c>
      <c r="AB1132" s="1">
        <v>159.53</v>
      </c>
      <c r="AE1132" s="1">
        <v>169.53</v>
      </c>
      <c r="AF1132" s="1">
        <v>166.99</v>
      </c>
      <c r="AG1132" s="1">
        <v>166.69</v>
      </c>
      <c r="AK1132" s="1">
        <v>0</v>
      </c>
      <c r="AN1132" s="1">
        <v>3414.94</v>
      </c>
      <c r="AR1132" s="1">
        <v>4337.13</v>
      </c>
      <c r="AS1132" s="1">
        <v>3866.92</v>
      </c>
      <c r="AX1132" s="1">
        <v>164.78</v>
      </c>
      <c r="BA1132" s="1">
        <v>171.01</v>
      </c>
      <c r="BB1132" s="1">
        <v>172.64</v>
      </c>
      <c r="BC1132" s="1">
        <v>171.98</v>
      </c>
      <c r="BD1132" s="1">
        <v>169.84</v>
      </c>
      <c r="BE1132" s="1">
        <v>167.88</v>
      </c>
      <c r="BF1132" s="1">
        <v>169.58</v>
      </c>
      <c r="BG1132" s="1">
        <v>169.44</v>
      </c>
      <c r="BH1132" s="1">
        <v>164.86</v>
      </c>
      <c r="BI1132" s="1">
        <v>161.75</v>
      </c>
      <c r="BJ1132" s="1">
        <v>170.78</v>
      </c>
      <c r="BL1132" s="1">
        <v>156.15</v>
      </c>
      <c r="BN1132" s="1">
        <v>154.51</v>
      </c>
    </row>
    <row r="1133" spans="1:66" x14ac:dyDescent="0.3">
      <c r="A1133" s="2"/>
      <c r="C1133" s="14" t="str">
        <f t="shared" si="18"/>
        <v>20219</v>
      </c>
      <c r="D1133" s="3">
        <v>44454</v>
      </c>
      <c r="E1133" s="21">
        <v>2359.3000000000002</v>
      </c>
      <c r="F1133" s="21">
        <v>2369.6</v>
      </c>
      <c r="G1133" s="21">
        <v>2383.31</v>
      </c>
      <c r="H1133" s="21">
        <v>2204.58</v>
      </c>
      <c r="I1133" s="21">
        <v>2235.19</v>
      </c>
      <c r="J1133" s="21">
        <v>2363.6799999999998</v>
      </c>
      <c r="K1133" s="21">
        <v>2092.09</v>
      </c>
      <c r="L1133" s="21"/>
      <c r="M1133" s="21">
        <v>2242.71</v>
      </c>
      <c r="N1133" s="21">
        <v>2157.6999999999998</v>
      </c>
      <c r="O1133" s="21">
        <v>2321.52</v>
      </c>
      <c r="P1133" s="21">
        <v>2125.02</v>
      </c>
      <c r="Q1133" s="21">
        <v>7626.81</v>
      </c>
      <c r="R1133" s="20">
        <v>151.30000000000001</v>
      </c>
      <c r="S1133" s="20">
        <v>158.62</v>
      </c>
      <c r="T1133" s="21">
        <v>161.26</v>
      </c>
      <c r="V1133" s="1">
        <v>155.22999999999999</v>
      </c>
      <c r="W1133" s="1">
        <v>159.22</v>
      </c>
      <c r="X1133" s="1">
        <v>158.28</v>
      </c>
      <c r="Y1133" s="1">
        <v>159.47999999999999</v>
      </c>
      <c r="Z1133" s="1">
        <v>159.32</v>
      </c>
      <c r="AA1133" s="1">
        <v>154.28</v>
      </c>
      <c r="AB1133" s="1">
        <v>158.78</v>
      </c>
      <c r="AE1133" s="1">
        <v>169.07</v>
      </c>
      <c r="AF1133" s="1">
        <v>167.57</v>
      </c>
      <c r="AG1133" s="1">
        <v>166.55</v>
      </c>
      <c r="AK1133" s="1">
        <v>0</v>
      </c>
      <c r="AN1133" s="1">
        <v>3414.94</v>
      </c>
      <c r="AS1133" s="1">
        <v>3866.92</v>
      </c>
      <c r="AX1133" s="1">
        <v>165.25</v>
      </c>
      <c r="BA1133" s="1">
        <v>165.91</v>
      </c>
      <c r="BB1133" s="1">
        <v>171.8</v>
      </c>
      <c r="BC1133" s="1">
        <v>170.26</v>
      </c>
      <c r="BD1133" s="1">
        <v>170.25</v>
      </c>
      <c r="BE1133" s="1">
        <v>167.88</v>
      </c>
      <c r="BF1133" s="1">
        <v>167.77</v>
      </c>
      <c r="BG1133" s="1">
        <v>168.66</v>
      </c>
      <c r="BH1133" s="1">
        <v>164.86</v>
      </c>
      <c r="BI1133" s="1">
        <v>160.05000000000001</v>
      </c>
      <c r="BJ1133" s="1">
        <v>170.97</v>
      </c>
      <c r="BL1133" s="1">
        <v>155.75</v>
      </c>
      <c r="BN1133" s="1">
        <v>154.11000000000001</v>
      </c>
    </row>
    <row r="1134" spans="1:66" x14ac:dyDescent="0.3">
      <c r="A1134" s="2"/>
      <c r="C1134" s="14" t="str">
        <f t="shared" si="18"/>
        <v>20219</v>
      </c>
      <c r="D1134" s="3">
        <v>44453</v>
      </c>
      <c r="E1134" s="21">
        <v>2349.33</v>
      </c>
      <c r="F1134" s="21">
        <v>2369.6</v>
      </c>
      <c r="G1134" s="21">
        <v>2365.85</v>
      </c>
      <c r="H1134" s="21">
        <v>2218.52</v>
      </c>
      <c r="I1134" s="21">
        <v>2235.19</v>
      </c>
      <c r="J1134" s="21">
        <v>2362.86</v>
      </c>
      <c r="K1134" s="21">
        <v>2099.1</v>
      </c>
      <c r="L1134" s="21"/>
      <c r="M1134" s="21"/>
      <c r="N1134" s="21">
        <v>2124.94</v>
      </c>
      <c r="O1134" s="21">
        <v>2402.5</v>
      </c>
      <c r="P1134" s="21">
        <v>2125.02</v>
      </c>
      <c r="Q1134" s="21">
        <v>7416.01</v>
      </c>
      <c r="R1134" s="20">
        <v>149.9</v>
      </c>
      <c r="S1134" s="20">
        <v>158.87</v>
      </c>
      <c r="T1134" s="21">
        <v>160.19999999999999</v>
      </c>
      <c r="V1134" s="1">
        <v>155.44999999999999</v>
      </c>
      <c r="W1134" s="1">
        <v>158.81</v>
      </c>
      <c r="X1134" s="1">
        <v>157.11000000000001</v>
      </c>
      <c r="Y1134" s="1">
        <v>157.36000000000001</v>
      </c>
      <c r="Z1134" s="1">
        <v>157.32</v>
      </c>
      <c r="AA1134" s="1">
        <v>153.75</v>
      </c>
      <c r="AB1134" s="1">
        <v>157.4</v>
      </c>
      <c r="AE1134" s="1">
        <v>166.95</v>
      </c>
      <c r="AF1134" s="1">
        <v>166.13</v>
      </c>
      <c r="AG1134" s="1">
        <v>165.91</v>
      </c>
      <c r="AK1134" s="1">
        <v>0</v>
      </c>
      <c r="AN1134" s="1">
        <v>3414.94</v>
      </c>
      <c r="AS1134" s="1">
        <v>3866.92</v>
      </c>
      <c r="AX1134" s="1">
        <v>168.09</v>
      </c>
      <c r="BA1134" s="1">
        <v>169.12</v>
      </c>
      <c r="BB1134" s="1">
        <v>170.44</v>
      </c>
      <c r="BC1134" s="1">
        <v>169.56</v>
      </c>
      <c r="BD1134" s="1">
        <v>169.39</v>
      </c>
      <c r="BE1134" s="1">
        <v>166.21</v>
      </c>
      <c r="BF1134" s="1">
        <v>167.16</v>
      </c>
      <c r="BG1134" s="1">
        <v>167.37</v>
      </c>
      <c r="BI1134" s="1">
        <v>159.25</v>
      </c>
      <c r="BJ1134" s="1">
        <v>169.22</v>
      </c>
      <c r="BL1134" s="1">
        <v>153.21</v>
      </c>
      <c r="BN1134" s="1">
        <v>152.11000000000001</v>
      </c>
    </row>
    <row r="1135" spans="1:66" x14ac:dyDescent="0.3">
      <c r="A1135" s="2"/>
      <c r="C1135" s="14" t="str">
        <f t="shared" si="18"/>
        <v>20219</v>
      </c>
      <c r="D1135" s="3">
        <v>44452</v>
      </c>
      <c r="E1135" s="21">
        <v>2386.66</v>
      </c>
      <c r="F1135" s="21">
        <v>2384.5300000000002</v>
      </c>
      <c r="G1135" s="21">
        <v>2370.84</v>
      </c>
      <c r="H1135" s="21">
        <v>2213.73</v>
      </c>
      <c r="I1135" s="21">
        <v>2240.17</v>
      </c>
      <c r="J1135" s="21">
        <v>2430</v>
      </c>
      <c r="K1135" s="21">
        <v>2099.1</v>
      </c>
      <c r="L1135" s="21"/>
      <c r="M1135" s="21"/>
      <c r="N1135" s="21">
        <v>2140.7800000000002</v>
      </c>
      <c r="O1135" s="21">
        <v>2416.67</v>
      </c>
      <c r="P1135" s="21">
        <v>2125.02</v>
      </c>
      <c r="Q1135" s="21">
        <v>7454.5</v>
      </c>
      <c r="R1135" s="20">
        <v>149.9</v>
      </c>
      <c r="S1135" s="20">
        <v>158.12</v>
      </c>
      <c r="T1135" s="21">
        <v>158.65</v>
      </c>
      <c r="V1135" s="1">
        <v>154.94999999999999</v>
      </c>
      <c r="W1135" s="1">
        <v>158.61000000000001</v>
      </c>
      <c r="X1135" s="1">
        <v>156.99</v>
      </c>
      <c r="Y1135" s="1">
        <v>156.91999999999999</v>
      </c>
      <c r="Z1135" s="1">
        <v>156.97999999999999</v>
      </c>
      <c r="AA1135" s="1">
        <v>151.54</v>
      </c>
      <c r="AB1135" s="1">
        <v>157.4</v>
      </c>
      <c r="AE1135" s="1">
        <v>166.61</v>
      </c>
      <c r="AF1135" s="1">
        <v>162.28</v>
      </c>
      <c r="AG1135" s="1">
        <v>165.91</v>
      </c>
      <c r="AK1135" s="1">
        <v>0</v>
      </c>
      <c r="AN1135" s="1">
        <v>3414.94</v>
      </c>
      <c r="AS1135" s="1">
        <v>3866.92</v>
      </c>
      <c r="AX1135" s="1">
        <v>164.02</v>
      </c>
      <c r="BA1135" s="1">
        <v>168.86</v>
      </c>
      <c r="BB1135" s="1">
        <v>169.87</v>
      </c>
      <c r="BC1135" s="1">
        <v>167.89</v>
      </c>
      <c r="BD1135" s="1">
        <v>169.01</v>
      </c>
      <c r="BE1135" s="1">
        <v>165.71</v>
      </c>
      <c r="BF1135" s="1">
        <v>166.18</v>
      </c>
      <c r="BG1135" s="1">
        <v>167</v>
      </c>
      <c r="BI1135" s="1">
        <v>158.75</v>
      </c>
      <c r="BJ1135" s="1">
        <v>173.69</v>
      </c>
      <c r="BL1135" s="1">
        <v>152.46</v>
      </c>
      <c r="BN1135" s="1">
        <v>151.51</v>
      </c>
    </row>
    <row r="1136" spans="1:66" x14ac:dyDescent="0.3">
      <c r="A1136" s="2"/>
      <c r="C1136" s="14" t="str">
        <f t="shared" si="18"/>
        <v>20219</v>
      </c>
      <c r="D1136" s="3">
        <v>44449</v>
      </c>
      <c r="E1136" s="21">
        <v>2343.35</v>
      </c>
      <c r="F1136" s="21">
        <v>2379.56</v>
      </c>
      <c r="G1136" s="21">
        <v>2365.88</v>
      </c>
      <c r="H1136" s="21">
        <v>2257.14</v>
      </c>
      <c r="I1136" s="21">
        <v>2240.17</v>
      </c>
      <c r="J1136" s="21">
        <v>2404.12</v>
      </c>
      <c r="K1136" s="21">
        <v>2143.5500000000002</v>
      </c>
      <c r="L1136" s="21"/>
      <c r="M1136" s="21">
        <v>2204.34</v>
      </c>
      <c r="N1136" s="21">
        <v>2135.71</v>
      </c>
      <c r="O1136" s="21">
        <v>2412.5</v>
      </c>
      <c r="P1136" s="21">
        <v>2125.02</v>
      </c>
      <c r="Q1136" s="21">
        <v>7572.71</v>
      </c>
      <c r="R1136" s="20">
        <v>149.9</v>
      </c>
      <c r="S1136" s="20">
        <v>158.12</v>
      </c>
      <c r="T1136" s="21">
        <v>159.46</v>
      </c>
      <c r="V1136" s="1">
        <v>154.81</v>
      </c>
      <c r="W1136" s="1">
        <v>158.19999999999999</v>
      </c>
      <c r="X1136" s="1">
        <v>155.24</v>
      </c>
      <c r="Y1136" s="1">
        <v>155.94999999999999</v>
      </c>
      <c r="Z1136" s="1">
        <v>155.97999999999999</v>
      </c>
      <c r="AA1136" s="1">
        <v>150.35</v>
      </c>
      <c r="AB1136" s="1">
        <v>155.76</v>
      </c>
      <c r="AE1136" s="1">
        <v>166.85</v>
      </c>
      <c r="AF1136" s="1">
        <v>163.77000000000001</v>
      </c>
      <c r="AG1136" s="1">
        <v>162.69</v>
      </c>
      <c r="AT1136" s="1">
        <v>2912.74</v>
      </c>
      <c r="AX1136" s="1">
        <v>163.95</v>
      </c>
      <c r="BA1136" s="1">
        <v>168.57</v>
      </c>
      <c r="BB1136" s="1">
        <v>169.44</v>
      </c>
      <c r="BC1136" s="1">
        <v>166.57</v>
      </c>
      <c r="BD1136" s="1">
        <v>169.7</v>
      </c>
      <c r="BE1136" s="1">
        <v>166.63</v>
      </c>
      <c r="BF1136" s="1">
        <v>165.48</v>
      </c>
      <c r="BG1136" s="1">
        <v>167.16</v>
      </c>
      <c r="BI1136" s="1">
        <v>159.75</v>
      </c>
      <c r="BJ1136" s="1">
        <v>173.74</v>
      </c>
      <c r="BL1136" s="1">
        <v>152.83000000000001</v>
      </c>
      <c r="BN1136" s="1">
        <v>152.78</v>
      </c>
    </row>
    <row r="1137" spans="1:66" x14ac:dyDescent="0.3">
      <c r="A1137" s="2"/>
      <c r="C1137" s="14" t="str">
        <f t="shared" si="18"/>
        <v>20219</v>
      </c>
      <c r="D1137" s="3">
        <v>44448</v>
      </c>
      <c r="E1137" s="21">
        <v>2271.29</v>
      </c>
      <c r="F1137" s="21">
        <v>2348.0300000000002</v>
      </c>
      <c r="G1137" s="21">
        <v>2341.4</v>
      </c>
      <c r="H1137" s="21">
        <v>2257.14</v>
      </c>
      <c r="I1137" s="21">
        <v>2240.17</v>
      </c>
      <c r="J1137" s="21">
        <v>2388.12</v>
      </c>
      <c r="K1137" s="21">
        <v>2126.54</v>
      </c>
      <c r="L1137" s="21"/>
      <c r="M1137" s="21">
        <v>2204.34</v>
      </c>
      <c r="N1137" s="21">
        <v>2123.0300000000002</v>
      </c>
      <c r="O1137" s="21">
        <v>2412.5</v>
      </c>
      <c r="P1137" s="21">
        <v>2157.0700000000002</v>
      </c>
      <c r="Q1137" s="21">
        <v>7502.46</v>
      </c>
      <c r="R1137" s="20">
        <v>151.24</v>
      </c>
      <c r="S1137" s="20">
        <v>156.13</v>
      </c>
      <c r="T1137" s="21">
        <v>159.5</v>
      </c>
      <c r="V1137" s="1">
        <v>154.69999999999999</v>
      </c>
      <c r="W1137" s="1">
        <v>157.15</v>
      </c>
      <c r="X1137" s="1">
        <v>156.06</v>
      </c>
      <c r="Y1137" s="1">
        <v>156.65</v>
      </c>
      <c r="Z1137" s="1">
        <v>157.32</v>
      </c>
      <c r="AA1137" s="1">
        <v>151.68</v>
      </c>
      <c r="AB1137" s="1">
        <v>155.26</v>
      </c>
      <c r="AE1137" s="1">
        <v>166.43</v>
      </c>
      <c r="AF1137" s="1">
        <v>164.11</v>
      </c>
      <c r="AG1137" s="1">
        <v>162.55000000000001</v>
      </c>
      <c r="AT1137" s="1">
        <v>2912.74</v>
      </c>
      <c r="AU1137" s="1">
        <v>3856.87</v>
      </c>
      <c r="AX1137" s="1">
        <v>163.31</v>
      </c>
      <c r="BA1137" s="1">
        <v>167.81</v>
      </c>
      <c r="BB1137" s="1">
        <v>169.8</v>
      </c>
      <c r="BC1137" s="1">
        <v>168.37</v>
      </c>
      <c r="BD1137" s="1">
        <v>167.98</v>
      </c>
      <c r="BE1137" s="1">
        <v>162.41999999999999</v>
      </c>
      <c r="BF1137" s="1">
        <v>164.71</v>
      </c>
      <c r="BG1137" s="1">
        <v>166.16</v>
      </c>
      <c r="BI1137" s="1">
        <v>159.15</v>
      </c>
      <c r="BJ1137" s="1">
        <v>172.99</v>
      </c>
      <c r="BL1137" s="1">
        <v>153.6</v>
      </c>
      <c r="BN1137" s="1">
        <v>151.03</v>
      </c>
    </row>
    <row r="1138" spans="1:66" x14ac:dyDescent="0.3">
      <c r="A1138" s="2"/>
      <c r="C1138" s="14" t="str">
        <f t="shared" si="18"/>
        <v>20219</v>
      </c>
      <c r="D1138" s="3">
        <v>44447</v>
      </c>
      <c r="E1138" s="21">
        <v>2267.63</v>
      </c>
      <c r="F1138" s="21">
        <v>2362.36</v>
      </c>
      <c r="G1138" s="21">
        <v>2291.59</v>
      </c>
      <c r="H1138" s="21">
        <v>2246.61</v>
      </c>
      <c r="I1138" s="21">
        <v>2246.14</v>
      </c>
      <c r="J1138" s="21">
        <v>2375.56</v>
      </c>
      <c r="K1138" s="21">
        <v>2126.54</v>
      </c>
      <c r="L1138" s="21"/>
      <c r="M1138" s="21">
        <v>2212.34</v>
      </c>
      <c r="N1138" s="21">
        <v>2138.7399999999998</v>
      </c>
      <c r="O1138" s="21">
        <v>2406.67</v>
      </c>
      <c r="P1138" s="21">
        <v>2157.0700000000002</v>
      </c>
      <c r="Q1138" s="21">
        <v>7453.63</v>
      </c>
      <c r="R1138" s="20">
        <v>148.69999999999999</v>
      </c>
      <c r="S1138" s="20">
        <v>156.63</v>
      </c>
      <c r="T1138" s="21">
        <v>158.30000000000001</v>
      </c>
      <c r="V1138" s="1">
        <v>154.52000000000001</v>
      </c>
      <c r="W1138" s="1">
        <v>156.65</v>
      </c>
      <c r="X1138" s="1">
        <v>154.24</v>
      </c>
      <c r="Y1138" s="1">
        <v>155.03</v>
      </c>
      <c r="Z1138" s="1">
        <v>154.65</v>
      </c>
      <c r="AA1138" s="1">
        <v>149.96</v>
      </c>
      <c r="AB1138" s="1">
        <v>153.96</v>
      </c>
      <c r="AE1138" s="1">
        <v>165.22</v>
      </c>
      <c r="AF1138" s="1">
        <v>162.44999999999999</v>
      </c>
      <c r="AG1138" s="1">
        <v>162.91</v>
      </c>
      <c r="AT1138" s="1">
        <v>2912.74</v>
      </c>
      <c r="AU1138" s="1">
        <v>3856.87</v>
      </c>
      <c r="AX1138" s="1">
        <v>164.47</v>
      </c>
      <c r="BA1138" s="1">
        <v>168.81</v>
      </c>
      <c r="BB1138" s="1">
        <v>168.86</v>
      </c>
      <c r="BC1138" s="1">
        <v>166.44</v>
      </c>
      <c r="BD1138" s="1">
        <v>169.57</v>
      </c>
      <c r="BE1138" s="1">
        <v>165.49</v>
      </c>
      <c r="BF1138" s="1">
        <v>164.3</v>
      </c>
      <c r="BG1138" s="1">
        <v>165.82</v>
      </c>
      <c r="BI1138" s="1">
        <v>157.55000000000001</v>
      </c>
      <c r="BJ1138" s="1">
        <v>165.56</v>
      </c>
      <c r="BL1138" s="1">
        <v>152.16999999999999</v>
      </c>
      <c r="BN1138" s="1">
        <v>148.02000000000001</v>
      </c>
    </row>
    <row r="1139" spans="1:66" x14ac:dyDescent="0.3">
      <c r="A1139" s="2"/>
      <c r="C1139" s="14" t="str">
        <f t="shared" si="18"/>
        <v>20219</v>
      </c>
      <c r="D1139" s="3">
        <v>44445</v>
      </c>
      <c r="E1139" s="21">
        <v>2293.4499999999998</v>
      </c>
      <c r="F1139" s="21">
        <v>2368.77</v>
      </c>
      <c r="G1139" s="21">
        <v>2321.0300000000002</v>
      </c>
      <c r="H1139" s="21">
        <v>2259.64</v>
      </c>
      <c r="I1139" s="21">
        <v>2289.9499999999998</v>
      </c>
      <c r="J1139" s="21">
        <v>2396.67</v>
      </c>
      <c r="K1139" s="21">
        <v>2119.42</v>
      </c>
      <c r="L1139" s="21"/>
      <c r="M1139" s="21">
        <v>2205.0700000000002</v>
      </c>
      <c r="N1139" s="21">
        <v>2154.46</v>
      </c>
      <c r="O1139" s="21">
        <v>2413.33</v>
      </c>
      <c r="P1139" s="21">
        <v>2137.11</v>
      </c>
      <c r="Q1139" s="21">
        <v>7288.18</v>
      </c>
      <c r="R1139" s="20">
        <v>146.91</v>
      </c>
      <c r="S1139" s="20">
        <v>155.38</v>
      </c>
      <c r="T1139" s="21">
        <v>157.30000000000001</v>
      </c>
      <c r="V1139" s="1">
        <v>154.44999999999999</v>
      </c>
      <c r="W1139" s="1">
        <v>155.57</v>
      </c>
      <c r="X1139" s="1">
        <v>154.91</v>
      </c>
      <c r="Y1139" s="1">
        <v>154.94999999999999</v>
      </c>
      <c r="Z1139" s="1">
        <v>154.97999999999999</v>
      </c>
      <c r="AA1139" s="1">
        <v>147.13</v>
      </c>
      <c r="AB1139" s="1">
        <v>154.4</v>
      </c>
      <c r="AE1139" s="1">
        <v>163.68</v>
      </c>
      <c r="AF1139" s="1">
        <v>159.46</v>
      </c>
      <c r="AG1139" s="1">
        <v>162.24</v>
      </c>
      <c r="AP1139" s="1">
        <v>4579.88</v>
      </c>
      <c r="AU1139" s="1">
        <v>3859.89</v>
      </c>
      <c r="AW1139" s="1">
        <v>3262.91</v>
      </c>
      <c r="AX1139" s="1">
        <v>168.57</v>
      </c>
      <c r="BA1139" s="1">
        <v>163.76</v>
      </c>
      <c r="BB1139" s="1">
        <v>166.47</v>
      </c>
      <c r="BC1139" s="1">
        <v>166.95</v>
      </c>
      <c r="BD1139" s="1">
        <v>168.94</v>
      </c>
      <c r="BE1139" s="1">
        <v>164.07</v>
      </c>
      <c r="BF1139" s="1">
        <v>162.72999999999999</v>
      </c>
      <c r="BG1139" s="1">
        <v>163.97</v>
      </c>
      <c r="BH1139" s="1">
        <v>152.34</v>
      </c>
      <c r="BI1139" s="1">
        <v>157.55000000000001</v>
      </c>
      <c r="BJ1139" s="1">
        <v>165.03</v>
      </c>
      <c r="BL1139" s="1">
        <v>149.96</v>
      </c>
      <c r="BN1139" s="1">
        <v>147.91999999999999</v>
      </c>
    </row>
    <row r="1140" spans="1:66" x14ac:dyDescent="0.3">
      <c r="A1140" s="2"/>
      <c r="C1140" s="14" t="str">
        <f t="shared" si="18"/>
        <v>20219</v>
      </c>
      <c r="D1140" s="3">
        <v>44442</v>
      </c>
      <c r="E1140" s="21">
        <v>2299.44</v>
      </c>
      <c r="F1140" s="21">
        <v>2368.77</v>
      </c>
      <c r="G1140" s="21">
        <v>2321.0300000000002</v>
      </c>
      <c r="H1140" s="21">
        <v>2254.65</v>
      </c>
      <c r="I1140" s="21">
        <v>2304.88</v>
      </c>
      <c r="J1140" s="21">
        <v>2390</v>
      </c>
      <c r="K1140" s="21">
        <v>2119.42</v>
      </c>
      <c r="L1140" s="21">
        <v>2177.77</v>
      </c>
      <c r="M1140" s="21">
        <v>2183.27</v>
      </c>
      <c r="N1140" s="21">
        <v>2121.1999999999998</v>
      </c>
      <c r="O1140" s="21">
        <v>2405</v>
      </c>
      <c r="P1140" s="21">
        <v>2137.11</v>
      </c>
      <c r="Q1140" s="21">
        <v>7401.38</v>
      </c>
      <c r="R1140" s="20">
        <v>146.9</v>
      </c>
      <c r="S1140" s="20">
        <v>155.38</v>
      </c>
      <c r="T1140" s="21">
        <v>156.13</v>
      </c>
      <c r="V1140" s="1">
        <v>153.94999999999999</v>
      </c>
      <c r="W1140" s="1">
        <v>155.83000000000001</v>
      </c>
      <c r="X1140" s="1">
        <v>154.44999999999999</v>
      </c>
      <c r="Y1140" s="1">
        <v>154.36000000000001</v>
      </c>
      <c r="Z1140" s="1">
        <v>154.32</v>
      </c>
      <c r="AA1140" s="1">
        <v>148.41999999999999</v>
      </c>
      <c r="AB1140" s="1">
        <v>154.4</v>
      </c>
      <c r="AE1140" s="1">
        <v>163.66999999999999</v>
      </c>
      <c r="AF1140" s="1">
        <v>159.46</v>
      </c>
      <c r="AG1140" s="1">
        <v>162.22</v>
      </c>
      <c r="AP1140" s="1">
        <v>4579.88</v>
      </c>
      <c r="AS1140" s="1">
        <v>4240.42</v>
      </c>
      <c r="AU1140" s="1">
        <v>3881.98</v>
      </c>
      <c r="AW1140" s="1">
        <v>3262.91</v>
      </c>
      <c r="AX1140" s="1">
        <v>161.96</v>
      </c>
      <c r="BA1140" s="1">
        <v>164.41</v>
      </c>
      <c r="BB1140" s="1">
        <v>166.21</v>
      </c>
      <c r="BC1140" s="1">
        <v>166.81</v>
      </c>
      <c r="BD1140" s="1">
        <v>168.45</v>
      </c>
      <c r="BE1140" s="1">
        <v>164.07</v>
      </c>
      <c r="BF1140" s="1">
        <v>162.72999999999999</v>
      </c>
      <c r="BG1140" s="1">
        <v>163.95</v>
      </c>
      <c r="BH1140" s="1">
        <v>153.19999999999999</v>
      </c>
      <c r="BI1140" s="1">
        <v>157.55000000000001</v>
      </c>
      <c r="BJ1140" s="1">
        <v>165.03</v>
      </c>
      <c r="BL1140" s="1">
        <v>149.96</v>
      </c>
      <c r="BN1140" s="1">
        <v>149.91</v>
      </c>
    </row>
    <row r="1141" spans="1:66" x14ac:dyDescent="0.3">
      <c r="A1141" s="2"/>
      <c r="C1141" s="14" t="str">
        <f t="shared" si="18"/>
        <v>20219</v>
      </c>
      <c r="D1141" s="3">
        <v>44441</v>
      </c>
      <c r="E1141" s="21">
        <v>2258.2399999999998</v>
      </c>
      <c r="F1141" s="21">
        <v>2368.77</v>
      </c>
      <c r="G1141" s="21">
        <v>2323.52</v>
      </c>
      <c r="H1141" s="21">
        <v>2283.7399999999998</v>
      </c>
      <c r="I1141" s="21">
        <v>2251.37</v>
      </c>
      <c r="J1141" s="21">
        <v>2423.33</v>
      </c>
      <c r="K1141" s="21">
        <v>2109.44</v>
      </c>
      <c r="L1141" s="21"/>
      <c r="M1141" s="21">
        <v>2183.27</v>
      </c>
      <c r="N1141" s="21">
        <v>2026.84</v>
      </c>
      <c r="O1141" s="21">
        <v>2405</v>
      </c>
      <c r="P1141" s="21">
        <v>2123.13</v>
      </c>
      <c r="Q1141" s="21">
        <v>7469.78</v>
      </c>
      <c r="R1141" s="20">
        <v>146.5</v>
      </c>
      <c r="S1141" s="20">
        <v>155.38</v>
      </c>
      <c r="T1141" s="21">
        <v>153.79</v>
      </c>
      <c r="V1141" s="1">
        <v>153.69999999999999</v>
      </c>
      <c r="W1141" s="1">
        <v>155.62</v>
      </c>
      <c r="X1141" s="1">
        <v>154.44999999999999</v>
      </c>
      <c r="Y1141" s="1">
        <v>153.94999999999999</v>
      </c>
      <c r="Z1141" s="1">
        <v>153.99</v>
      </c>
      <c r="AA1141" s="1">
        <v>148.41999999999999</v>
      </c>
      <c r="AB1141" s="1">
        <v>154.51</v>
      </c>
      <c r="AE1141" s="1">
        <v>163.33000000000001</v>
      </c>
      <c r="AF1141" s="1">
        <v>155.63</v>
      </c>
      <c r="AG1141" s="1">
        <v>161.51</v>
      </c>
      <c r="AK1141" s="1">
        <v>0</v>
      </c>
      <c r="AP1141" s="1">
        <v>4579.88</v>
      </c>
      <c r="AS1141" s="1">
        <v>4221.24</v>
      </c>
      <c r="AU1141" s="1">
        <v>3886.17</v>
      </c>
      <c r="AW1141" s="1">
        <v>3262.91</v>
      </c>
      <c r="AX1141" s="1">
        <v>162.56</v>
      </c>
      <c r="BA1141" s="1">
        <v>164.01</v>
      </c>
      <c r="BB1141" s="1">
        <v>165.2</v>
      </c>
      <c r="BC1141" s="1">
        <v>164.4</v>
      </c>
      <c r="BD1141" s="1">
        <v>165.1</v>
      </c>
      <c r="BE1141" s="1">
        <v>162.93</v>
      </c>
      <c r="BF1141" s="1">
        <v>165.52</v>
      </c>
      <c r="BG1141" s="1">
        <v>163.19</v>
      </c>
      <c r="BH1141" s="1">
        <v>155.76</v>
      </c>
      <c r="BI1141" s="1">
        <v>157.55000000000001</v>
      </c>
      <c r="BJ1141" s="1">
        <v>165.73</v>
      </c>
      <c r="BL1141" s="1">
        <v>149.46</v>
      </c>
      <c r="BN1141" s="1">
        <v>147.52000000000001</v>
      </c>
    </row>
    <row r="1142" spans="1:66" x14ac:dyDescent="0.3">
      <c r="A1142" s="2"/>
      <c r="C1142" s="14" t="str">
        <f t="shared" si="18"/>
        <v>20219</v>
      </c>
      <c r="D1142" s="3">
        <v>44440</v>
      </c>
      <c r="E1142" s="21">
        <v>2277.9499999999998</v>
      </c>
      <c r="F1142" s="21">
        <v>2368.77</v>
      </c>
      <c r="G1142" s="21">
        <v>2323.52</v>
      </c>
      <c r="H1142" s="21">
        <v>2269.42</v>
      </c>
      <c r="I1142" s="21">
        <v>2251.37</v>
      </c>
      <c r="J1142" s="21">
        <v>2423.33</v>
      </c>
      <c r="K1142" s="21">
        <v>2157.42</v>
      </c>
      <c r="L1142" s="21"/>
      <c r="M1142" s="21">
        <v>2198.2399999999998</v>
      </c>
      <c r="N1142" s="21">
        <v>2053.77</v>
      </c>
      <c r="O1142" s="21">
        <v>2412.5</v>
      </c>
      <c r="P1142" s="21">
        <v>2149.08</v>
      </c>
      <c r="Q1142" s="21">
        <v>7461.49</v>
      </c>
      <c r="R1142" s="20">
        <v>146.1</v>
      </c>
      <c r="S1142" s="20">
        <v>153.51</v>
      </c>
      <c r="T1142" s="21">
        <v>153.18</v>
      </c>
      <c r="V1142" s="1">
        <v>153.81</v>
      </c>
      <c r="W1142" s="1">
        <v>154.62</v>
      </c>
      <c r="X1142" s="1">
        <v>155.07</v>
      </c>
      <c r="Y1142" s="1">
        <v>153.94999999999999</v>
      </c>
      <c r="Z1142" s="1">
        <v>153.99</v>
      </c>
      <c r="AA1142" s="1">
        <v>146.81</v>
      </c>
      <c r="AB1142" s="1">
        <v>155.62</v>
      </c>
      <c r="AE1142" s="1">
        <v>162.88</v>
      </c>
      <c r="AF1142" s="1">
        <v>154.94</v>
      </c>
      <c r="AG1142" s="1">
        <v>160.76</v>
      </c>
      <c r="AK1142" s="1">
        <v>0</v>
      </c>
      <c r="AP1142" s="1">
        <v>4579.88</v>
      </c>
      <c r="AS1142" s="1">
        <v>4221.24</v>
      </c>
      <c r="AU1142" s="1">
        <v>3886.17</v>
      </c>
      <c r="AW1142" s="1">
        <v>3262.91</v>
      </c>
      <c r="AX1142" s="1">
        <v>163.19</v>
      </c>
      <c r="BA1142" s="1">
        <v>162.83000000000001</v>
      </c>
      <c r="BB1142" s="1">
        <v>163.44999999999999</v>
      </c>
      <c r="BC1142" s="1">
        <v>163.13999999999999</v>
      </c>
      <c r="BD1142" s="1">
        <v>163.99</v>
      </c>
      <c r="BE1142" s="1">
        <v>161.63</v>
      </c>
      <c r="BF1142" s="1">
        <v>172.68</v>
      </c>
      <c r="BG1142" s="1">
        <v>163.02000000000001</v>
      </c>
      <c r="BH1142" s="1">
        <v>158.46</v>
      </c>
      <c r="BI1142" s="1">
        <v>157.55000000000001</v>
      </c>
      <c r="BJ1142" s="1">
        <v>167.08</v>
      </c>
      <c r="BL1142" s="1">
        <v>149.21</v>
      </c>
      <c r="BN1142" s="1">
        <v>147.32</v>
      </c>
    </row>
    <row r="1143" spans="1:66" x14ac:dyDescent="0.3">
      <c r="A1143" s="2"/>
      <c r="C1143" s="14" t="str">
        <f t="shared" si="18"/>
        <v>20218</v>
      </c>
      <c r="D1143" s="3">
        <v>44439</v>
      </c>
      <c r="E1143" s="21">
        <v>2220.0700000000002</v>
      </c>
      <c r="F1143" s="21">
        <v>2377.0700000000002</v>
      </c>
      <c r="G1143" s="21">
        <v>2333.4899999999998</v>
      </c>
      <c r="H1143" s="21">
        <v>2286.88</v>
      </c>
      <c r="I1143" s="21">
        <v>2256.35</v>
      </c>
      <c r="J1143" s="21">
        <v>2386.1799999999998</v>
      </c>
      <c r="K1143" s="21">
        <v>2174.0700000000002</v>
      </c>
      <c r="L1143" s="21"/>
      <c r="M1143" s="21">
        <v>2198.2399999999998</v>
      </c>
      <c r="N1143" s="21">
        <v>2070.5</v>
      </c>
      <c r="O1143" s="21">
        <v>2367.16</v>
      </c>
      <c r="P1143" s="21">
        <v>2169.06</v>
      </c>
      <c r="Q1143" s="21">
        <v>7497.82</v>
      </c>
      <c r="R1143" s="20">
        <v>149.91</v>
      </c>
      <c r="S1143" s="20">
        <v>155</v>
      </c>
      <c r="T1143" s="21">
        <v>155.5</v>
      </c>
      <c r="U1143" s="1">
        <v>162.69</v>
      </c>
      <c r="V1143" s="1">
        <v>155.63</v>
      </c>
      <c r="W1143" s="1">
        <v>155.41999999999999</v>
      </c>
      <c r="X1143" s="1">
        <v>156.32</v>
      </c>
      <c r="Y1143" s="1">
        <v>154.62</v>
      </c>
      <c r="Z1143" s="1">
        <v>155.32</v>
      </c>
      <c r="AA1143" s="1">
        <v>150.16999999999999</v>
      </c>
      <c r="AB1143" s="1">
        <v>156.72999999999999</v>
      </c>
      <c r="AE1143" s="1">
        <v>164.18</v>
      </c>
      <c r="AF1143" s="1">
        <v>158.74</v>
      </c>
      <c r="AG1143" s="1">
        <v>161.05000000000001</v>
      </c>
      <c r="AK1143" s="1">
        <v>0</v>
      </c>
      <c r="AS1143" s="1">
        <v>4221.24</v>
      </c>
      <c r="AU1143" s="1">
        <v>3886.17</v>
      </c>
      <c r="AX1143" s="1">
        <v>163.21</v>
      </c>
      <c r="BA1143" s="1">
        <v>166.04</v>
      </c>
      <c r="BB1143" s="1">
        <v>164.7</v>
      </c>
      <c r="BC1143" s="1">
        <v>163.69</v>
      </c>
      <c r="BD1143" s="1">
        <v>163.68</v>
      </c>
      <c r="BE1143" s="1">
        <v>164.21</v>
      </c>
      <c r="BF1143" s="1">
        <v>170.99</v>
      </c>
      <c r="BG1143" s="1">
        <v>164.26</v>
      </c>
      <c r="BH1143" s="1">
        <v>160.94999999999999</v>
      </c>
      <c r="BI1143" s="1">
        <v>157.75</v>
      </c>
      <c r="BJ1143" s="1">
        <v>166.52</v>
      </c>
      <c r="BL1143" s="1">
        <v>150.65</v>
      </c>
      <c r="BN1143" s="1">
        <v>148.72</v>
      </c>
    </row>
    <row r="1144" spans="1:66" x14ac:dyDescent="0.3">
      <c r="A1144" s="2"/>
      <c r="C1144" s="14" t="str">
        <f t="shared" si="18"/>
        <v>20218</v>
      </c>
      <c r="D1144" s="3">
        <v>44438</v>
      </c>
      <c r="E1144" s="21">
        <v>2295.3000000000002</v>
      </c>
      <c r="F1144" s="21">
        <v>2401.96</v>
      </c>
      <c r="G1144" s="21">
        <v>2383.34</v>
      </c>
      <c r="H1144" s="21">
        <v>2230.9899999999998</v>
      </c>
      <c r="I1144" s="21">
        <v>2320.92</v>
      </c>
      <c r="J1144" s="21">
        <v>2386.1799999999998</v>
      </c>
      <c r="K1144" s="21">
        <v>2192.37</v>
      </c>
      <c r="L1144" s="21"/>
      <c r="M1144" s="21"/>
      <c r="N1144" s="21">
        <v>2092.5100000000002</v>
      </c>
      <c r="O1144" s="21">
        <v>2406.67</v>
      </c>
      <c r="P1144" s="21">
        <v>2177.2399999999998</v>
      </c>
      <c r="Q1144" s="21">
        <v>7488.83</v>
      </c>
      <c r="R1144" s="20">
        <v>149.91</v>
      </c>
      <c r="S1144" s="20">
        <v>157.66</v>
      </c>
      <c r="T1144" s="21">
        <v>156.54</v>
      </c>
      <c r="U1144" s="1">
        <v>162.47</v>
      </c>
      <c r="V1144" s="1">
        <v>158.09</v>
      </c>
      <c r="W1144" s="1">
        <v>156.71</v>
      </c>
      <c r="X1144" s="1">
        <v>158.32</v>
      </c>
      <c r="Y1144" s="1">
        <v>155.47999999999999</v>
      </c>
      <c r="Z1144" s="1">
        <v>155.66</v>
      </c>
      <c r="AA1144" s="1">
        <v>150.87</v>
      </c>
      <c r="AB1144" s="1">
        <v>158.51</v>
      </c>
      <c r="AE1144" s="1">
        <v>165.7</v>
      </c>
      <c r="AF1144" s="1">
        <v>160.04</v>
      </c>
      <c r="AG1144" s="1">
        <v>162.54</v>
      </c>
      <c r="AK1144" s="1">
        <v>0</v>
      </c>
      <c r="AO1144" s="1">
        <v>7</v>
      </c>
      <c r="AS1144" s="1">
        <v>4221.24</v>
      </c>
      <c r="AT1144" s="1">
        <v>3878.5</v>
      </c>
      <c r="AU1144" s="1">
        <v>3937.22</v>
      </c>
      <c r="AX1144" s="1">
        <v>165.67</v>
      </c>
      <c r="BA1144" s="1">
        <v>166.04</v>
      </c>
      <c r="BB1144" s="1">
        <v>166.35</v>
      </c>
      <c r="BC1144" s="1">
        <v>164.94</v>
      </c>
      <c r="BD1144" s="1">
        <v>165.67</v>
      </c>
      <c r="BE1144" s="1">
        <v>164.21</v>
      </c>
      <c r="BF1144" s="1">
        <v>170.99</v>
      </c>
      <c r="BG1144" s="1">
        <v>165.77</v>
      </c>
      <c r="BI1144" s="1">
        <v>158.55000000000001</v>
      </c>
      <c r="BJ1144" s="1">
        <v>167.51</v>
      </c>
      <c r="BL1144" s="1">
        <v>150.85</v>
      </c>
      <c r="BN1144" s="1">
        <v>150.12</v>
      </c>
    </row>
    <row r="1145" spans="1:66" x14ac:dyDescent="0.3">
      <c r="A1145" s="2"/>
      <c r="C1145" s="14" t="str">
        <f t="shared" si="18"/>
        <v>20218</v>
      </c>
      <c r="D1145" s="3">
        <v>44435</v>
      </c>
      <c r="E1145" s="21">
        <v>2316.1799999999998</v>
      </c>
      <c r="F1145" s="21">
        <v>2398.56</v>
      </c>
      <c r="G1145" s="21">
        <v>2385.81</v>
      </c>
      <c r="H1145" s="21">
        <v>2108.06</v>
      </c>
      <c r="I1145" s="21">
        <v>2318.16</v>
      </c>
      <c r="J1145" s="21">
        <v>2423.33</v>
      </c>
      <c r="K1145" s="21">
        <v>2202.35</v>
      </c>
      <c r="L1145" s="21"/>
      <c r="M1145" s="21"/>
      <c r="N1145" s="21">
        <v>2085.34</v>
      </c>
      <c r="O1145" s="21">
        <v>2362.02</v>
      </c>
      <c r="P1145" s="21">
        <v>2195.16</v>
      </c>
      <c r="Q1145" s="21">
        <v>7503.36</v>
      </c>
      <c r="R1145" s="20">
        <v>151.03</v>
      </c>
      <c r="S1145" s="20">
        <v>156.85</v>
      </c>
      <c r="T1145" s="21">
        <v>157.78</v>
      </c>
      <c r="U1145" s="1">
        <v>161.80000000000001</v>
      </c>
      <c r="V1145" s="1">
        <v>158.28</v>
      </c>
      <c r="W1145" s="1">
        <v>157.91999999999999</v>
      </c>
      <c r="X1145" s="1">
        <v>157.91999999999999</v>
      </c>
      <c r="Y1145" s="1">
        <v>155.75</v>
      </c>
      <c r="Z1145" s="1">
        <v>155.97999999999999</v>
      </c>
      <c r="AA1145" s="1">
        <v>153.47</v>
      </c>
      <c r="AB1145" s="1">
        <v>157.51</v>
      </c>
      <c r="AE1145" s="1">
        <v>167.48</v>
      </c>
      <c r="AF1145" s="1">
        <v>158.79</v>
      </c>
      <c r="AG1145" s="1">
        <v>165.68</v>
      </c>
      <c r="AK1145" s="1">
        <v>0</v>
      </c>
      <c r="AO1145" s="1">
        <v>7</v>
      </c>
      <c r="AS1145" s="1">
        <v>4118.01</v>
      </c>
      <c r="AT1145" s="1">
        <v>3878.5</v>
      </c>
      <c r="AX1145" s="1">
        <v>166.76</v>
      </c>
      <c r="BA1145" s="1">
        <v>168.29</v>
      </c>
      <c r="BB1145" s="1">
        <v>167.29</v>
      </c>
      <c r="BC1145" s="1">
        <v>165.32</v>
      </c>
      <c r="BD1145" s="1">
        <v>166.48</v>
      </c>
      <c r="BE1145" s="1">
        <v>165.76</v>
      </c>
      <c r="BF1145" s="1">
        <v>170.24</v>
      </c>
      <c r="BG1145" s="1">
        <v>167.92</v>
      </c>
      <c r="BI1145" s="1">
        <v>160.15</v>
      </c>
      <c r="BJ1145" s="1">
        <v>169.01</v>
      </c>
      <c r="BL1145" s="1">
        <v>151.46</v>
      </c>
      <c r="BN1145" s="1">
        <v>150.71</v>
      </c>
    </row>
    <row r="1146" spans="1:66" x14ac:dyDescent="0.3">
      <c r="A1146" s="2"/>
      <c r="C1146" s="14" t="str">
        <f t="shared" si="18"/>
        <v>20218</v>
      </c>
      <c r="D1146" s="3">
        <v>44434</v>
      </c>
      <c r="E1146" s="21">
        <v>2294.5700000000002</v>
      </c>
      <c r="F1146" s="21">
        <v>2401.96</v>
      </c>
      <c r="G1146" s="21">
        <v>2410.73</v>
      </c>
      <c r="H1146" s="21">
        <v>2106.7800000000002</v>
      </c>
      <c r="I1146" s="21">
        <v>2273.77</v>
      </c>
      <c r="J1146" s="21">
        <v>2360.14</v>
      </c>
      <c r="K1146" s="21">
        <v>2209</v>
      </c>
      <c r="L1146" s="21"/>
      <c r="M1146" s="21"/>
      <c r="N1146" s="21">
        <v>2095.8200000000002</v>
      </c>
      <c r="O1146" s="21">
        <v>2406</v>
      </c>
      <c r="P1146" s="21">
        <v>2205.14</v>
      </c>
      <c r="Q1146" s="21">
        <v>7809.74</v>
      </c>
      <c r="R1146" s="20">
        <v>151.30000000000001</v>
      </c>
      <c r="S1146" s="20">
        <v>161.02000000000001</v>
      </c>
      <c r="T1146" s="21">
        <v>160.21</v>
      </c>
      <c r="U1146" s="1">
        <v>161.54</v>
      </c>
      <c r="V1146" s="1">
        <v>158.94999999999999</v>
      </c>
      <c r="W1146" s="1">
        <v>161.16</v>
      </c>
      <c r="X1146" s="1">
        <v>158.44999999999999</v>
      </c>
      <c r="Y1146" s="1">
        <v>156.94999999999999</v>
      </c>
      <c r="Z1146" s="1">
        <v>156.97999999999999</v>
      </c>
      <c r="AA1146" s="1">
        <v>152.99</v>
      </c>
      <c r="AB1146" s="1">
        <v>158.84</v>
      </c>
      <c r="AE1146" s="1">
        <v>167.79</v>
      </c>
      <c r="AF1146" s="1">
        <v>161.75</v>
      </c>
      <c r="AG1146" s="1">
        <v>166.29</v>
      </c>
      <c r="AK1146" s="1">
        <v>0</v>
      </c>
      <c r="AO1146" s="1">
        <v>7</v>
      </c>
      <c r="AS1146" s="1">
        <v>4168.2299999999996</v>
      </c>
      <c r="AT1146" s="1">
        <v>3731.57</v>
      </c>
      <c r="AX1146" s="1">
        <v>169.74</v>
      </c>
      <c r="BA1146" s="1">
        <v>171.77</v>
      </c>
      <c r="BB1146" s="1">
        <v>169.67</v>
      </c>
      <c r="BC1146" s="1">
        <v>166.79</v>
      </c>
      <c r="BD1146" s="1">
        <v>168.76</v>
      </c>
      <c r="BE1146" s="1">
        <v>168.74</v>
      </c>
      <c r="BF1146" s="1">
        <v>174.23</v>
      </c>
      <c r="BG1146" s="1">
        <v>168.44</v>
      </c>
      <c r="BI1146" s="1">
        <v>160.15</v>
      </c>
      <c r="BJ1146" s="1">
        <v>169.01</v>
      </c>
      <c r="BL1146" s="1">
        <v>152.35</v>
      </c>
      <c r="BN1146" s="1">
        <v>152.16</v>
      </c>
    </row>
    <row r="1147" spans="1:66" x14ac:dyDescent="0.3">
      <c r="A1147" s="2"/>
      <c r="C1147" s="14" t="str">
        <f t="shared" si="18"/>
        <v>20218</v>
      </c>
      <c r="D1147" s="3">
        <v>44433</v>
      </c>
      <c r="E1147" s="21">
        <v>2294.5700000000002</v>
      </c>
      <c r="F1147" s="21">
        <v>2401.96</v>
      </c>
      <c r="G1147" s="21">
        <v>2415.71</v>
      </c>
      <c r="H1147" s="21">
        <v>2110.9</v>
      </c>
      <c r="I1147" s="21">
        <v>2273.77</v>
      </c>
      <c r="J1147" s="21">
        <v>2360.0500000000002</v>
      </c>
      <c r="K1147" s="21">
        <v>2209</v>
      </c>
      <c r="L1147" s="21"/>
      <c r="M1147" s="21">
        <v>2222.11</v>
      </c>
      <c r="N1147" s="21">
        <v>2095</v>
      </c>
      <c r="O1147" s="21">
        <v>2399.9499999999998</v>
      </c>
      <c r="P1147" s="21">
        <v>2205.14</v>
      </c>
      <c r="Q1147" s="21">
        <v>7773.03</v>
      </c>
      <c r="R1147" s="20">
        <v>151.30000000000001</v>
      </c>
      <c r="S1147" s="20">
        <v>161.22</v>
      </c>
      <c r="T1147" s="21">
        <v>160.21</v>
      </c>
      <c r="U1147" s="1">
        <v>160.88</v>
      </c>
      <c r="V1147" s="1">
        <v>158.94999999999999</v>
      </c>
      <c r="W1147" s="1">
        <v>161.88999999999999</v>
      </c>
      <c r="X1147" s="1">
        <v>159.37</v>
      </c>
      <c r="Y1147" s="1">
        <v>156.97999999999999</v>
      </c>
      <c r="Z1147" s="1">
        <v>156.97999999999999</v>
      </c>
      <c r="AA1147" s="1">
        <v>153.13</v>
      </c>
      <c r="AB1147" s="1">
        <v>159.78</v>
      </c>
      <c r="AE1147" s="1">
        <v>166.79</v>
      </c>
      <c r="AF1147" s="1">
        <v>162.79</v>
      </c>
      <c r="AG1147" s="1">
        <v>168.58</v>
      </c>
      <c r="AK1147" s="1">
        <v>0</v>
      </c>
      <c r="AO1147" s="1">
        <v>7</v>
      </c>
      <c r="AS1147" s="1">
        <v>4168.2299999999996</v>
      </c>
      <c r="AT1147" s="1">
        <v>3731.57</v>
      </c>
      <c r="AX1147" s="1">
        <v>169.62</v>
      </c>
      <c r="BA1147" s="1">
        <v>172.27</v>
      </c>
      <c r="BB1147" s="1">
        <v>169.95</v>
      </c>
      <c r="BC1147" s="1">
        <v>166.95</v>
      </c>
      <c r="BD1147" s="1">
        <v>168.88</v>
      </c>
      <c r="BE1147" s="1">
        <v>168.63</v>
      </c>
      <c r="BF1147" s="1">
        <v>174.99</v>
      </c>
      <c r="BG1147" s="1">
        <v>167.55</v>
      </c>
      <c r="BI1147" s="1">
        <v>160.35</v>
      </c>
      <c r="BJ1147" s="1">
        <v>169.01</v>
      </c>
      <c r="BL1147" s="1">
        <v>152.94999999999999</v>
      </c>
      <c r="BN1147" s="1">
        <v>152.11000000000001</v>
      </c>
    </row>
    <row r="1148" spans="1:66" x14ac:dyDescent="0.3">
      <c r="A1148" s="2"/>
      <c r="C1148" s="14" t="str">
        <f t="shared" si="18"/>
        <v>20218</v>
      </c>
      <c r="D1148" s="3">
        <v>44432</v>
      </c>
      <c r="E1148" s="21">
        <v>2301.2199999999998</v>
      </c>
      <c r="F1148" s="21">
        <v>2414.4</v>
      </c>
      <c r="G1148" s="21">
        <v>2415.71</v>
      </c>
      <c r="H1148" s="21">
        <v>2146.36</v>
      </c>
      <c r="I1148" s="21">
        <v>2278.75</v>
      </c>
      <c r="J1148" s="21">
        <v>2409.88</v>
      </c>
      <c r="K1148" s="21">
        <v>2225.63</v>
      </c>
      <c r="L1148" s="21"/>
      <c r="M1148" s="21">
        <v>2234.38</v>
      </c>
      <c r="N1148" s="21">
        <v>2140.4699999999998</v>
      </c>
      <c r="O1148" s="21">
        <v>2341.38</v>
      </c>
      <c r="P1148" s="21">
        <v>2226.71</v>
      </c>
      <c r="Q1148" s="21">
        <v>7685</v>
      </c>
      <c r="R1148" s="20">
        <v>151.30000000000001</v>
      </c>
      <c r="S1148" s="20">
        <v>160.63</v>
      </c>
      <c r="T1148" s="21">
        <v>158.91999999999999</v>
      </c>
      <c r="V1148" s="1">
        <v>158.94999999999999</v>
      </c>
      <c r="W1148" s="1">
        <v>162.38999999999999</v>
      </c>
      <c r="X1148" s="1">
        <v>159.37</v>
      </c>
      <c r="Y1148" s="1">
        <v>157.94999999999999</v>
      </c>
      <c r="Z1148" s="1">
        <v>157.97999999999999</v>
      </c>
      <c r="AA1148" s="1">
        <v>153.62</v>
      </c>
      <c r="AB1148" s="1">
        <v>159.51</v>
      </c>
      <c r="AE1148" s="1">
        <v>167.03</v>
      </c>
      <c r="AF1148" s="1">
        <v>162.74</v>
      </c>
      <c r="AG1148" s="1">
        <v>169.53</v>
      </c>
      <c r="AK1148" s="1">
        <v>0</v>
      </c>
      <c r="AO1148" s="1">
        <v>7</v>
      </c>
      <c r="AQ1148" s="1">
        <v>3615.82</v>
      </c>
      <c r="AS1148" s="1">
        <v>4168.2299999999996</v>
      </c>
      <c r="AT1148" s="1">
        <v>3731.57</v>
      </c>
      <c r="AX1148" s="1">
        <v>171.05</v>
      </c>
      <c r="BA1148" s="1">
        <v>172.97</v>
      </c>
      <c r="BB1148" s="1">
        <v>170.12</v>
      </c>
      <c r="BC1148" s="1">
        <v>168.19</v>
      </c>
      <c r="BD1148" s="1">
        <v>168.36</v>
      </c>
      <c r="BE1148" s="1">
        <v>166.66</v>
      </c>
      <c r="BF1148" s="1">
        <v>173.31</v>
      </c>
      <c r="BG1148" s="1">
        <v>167.76</v>
      </c>
      <c r="BI1148" s="1">
        <v>160.35</v>
      </c>
      <c r="BJ1148" s="1">
        <v>169.01</v>
      </c>
      <c r="BL1148" s="1">
        <v>154.35</v>
      </c>
      <c r="BN1148" s="1">
        <v>154.12</v>
      </c>
    </row>
    <row r="1149" spans="1:66" x14ac:dyDescent="0.3">
      <c r="A1149" s="2"/>
      <c r="C1149" s="14" t="str">
        <f t="shared" si="18"/>
        <v>20218</v>
      </c>
      <c r="D1149" s="3">
        <v>44431</v>
      </c>
      <c r="E1149" s="21">
        <v>2331.1799999999998</v>
      </c>
      <c r="F1149" s="21">
        <v>2414.4</v>
      </c>
      <c r="G1149" s="21">
        <v>2428.19</v>
      </c>
      <c r="H1149" s="21">
        <v>2177.2800000000002</v>
      </c>
      <c r="I1149" s="21">
        <v>2278.75</v>
      </c>
      <c r="J1149" s="21">
        <v>2409.88</v>
      </c>
      <c r="K1149" s="21">
        <v>2225.63</v>
      </c>
      <c r="L1149" s="21"/>
      <c r="M1149" s="21">
        <v>2271.92</v>
      </c>
      <c r="N1149" s="21">
        <v>2141.08</v>
      </c>
      <c r="O1149" s="21">
        <v>2338.27</v>
      </c>
      <c r="P1149" s="21">
        <v>2216.96</v>
      </c>
      <c r="Q1149" s="21">
        <v>7606.26</v>
      </c>
      <c r="R1149" s="20">
        <v>150.9</v>
      </c>
      <c r="S1149" s="20">
        <v>159.72999999999999</v>
      </c>
      <c r="T1149" s="21">
        <v>160.13</v>
      </c>
      <c r="V1149" s="1">
        <v>159.22999999999999</v>
      </c>
      <c r="W1149" s="1">
        <v>162.01</v>
      </c>
      <c r="X1149" s="1">
        <v>159.37</v>
      </c>
      <c r="Y1149" s="1">
        <v>157.5</v>
      </c>
      <c r="Z1149" s="1">
        <v>157.65</v>
      </c>
      <c r="AA1149" s="1">
        <v>152.72</v>
      </c>
      <c r="AB1149" s="1">
        <v>159.51</v>
      </c>
      <c r="AE1149" s="1">
        <v>167.28</v>
      </c>
      <c r="AF1149" s="1">
        <v>165.03</v>
      </c>
      <c r="AG1149" s="1">
        <v>168.39</v>
      </c>
      <c r="AK1149" s="1">
        <v>0</v>
      </c>
      <c r="AQ1149" s="1">
        <v>3615.82</v>
      </c>
      <c r="AS1149" s="1">
        <v>4168.2299999999996</v>
      </c>
      <c r="AT1149" s="1">
        <v>3726.3</v>
      </c>
      <c r="AX1149" s="1">
        <v>171.63</v>
      </c>
      <c r="BA1149" s="1">
        <v>173.36</v>
      </c>
      <c r="BB1149" s="1">
        <v>170.72</v>
      </c>
      <c r="BC1149" s="1">
        <v>166.78</v>
      </c>
      <c r="BD1149" s="1">
        <v>169.83</v>
      </c>
      <c r="BE1149" s="1">
        <v>168.59</v>
      </c>
      <c r="BF1149" s="1">
        <v>174.13</v>
      </c>
      <c r="BG1149" s="1">
        <v>167.47</v>
      </c>
      <c r="BI1149" s="1">
        <v>161.44999999999999</v>
      </c>
      <c r="BJ1149" s="1">
        <v>170.76</v>
      </c>
      <c r="BL1149" s="1">
        <v>154.05000000000001</v>
      </c>
      <c r="BN1149" s="1">
        <v>153.9</v>
      </c>
    </row>
    <row r="1150" spans="1:66" x14ac:dyDescent="0.3">
      <c r="A1150" s="2"/>
      <c r="C1150" s="14" t="str">
        <f t="shared" si="18"/>
        <v>20218</v>
      </c>
      <c r="D1150" s="3">
        <v>44428</v>
      </c>
      <c r="E1150" s="21">
        <v>2351.13</v>
      </c>
      <c r="F1150" s="21">
        <v>2414.4</v>
      </c>
      <c r="G1150" s="21">
        <v>2445.61</v>
      </c>
      <c r="H1150" s="21">
        <v>2249.46</v>
      </c>
      <c r="I1150" s="21">
        <v>2251.37</v>
      </c>
      <c r="J1150" s="21">
        <v>2409.88</v>
      </c>
      <c r="K1150" s="21">
        <v>2232.2800000000002</v>
      </c>
      <c r="L1150" s="21"/>
      <c r="M1150" s="21">
        <v>2303.2199999999998</v>
      </c>
      <c r="N1150" s="21">
        <v>2149.79</v>
      </c>
      <c r="O1150" s="21">
        <v>2347.41</v>
      </c>
      <c r="P1150" s="21">
        <v>2224.94</v>
      </c>
      <c r="Q1150" s="21">
        <v>7671.01</v>
      </c>
      <c r="R1150" s="20">
        <v>150.21</v>
      </c>
      <c r="S1150" s="20">
        <v>162.68</v>
      </c>
      <c r="T1150" s="21">
        <v>161.72</v>
      </c>
      <c r="V1150" s="1">
        <v>159.22999999999999</v>
      </c>
      <c r="W1150" s="1">
        <v>163.24</v>
      </c>
      <c r="X1150" s="1">
        <v>160.57</v>
      </c>
      <c r="Y1150" s="1">
        <v>159.74</v>
      </c>
      <c r="Z1150" s="1">
        <v>159.65</v>
      </c>
      <c r="AA1150" s="1">
        <v>153.24</v>
      </c>
      <c r="AB1150" s="1">
        <v>160.84</v>
      </c>
      <c r="AE1150" s="1">
        <v>169.19</v>
      </c>
      <c r="AF1150" s="1">
        <v>164.93</v>
      </c>
      <c r="AG1150" s="1">
        <v>170.76</v>
      </c>
      <c r="AQ1150" s="1">
        <v>3615.82</v>
      </c>
      <c r="AT1150" s="1">
        <v>3726.3</v>
      </c>
      <c r="AW1150" s="1">
        <v>3391.68</v>
      </c>
      <c r="AX1150" s="1">
        <v>171.62</v>
      </c>
      <c r="BA1150" s="1">
        <v>176.09</v>
      </c>
      <c r="BB1150" s="1">
        <v>172.51</v>
      </c>
      <c r="BC1150" s="1">
        <v>169.99</v>
      </c>
      <c r="BD1150" s="1">
        <v>172.16</v>
      </c>
      <c r="BE1150" s="1">
        <v>168.58</v>
      </c>
      <c r="BF1150" s="1">
        <v>175.05</v>
      </c>
      <c r="BG1150" s="1">
        <v>169.02</v>
      </c>
      <c r="BI1150" s="1">
        <v>162.15</v>
      </c>
      <c r="BJ1150" s="1">
        <v>170.82</v>
      </c>
      <c r="BL1150" s="1">
        <v>155.65</v>
      </c>
      <c r="BN1150" s="1">
        <v>154.43</v>
      </c>
    </row>
    <row r="1151" spans="1:66" x14ac:dyDescent="0.3">
      <c r="A1151" s="2"/>
      <c r="C1151" s="14" t="str">
        <f t="shared" si="18"/>
        <v>20218</v>
      </c>
      <c r="D1151" s="3">
        <v>44427</v>
      </c>
      <c r="E1151" s="21">
        <v>2343.8000000000002</v>
      </c>
      <c r="F1151" s="21">
        <v>2414.4</v>
      </c>
      <c r="G1151" s="21">
        <v>2450.6</v>
      </c>
      <c r="H1151" s="21">
        <v>2268.19</v>
      </c>
      <c r="I1151" s="21">
        <v>2251.37</v>
      </c>
      <c r="J1151" s="21">
        <v>2318.9899999999998</v>
      </c>
      <c r="K1151" s="21">
        <v>2238.9299999999998</v>
      </c>
      <c r="L1151" s="21"/>
      <c r="M1151" s="21">
        <v>2273.16</v>
      </c>
      <c r="N1151" s="21">
        <v>2133.27</v>
      </c>
      <c r="O1151" s="21">
        <v>2403.9299999999998</v>
      </c>
      <c r="P1151" s="21">
        <v>2232.92</v>
      </c>
      <c r="Q1151" s="21">
        <v>7686.84</v>
      </c>
      <c r="R1151" s="20">
        <v>152.96</v>
      </c>
      <c r="S1151" s="20">
        <v>163.87</v>
      </c>
      <c r="T1151" s="21">
        <v>161.38999999999999</v>
      </c>
      <c r="V1151" s="1">
        <v>159.52000000000001</v>
      </c>
      <c r="W1151" s="1">
        <v>163.49</v>
      </c>
      <c r="X1151" s="1">
        <v>160.5</v>
      </c>
      <c r="Y1151" s="1">
        <v>159.94999999999999</v>
      </c>
      <c r="Z1151" s="1">
        <v>159.97999999999999</v>
      </c>
      <c r="AA1151" s="1">
        <v>154.82</v>
      </c>
      <c r="AB1151" s="1">
        <v>160.34</v>
      </c>
      <c r="AE1151" s="1">
        <v>168.94</v>
      </c>
      <c r="AF1151" s="1">
        <v>164.24</v>
      </c>
      <c r="AG1151" s="1">
        <v>169.19</v>
      </c>
      <c r="AO1151" s="1">
        <v>7</v>
      </c>
      <c r="AQ1151" s="1">
        <v>3615.82</v>
      </c>
      <c r="AT1151" s="1">
        <v>3812.79</v>
      </c>
      <c r="AW1151" s="1">
        <v>3391.68</v>
      </c>
      <c r="AX1151" s="1">
        <v>169.99</v>
      </c>
      <c r="BA1151" s="1">
        <v>175.71</v>
      </c>
      <c r="BB1151" s="1">
        <v>173.42</v>
      </c>
      <c r="BC1151" s="1">
        <v>170.31</v>
      </c>
      <c r="BD1151" s="1">
        <v>171.07</v>
      </c>
      <c r="BE1151" s="1">
        <v>167.38</v>
      </c>
      <c r="BF1151" s="1">
        <v>173.07</v>
      </c>
      <c r="BG1151" s="1">
        <v>169.94</v>
      </c>
      <c r="BI1151" s="1">
        <v>161.22999999999999</v>
      </c>
      <c r="BJ1151" s="1">
        <v>170.13</v>
      </c>
      <c r="BL1151" s="1">
        <v>157.15</v>
      </c>
      <c r="BN1151" s="1">
        <v>156.4</v>
      </c>
    </row>
    <row r="1152" spans="1:66" x14ac:dyDescent="0.3">
      <c r="A1152" s="2"/>
      <c r="C1152" s="14" t="str">
        <f t="shared" si="18"/>
        <v>20218</v>
      </c>
      <c r="D1152" s="3">
        <v>44426</v>
      </c>
      <c r="E1152" s="21">
        <v>2320.98</v>
      </c>
      <c r="F1152" s="21">
        <v>2414.4</v>
      </c>
      <c r="G1152" s="21">
        <v>2441.08</v>
      </c>
      <c r="H1152" s="21">
        <v>2250.8200000000002</v>
      </c>
      <c r="I1152" s="21">
        <v>2304.88</v>
      </c>
      <c r="J1152" s="21">
        <v>2264.0300000000002</v>
      </c>
      <c r="K1152" s="21">
        <v>2238.9299999999998</v>
      </c>
      <c r="L1152" s="21"/>
      <c r="M1152" s="21">
        <v>2273.29</v>
      </c>
      <c r="N1152" s="21">
        <v>2142.6</v>
      </c>
      <c r="O1152" s="21">
        <v>2397.9299999999998</v>
      </c>
      <c r="P1152" s="21">
        <v>2232.92</v>
      </c>
      <c r="Q1152" s="21">
        <v>7492.84</v>
      </c>
      <c r="R1152" s="20">
        <v>152.96</v>
      </c>
      <c r="S1152" s="20">
        <v>163.13999999999999</v>
      </c>
      <c r="T1152" s="21">
        <v>162.04</v>
      </c>
      <c r="V1152" s="1">
        <v>159.22999999999999</v>
      </c>
      <c r="W1152" s="1">
        <v>163.98</v>
      </c>
      <c r="X1152" s="1">
        <v>159.22999999999999</v>
      </c>
      <c r="Y1152" s="1">
        <v>159.94999999999999</v>
      </c>
      <c r="Z1152" s="1">
        <v>159.97999999999999</v>
      </c>
      <c r="AA1152" s="1">
        <v>154.06</v>
      </c>
      <c r="AB1152" s="1">
        <v>159.91</v>
      </c>
      <c r="AE1152" s="1">
        <v>169.08</v>
      </c>
      <c r="AF1152" s="1">
        <v>166.66</v>
      </c>
      <c r="AG1152" s="1">
        <v>167.88</v>
      </c>
      <c r="AO1152" s="1">
        <v>7</v>
      </c>
      <c r="AQ1152" s="1">
        <v>3615.82</v>
      </c>
      <c r="AT1152" s="1">
        <v>3812.79</v>
      </c>
      <c r="AV1152" s="1">
        <v>30</v>
      </c>
      <c r="AW1152" s="1">
        <v>3626.16</v>
      </c>
      <c r="AX1152" s="1">
        <v>169.18</v>
      </c>
      <c r="BA1152" s="1">
        <v>173.73</v>
      </c>
      <c r="BB1152" s="1">
        <v>173.2</v>
      </c>
      <c r="BC1152" s="1">
        <v>170.33</v>
      </c>
      <c r="BD1152" s="1">
        <v>171.04</v>
      </c>
      <c r="BE1152" s="1">
        <v>167.88</v>
      </c>
      <c r="BF1152" s="1">
        <v>172.45</v>
      </c>
      <c r="BG1152" s="1">
        <v>169.7</v>
      </c>
      <c r="BH1152" s="1">
        <v>163.98</v>
      </c>
      <c r="BI1152" s="1">
        <v>161.28</v>
      </c>
      <c r="BJ1152" s="1">
        <v>169.97</v>
      </c>
      <c r="BL1152" s="1">
        <v>157.15</v>
      </c>
      <c r="BN1152" s="1">
        <v>156.4</v>
      </c>
    </row>
    <row r="1153" spans="1:66" x14ac:dyDescent="0.3">
      <c r="A1153" s="2"/>
      <c r="C1153" s="14" t="str">
        <f t="shared" si="18"/>
        <v>20218</v>
      </c>
      <c r="D1153" s="3">
        <v>44425</v>
      </c>
      <c r="E1153" s="21">
        <v>2347.7800000000002</v>
      </c>
      <c r="F1153" s="21">
        <v>2414.4</v>
      </c>
      <c r="G1153" s="21">
        <v>2440.63</v>
      </c>
      <c r="H1153" s="21">
        <v>2230.12</v>
      </c>
      <c r="I1153" s="21">
        <v>2258.84</v>
      </c>
      <c r="J1153" s="21">
        <v>2264.0300000000002</v>
      </c>
      <c r="K1153" s="21">
        <v>2227.29</v>
      </c>
      <c r="L1153" s="21"/>
      <c r="M1153" s="21">
        <v>2273.29</v>
      </c>
      <c r="N1153" s="21">
        <v>2163.81</v>
      </c>
      <c r="O1153" s="21">
        <v>2344.91</v>
      </c>
      <c r="P1153" s="21">
        <v>2224.94</v>
      </c>
      <c r="Q1153" s="21">
        <v>7467.17</v>
      </c>
      <c r="R1153" s="20">
        <v>152.96</v>
      </c>
      <c r="S1153" s="20">
        <v>161.75</v>
      </c>
      <c r="T1153" s="21">
        <v>161.52000000000001</v>
      </c>
      <c r="V1153" s="1">
        <v>158.52000000000001</v>
      </c>
      <c r="W1153" s="1">
        <v>161.68</v>
      </c>
      <c r="X1153" s="1">
        <v>159.41</v>
      </c>
      <c r="Y1153" s="1">
        <v>159.36000000000001</v>
      </c>
      <c r="Z1153" s="1">
        <v>159.28</v>
      </c>
      <c r="AA1153" s="1">
        <v>154.36000000000001</v>
      </c>
      <c r="AB1153" s="1">
        <v>159.51</v>
      </c>
      <c r="AE1153" s="1">
        <v>169.12</v>
      </c>
      <c r="AF1153" s="1">
        <v>165.07</v>
      </c>
      <c r="AG1153" s="1">
        <v>167.73</v>
      </c>
      <c r="AO1153" s="1">
        <v>7</v>
      </c>
      <c r="AT1153" s="1">
        <v>3812.79</v>
      </c>
      <c r="AV1153" s="1">
        <v>30</v>
      </c>
      <c r="AW1153" s="1">
        <v>3626.16</v>
      </c>
      <c r="AX1153" s="1">
        <v>169.3</v>
      </c>
      <c r="BA1153" s="1">
        <v>173.42</v>
      </c>
      <c r="BB1153" s="1">
        <v>170.97</v>
      </c>
      <c r="BC1153" s="1">
        <v>170.64</v>
      </c>
      <c r="BD1153" s="1">
        <v>167.76</v>
      </c>
      <c r="BE1153" s="1">
        <v>167.26</v>
      </c>
      <c r="BF1153" s="1">
        <v>173.13</v>
      </c>
      <c r="BG1153" s="1">
        <v>169.81</v>
      </c>
      <c r="BH1153" s="1">
        <v>165.17</v>
      </c>
      <c r="BI1153" s="1">
        <v>160.75</v>
      </c>
      <c r="BJ1153" s="1">
        <v>169.75</v>
      </c>
      <c r="BL1153" s="1">
        <v>155.44999999999999</v>
      </c>
      <c r="BN1153" s="1">
        <v>155.65</v>
      </c>
    </row>
    <row r="1154" spans="1:66" x14ac:dyDescent="0.3">
      <c r="A1154" s="2"/>
      <c r="C1154" s="14" t="str">
        <f t="shared" si="18"/>
        <v>20218</v>
      </c>
      <c r="D1154" s="3">
        <v>44424</v>
      </c>
      <c r="E1154" s="21">
        <v>2326.6799999999998</v>
      </c>
      <c r="F1154" s="21">
        <v>2398.64</v>
      </c>
      <c r="G1154" s="21">
        <v>2440.63</v>
      </c>
      <c r="H1154" s="21">
        <v>2249.4499999999998</v>
      </c>
      <c r="I1154" s="21">
        <v>2258.84</v>
      </c>
      <c r="J1154" s="21">
        <v>2289.09</v>
      </c>
      <c r="K1154" s="21">
        <v>2227.33</v>
      </c>
      <c r="L1154" s="21"/>
      <c r="M1154" s="21">
        <v>2273.29</v>
      </c>
      <c r="N1154" s="21">
        <v>2133.9699999999998</v>
      </c>
      <c r="O1154" s="21">
        <v>2323.06</v>
      </c>
      <c r="P1154" s="21">
        <v>2224.98</v>
      </c>
      <c r="Q1154" s="21">
        <v>7451.04</v>
      </c>
      <c r="R1154" s="20">
        <v>151.96</v>
      </c>
      <c r="S1154" s="20">
        <v>161.27000000000001</v>
      </c>
      <c r="T1154" s="21">
        <v>160.66999999999999</v>
      </c>
      <c r="U1154" s="1">
        <v>166.53</v>
      </c>
      <c r="V1154" s="1">
        <v>158.52000000000001</v>
      </c>
      <c r="W1154" s="1">
        <v>161.05000000000001</v>
      </c>
      <c r="X1154" s="1">
        <v>157.83000000000001</v>
      </c>
      <c r="Y1154" s="1">
        <v>158.94999999999999</v>
      </c>
      <c r="Z1154" s="1">
        <v>159</v>
      </c>
      <c r="AA1154" s="1">
        <v>153.94999999999999</v>
      </c>
      <c r="AB1154" s="1">
        <v>158.4</v>
      </c>
      <c r="AE1154" s="1">
        <v>169.11</v>
      </c>
      <c r="AF1154" s="1">
        <v>164.7</v>
      </c>
      <c r="AG1154" s="1">
        <v>167.64</v>
      </c>
      <c r="AO1154" s="1">
        <v>7</v>
      </c>
      <c r="AS1154" s="1">
        <v>4419.33</v>
      </c>
      <c r="AT1154" s="1">
        <v>3812.79</v>
      </c>
      <c r="AV1154" s="1">
        <v>30</v>
      </c>
      <c r="AW1154" s="1">
        <v>3626.16</v>
      </c>
      <c r="AX1154" s="1">
        <v>169.29</v>
      </c>
      <c r="BA1154" s="1">
        <v>173.43</v>
      </c>
      <c r="BB1154" s="1">
        <v>169.98</v>
      </c>
      <c r="BC1154" s="1">
        <v>168.19</v>
      </c>
      <c r="BD1154" s="1">
        <v>166.98</v>
      </c>
      <c r="BE1154" s="1">
        <v>164.64</v>
      </c>
      <c r="BF1154" s="1">
        <v>174.33</v>
      </c>
      <c r="BG1154" s="1">
        <v>169.94</v>
      </c>
      <c r="BH1154" s="1">
        <v>163.75</v>
      </c>
      <c r="BI1154" s="1">
        <v>160.75</v>
      </c>
      <c r="BJ1154" s="1">
        <v>169.75</v>
      </c>
      <c r="BL1154" s="1">
        <v>154.44999999999999</v>
      </c>
      <c r="BN1154" s="1">
        <v>154.4</v>
      </c>
    </row>
    <row r="1155" spans="1:66" x14ac:dyDescent="0.3">
      <c r="A1155" s="2"/>
      <c r="C1155" s="14" t="str">
        <f t="shared" si="18"/>
        <v>20218</v>
      </c>
      <c r="D1155" s="3">
        <v>44421</v>
      </c>
      <c r="E1155" s="21">
        <v>2323.7399999999998</v>
      </c>
      <c r="F1155" s="21">
        <v>2370.4299999999998</v>
      </c>
      <c r="G1155" s="21">
        <v>2428.19</v>
      </c>
      <c r="H1155" s="21">
        <v>2244.3200000000002</v>
      </c>
      <c r="I1155" s="21">
        <v>2258.84</v>
      </c>
      <c r="J1155" s="21">
        <v>2289.09</v>
      </c>
      <c r="K1155" s="21">
        <v>2230.62</v>
      </c>
      <c r="L1155" s="21"/>
      <c r="M1155" s="21">
        <v>2188.7800000000002</v>
      </c>
      <c r="N1155" s="21">
        <v>2120.5500000000002</v>
      </c>
      <c r="O1155" s="21">
        <v>2337.25</v>
      </c>
      <c r="P1155" s="21">
        <v>2204.98</v>
      </c>
      <c r="Q1155" s="21">
        <v>7419.33</v>
      </c>
      <c r="R1155" s="20">
        <v>151.08000000000001</v>
      </c>
      <c r="S1155" s="20">
        <v>160.94</v>
      </c>
      <c r="T1155" s="21">
        <v>160.61000000000001</v>
      </c>
      <c r="U1155" s="1">
        <v>165.73</v>
      </c>
      <c r="V1155" s="1">
        <v>156.22999999999999</v>
      </c>
      <c r="W1155" s="1">
        <v>160.76</v>
      </c>
      <c r="X1155" s="1">
        <v>156.49</v>
      </c>
      <c r="Y1155" s="1">
        <v>158.30000000000001</v>
      </c>
      <c r="Z1155" s="1">
        <v>158.32</v>
      </c>
      <c r="AA1155" s="1">
        <v>151.66999999999999</v>
      </c>
      <c r="AB1155" s="1">
        <v>156.29</v>
      </c>
      <c r="AE1155" s="1">
        <v>165.76</v>
      </c>
      <c r="AF1155" s="1">
        <v>164.65</v>
      </c>
      <c r="AG1155" s="1">
        <v>170.09</v>
      </c>
      <c r="AK1155" s="1">
        <v>0</v>
      </c>
      <c r="AO1155" s="1">
        <v>7</v>
      </c>
      <c r="AS1155" s="1">
        <v>4469.55</v>
      </c>
      <c r="AT1155" s="1">
        <v>3812.79</v>
      </c>
      <c r="AV1155" s="1">
        <v>30</v>
      </c>
      <c r="AW1155" s="1">
        <v>4095.12</v>
      </c>
      <c r="AX1155" s="1">
        <v>169.28</v>
      </c>
      <c r="BA1155" s="1">
        <v>173.41</v>
      </c>
      <c r="BB1155" s="1">
        <v>170.29</v>
      </c>
      <c r="BC1155" s="1">
        <v>168.74</v>
      </c>
      <c r="BD1155" s="1">
        <v>169.6</v>
      </c>
      <c r="BE1155" s="1">
        <v>165.27</v>
      </c>
      <c r="BF1155" s="1">
        <v>174.77</v>
      </c>
      <c r="BG1155" s="1">
        <v>166.43</v>
      </c>
      <c r="BH1155" s="1">
        <v>161.99</v>
      </c>
      <c r="BI1155" s="1">
        <v>160.15</v>
      </c>
      <c r="BJ1155" s="1">
        <v>169.75</v>
      </c>
      <c r="BL1155" s="1">
        <v>154.69999999999999</v>
      </c>
      <c r="BN1155" s="1">
        <v>154.65</v>
      </c>
    </row>
    <row r="1156" spans="1:66" x14ac:dyDescent="0.3">
      <c r="A1156" s="2"/>
      <c r="C1156" s="14" t="str">
        <f t="shared" si="18"/>
        <v>20218</v>
      </c>
      <c r="D1156" s="3">
        <v>44420</v>
      </c>
      <c r="E1156" s="21">
        <v>2328.0300000000002</v>
      </c>
      <c r="F1156" s="21">
        <v>2353.31</v>
      </c>
      <c r="G1156" s="21">
        <v>2423.21</v>
      </c>
      <c r="H1156" s="21">
        <v>2245.54</v>
      </c>
      <c r="I1156" s="21">
        <v>2258.84</v>
      </c>
      <c r="J1156" s="21">
        <v>2284</v>
      </c>
      <c r="K1156" s="21">
        <v>2228.9499999999998</v>
      </c>
      <c r="L1156" s="21">
        <v>2152.89</v>
      </c>
      <c r="M1156" s="21">
        <v>2221.63</v>
      </c>
      <c r="N1156" s="21">
        <v>2099.17</v>
      </c>
      <c r="O1156" s="21">
        <v>2393.9299999999998</v>
      </c>
      <c r="P1156" s="21">
        <v>2204.98</v>
      </c>
      <c r="Q1156" s="21">
        <v>7416.42</v>
      </c>
      <c r="R1156" s="20">
        <v>150.63999999999999</v>
      </c>
      <c r="S1156" s="20">
        <v>157.71</v>
      </c>
      <c r="T1156" s="21">
        <v>159.68</v>
      </c>
      <c r="U1156" s="1">
        <v>163.35</v>
      </c>
      <c r="V1156" s="1">
        <v>155.09</v>
      </c>
      <c r="W1156" s="1">
        <v>160.16</v>
      </c>
      <c r="X1156" s="1">
        <v>155.82</v>
      </c>
      <c r="Y1156" s="1">
        <v>157.47</v>
      </c>
      <c r="Z1156" s="1">
        <v>157.65</v>
      </c>
      <c r="AA1156" s="1">
        <v>151.62</v>
      </c>
      <c r="AB1156" s="1">
        <v>155.72999999999999</v>
      </c>
      <c r="AE1156" s="1">
        <v>165.9</v>
      </c>
      <c r="AF1156" s="1">
        <v>164.03</v>
      </c>
      <c r="AG1156" s="1">
        <v>168.14</v>
      </c>
      <c r="AK1156" s="1">
        <v>0</v>
      </c>
      <c r="AP1156" s="1">
        <v>4128.33</v>
      </c>
      <c r="AS1156" s="1">
        <v>4469.55</v>
      </c>
      <c r="AV1156" s="1">
        <v>30</v>
      </c>
      <c r="AW1156" s="1">
        <v>4095.12</v>
      </c>
      <c r="AX1156" s="1">
        <v>166.93</v>
      </c>
      <c r="BA1156" s="1">
        <v>171.01</v>
      </c>
      <c r="BB1156" s="1">
        <v>168.05</v>
      </c>
      <c r="BC1156" s="1">
        <v>165.55</v>
      </c>
      <c r="BD1156" s="1">
        <v>169.06</v>
      </c>
      <c r="BE1156" s="1">
        <v>162.06</v>
      </c>
      <c r="BF1156" s="1">
        <v>175.57</v>
      </c>
      <c r="BG1156" s="1">
        <v>166.12</v>
      </c>
      <c r="BH1156" s="1">
        <v>159.69</v>
      </c>
      <c r="BI1156" s="1">
        <v>159.55000000000001</v>
      </c>
      <c r="BJ1156" s="1">
        <v>169.26</v>
      </c>
      <c r="BL1156" s="1">
        <v>153.21</v>
      </c>
      <c r="BN1156" s="1">
        <v>153.06</v>
      </c>
    </row>
    <row r="1157" spans="1:66" x14ac:dyDescent="0.3">
      <c r="A1157" s="2"/>
      <c r="C1157" s="14" t="str">
        <f t="shared" si="18"/>
        <v>20218</v>
      </c>
      <c r="D1157" s="3">
        <v>44419</v>
      </c>
      <c r="E1157" s="21">
        <v>2318.0500000000002</v>
      </c>
      <c r="F1157" s="21">
        <v>2353.31</v>
      </c>
      <c r="G1157" s="21">
        <v>2423.21</v>
      </c>
      <c r="H1157" s="21">
        <v>2245.54</v>
      </c>
      <c r="I1157" s="21">
        <v>2298.25</v>
      </c>
      <c r="J1157" s="21">
        <v>2290</v>
      </c>
      <c r="K1157" s="21">
        <v>2212.3200000000002</v>
      </c>
      <c r="L1157" s="21">
        <v>2152.89</v>
      </c>
      <c r="M1157" s="21">
        <v>2245.8200000000002</v>
      </c>
      <c r="N1157" s="21">
        <v>2093.6999999999998</v>
      </c>
      <c r="O1157" s="21">
        <v>2399.9299999999998</v>
      </c>
      <c r="P1157" s="21">
        <v>2204.98</v>
      </c>
      <c r="Q1157" s="21">
        <v>7318.67</v>
      </c>
      <c r="R1157" s="20">
        <v>149.88</v>
      </c>
      <c r="S1157" s="20">
        <v>156.36000000000001</v>
      </c>
      <c r="T1157" s="21">
        <v>158.87</v>
      </c>
      <c r="U1157" s="1">
        <v>157.71</v>
      </c>
      <c r="V1157" s="1">
        <v>156.93</v>
      </c>
      <c r="W1157" s="1">
        <v>160.43</v>
      </c>
      <c r="X1157" s="1">
        <v>155.37</v>
      </c>
      <c r="Y1157" s="1">
        <v>156.19</v>
      </c>
      <c r="Z1157" s="1">
        <v>156.65</v>
      </c>
      <c r="AA1157" s="1">
        <v>152.41999999999999</v>
      </c>
      <c r="AB1157" s="1">
        <v>155.24</v>
      </c>
      <c r="AE1157" s="1">
        <v>166.16</v>
      </c>
      <c r="AF1157" s="1">
        <v>162.54</v>
      </c>
      <c r="AG1157" s="1">
        <v>167.34</v>
      </c>
      <c r="AK1157" s="1">
        <v>0</v>
      </c>
      <c r="AP1157" s="1">
        <v>4128.33</v>
      </c>
      <c r="AS1157" s="1">
        <v>4469.55</v>
      </c>
      <c r="AX1157" s="1">
        <v>166.68</v>
      </c>
      <c r="BA1157" s="1">
        <v>166.73</v>
      </c>
      <c r="BB1157" s="1">
        <v>168.08</v>
      </c>
      <c r="BC1157" s="1">
        <v>165.98</v>
      </c>
      <c r="BD1157" s="1">
        <v>168.14</v>
      </c>
      <c r="BE1157" s="1">
        <v>161.72999999999999</v>
      </c>
      <c r="BF1157" s="1">
        <v>174.91</v>
      </c>
      <c r="BG1157" s="1">
        <v>165.93</v>
      </c>
      <c r="BH1157" s="1">
        <v>157.97999999999999</v>
      </c>
      <c r="BI1157" s="1">
        <v>158.75</v>
      </c>
      <c r="BJ1157" s="1">
        <v>168.51</v>
      </c>
      <c r="BL1157" s="1">
        <v>152.65</v>
      </c>
      <c r="BN1157" s="1">
        <v>152.66</v>
      </c>
    </row>
    <row r="1158" spans="1:66" x14ac:dyDescent="0.3">
      <c r="A1158" s="2"/>
      <c r="C1158" s="14" t="str">
        <f t="shared" ref="C1158:C1221" si="19">YEAR(D1158)&amp;MONTH(D1158)</f>
        <v>20218</v>
      </c>
      <c r="D1158" s="3">
        <v>44418</v>
      </c>
      <c r="E1158" s="21">
        <v>2322.33</v>
      </c>
      <c r="F1158" s="21">
        <v>2353.31</v>
      </c>
      <c r="G1158" s="21">
        <v>2423.21</v>
      </c>
      <c r="H1158" s="21">
        <v>2254.58</v>
      </c>
      <c r="I1158" s="21">
        <v>2268.79</v>
      </c>
      <c r="J1158" s="21">
        <v>2275.16</v>
      </c>
      <c r="K1158" s="21">
        <v>2215.65</v>
      </c>
      <c r="L1158" s="21">
        <v>2150.3000000000002</v>
      </c>
      <c r="M1158" s="21">
        <v>2298.6799999999998</v>
      </c>
      <c r="N1158" s="21">
        <v>2111</v>
      </c>
      <c r="O1158" s="21">
        <v>2350</v>
      </c>
      <c r="P1158" s="21">
        <v>2206.9699999999998</v>
      </c>
      <c r="Q1158" s="21">
        <v>7292.96</v>
      </c>
      <c r="R1158" s="20">
        <v>148.54</v>
      </c>
      <c r="S1158" s="20">
        <v>157.09</v>
      </c>
      <c r="T1158" s="21">
        <v>156.72</v>
      </c>
      <c r="U1158" s="1">
        <v>159.54</v>
      </c>
      <c r="V1158" s="1">
        <v>155.94999999999999</v>
      </c>
      <c r="W1158" s="1">
        <v>159.80000000000001</v>
      </c>
      <c r="X1158" s="1">
        <v>154.91</v>
      </c>
      <c r="Y1158" s="1">
        <v>156.25</v>
      </c>
      <c r="Z1158" s="1">
        <v>156.32</v>
      </c>
      <c r="AA1158" s="1">
        <v>151.69999999999999</v>
      </c>
      <c r="AB1158" s="1">
        <v>155.16</v>
      </c>
      <c r="AE1158" s="1">
        <v>165.18</v>
      </c>
      <c r="AF1158" s="1">
        <v>160.05000000000001</v>
      </c>
      <c r="AG1158" s="1">
        <v>167.29</v>
      </c>
      <c r="AK1158" s="1">
        <v>0</v>
      </c>
      <c r="AO1158" s="1">
        <v>0</v>
      </c>
      <c r="AP1158" s="1">
        <v>4128.33</v>
      </c>
      <c r="AS1158" s="1">
        <v>4519.7700000000004</v>
      </c>
      <c r="AT1158" s="1">
        <v>3816.7</v>
      </c>
      <c r="AX1158" s="1">
        <v>167.47</v>
      </c>
      <c r="BA1158" s="1">
        <v>167.47</v>
      </c>
      <c r="BB1158" s="1">
        <v>168.45</v>
      </c>
      <c r="BC1158" s="1">
        <v>167.39</v>
      </c>
      <c r="BD1158" s="1">
        <v>166.49</v>
      </c>
      <c r="BE1158" s="1">
        <v>162.09</v>
      </c>
      <c r="BF1158" s="1">
        <v>168.48</v>
      </c>
      <c r="BG1158" s="1">
        <v>165.5</v>
      </c>
      <c r="BI1158" s="1">
        <v>158.37</v>
      </c>
      <c r="BJ1158" s="1">
        <v>167.83</v>
      </c>
      <c r="BL1158" s="1">
        <v>152.44999999999999</v>
      </c>
      <c r="BN1158" s="1">
        <v>152.4</v>
      </c>
    </row>
    <row r="1159" spans="1:66" x14ac:dyDescent="0.3">
      <c r="A1159" s="2"/>
      <c r="C1159" s="14" t="str">
        <f t="shared" si="19"/>
        <v>20218</v>
      </c>
      <c r="D1159" s="3">
        <v>44417</v>
      </c>
      <c r="E1159" s="21">
        <v>2303.8000000000002</v>
      </c>
      <c r="F1159" s="21">
        <v>2339.73</v>
      </c>
      <c r="G1159" s="21">
        <v>2423.21</v>
      </c>
      <c r="H1159" s="21">
        <v>2246.0100000000002</v>
      </c>
      <c r="I1159" s="21">
        <v>2268.79</v>
      </c>
      <c r="J1159" s="21">
        <v>2310.19</v>
      </c>
      <c r="K1159" s="21">
        <v>2215.65</v>
      </c>
      <c r="L1159" s="21">
        <v>2102.64</v>
      </c>
      <c r="M1159" s="21">
        <v>2235.71</v>
      </c>
      <c r="N1159" s="21">
        <v>2087.2399999999998</v>
      </c>
      <c r="O1159" s="21">
        <v>2389.9299999999998</v>
      </c>
      <c r="P1159" s="21">
        <v>2206.9699999999998</v>
      </c>
      <c r="Q1159" s="21">
        <v>7274.48</v>
      </c>
      <c r="R1159" s="20">
        <v>148.86000000000001</v>
      </c>
      <c r="S1159" s="20">
        <v>156.5</v>
      </c>
      <c r="T1159" s="21">
        <v>157.99</v>
      </c>
      <c r="U1159" s="1">
        <v>160.86000000000001</v>
      </c>
      <c r="V1159" s="1">
        <v>155.52000000000001</v>
      </c>
      <c r="W1159" s="1">
        <v>159.05000000000001</v>
      </c>
      <c r="X1159" s="1">
        <v>152.41</v>
      </c>
      <c r="Y1159" s="1">
        <v>156.47999999999999</v>
      </c>
      <c r="Z1159" s="1">
        <v>156.65</v>
      </c>
      <c r="AA1159" s="1">
        <v>154</v>
      </c>
      <c r="AB1159" s="1">
        <v>152.6</v>
      </c>
      <c r="AE1159" s="1">
        <v>162.34</v>
      </c>
      <c r="AG1159" s="1">
        <v>162.97</v>
      </c>
      <c r="AK1159" s="1">
        <v>0</v>
      </c>
      <c r="AO1159" s="1">
        <v>0</v>
      </c>
      <c r="AP1159" s="1">
        <v>4128.33</v>
      </c>
      <c r="AS1159" s="1">
        <v>4519.7700000000004</v>
      </c>
      <c r="AT1159" s="1">
        <v>3816.7</v>
      </c>
      <c r="AX1159" s="1">
        <v>166.76</v>
      </c>
      <c r="BA1159" s="1">
        <v>166.67</v>
      </c>
      <c r="BB1159" s="1">
        <v>168.54</v>
      </c>
      <c r="BC1159" s="1">
        <v>165.72</v>
      </c>
      <c r="BD1159" s="1">
        <v>168.51</v>
      </c>
      <c r="BE1159" s="1">
        <v>163.69</v>
      </c>
      <c r="BF1159" s="1">
        <v>169.97</v>
      </c>
      <c r="BG1159" s="1">
        <v>163.13</v>
      </c>
      <c r="BI1159" s="1">
        <v>156.84</v>
      </c>
      <c r="BJ1159" s="1">
        <v>166.55</v>
      </c>
      <c r="BL1159" s="1">
        <v>151.85</v>
      </c>
      <c r="BN1159" s="1">
        <v>152.66</v>
      </c>
    </row>
    <row r="1160" spans="1:66" x14ac:dyDescent="0.3">
      <c r="A1160" s="2"/>
      <c r="C1160" s="14" t="str">
        <f t="shared" si="19"/>
        <v>20218</v>
      </c>
      <c r="D1160" s="3">
        <v>44414</v>
      </c>
      <c r="E1160" s="21">
        <v>2292.4</v>
      </c>
      <c r="F1160" s="21">
        <v>2347.88</v>
      </c>
      <c r="G1160" s="21">
        <v>2415.7199999999998</v>
      </c>
      <c r="H1160" s="21">
        <v>2230.08</v>
      </c>
      <c r="I1160" s="21">
        <v>2311.52</v>
      </c>
      <c r="J1160" s="21">
        <v>2310.19</v>
      </c>
      <c r="K1160" s="21">
        <v>2222.3000000000002</v>
      </c>
      <c r="L1160" s="21"/>
      <c r="M1160" s="21"/>
      <c r="N1160" s="21">
        <v>2061.96</v>
      </c>
      <c r="O1160" s="21">
        <v>2387.9299999999998</v>
      </c>
      <c r="P1160" s="21">
        <v>2214.9499999999998</v>
      </c>
      <c r="Q1160" s="21">
        <v>7295.74</v>
      </c>
      <c r="R1160" s="20">
        <v>147.88</v>
      </c>
      <c r="S1160" s="20">
        <v>157.25</v>
      </c>
      <c r="T1160" s="21">
        <v>157.69</v>
      </c>
      <c r="U1160" s="1">
        <v>162.72</v>
      </c>
      <c r="V1160" s="1">
        <v>153.61000000000001</v>
      </c>
      <c r="W1160" s="1">
        <v>157.03</v>
      </c>
      <c r="X1160" s="1">
        <v>151.82</v>
      </c>
      <c r="Y1160" s="1">
        <v>155.91</v>
      </c>
      <c r="Z1160" s="1">
        <v>156.32</v>
      </c>
      <c r="AA1160" s="1">
        <v>151.26</v>
      </c>
      <c r="AB1160" s="1">
        <v>151.85</v>
      </c>
      <c r="AE1160" s="1">
        <v>161.78</v>
      </c>
      <c r="AG1160" s="1">
        <v>163.06</v>
      </c>
      <c r="AO1160" s="1">
        <v>0</v>
      </c>
      <c r="AP1160" s="1">
        <v>4128.33</v>
      </c>
      <c r="AT1160" s="1">
        <v>3816.7</v>
      </c>
      <c r="AW1160" s="1">
        <v>3194.78</v>
      </c>
      <c r="AX1160" s="1">
        <v>164.16</v>
      </c>
      <c r="BA1160" s="1">
        <v>167.87</v>
      </c>
      <c r="BB1160" s="1">
        <v>166.91</v>
      </c>
      <c r="BC1160" s="1">
        <v>166.42</v>
      </c>
      <c r="BD1160" s="1">
        <v>166.32</v>
      </c>
      <c r="BE1160" s="1">
        <v>163.37</v>
      </c>
      <c r="BF1160" s="1">
        <v>167.01</v>
      </c>
      <c r="BG1160" s="1">
        <v>162.69</v>
      </c>
      <c r="BI1160" s="1">
        <v>156.15</v>
      </c>
      <c r="BJ1160" s="1">
        <v>166.52</v>
      </c>
      <c r="BL1160" s="1">
        <v>150.97999999999999</v>
      </c>
      <c r="BN1160" s="1">
        <v>151.43</v>
      </c>
    </row>
    <row r="1161" spans="1:66" x14ac:dyDescent="0.3">
      <c r="A1161" s="2"/>
      <c r="C1161" s="14" t="str">
        <f t="shared" si="19"/>
        <v>20218</v>
      </c>
      <c r="D1161" s="3">
        <v>44413</v>
      </c>
      <c r="E1161" s="21">
        <v>2285.1</v>
      </c>
      <c r="F1161" s="21">
        <v>2314.52</v>
      </c>
      <c r="G1161" s="21">
        <v>2402.5500000000002</v>
      </c>
      <c r="H1161" s="21">
        <v>2221.8200000000002</v>
      </c>
      <c r="I1161" s="21">
        <v>2333.39</v>
      </c>
      <c r="J1161" s="21">
        <v>2387.4299999999998</v>
      </c>
      <c r="K1161" s="21">
        <v>2158.79</v>
      </c>
      <c r="L1161" s="21"/>
      <c r="M1161" s="21"/>
      <c r="N1161" s="21">
        <v>2041.74</v>
      </c>
      <c r="O1161" s="21">
        <v>2391.62</v>
      </c>
      <c r="P1161" s="21">
        <v>2167.84</v>
      </c>
      <c r="Q1161" s="21">
        <v>7298.39</v>
      </c>
      <c r="R1161" s="20">
        <v>147.9</v>
      </c>
      <c r="S1161" s="20">
        <v>153.9</v>
      </c>
      <c r="T1161" s="21">
        <v>154.94999999999999</v>
      </c>
      <c r="U1161" s="1">
        <v>156.30000000000001</v>
      </c>
      <c r="V1161" s="1">
        <v>150.47999999999999</v>
      </c>
      <c r="W1161" s="1">
        <v>155.84</v>
      </c>
      <c r="X1161" s="1">
        <v>151.18</v>
      </c>
      <c r="Y1161" s="1">
        <v>153.22999999999999</v>
      </c>
      <c r="Z1161" s="1">
        <v>152.99</v>
      </c>
      <c r="AA1161" s="1">
        <v>150.6</v>
      </c>
      <c r="AB1161" s="1">
        <v>151.1</v>
      </c>
      <c r="AE1161" s="1">
        <v>161.36000000000001</v>
      </c>
      <c r="AG1161" s="1">
        <v>162.19999999999999</v>
      </c>
      <c r="AO1161" s="1">
        <v>0</v>
      </c>
      <c r="AT1161" s="1">
        <v>3763.34</v>
      </c>
      <c r="AW1161" s="1">
        <v>3192.11</v>
      </c>
      <c r="AX1161" s="1">
        <v>163.97</v>
      </c>
      <c r="BA1161" s="1">
        <v>163.97</v>
      </c>
      <c r="BB1161" s="1">
        <v>164.88</v>
      </c>
      <c r="BC1161" s="1">
        <v>162.91</v>
      </c>
      <c r="BD1161" s="1">
        <v>163.92</v>
      </c>
      <c r="BE1161" s="1">
        <v>162.35</v>
      </c>
      <c r="BF1161" s="1">
        <v>166.64</v>
      </c>
      <c r="BG1161" s="1">
        <v>161.88999999999999</v>
      </c>
      <c r="BI1161" s="1">
        <v>155.58000000000001</v>
      </c>
      <c r="BJ1161" s="1">
        <v>165.91</v>
      </c>
      <c r="BL1161" s="1">
        <v>149.07</v>
      </c>
      <c r="BN1161" s="1">
        <v>149.16999999999999</v>
      </c>
    </row>
    <row r="1162" spans="1:66" x14ac:dyDescent="0.3">
      <c r="A1162" s="2"/>
      <c r="C1162" s="14" t="str">
        <f t="shared" si="19"/>
        <v>20218</v>
      </c>
      <c r="D1162" s="3">
        <v>44412</v>
      </c>
      <c r="E1162" s="21">
        <v>2267.34</v>
      </c>
      <c r="F1162" s="21">
        <v>2314.79</v>
      </c>
      <c r="G1162" s="21">
        <v>2432.8000000000002</v>
      </c>
      <c r="H1162" s="21">
        <v>2202.7800000000002</v>
      </c>
      <c r="I1162" s="21">
        <v>2346.6799999999998</v>
      </c>
      <c r="J1162" s="21">
        <v>2356.67</v>
      </c>
      <c r="K1162" s="21">
        <v>2173.04</v>
      </c>
      <c r="L1162" s="21"/>
      <c r="M1162" s="21"/>
      <c r="N1162" s="21">
        <v>2020.68</v>
      </c>
      <c r="O1162" s="21">
        <v>2314.65</v>
      </c>
      <c r="P1162" s="21">
        <v>2197.7399999999998</v>
      </c>
      <c r="Q1162" s="21">
        <v>7267.07</v>
      </c>
      <c r="R1162" s="20">
        <v>147.57</v>
      </c>
      <c r="S1162" s="20">
        <v>153.68</v>
      </c>
      <c r="T1162" s="21">
        <v>154.79</v>
      </c>
      <c r="U1162" s="1">
        <v>156.30000000000001</v>
      </c>
      <c r="V1162" s="1">
        <v>150.79</v>
      </c>
      <c r="W1162" s="1">
        <v>156.35</v>
      </c>
      <c r="X1162" s="1">
        <v>151.16</v>
      </c>
      <c r="Y1162" s="1">
        <v>152.15</v>
      </c>
      <c r="Z1162" s="1">
        <v>152.32</v>
      </c>
      <c r="AA1162" s="1">
        <v>150.18</v>
      </c>
      <c r="AB1162" s="1">
        <v>150.88999999999999</v>
      </c>
      <c r="AE1162" s="1">
        <v>162.78</v>
      </c>
      <c r="AF1162" s="1">
        <v>159.43</v>
      </c>
      <c r="AG1162" s="1">
        <v>162.53</v>
      </c>
      <c r="AO1162" s="1">
        <v>0</v>
      </c>
      <c r="AT1162" s="1">
        <v>3763.34</v>
      </c>
      <c r="AW1162" s="1">
        <v>3192.11</v>
      </c>
      <c r="AX1162" s="1">
        <v>162.58000000000001</v>
      </c>
      <c r="BA1162" s="1">
        <v>163.97</v>
      </c>
      <c r="BB1162" s="1">
        <v>164.76</v>
      </c>
      <c r="BC1162" s="1">
        <v>163.38</v>
      </c>
      <c r="BD1162" s="1">
        <v>164.31</v>
      </c>
      <c r="BE1162" s="1">
        <v>162.35</v>
      </c>
      <c r="BF1162" s="1">
        <v>167.43</v>
      </c>
      <c r="BG1162" s="1">
        <v>162.81</v>
      </c>
      <c r="BH1162" s="1">
        <v>157.09</v>
      </c>
      <c r="BI1162" s="1">
        <v>155.58000000000001</v>
      </c>
      <c r="BJ1162" s="1">
        <v>165.91</v>
      </c>
      <c r="BL1162" s="1">
        <v>148.24</v>
      </c>
      <c r="BN1162" s="1">
        <v>148.44</v>
      </c>
    </row>
    <row r="1163" spans="1:66" x14ac:dyDescent="0.3">
      <c r="A1163" s="2"/>
      <c r="C1163" s="14" t="str">
        <f t="shared" si="19"/>
        <v>20218</v>
      </c>
      <c r="D1163" s="3">
        <v>44411</v>
      </c>
      <c r="E1163" s="21">
        <v>2260.7199999999998</v>
      </c>
      <c r="F1163" s="21">
        <v>2314.52</v>
      </c>
      <c r="G1163" s="21">
        <v>2386.31</v>
      </c>
      <c r="H1163" s="21">
        <v>2226.0700000000002</v>
      </c>
      <c r="I1163" s="21">
        <v>2346.6799999999998</v>
      </c>
      <c r="J1163" s="21">
        <v>2326.41</v>
      </c>
      <c r="K1163" s="21">
        <v>2196.7199999999998</v>
      </c>
      <c r="L1163" s="21">
        <v>2235.59</v>
      </c>
      <c r="M1163" s="21"/>
      <c r="N1163" s="21">
        <v>2061.36</v>
      </c>
      <c r="O1163" s="21">
        <v>2310.0500000000002</v>
      </c>
      <c r="P1163" s="21">
        <v>2177.83</v>
      </c>
      <c r="Q1163" s="21">
        <v>7378.55</v>
      </c>
      <c r="R1163" s="20">
        <v>148.91999999999999</v>
      </c>
      <c r="S1163" s="20">
        <v>150.93</v>
      </c>
      <c r="T1163" s="21">
        <v>155.63</v>
      </c>
      <c r="U1163" s="1">
        <v>156.6</v>
      </c>
      <c r="V1163" s="1">
        <v>151.12</v>
      </c>
      <c r="W1163" s="1">
        <v>156.63999999999999</v>
      </c>
      <c r="X1163" s="1">
        <v>151.38999999999999</v>
      </c>
      <c r="Y1163" s="1">
        <v>151.94</v>
      </c>
      <c r="Z1163" s="1">
        <v>151.97</v>
      </c>
      <c r="AA1163" s="1">
        <v>150.27000000000001</v>
      </c>
      <c r="AB1163" s="1">
        <v>152.13</v>
      </c>
      <c r="AE1163" s="1">
        <v>161.44999999999999</v>
      </c>
      <c r="AF1163" s="1">
        <v>159.4</v>
      </c>
      <c r="AG1163" s="1">
        <v>159.82</v>
      </c>
      <c r="AT1163" s="1">
        <v>3713.16</v>
      </c>
      <c r="AW1163" s="1">
        <v>3192.11</v>
      </c>
      <c r="AX1163" s="1">
        <v>161.75</v>
      </c>
      <c r="BA1163" s="1">
        <v>164.12</v>
      </c>
      <c r="BB1163" s="1">
        <v>164.7</v>
      </c>
      <c r="BC1163" s="1">
        <v>162.93</v>
      </c>
      <c r="BD1163" s="1">
        <v>162.62</v>
      </c>
      <c r="BE1163" s="1">
        <v>160.65</v>
      </c>
      <c r="BF1163" s="1">
        <v>165.5</v>
      </c>
      <c r="BG1163" s="1">
        <v>162.19999999999999</v>
      </c>
      <c r="BH1163" s="1">
        <v>157.09</v>
      </c>
      <c r="BI1163" s="1">
        <v>157.18</v>
      </c>
      <c r="BJ1163" s="1">
        <v>165.91</v>
      </c>
      <c r="BL1163" s="1">
        <v>150.47999999999999</v>
      </c>
      <c r="BN1163" s="1">
        <v>147.94</v>
      </c>
    </row>
    <row r="1164" spans="1:66" x14ac:dyDescent="0.3">
      <c r="A1164" s="2"/>
      <c r="C1164" s="14" t="str">
        <f t="shared" si="19"/>
        <v>20218</v>
      </c>
      <c r="D1164" s="3">
        <v>44410</v>
      </c>
      <c r="E1164" s="21">
        <v>2229.11</v>
      </c>
      <c r="F1164" s="21">
        <v>2314.52</v>
      </c>
      <c r="G1164" s="21">
        <v>2366.36</v>
      </c>
      <c r="H1164" s="21">
        <v>2226.0700000000002</v>
      </c>
      <c r="I1164" s="21">
        <v>2336.71</v>
      </c>
      <c r="J1164" s="21">
        <v>2236.7199999999998</v>
      </c>
      <c r="K1164" s="21">
        <v>2213.35</v>
      </c>
      <c r="L1164" s="21">
        <v>2235.59</v>
      </c>
      <c r="M1164" s="21"/>
      <c r="N1164" s="21">
        <v>2043.25</v>
      </c>
      <c r="O1164" s="21">
        <v>2323.4699999999998</v>
      </c>
      <c r="P1164" s="21">
        <v>2197.8000000000002</v>
      </c>
      <c r="Q1164" s="21">
        <v>7403.37</v>
      </c>
      <c r="R1164" s="20">
        <v>148.91999999999999</v>
      </c>
      <c r="S1164" s="20">
        <v>150.41</v>
      </c>
      <c r="T1164" s="21">
        <v>156.30000000000001</v>
      </c>
      <c r="U1164" s="1">
        <v>156.24</v>
      </c>
      <c r="V1164" s="1">
        <v>151.29</v>
      </c>
      <c r="W1164" s="1">
        <v>154.59</v>
      </c>
      <c r="X1164" s="1">
        <v>151.38999999999999</v>
      </c>
      <c r="Y1164" s="1">
        <v>151.52000000000001</v>
      </c>
      <c r="Z1164" s="1">
        <v>151.65</v>
      </c>
      <c r="AA1164" s="1">
        <v>149.88999999999999</v>
      </c>
      <c r="AB1164" s="1">
        <v>152.13</v>
      </c>
      <c r="AE1164" s="1">
        <v>163.46</v>
      </c>
      <c r="AF1164" s="1">
        <v>161.18</v>
      </c>
      <c r="AG1164" s="1">
        <v>159.15</v>
      </c>
      <c r="AT1164" s="1">
        <v>3713.16</v>
      </c>
      <c r="AW1164" s="1">
        <v>3192.11</v>
      </c>
      <c r="AX1164" s="1">
        <v>161.75</v>
      </c>
      <c r="BA1164" s="1">
        <v>164.24</v>
      </c>
      <c r="BB1164" s="1">
        <v>164.03</v>
      </c>
      <c r="BC1164" s="1">
        <v>162.47</v>
      </c>
      <c r="BD1164" s="1">
        <v>162.43</v>
      </c>
      <c r="BE1164" s="1">
        <v>161.02000000000001</v>
      </c>
      <c r="BF1164" s="1">
        <v>165.4</v>
      </c>
      <c r="BG1164" s="1">
        <v>162.88</v>
      </c>
      <c r="BH1164" s="1">
        <v>157.09</v>
      </c>
      <c r="BI1164" s="1">
        <v>157.58000000000001</v>
      </c>
      <c r="BJ1164" s="1">
        <v>166.41</v>
      </c>
      <c r="BL1164" s="1">
        <v>150.15</v>
      </c>
      <c r="BN1164" s="1">
        <v>147.06</v>
      </c>
    </row>
    <row r="1165" spans="1:66" x14ac:dyDescent="0.3">
      <c r="A1165" s="2"/>
      <c r="C1165" s="14" t="str">
        <f t="shared" si="19"/>
        <v>20217</v>
      </c>
      <c r="D1165" s="3">
        <v>44407</v>
      </c>
      <c r="E1165" s="21">
        <v>2238.02</v>
      </c>
      <c r="F1165" s="21">
        <v>2314.52</v>
      </c>
      <c r="G1165" s="21">
        <v>2380.12</v>
      </c>
      <c r="H1165" s="21">
        <v>2244.48</v>
      </c>
      <c r="I1165" s="21">
        <v>2336.71</v>
      </c>
      <c r="J1165" s="21">
        <v>2239.7600000000002</v>
      </c>
      <c r="K1165" s="21">
        <v>2144.5300000000002</v>
      </c>
      <c r="L1165" s="21">
        <v>2200.2199999999998</v>
      </c>
      <c r="M1165" s="21"/>
      <c r="N1165" s="21">
        <v>2014.47</v>
      </c>
      <c r="O1165" s="21">
        <v>2400</v>
      </c>
      <c r="P1165" s="21">
        <v>2157.87</v>
      </c>
      <c r="Q1165" s="21">
        <v>7411.16</v>
      </c>
      <c r="R1165" s="20">
        <v>146.9</v>
      </c>
      <c r="S1165" s="20">
        <v>152.43</v>
      </c>
      <c r="T1165" s="21">
        <v>154.38</v>
      </c>
      <c r="V1165" s="1">
        <v>151.13</v>
      </c>
      <c r="W1165" s="1">
        <v>153.77000000000001</v>
      </c>
      <c r="X1165" s="1">
        <v>151.94999999999999</v>
      </c>
      <c r="Y1165" s="1">
        <v>150.96</v>
      </c>
      <c r="Z1165" s="1">
        <v>151</v>
      </c>
      <c r="AA1165" s="1">
        <v>150.96</v>
      </c>
      <c r="AB1165" s="1">
        <v>151.88999999999999</v>
      </c>
      <c r="AE1165" s="1">
        <v>162.61000000000001</v>
      </c>
      <c r="AF1165" s="1">
        <v>160.43</v>
      </c>
      <c r="AG1165" s="1">
        <v>161.97</v>
      </c>
      <c r="AT1165" s="1">
        <v>3713.16</v>
      </c>
      <c r="AX1165" s="1">
        <v>161.9</v>
      </c>
      <c r="BA1165" s="1">
        <v>165.08</v>
      </c>
      <c r="BB1165" s="1">
        <v>164.16</v>
      </c>
      <c r="BC1165" s="1">
        <v>163.13999999999999</v>
      </c>
      <c r="BD1165" s="1">
        <v>161.34</v>
      </c>
      <c r="BE1165" s="1">
        <v>160.93</v>
      </c>
      <c r="BF1165" s="1">
        <v>167.36</v>
      </c>
      <c r="BG1165" s="1">
        <v>163.09</v>
      </c>
      <c r="BH1165" s="1">
        <v>157.30000000000001</v>
      </c>
      <c r="BI1165" s="1">
        <v>157.58000000000001</v>
      </c>
      <c r="BJ1165" s="1">
        <v>166.41</v>
      </c>
      <c r="BL1165" s="1">
        <v>147.49</v>
      </c>
      <c r="BN1165" s="1">
        <v>147.82</v>
      </c>
    </row>
    <row r="1166" spans="1:66" x14ac:dyDescent="0.3">
      <c r="A1166" s="2"/>
      <c r="C1166" s="14" t="str">
        <f t="shared" si="19"/>
        <v>20217</v>
      </c>
      <c r="D1166" s="3">
        <v>44406</v>
      </c>
      <c r="E1166" s="21">
        <v>2255.13</v>
      </c>
      <c r="F1166" s="21">
        <v>2314.52</v>
      </c>
      <c r="G1166" s="21">
        <v>2385.11</v>
      </c>
      <c r="H1166" s="21">
        <v>2253.0100000000002</v>
      </c>
      <c r="I1166" s="21">
        <v>2330.0700000000002</v>
      </c>
      <c r="J1166" s="21">
        <v>2306.0300000000002</v>
      </c>
      <c r="K1166" s="21">
        <v>2144.5300000000002</v>
      </c>
      <c r="L1166" s="21">
        <v>2202.66</v>
      </c>
      <c r="M1166" s="21">
        <v>2133.2600000000002</v>
      </c>
      <c r="N1166" s="21">
        <v>2014.34</v>
      </c>
      <c r="O1166" s="21">
        <v>2410</v>
      </c>
      <c r="P1166" s="21">
        <v>2146.16</v>
      </c>
      <c r="Q1166" s="21">
        <v>7370.24</v>
      </c>
      <c r="R1166" s="20">
        <v>147.22999999999999</v>
      </c>
      <c r="S1166" s="20">
        <v>153.68</v>
      </c>
      <c r="T1166" s="21">
        <v>154.87</v>
      </c>
      <c r="V1166" s="1">
        <v>151.46</v>
      </c>
      <c r="W1166" s="1">
        <v>153.88999999999999</v>
      </c>
      <c r="X1166" s="1">
        <v>152.66999999999999</v>
      </c>
      <c r="Y1166" s="1">
        <v>151.52000000000001</v>
      </c>
      <c r="Z1166" s="1">
        <v>151.28</v>
      </c>
      <c r="AA1166" s="1">
        <v>151.16</v>
      </c>
      <c r="AB1166" s="1">
        <v>152.99</v>
      </c>
      <c r="AE1166" s="1">
        <v>162.29</v>
      </c>
      <c r="AF1166" s="1">
        <v>159.25</v>
      </c>
      <c r="AG1166" s="1">
        <v>160.88</v>
      </c>
      <c r="AX1166" s="1">
        <v>163.01</v>
      </c>
      <c r="BA1166" s="1">
        <v>165.98</v>
      </c>
      <c r="BB1166" s="1">
        <v>164.55</v>
      </c>
      <c r="BC1166" s="1">
        <v>162.28</v>
      </c>
      <c r="BD1166" s="1">
        <v>160.93</v>
      </c>
      <c r="BE1166" s="1">
        <v>160.93</v>
      </c>
      <c r="BF1166" s="1">
        <v>165.83</v>
      </c>
      <c r="BG1166" s="1">
        <v>162.31</v>
      </c>
      <c r="BH1166" s="1">
        <v>156.63999999999999</v>
      </c>
      <c r="BI1166" s="1">
        <v>156.78</v>
      </c>
      <c r="BJ1166" s="1">
        <v>167.16</v>
      </c>
      <c r="BL1166" s="1">
        <v>147.74</v>
      </c>
      <c r="BN1166" s="1">
        <v>147.69</v>
      </c>
    </row>
    <row r="1167" spans="1:66" x14ac:dyDescent="0.3">
      <c r="A1167" s="2"/>
      <c r="C1167" s="14" t="str">
        <f t="shared" si="19"/>
        <v>20217</v>
      </c>
      <c r="D1167" s="3">
        <v>44405</v>
      </c>
      <c r="E1167" s="21">
        <v>2245.1</v>
      </c>
      <c r="F1167" s="21">
        <v>2319.96</v>
      </c>
      <c r="G1167" s="21">
        <v>2385.11</v>
      </c>
      <c r="H1167" s="21">
        <v>2223.06</v>
      </c>
      <c r="I1167" s="21">
        <v>2330.0700000000002</v>
      </c>
      <c r="J1167" s="21">
        <v>2306.0300000000002</v>
      </c>
      <c r="K1167" s="21">
        <v>2144.5300000000002</v>
      </c>
      <c r="L1167" s="21">
        <v>2202.66</v>
      </c>
      <c r="M1167" s="21">
        <v>2114.9499999999998</v>
      </c>
      <c r="N1167" s="21">
        <v>2021.58</v>
      </c>
      <c r="O1167" s="21">
        <v>2392.5</v>
      </c>
      <c r="P1167" s="21">
        <v>2157.87</v>
      </c>
      <c r="Q1167" s="21">
        <v>7409.34</v>
      </c>
      <c r="R1167" s="20">
        <v>147.22999999999999</v>
      </c>
      <c r="S1167" s="20">
        <v>151.94999999999999</v>
      </c>
      <c r="T1167" s="21">
        <v>155.94</v>
      </c>
      <c r="V1167" s="1">
        <v>151.76</v>
      </c>
      <c r="W1167" s="1">
        <v>154.05000000000001</v>
      </c>
      <c r="X1167" s="1">
        <v>152.66</v>
      </c>
      <c r="Y1167" s="1">
        <v>152.96</v>
      </c>
      <c r="Z1167" s="1">
        <v>153</v>
      </c>
      <c r="AA1167" s="1">
        <v>150.09</v>
      </c>
      <c r="AB1167" s="1">
        <v>153.05000000000001</v>
      </c>
      <c r="AE1167" s="1">
        <v>163.01</v>
      </c>
      <c r="AF1167" s="1">
        <v>161.93</v>
      </c>
      <c r="AG1167" s="1">
        <v>160.46</v>
      </c>
      <c r="AX1167" s="1">
        <v>160.78</v>
      </c>
      <c r="BA1167" s="1">
        <v>164.72</v>
      </c>
      <c r="BB1167" s="1">
        <v>165.01</v>
      </c>
      <c r="BC1167" s="1">
        <v>163.83000000000001</v>
      </c>
      <c r="BD1167" s="1">
        <v>162.47999999999999</v>
      </c>
      <c r="BE1167" s="1">
        <v>162.66999999999999</v>
      </c>
      <c r="BF1167" s="1">
        <v>165.2</v>
      </c>
      <c r="BG1167" s="1">
        <v>162.9</v>
      </c>
      <c r="BH1167" s="1">
        <v>157.84</v>
      </c>
      <c r="BI1167" s="1">
        <v>156.78</v>
      </c>
      <c r="BJ1167" s="1">
        <v>167.16</v>
      </c>
      <c r="BL1167" s="1">
        <v>148.49</v>
      </c>
      <c r="BN1167" s="1">
        <v>148.44</v>
      </c>
    </row>
    <row r="1168" spans="1:66" x14ac:dyDescent="0.3">
      <c r="A1168" s="2"/>
      <c r="C1168" s="14" t="str">
        <f t="shared" si="19"/>
        <v>20217</v>
      </c>
      <c r="D1168" s="3">
        <v>44404</v>
      </c>
      <c r="E1168" s="21">
        <v>2262.27</v>
      </c>
      <c r="F1168" s="21">
        <v>2317.2399999999998</v>
      </c>
      <c r="G1168" s="21">
        <v>2385.11</v>
      </c>
      <c r="H1168" s="21">
        <v>2279.81</v>
      </c>
      <c r="I1168" s="21">
        <v>2265.7199999999998</v>
      </c>
      <c r="J1168" s="21">
        <v>2370</v>
      </c>
      <c r="K1168" s="21">
        <v>2144.5300000000002</v>
      </c>
      <c r="L1168" s="21">
        <v>2190.16</v>
      </c>
      <c r="M1168" s="21">
        <v>2110.4299999999998</v>
      </c>
      <c r="N1168" s="21">
        <v>2049.7399999999998</v>
      </c>
      <c r="O1168" s="21">
        <v>2401.2600000000002</v>
      </c>
      <c r="P1168" s="21">
        <v>2154.83</v>
      </c>
      <c r="Q1168" s="21">
        <v>7269.42</v>
      </c>
      <c r="R1168" s="20">
        <v>147.22999999999999</v>
      </c>
      <c r="S1168" s="20">
        <v>150.21</v>
      </c>
      <c r="T1168" s="21">
        <v>156.07</v>
      </c>
      <c r="V1168" s="1">
        <v>152.16</v>
      </c>
      <c r="W1168" s="1">
        <v>154.07</v>
      </c>
      <c r="X1168" s="1">
        <v>152.85</v>
      </c>
      <c r="Y1168" s="1">
        <v>152.91999999999999</v>
      </c>
      <c r="Z1168" s="1">
        <v>152.41999999999999</v>
      </c>
      <c r="AA1168" s="1">
        <v>149.53</v>
      </c>
      <c r="AB1168" s="1">
        <v>152.1</v>
      </c>
      <c r="AE1168" s="1">
        <v>162.88</v>
      </c>
      <c r="AF1168" s="1">
        <v>161.18</v>
      </c>
      <c r="AG1168" s="1">
        <v>161.79</v>
      </c>
      <c r="AT1168" s="1">
        <v>4024.26</v>
      </c>
      <c r="AX1168" s="1">
        <v>162</v>
      </c>
      <c r="BA1168" s="1">
        <v>162.76</v>
      </c>
      <c r="BB1168" s="1">
        <v>164.81</v>
      </c>
      <c r="BC1168" s="1">
        <v>165.87</v>
      </c>
      <c r="BD1168" s="1">
        <v>162.68</v>
      </c>
      <c r="BE1168" s="1">
        <v>162.66999999999999</v>
      </c>
      <c r="BF1168" s="1">
        <v>166.42</v>
      </c>
      <c r="BG1168" s="1">
        <v>162.47999999999999</v>
      </c>
      <c r="BH1168" s="1">
        <v>158.78</v>
      </c>
      <c r="BI1168" s="1">
        <v>156.78</v>
      </c>
      <c r="BJ1168" s="1">
        <v>169.4</v>
      </c>
      <c r="BL1168" s="1">
        <v>148.49</v>
      </c>
      <c r="BN1168" s="1">
        <v>148.44</v>
      </c>
    </row>
    <row r="1169" spans="1:66" x14ac:dyDescent="0.3">
      <c r="A1169" s="2"/>
      <c r="C1169" s="14" t="str">
        <f t="shared" si="19"/>
        <v>20217</v>
      </c>
      <c r="D1169" s="3">
        <v>44403</v>
      </c>
      <c r="E1169" s="21">
        <v>2262.27</v>
      </c>
      <c r="F1169" s="21">
        <v>2311.8000000000002</v>
      </c>
      <c r="G1169" s="21">
        <v>2402.54</v>
      </c>
      <c r="H1169" s="21">
        <v>2213.1999999999998</v>
      </c>
      <c r="I1169" s="21">
        <v>2265.7199999999998</v>
      </c>
      <c r="J1169" s="21">
        <v>2305.7600000000002</v>
      </c>
      <c r="K1169" s="21">
        <v>2130.27</v>
      </c>
      <c r="L1169" s="21">
        <v>2185.16</v>
      </c>
      <c r="M1169" s="21">
        <v>2102.3000000000002</v>
      </c>
      <c r="N1169" s="21">
        <v>2060.39</v>
      </c>
      <c r="O1169" s="21">
        <v>2332.5</v>
      </c>
      <c r="P1169" s="21">
        <v>2143.9</v>
      </c>
      <c r="Q1169" s="21">
        <v>7398.1</v>
      </c>
      <c r="R1169" s="20">
        <v>147.22999999999999</v>
      </c>
      <c r="S1169" s="20">
        <v>150.56</v>
      </c>
      <c r="T1169" s="21">
        <v>154.79</v>
      </c>
      <c r="V1169" s="1">
        <v>151.63</v>
      </c>
      <c r="W1169" s="1">
        <v>153.91</v>
      </c>
      <c r="X1169" s="1">
        <v>152.94999999999999</v>
      </c>
      <c r="Y1169" s="1">
        <v>153</v>
      </c>
      <c r="Z1169" s="1">
        <v>152</v>
      </c>
      <c r="AA1169" s="1">
        <v>149.4</v>
      </c>
      <c r="AB1169" s="1">
        <v>151</v>
      </c>
      <c r="AE1169" s="1">
        <v>161.38999999999999</v>
      </c>
      <c r="AF1169" s="1">
        <v>160.91</v>
      </c>
      <c r="AG1169" s="1">
        <v>161.63</v>
      </c>
      <c r="AT1169" s="1">
        <v>4024.26</v>
      </c>
      <c r="AX1169" s="1">
        <v>161.08000000000001</v>
      </c>
      <c r="BA1169" s="1">
        <v>162.74</v>
      </c>
      <c r="BB1169" s="1">
        <v>164.49</v>
      </c>
      <c r="BC1169" s="1">
        <v>161.83000000000001</v>
      </c>
      <c r="BD1169" s="1">
        <v>161.71</v>
      </c>
      <c r="BE1169" s="1">
        <v>161.84</v>
      </c>
      <c r="BF1169" s="1">
        <v>165.79</v>
      </c>
      <c r="BG1169" s="1">
        <v>161.56</v>
      </c>
      <c r="BH1169" s="1">
        <v>158.78</v>
      </c>
      <c r="BI1169" s="1">
        <v>156.78</v>
      </c>
      <c r="BJ1169" s="1">
        <v>169.4</v>
      </c>
      <c r="BL1169" s="1">
        <v>146.99</v>
      </c>
      <c r="BN1169" s="1">
        <v>146.69</v>
      </c>
    </row>
    <row r="1170" spans="1:66" x14ac:dyDescent="0.3">
      <c r="A1170" s="2"/>
      <c r="C1170" s="14" t="str">
        <f t="shared" si="19"/>
        <v>20217</v>
      </c>
      <c r="D1170" s="3">
        <v>44400</v>
      </c>
      <c r="E1170" s="21">
        <v>2286.12</v>
      </c>
      <c r="F1170" s="21">
        <v>2290.06</v>
      </c>
      <c r="G1170" s="21">
        <v>2407.56</v>
      </c>
      <c r="H1170" s="21">
        <v>2268.9899999999998</v>
      </c>
      <c r="I1170" s="21">
        <v>2310.14</v>
      </c>
      <c r="J1170" s="21">
        <v>2292.1999999999998</v>
      </c>
      <c r="K1170" s="21">
        <v>2180.14</v>
      </c>
      <c r="L1170" s="21">
        <v>2170.23</v>
      </c>
      <c r="M1170" s="21">
        <v>2233.36</v>
      </c>
      <c r="N1170" s="21">
        <v>2103.9699999999998</v>
      </c>
      <c r="O1170" s="21">
        <v>2420</v>
      </c>
      <c r="P1170" s="21">
        <v>2152.38</v>
      </c>
      <c r="Q1170" s="21">
        <v>7324.81</v>
      </c>
      <c r="R1170" s="20">
        <v>147.22999999999999</v>
      </c>
      <c r="S1170" s="20">
        <v>152.76</v>
      </c>
      <c r="T1170" s="21">
        <v>155.80000000000001</v>
      </c>
      <c r="U1170" s="1">
        <v>161.54</v>
      </c>
      <c r="V1170" s="1">
        <v>151.63</v>
      </c>
      <c r="W1170" s="1">
        <v>154.6</v>
      </c>
      <c r="X1170" s="1">
        <v>154.54</v>
      </c>
      <c r="Y1170" s="1">
        <v>151.96</v>
      </c>
      <c r="Z1170" s="1">
        <v>152</v>
      </c>
      <c r="AA1170" s="1">
        <v>149.62</v>
      </c>
      <c r="AB1170" s="1">
        <v>154.54</v>
      </c>
      <c r="AE1170" s="1">
        <v>164.42</v>
      </c>
      <c r="AF1170" s="1">
        <v>162.08000000000001</v>
      </c>
      <c r="AG1170" s="1">
        <v>160.69999999999999</v>
      </c>
      <c r="AO1170" s="1">
        <v>7</v>
      </c>
      <c r="AT1170" s="1">
        <v>4167.99</v>
      </c>
      <c r="AV1170" s="1">
        <v>30</v>
      </c>
      <c r="AW1170" s="1">
        <v>3799.47</v>
      </c>
      <c r="AX1170" s="1">
        <v>158.56</v>
      </c>
      <c r="BA1170" s="1">
        <v>162.94</v>
      </c>
      <c r="BB1170" s="1">
        <v>165.36</v>
      </c>
      <c r="BC1170" s="1">
        <v>163.46</v>
      </c>
      <c r="BD1170" s="1">
        <v>161.97999999999999</v>
      </c>
      <c r="BE1170" s="1">
        <v>162.43</v>
      </c>
      <c r="BF1170" s="1">
        <v>165.66</v>
      </c>
      <c r="BG1170" s="1">
        <v>165.09</v>
      </c>
      <c r="BH1170" s="1">
        <v>156.01</v>
      </c>
      <c r="BI1170" s="1">
        <v>157.38</v>
      </c>
      <c r="BJ1170" s="1">
        <v>169.4</v>
      </c>
      <c r="BL1170" s="1">
        <v>147.74</v>
      </c>
      <c r="BN1170" s="1">
        <v>146.56</v>
      </c>
    </row>
    <row r="1171" spans="1:66" x14ac:dyDescent="0.3">
      <c r="A1171" s="2"/>
      <c r="C1171" s="14" t="str">
        <f t="shared" si="19"/>
        <v>20217</v>
      </c>
      <c r="D1171" s="3">
        <v>44399</v>
      </c>
      <c r="E1171" s="21">
        <v>2322.6</v>
      </c>
      <c r="F1171" s="21">
        <v>2306.37</v>
      </c>
      <c r="G1171" s="21">
        <v>2410.04</v>
      </c>
      <c r="H1171" s="21">
        <v>2271.73</v>
      </c>
      <c r="I1171" s="21">
        <v>2310.14</v>
      </c>
      <c r="J1171" s="21">
        <v>2303.3000000000002</v>
      </c>
      <c r="K1171" s="21">
        <v>2221.9899999999998</v>
      </c>
      <c r="L1171" s="21">
        <v>2200.11</v>
      </c>
      <c r="M1171" s="21">
        <v>2236.41</v>
      </c>
      <c r="N1171" s="21">
        <v>2089.6</v>
      </c>
      <c r="O1171" s="21">
        <v>2368</v>
      </c>
      <c r="P1171" s="21">
        <v>2151.87</v>
      </c>
      <c r="Q1171" s="21">
        <v>7314.59</v>
      </c>
      <c r="R1171" s="20">
        <v>148.72</v>
      </c>
      <c r="S1171" s="20">
        <v>152.93</v>
      </c>
      <c r="T1171" s="21">
        <v>156.33000000000001</v>
      </c>
      <c r="U1171" s="1">
        <v>160.22999999999999</v>
      </c>
      <c r="V1171" s="1">
        <v>153.13</v>
      </c>
      <c r="W1171" s="1">
        <v>155.16999999999999</v>
      </c>
      <c r="X1171" s="1">
        <v>156.01</v>
      </c>
      <c r="Y1171" s="1">
        <v>151.99</v>
      </c>
      <c r="Z1171" s="1">
        <v>151.57</v>
      </c>
      <c r="AA1171" s="1">
        <v>149.93</v>
      </c>
      <c r="AB1171" s="1">
        <v>156.65</v>
      </c>
      <c r="AE1171" s="1">
        <v>166.34</v>
      </c>
      <c r="AF1171" s="1">
        <v>161.81</v>
      </c>
      <c r="AG1171" s="1">
        <v>160.91</v>
      </c>
      <c r="AO1171" s="1">
        <v>8.5</v>
      </c>
      <c r="AT1171" s="1">
        <v>4198.68</v>
      </c>
      <c r="AV1171" s="1">
        <v>30</v>
      </c>
      <c r="AW1171" s="1">
        <v>3799.47</v>
      </c>
      <c r="AX1171" s="1">
        <v>160</v>
      </c>
      <c r="BA1171" s="1">
        <v>168.5</v>
      </c>
      <c r="BB1171" s="1">
        <v>165.97</v>
      </c>
      <c r="BC1171" s="1">
        <v>165.66</v>
      </c>
      <c r="BD1171" s="1">
        <v>163.80000000000001</v>
      </c>
      <c r="BE1171" s="1">
        <v>165.27</v>
      </c>
      <c r="BF1171" s="1">
        <v>167.04</v>
      </c>
      <c r="BG1171" s="1">
        <v>166.81</v>
      </c>
      <c r="BH1171" s="1">
        <v>164.67</v>
      </c>
      <c r="BI1171" s="1">
        <v>159.18</v>
      </c>
      <c r="BJ1171" s="1">
        <v>169.4</v>
      </c>
      <c r="BL1171" s="1">
        <v>148.78</v>
      </c>
      <c r="BN1171" s="1">
        <v>148.34</v>
      </c>
    </row>
    <row r="1172" spans="1:66" x14ac:dyDescent="0.3">
      <c r="A1172" s="2"/>
      <c r="C1172" s="14" t="str">
        <f t="shared" si="19"/>
        <v>20217</v>
      </c>
      <c r="D1172" s="3">
        <v>44398</v>
      </c>
      <c r="E1172" s="21">
        <v>2334.31</v>
      </c>
      <c r="F1172" s="21">
        <v>2317.2399999999998</v>
      </c>
      <c r="G1172" s="21">
        <v>2402.54</v>
      </c>
      <c r="H1172" s="21">
        <v>2256.86</v>
      </c>
      <c r="I1172" s="21">
        <v>2310.14</v>
      </c>
      <c r="J1172" s="21">
        <v>2276.12</v>
      </c>
      <c r="K1172" s="21">
        <v>2221.9899999999998</v>
      </c>
      <c r="L1172" s="21">
        <v>2200.11</v>
      </c>
      <c r="M1172" s="21">
        <v>2236.41</v>
      </c>
      <c r="N1172" s="21">
        <v>2099.63</v>
      </c>
      <c r="O1172" s="21">
        <v>2345</v>
      </c>
      <c r="P1172" s="21">
        <v>2152.67</v>
      </c>
      <c r="Q1172" s="21">
        <v>7364.79</v>
      </c>
      <c r="R1172" s="20">
        <v>148.72</v>
      </c>
      <c r="S1172" s="20">
        <v>155.80000000000001</v>
      </c>
      <c r="T1172" s="21">
        <v>158.04</v>
      </c>
      <c r="U1172" s="1">
        <v>162.79</v>
      </c>
      <c r="V1172" s="1">
        <v>152.96</v>
      </c>
      <c r="W1172" s="1">
        <v>157.22</v>
      </c>
      <c r="X1172" s="1">
        <v>156.66999999999999</v>
      </c>
      <c r="Y1172" s="1">
        <v>154.96</v>
      </c>
      <c r="Z1172" s="1">
        <v>155</v>
      </c>
      <c r="AA1172" s="1">
        <v>151.71</v>
      </c>
      <c r="AB1172" s="1">
        <v>157.1</v>
      </c>
      <c r="AE1172" s="1">
        <v>166.53</v>
      </c>
      <c r="AF1172" s="1">
        <v>164.13</v>
      </c>
      <c r="AG1172" s="1">
        <v>164.37</v>
      </c>
      <c r="AO1172" s="1">
        <v>8.5</v>
      </c>
      <c r="AT1172" s="1">
        <v>4198.68</v>
      </c>
      <c r="AV1172" s="1">
        <v>30</v>
      </c>
      <c r="AW1172" s="1">
        <v>3799.47</v>
      </c>
      <c r="AX1172" s="1">
        <v>160.06</v>
      </c>
      <c r="BA1172" s="1">
        <v>170.38</v>
      </c>
      <c r="BB1172" s="1">
        <v>168.14</v>
      </c>
      <c r="BC1172" s="1">
        <v>167.76</v>
      </c>
      <c r="BD1172" s="1">
        <v>164.99</v>
      </c>
      <c r="BE1172" s="1">
        <v>164.39</v>
      </c>
      <c r="BF1172" s="1">
        <v>168.72</v>
      </c>
      <c r="BG1172" s="1">
        <v>168.11</v>
      </c>
      <c r="BH1172" s="1">
        <v>164.62</v>
      </c>
      <c r="BI1172" s="1">
        <v>156.78</v>
      </c>
      <c r="BJ1172" s="1">
        <v>169.37</v>
      </c>
      <c r="BL1172" s="1">
        <v>150.97999999999999</v>
      </c>
      <c r="BN1172" s="1">
        <v>150.94</v>
      </c>
    </row>
    <row r="1173" spans="1:66" x14ac:dyDescent="0.3">
      <c r="A1173" s="2"/>
      <c r="C1173" s="14" t="str">
        <f t="shared" si="19"/>
        <v>20217</v>
      </c>
      <c r="D1173" s="3">
        <v>44397</v>
      </c>
      <c r="E1173" s="21">
        <v>2318.7800000000002</v>
      </c>
      <c r="F1173" s="21">
        <v>2335.7199999999998</v>
      </c>
      <c r="G1173" s="21">
        <v>2390.09</v>
      </c>
      <c r="H1173" s="21">
        <v>2243.3000000000002</v>
      </c>
      <c r="I1173" s="21">
        <v>2320.11</v>
      </c>
      <c r="J1173" s="21">
        <v>2212.3200000000002</v>
      </c>
      <c r="K1173" s="21">
        <v>2187.79</v>
      </c>
      <c r="L1173" s="21">
        <v>2180.15</v>
      </c>
      <c r="M1173" s="21">
        <v>2215.1</v>
      </c>
      <c r="N1173" s="21">
        <v>2085.64</v>
      </c>
      <c r="O1173" s="21">
        <v>2382.5</v>
      </c>
      <c r="P1173" s="21">
        <v>2175.84</v>
      </c>
      <c r="Q1173" s="21">
        <v>7316.14</v>
      </c>
      <c r="R1173" s="20">
        <v>146.24</v>
      </c>
      <c r="S1173" s="20">
        <v>154.68</v>
      </c>
      <c r="T1173" s="21">
        <v>157.07</v>
      </c>
      <c r="U1173" s="1">
        <v>163</v>
      </c>
      <c r="V1173" s="1">
        <v>152.96</v>
      </c>
      <c r="W1173" s="1">
        <v>156.68</v>
      </c>
      <c r="X1173" s="1">
        <v>156.94</v>
      </c>
      <c r="Y1173" s="1">
        <v>154.93</v>
      </c>
      <c r="Z1173" s="1">
        <v>154.41999999999999</v>
      </c>
      <c r="AA1173" s="1">
        <v>150.69999999999999</v>
      </c>
      <c r="AB1173" s="1">
        <v>156.21</v>
      </c>
      <c r="AE1173" s="1">
        <v>168.72</v>
      </c>
      <c r="AF1173" s="1">
        <v>164.02</v>
      </c>
      <c r="AG1173" s="1">
        <v>165.17</v>
      </c>
      <c r="AO1173" s="1">
        <v>8.5</v>
      </c>
      <c r="AT1173" s="1">
        <v>4198.68</v>
      </c>
      <c r="AX1173" s="1">
        <v>159.38</v>
      </c>
      <c r="BA1173" s="1">
        <v>169.1</v>
      </c>
      <c r="BB1173" s="1">
        <v>168.09</v>
      </c>
      <c r="BC1173" s="1">
        <v>167.82</v>
      </c>
      <c r="BD1173" s="1">
        <v>164.85</v>
      </c>
      <c r="BE1173" s="1">
        <v>166.1</v>
      </c>
      <c r="BF1173" s="1">
        <v>172.17</v>
      </c>
      <c r="BG1173" s="1">
        <v>168.75</v>
      </c>
      <c r="BI1173" s="1">
        <v>156.18</v>
      </c>
      <c r="BJ1173" s="1">
        <v>169.27</v>
      </c>
      <c r="BL1173" s="1">
        <v>150.88</v>
      </c>
      <c r="BN1173" s="1">
        <v>150.54</v>
      </c>
    </row>
    <row r="1174" spans="1:66" x14ac:dyDescent="0.3">
      <c r="A1174" s="2"/>
      <c r="C1174" s="14" t="str">
        <f t="shared" si="19"/>
        <v>20217</v>
      </c>
      <c r="D1174" s="3">
        <v>44396</v>
      </c>
      <c r="E1174" s="21">
        <v>2315.0100000000002</v>
      </c>
      <c r="F1174" s="21">
        <v>2333.54</v>
      </c>
      <c r="G1174" s="21">
        <v>2390.09</v>
      </c>
      <c r="H1174" s="21">
        <v>2247.0300000000002</v>
      </c>
      <c r="I1174" s="21">
        <v>2318.0300000000002</v>
      </c>
      <c r="J1174" s="21">
        <v>2256.25</v>
      </c>
      <c r="K1174" s="21">
        <v>2221.9899999999998</v>
      </c>
      <c r="L1174" s="21"/>
      <c r="M1174" s="21">
        <v>2263.8000000000002</v>
      </c>
      <c r="N1174" s="21">
        <v>2081.36</v>
      </c>
      <c r="O1174" s="21">
        <v>2365.58</v>
      </c>
      <c r="P1174" s="21">
        <v>2206.92</v>
      </c>
      <c r="Q1174" s="21">
        <v>7344.45</v>
      </c>
      <c r="R1174" s="20">
        <v>145.57</v>
      </c>
      <c r="S1174" s="20">
        <v>153.13</v>
      </c>
      <c r="T1174" s="21">
        <v>156.63999999999999</v>
      </c>
      <c r="U1174" s="1">
        <v>160.94999999999999</v>
      </c>
      <c r="V1174" s="1">
        <v>151.96</v>
      </c>
      <c r="W1174" s="1">
        <v>155.4</v>
      </c>
      <c r="X1174" s="1">
        <v>154.18</v>
      </c>
      <c r="Y1174" s="1">
        <v>153.32</v>
      </c>
      <c r="Z1174" s="1">
        <v>153.57</v>
      </c>
      <c r="AA1174" s="1">
        <v>147.97</v>
      </c>
      <c r="AB1174" s="1">
        <v>154.32</v>
      </c>
      <c r="AE1174" s="1">
        <v>164.81</v>
      </c>
      <c r="AF1174" s="1">
        <v>163.68</v>
      </c>
      <c r="AG1174" s="1">
        <v>157.88</v>
      </c>
      <c r="AO1174" s="1">
        <v>8.5</v>
      </c>
      <c r="AT1174" s="1">
        <v>4285.8900000000003</v>
      </c>
      <c r="AX1174" s="1">
        <v>159.38999999999999</v>
      </c>
      <c r="BA1174" s="1">
        <v>165.07</v>
      </c>
      <c r="BB1174" s="1">
        <v>167.59</v>
      </c>
      <c r="BC1174" s="1">
        <v>165.23</v>
      </c>
      <c r="BD1174" s="1">
        <v>164.53</v>
      </c>
      <c r="BE1174" s="1">
        <v>167.09</v>
      </c>
      <c r="BF1174" s="1">
        <v>170.41</v>
      </c>
      <c r="BG1174" s="1">
        <v>165.26</v>
      </c>
      <c r="BI1174" s="1">
        <v>155.08000000000001</v>
      </c>
      <c r="BJ1174" s="1">
        <v>168.94</v>
      </c>
      <c r="BL1174" s="1">
        <v>149.12</v>
      </c>
      <c r="BN1174" s="1">
        <v>149.04</v>
      </c>
    </row>
    <row r="1175" spans="1:66" x14ac:dyDescent="0.3">
      <c r="A1175" s="2"/>
      <c r="C1175" s="14" t="str">
        <f t="shared" si="19"/>
        <v>20217</v>
      </c>
      <c r="D1175" s="3">
        <v>44393</v>
      </c>
      <c r="E1175" s="21">
        <v>2307.08</v>
      </c>
      <c r="F1175" s="21">
        <v>2349.85</v>
      </c>
      <c r="G1175" s="21">
        <v>2397.56</v>
      </c>
      <c r="H1175" s="21">
        <v>2229.6</v>
      </c>
      <c r="I1175" s="21">
        <v>2320.11</v>
      </c>
      <c r="J1175" s="21">
        <v>2266.67</v>
      </c>
      <c r="K1175" s="21">
        <v>2165.5</v>
      </c>
      <c r="L1175" s="21"/>
      <c r="M1175" s="21">
        <v>2263.8000000000002</v>
      </c>
      <c r="N1175" s="21">
        <v>2073.71</v>
      </c>
      <c r="O1175" s="21">
        <v>2360.58</v>
      </c>
      <c r="P1175" s="21">
        <v>2148.6799999999998</v>
      </c>
      <c r="Q1175" s="21">
        <v>7088.25</v>
      </c>
      <c r="R1175" s="20">
        <v>145.57</v>
      </c>
      <c r="S1175" s="20">
        <v>152.55000000000001</v>
      </c>
      <c r="T1175" s="21">
        <v>155.88999999999999</v>
      </c>
      <c r="U1175" s="1">
        <v>158.16999999999999</v>
      </c>
      <c r="V1175" s="1">
        <v>149.96</v>
      </c>
      <c r="W1175" s="1">
        <v>154.56</v>
      </c>
      <c r="X1175" s="1">
        <v>153.84</v>
      </c>
      <c r="Y1175" s="1">
        <v>152.93</v>
      </c>
      <c r="Z1175" s="1">
        <v>153</v>
      </c>
      <c r="AA1175" s="1">
        <v>148.88999999999999</v>
      </c>
      <c r="AB1175" s="1">
        <v>154.21</v>
      </c>
      <c r="AE1175" s="1">
        <v>164.04</v>
      </c>
      <c r="AF1175" s="1">
        <v>161.36000000000001</v>
      </c>
      <c r="AG1175" s="1">
        <v>154.02000000000001</v>
      </c>
      <c r="AO1175" s="1">
        <v>10</v>
      </c>
      <c r="AT1175" s="1">
        <v>4260.07</v>
      </c>
      <c r="AW1175" s="1">
        <v>3735.74</v>
      </c>
      <c r="AX1175" s="1">
        <v>160.49</v>
      </c>
      <c r="BA1175" s="1">
        <v>162.74</v>
      </c>
      <c r="BB1175" s="1">
        <v>165.87</v>
      </c>
      <c r="BC1175" s="1">
        <v>164.4</v>
      </c>
      <c r="BD1175" s="1">
        <v>162.37</v>
      </c>
      <c r="BE1175" s="1">
        <v>166.59</v>
      </c>
      <c r="BF1175" s="1">
        <v>168.41</v>
      </c>
      <c r="BG1175" s="1">
        <v>164.57</v>
      </c>
      <c r="BI1175" s="1">
        <v>154.97999999999999</v>
      </c>
      <c r="BJ1175" s="1">
        <v>168.9</v>
      </c>
      <c r="BL1175" s="1">
        <v>148.37</v>
      </c>
      <c r="BN1175" s="1">
        <v>147.44</v>
      </c>
    </row>
    <row r="1176" spans="1:66" x14ac:dyDescent="0.3">
      <c r="A1176" s="2"/>
      <c r="C1176" s="14" t="str">
        <f t="shared" si="19"/>
        <v>20217</v>
      </c>
      <c r="D1176" s="3">
        <v>44392</v>
      </c>
      <c r="E1176" s="21">
        <v>2302.71</v>
      </c>
      <c r="F1176" s="21">
        <v>2349.85</v>
      </c>
      <c r="G1176" s="21">
        <v>2432.48</v>
      </c>
      <c r="H1176" s="21">
        <v>2272.3000000000002</v>
      </c>
      <c r="I1176" s="21">
        <v>2326.75</v>
      </c>
      <c r="J1176" s="21">
        <v>2333.33</v>
      </c>
      <c r="K1176" s="21">
        <v>2165.5</v>
      </c>
      <c r="L1176" s="21"/>
      <c r="M1176" s="21">
        <v>2302.7600000000002</v>
      </c>
      <c r="N1176" s="21">
        <v>2079.34</v>
      </c>
      <c r="O1176" s="21">
        <v>2373.33</v>
      </c>
      <c r="P1176" s="21">
        <v>2134.85</v>
      </c>
      <c r="Q1176" s="21">
        <v>7192.95</v>
      </c>
      <c r="R1176" s="20">
        <v>145.12</v>
      </c>
      <c r="S1176" s="20">
        <v>148.93</v>
      </c>
      <c r="T1176" s="21">
        <v>155.88999999999999</v>
      </c>
      <c r="U1176" s="1">
        <v>156.6</v>
      </c>
      <c r="V1176" s="1">
        <v>146.96</v>
      </c>
      <c r="W1176" s="1">
        <v>153.18</v>
      </c>
      <c r="X1176" s="1">
        <v>152.02000000000001</v>
      </c>
      <c r="Y1176" s="1">
        <v>151.34</v>
      </c>
      <c r="Z1176" s="1">
        <v>151.71</v>
      </c>
      <c r="AA1176" s="1">
        <v>146.43</v>
      </c>
      <c r="AB1176" s="1">
        <v>152.13</v>
      </c>
      <c r="AE1176" s="1">
        <v>162.78</v>
      </c>
      <c r="AF1176" s="1">
        <v>159.36000000000001</v>
      </c>
      <c r="AG1176" s="1">
        <v>153.02000000000001</v>
      </c>
      <c r="AW1176" s="1">
        <v>3735.74</v>
      </c>
      <c r="AX1176" s="1">
        <v>158.51</v>
      </c>
      <c r="BA1176" s="1">
        <v>160.31</v>
      </c>
      <c r="BB1176" s="1">
        <v>164.11</v>
      </c>
      <c r="BC1176" s="1">
        <v>164.28</v>
      </c>
      <c r="BD1176" s="1">
        <v>159.91</v>
      </c>
      <c r="BE1176" s="1">
        <v>162.65</v>
      </c>
      <c r="BF1176" s="1">
        <v>165.45</v>
      </c>
      <c r="BG1176" s="1">
        <v>163.32</v>
      </c>
      <c r="BI1176" s="1">
        <v>154.97999999999999</v>
      </c>
      <c r="BJ1176" s="1">
        <v>168.9</v>
      </c>
      <c r="BK1176" s="1">
        <v>145.43</v>
      </c>
      <c r="BL1176" s="1">
        <v>147.6</v>
      </c>
      <c r="BN1176" s="1">
        <v>147.43</v>
      </c>
    </row>
    <row r="1177" spans="1:66" x14ac:dyDescent="0.3">
      <c r="A1177" s="2"/>
      <c r="C1177" s="14" t="str">
        <f t="shared" si="19"/>
        <v>20217</v>
      </c>
      <c r="D1177" s="3">
        <v>44391</v>
      </c>
      <c r="E1177" s="21">
        <v>2322.6799999999998</v>
      </c>
      <c r="F1177" s="21">
        <v>2357.4699999999998</v>
      </c>
      <c r="G1177" s="21">
        <v>2444.9299999999998</v>
      </c>
      <c r="H1177" s="21">
        <v>2189.98</v>
      </c>
      <c r="I1177" s="21">
        <v>2320.11</v>
      </c>
      <c r="J1177" s="21">
        <v>2333.33</v>
      </c>
      <c r="K1177" s="21">
        <v>2217.6</v>
      </c>
      <c r="L1177" s="21"/>
      <c r="M1177" s="21">
        <v>2280.64</v>
      </c>
      <c r="N1177" s="21">
        <v>2066.7399999999998</v>
      </c>
      <c r="O1177" s="21">
        <v>2365</v>
      </c>
      <c r="P1177" s="21">
        <v>2205.59</v>
      </c>
      <c r="Q1177" s="21">
        <v>7153.68</v>
      </c>
      <c r="R1177" s="20">
        <v>144.32</v>
      </c>
      <c r="S1177" s="20">
        <v>147.93</v>
      </c>
      <c r="T1177" s="21">
        <v>154.09</v>
      </c>
      <c r="U1177" s="1">
        <v>155.27000000000001</v>
      </c>
      <c r="V1177" s="1">
        <v>146.63</v>
      </c>
      <c r="W1177" s="1">
        <v>153.26</v>
      </c>
      <c r="X1177" s="1">
        <v>151.38999999999999</v>
      </c>
      <c r="Y1177" s="1">
        <v>152.1</v>
      </c>
      <c r="Z1177" s="1">
        <v>151.13999999999999</v>
      </c>
      <c r="AA1177" s="1">
        <v>145.27000000000001</v>
      </c>
      <c r="AB1177" s="1">
        <v>151.75</v>
      </c>
      <c r="AE1177" s="1">
        <v>161.93</v>
      </c>
      <c r="AF1177" s="1">
        <v>159.19999999999999</v>
      </c>
      <c r="AG1177" s="1">
        <v>152.41999999999999</v>
      </c>
      <c r="AW1177" s="1">
        <v>3735.74</v>
      </c>
      <c r="AX1177" s="1">
        <v>156</v>
      </c>
      <c r="BA1177" s="1">
        <v>158.54</v>
      </c>
      <c r="BB1177" s="1">
        <v>163.57</v>
      </c>
      <c r="BC1177" s="1">
        <v>164.05</v>
      </c>
      <c r="BD1177" s="1">
        <v>161.74</v>
      </c>
      <c r="BE1177" s="1">
        <v>161.9</v>
      </c>
      <c r="BF1177" s="1">
        <v>161.27000000000001</v>
      </c>
      <c r="BG1177" s="1">
        <v>163.08000000000001</v>
      </c>
      <c r="BI1177" s="1">
        <v>154.97999999999999</v>
      </c>
      <c r="BJ1177" s="1">
        <v>168.9</v>
      </c>
      <c r="BK1177" s="1">
        <v>145.43</v>
      </c>
      <c r="BL1177" s="1">
        <v>147.6</v>
      </c>
      <c r="BN1177" s="1">
        <v>147.63999999999999</v>
      </c>
    </row>
    <row r="1178" spans="1:66" x14ac:dyDescent="0.3">
      <c r="A1178" s="2"/>
      <c r="C1178" s="14" t="str">
        <f t="shared" si="19"/>
        <v>20217</v>
      </c>
      <c r="D1178" s="3">
        <v>44390</v>
      </c>
      <c r="E1178" s="21">
        <v>2286.5100000000002</v>
      </c>
      <c r="F1178" s="21">
        <v>2357.4699999999998</v>
      </c>
      <c r="G1178" s="21">
        <v>2444.9299999999998</v>
      </c>
      <c r="H1178" s="21">
        <v>2060.91</v>
      </c>
      <c r="I1178" s="21">
        <v>2263.2199999999998</v>
      </c>
      <c r="J1178" s="21">
        <v>2333.33</v>
      </c>
      <c r="K1178" s="21">
        <v>2210.11</v>
      </c>
      <c r="L1178" s="21"/>
      <c r="M1178" s="21">
        <v>2214.2800000000002</v>
      </c>
      <c r="N1178" s="21">
        <v>2019.53</v>
      </c>
      <c r="O1178" s="21">
        <v>2377.5</v>
      </c>
      <c r="P1178" s="21">
        <v>2205.59</v>
      </c>
      <c r="Q1178" s="21">
        <v>6902.95</v>
      </c>
      <c r="R1178" s="20">
        <v>144.52000000000001</v>
      </c>
      <c r="S1178" s="20">
        <v>145.63</v>
      </c>
      <c r="T1178" s="21">
        <v>153.63999999999999</v>
      </c>
      <c r="U1178" s="1">
        <v>152.1</v>
      </c>
      <c r="V1178" s="1">
        <v>148.88</v>
      </c>
      <c r="W1178" s="1">
        <v>153</v>
      </c>
      <c r="X1178" s="1">
        <v>150.66</v>
      </c>
      <c r="Y1178" s="1">
        <v>150.15</v>
      </c>
      <c r="Z1178" s="1">
        <v>150.71</v>
      </c>
      <c r="AA1178" s="1">
        <v>145.27000000000001</v>
      </c>
      <c r="AB1178" s="1">
        <v>150.22</v>
      </c>
      <c r="AE1178" s="1">
        <v>160.78</v>
      </c>
      <c r="AF1178" s="1">
        <v>161.59</v>
      </c>
      <c r="AG1178" s="1">
        <v>151.77000000000001</v>
      </c>
      <c r="AW1178" s="1">
        <v>3735.74</v>
      </c>
      <c r="AX1178" s="1">
        <v>153.88999999999999</v>
      </c>
      <c r="BA1178" s="1">
        <v>158.04</v>
      </c>
      <c r="BB1178" s="1">
        <v>164.44</v>
      </c>
      <c r="BC1178" s="1">
        <v>163.38999999999999</v>
      </c>
      <c r="BD1178" s="1">
        <v>160.47</v>
      </c>
      <c r="BE1178" s="1">
        <v>161.65</v>
      </c>
      <c r="BF1178" s="1">
        <v>161.27000000000001</v>
      </c>
      <c r="BG1178" s="1">
        <v>161.33000000000001</v>
      </c>
      <c r="BI1178" s="1">
        <v>154.08000000000001</v>
      </c>
      <c r="BJ1178" s="1">
        <v>164.11</v>
      </c>
      <c r="BL1178" s="1">
        <v>147.24</v>
      </c>
      <c r="BN1178" s="1">
        <v>147.54</v>
      </c>
    </row>
    <row r="1179" spans="1:66" x14ac:dyDescent="0.3">
      <c r="A1179" s="2"/>
      <c r="C1179" s="14" t="str">
        <f t="shared" si="19"/>
        <v>20217</v>
      </c>
      <c r="D1179" s="3">
        <v>44389</v>
      </c>
      <c r="E1179" s="21">
        <v>2244.5100000000002</v>
      </c>
      <c r="F1179" s="21">
        <v>2349.85</v>
      </c>
      <c r="G1179" s="21">
        <v>2432.83</v>
      </c>
      <c r="H1179" s="21">
        <v>2146.9299999999998</v>
      </c>
      <c r="I1179" s="21">
        <v>2263.2199999999998</v>
      </c>
      <c r="J1179" s="21">
        <v>2326.67</v>
      </c>
      <c r="K1179" s="21">
        <v>2220.1</v>
      </c>
      <c r="L1179" s="21"/>
      <c r="M1179" s="21">
        <v>2214.2800000000002</v>
      </c>
      <c r="N1179" s="21">
        <v>2045.56</v>
      </c>
      <c r="O1179" s="21">
        <v>2372.5</v>
      </c>
      <c r="P1179" s="21">
        <v>2205.59</v>
      </c>
      <c r="Q1179" s="21">
        <v>6655</v>
      </c>
      <c r="R1179" s="20">
        <v>141.59</v>
      </c>
      <c r="S1179" s="20">
        <v>144.04</v>
      </c>
      <c r="T1179" s="21">
        <v>153.13</v>
      </c>
      <c r="U1179" s="1">
        <v>149.55000000000001</v>
      </c>
      <c r="V1179" s="1">
        <v>143.96</v>
      </c>
      <c r="W1179" s="1">
        <v>155.22999999999999</v>
      </c>
      <c r="X1179" s="1">
        <v>149.93</v>
      </c>
      <c r="Y1179" s="1">
        <v>149.96</v>
      </c>
      <c r="Z1179" s="1">
        <v>150</v>
      </c>
      <c r="AA1179" s="1">
        <v>145.75</v>
      </c>
      <c r="AB1179" s="1">
        <v>149.88</v>
      </c>
      <c r="AE1179" s="1">
        <v>159.96</v>
      </c>
      <c r="AF1179" s="1">
        <v>158.19999999999999</v>
      </c>
      <c r="AG1179" s="1">
        <v>147.88999999999999</v>
      </c>
      <c r="AW1179" s="1">
        <v>3735.74</v>
      </c>
      <c r="AX1179" s="1">
        <v>155.38</v>
      </c>
      <c r="BA1179" s="1">
        <v>153.71</v>
      </c>
      <c r="BB1179" s="1">
        <v>162.25</v>
      </c>
      <c r="BC1179" s="1">
        <v>161.88</v>
      </c>
      <c r="BD1179" s="1">
        <v>159.54</v>
      </c>
      <c r="BE1179" s="1">
        <v>157.99</v>
      </c>
      <c r="BF1179" s="1">
        <v>161.02000000000001</v>
      </c>
      <c r="BG1179" s="1">
        <v>160.94999999999999</v>
      </c>
      <c r="BI1179" s="1">
        <v>152.78</v>
      </c>
      <c r="BJ1179" s="1">
        <v>162.47</v>
      </c>
      <c r="BL1179" s="1">
        <v>145.5</v>
      </c>
      <c r="BN1179" s="1">
        <v>145.32</v>
      </c>
    </row>
    <row r="1180" spans="1:66" x14ac:dyDescent="0.3">
      <c r="A1180" s="2"/>
      <c r="C1180" s="14" t="str">
        <f t="shared" si="19"/>
        <v>20217</v>
      </c>
      <c r="D1180" s="3">
        <v>44386</v>
      </c>
      <c r="E1180" s="21">
        <v>2310.7800000000002</v>
      </c>
      <c r="F1180" s="21">
        <v>2349.85</v>
      </c>
      <c r="G1180" s="21">
        <v>2432.83</v>
      </c>
      <c r="H1180" s="21">
        <v>2113.12</v>
      </c>
      <c r="I1180" s="21">
        <v>2259.4899999999998</v>
      </c>
      <c r="J1180" s="21">
        <v>2305.64</v>
      </c>
      <c r="K1180" s="21">
        <v>2140.2399999999998</v>
      </c>
      <c r="L1180" s="21"/>
      <c r="M1180" s="21">
        <v>2121.71</v>
      </c>
      <c r="N1180" s="21">
        <v>2066.89</v>
      </c>
      <c r="O1180" s="21">
        <v>2252.2800000000002</v>
      </c>
      <c r="P1180" s="21">
        <v>2100.44</v>
      </c>
      <c r="Q1180" s="21">
        <v>6722.61</v>
      </c>
      <c r="R1180" s="20">
        <v>142.91999999999999</v>
      </c>
      <c r="S1180" s="20">
        <v>143.79</v>
      </c>
      <c r="T1180" s="21">
        <v>150.44</v>
      </c>
      <c r="U1180" s="1">
        <v>149.82</v>
      </c>
      <c r="V1180" s="1">
        <v>143.94999999999999</v>
      </c>
      <c r="W1180" s="1">
        <v>152.97</v>
      </c>
      <c r="X1180" s="1">
        <v>148.76</v>
      </c>
      <c r="Y1180" s="1">
        <v>149.96</v>
      </c>
      <c r="Z1180" s="1">
        <v>150</v>
      </c>
      <c r="AA1180" s="1">
        <v>144.5</v>
      </c>
      <c r="AB1180" s="1">
        <v>149.12</v>
      </c>
      <c r="AE1180" s="1">
        <v>158.77000000000001</v>
      </c>
      <c r="AF1180" s="1">
        <v>155.80000000000001</v>
      </c>
      <c r="AG1180" s="1">
        <v>147.88999999999999</v>
      </c>
      <c r="AX1180" s="1">
        <v>151.65</v>
      </c>
      <c r="BA1180" s="1">
        <v>153.57</v>
      </c>
      <c r="BB1180" s="1">
        <v>160.43</v>
      </c>
      <c r="BC1180" s="1">
        <v>160.87</v>
      </c>
      <c r="BD1180" s="1">
        <v>157.16999999999999</v>
      </c>
      <c r="BE1180" s="1">
        <v>154.6</v>
      </c>
      <c r="BF1180" s="1">
        <v>158.52000000000001</v>
      </c>
      <c r="BG1180" s="1">
        <v>159.74</v>
      </c>
      <c r="BI1180" s="1">
        <v>152.78</v>
      </c>
      <c r="BJ1180" s="1">
        <v>162.46</v>
      </c>
      <c r="BL1180" s="1">
        <v>145</v>
      </c>
      <c r="BN1180" s="1">
        <v>144.94999999999999</v>
      </c>
    </row>
    <row r="1181" spans="1:66" x14ac:dyDescent="0.3">
      <c r="A1181" s="2"/>
      <c r="C1181" s="14" t="str">
        <f t="shared" si="19"/>
        <v>20217</v>
      </c>
      <c r="D1181" s="3">
        <v>44385</v>
      </c>
      <c r="E1181" s="21">
        <v>2300.8000000000002</v>
      </c>
      <c r="F1181" s="21">
        <v>2349.85</v>
      </c>
      <c r="G1181" s="21">
        <v>2432.83</v>
      </c>
      <c r="H1181" s="21">
        <v>2141.69</v>
      </c>
      <c r="I1181" s="21">
        <v>2253.2600000000002</v>
      </c>
      <c r="J1181" s="21">
        <v>2270.86</v>
      </c>
      <c r="K1181" s="21">
        <v>2133.17</v>
      </c>
      <c r="L1181" s="21"/>
      <c r="M1181" s="21">
        <v>2123.64</v>
      </c>
      <c r="N1181" s="21">
        <v>2062.29</v>
      </c>
      <c r="O1181" s="21">
        <v>2260.61</v>
      </c>
      <c r="P1181" s="21">
        <v>2126.71</v>
      </c>
      <c r="Q1181" s="21">
        <v>6668.09</v>
      </c>
      <c r="R1181" s="20">
        <v>144.52000000000001</v>
      </c>
      <c r="S1181" s="20">
        <v>142.22</v>
      </c>
      <c r="T1181" s="21">
        <v>150.34</v>
      </c>
      <c r="U1181" s="1">
        <v>149.51</v>
      </c>
      <c r="V1181" s="1">
        <v>143.94999999999999</v>
      </c>
      <c r="W1181" s="1">
        <v>151.15</v>
      </c>
      <c r="X1181" s="1">
        <v>148.69999999999999</v>
      </c>
      <c r="Y1181" s="1">
        <v>148.96</v>
      </c>
      <c r="Z1181" s="1">
        <v>149</v>
      </c>
      <c r="AA1181" s="1">
        <v>144.52000000000001</v>
      </c>
      <c r="AB1181" s="1">
        <v>148.55000000000001</v>
      </c>
      <c r="AE1181" s="1">
        <v>157.19999999999999</v>
      </c>
      <c r="AF1181" s="1">
        <v>154.04</v>
      </c>
      <c r="AG1181" s="1">
        <v>146.88999999999999</v>
      </c>
      <c r="AX1181" s="1">
        <v>149.47999999999999</v>
      </c>
      <c r="BA1181" s="1">
        <v>154.36000000000001</v>
      </c>
      <c r="BB1181" s="1">
        <v>159.94</v>
      </c>
      <c r="BC1181" s="1">
        <v>160.68</v>
      </c>
      <c r="BD1181" s="1">
        <v>156.66</v>
      </c>
      <c r="BE1181" s="1">
        <v>153.05000000000001</v>
      </c>
      <c r="BF1181" s="1">
        <v>157.34</v>
      </c>
      <c r="BG1181" s="1">
        <v>157.68</v>
      </c>
      <c r="BI1181" s="1">
        <v>152.79</v>
      </c>
      <c r="BJ1181" s="1">
        <v>161.97999999999999</v>
      </c>
      <c r="BL1181" s="1">
        <v>144.5</v>
      </c>
      <c r="BN1181" s="1">
        <v>142.91</v>
      </c>
    </row>
    <row r="1182" spans="1:66" x14ac:dyDescent="0.3">
      <c r="A1182" s="2"/>
      <c r="C1182" s="14" t="str">
        <f t="shared" si="19"/>
        <v>20217</v>
      </c>
      <c r="D1182" s="3">
        <v>44384</v>
      </c>
      <c r="E1182" s="21">
        <v>2283.67</v>
      </c>
      <c r="F1182" s="21">
        <v>2348.34</v>
      </c>
      <c r="G1182" s="21">
        <v>2417.5100000000002</v>
      </c>
      <c r="H1182" s="21">
        <v>2113.12</v>
      </c>
      <c r="I1182" s="21">
        <v>2253.2600000000002</v>
      </c>
      <c r="J1182" s="21">
        <v>2248.2399999999998</v>
      </c>
      <c r="K1182" s="21">
        <v>2163.84</v>
      </c>
      <c r="L1182" s="21"/>
      <c r="M1182" s="21">
        <v>2157.21</v>
      </c>
      <c r="N1182" s="21">
        <v>2046.51</v>
      </c>
      <c r="O1182" s="21">
        <v>2258.9299999999998</v>
      </c>
      <c r="P1182" s="21">
        <v>2130.6999999999998</v>
      </c>
      <c r="Q1182" s="21">
        <v>6568.41</v>
      </c>
      <c r="R1182" s="20">
        <v>141.12</v>
      </c>
      <c r="S1182" s="20">
        <v>141.56</v>
      </c>
      <c r="T1182" s="21">
        <v>148.38</v>
      </c>
      <c r="V1182" s="1">
        <v>143.94999999999999</v>
      </c>
      <c r="W1182" s="1">
        <v>148.94</v>
      </c>
      <c r="X1182" s="1">
        <v>147.78</v>
      </c>
      <c r="Y1182" s="1">
        <v>147.99</v>
      </c>
      <c r="Z1182" s="1">
        <v>147.71</v>
      </c>
      <c r="AA1182" s="1">
        <v>142.38</v>
      </c>
      <c r="AB1182" s="1">
        <v>147.18</v>
      </c>
      <c r="AE1182" s="1">
        <v>157.03</v>
      </c>
      <c r="AF1182" s="1">
        <v>151.05000000000001</v>
      </c>
      <c r="AG1182" s="1">
        <v>143.51</v>
      </c>
      <c r="AO1182" s="1">
        <v>7</v>
      </c>
      <c r="AT1182" s="1">
        <v>3509.54</v>
      </c>
      <c r="AX1182" s="1">
        <v>150.86000000000001</v>
      </c>
      <c r="BA1182" s="1">
        <v>150.47999999999999</v>
      </c>
      <c r="BB1182" s="1">
        <v>157.61000000000001</v>
      </c>
      <c r="BC1182" s="1">
        <v>157.13999999999999</v>
      </c>
      <c r="BD1182" s="1">
        <v>153.54</v>
      </c>
      <c r="BE1182" s="1">
        <v>149.31</v>
      </c>
      <c r="BF1182" s="1">
        <v>148.55000000000001</v>
      </c>
      <c r="BG1182" s="1">
        <v>156.53</v>
      </c>
      <c r="BI1182" s="1">
        <v>149.79</v>
      </c>
      <c r="BJ1182" s="1">
        <v>158.41999999999999</v>
      </c>
      <c r="BL1182" s="1">
        <v>144.1</v>
      </c>
      <c r="BN1182" s="1">
        <v>142.71</v>
      </c>
    </row>
    <row r="1183" spans="1:66" x14ac:dyDescent="0.3">
      <c r="A1183" s="2"/>
      <c r="C1183" s="14" t="str">
        <f t="shared" si="19"/>
        <v>20217</v>
      </c>
      <c r="D1183" s="3">
        <v>44383</v>
      </c>
      <c r="E1183" s="21">
        <v>2293.65</v>
      </c>
      <c r="F1183" s="21">
        <v>2349.04</v>
      </c>
      <c r="G1183" s="21">
        <v>2422.5</v>
      </c>
      <c r="H1183" s="21">
        <v>2103.6799999999998</v>
      </c>
      <c r="I1183" s="21">
        <v>2253.2600000000002</v>
      </c>
      <c r="J1183" s="21">
        <v>2266.4299999999998</v>
      </c>
      <c r="K1183" s="21">
        <v>2143.88</v>
      </c>
      <c r="L1183" s="21"/>
      <c r="M1183" s="21">
        <v>2157.21</v>
      </c>
      <c r="N1183" s="21">
        <v>2056.83</v>
      </c>
      <c r="O1183" s="21">
        <v>2276.5500000000002</v>
      </c>
      <c r="P1183" s="21">
        <v>2106.75</v>
      </c>
      <c r="Q1183" s="21">
        <v>6610.51</v>
      </c>
      <c r="R1183" s="20">
        <v>141.43</v>
      </c>
      <c r="S1183" s="20">
        <v>140.82</v>
      </c>
      <c r="T1183" s="21">
        <v>148.18</v>
      </c>
      <c r="V1183" s="1">
        <v>142.28</v>
      </c>
      <c r="W1183" s="1">
        <v>147.51</v>
      </c>
      <c r="X1183" s="1">
        <v>148.69999999999999</v>
      </c>
      <c r="Y1183" s="1">
        <v>148.02000000000001</v>
      </c>
      <c r="Z1183" s="1">
        <v>147.85</v>
      </c>
      <c r="AA1183" s="1">
        <v>143.25</v>
      </c>
      <c r="AB1183" s="1">
        <v>148.76</v>
      </c>
      <c r="AE1183" s="1">
        <v>155.72</v>
      </c>
      <c r="AF1183" s="1">
        <v>150.72</v>
      </c>
      <c r="AG1183" s="1">
        <v>144.55000000000001</v>
      </c>
      <c r="AO1183" s="1">
        <v>7</v>
      </c>
      <c r="AT1183" s="1">
        <v>3509.54</v>
      </c>
      <c r="BA1183" s="1">
        <v>151.84</v>
      </c>
      <c r="BB1183" s="1">
        <v>155.99</v>
      </c>
      <c r="BC1183" s="1">
        <v>156.9</v>
      </c>
      <c r="BD1183" s="1">
        <v>151.19999999999999</v>
      </c>
      <c r="BE1183" s="1">
        <v>148.22</v>
      </c>
      <c r="BF1183" s="1">
        <v>149.22</v>
      </c>
      <c r="BG1183" s="1">
        <v>156.46</v>
      </c>
      <c r="BI1183" s="1">
        <v>149.79</v>
      </c>
      <c r="BJ1183" s="1">
        <v>158.19</v>
      </c>
      <c r="BL1183" s="1">
        <v>143.30000000000001</v>
      </c>
      <c r="BN1183" s="1">
        <v>142.41</v>
      </c>
    </row>
    <row r="1184" spans="1:66" x14ac:dyDescent="0.3">
      <c r="A1184" s="2"/>
      <c r="C1184" s="14" t="str">
        <f t="shared" si="19"/>
        <v>20217</v>
      </c>
      <c r="D1184" s="3">
        <v>44382</v>
      </c>
      <c r="E1184" s="21">
        <v>2281.0500000000002</v>
      </c>
      <c r="F1184" s="21">
        <v>2333.39</v>
      </c>
      <c r="G1184" s="21">
        <v>2422.5</v>
      </c>
      <c r="H1184" s="21">
        <v>2120.69</v>
      </c>
      <c r="I1184" s="21">
        <v>2233.33</v>
      </c>
      <c r="J1184" s="21">
        <v>2233.5100000000002</v>
      </c>
      <c r="K1184" s="21">
        <v>2160.5100000000002</v>
      </c>
      <c r="L1184" s="21"/>
      <c r="M1184" s="21"/>
      <c r="N1184" s="21">
        <v>2000.99</v>
      </c>
      <c r="O1184" s="21">
        <v>2268.83</v>
      </c>
      <c r="P1184" s="21">
        <v>2146.6799999999998</v>
      </c>
      <c r="Q1184" s="21">
        <v>6666.67</v>
      </c>
      <c r="R1184" s="20">
        <v>143.24</v>
      </c>
      <c r="S1184" s="20">
        <v>142.62</v>
      </c>
      <c r="T1184" s="21">
        <v>149.47</v>
      </c>
      <c r="V1184" s="1">
        <v>146.62</v>
      </c>
      <c r="W1184" s="1">
        <v>150.99</v>
      </c>
      <c r="X1184" s="1">
        <v>148.76</v>
      </c>
      <c r="Y1184" s="1">
        <v>147.96</v>
      </c>
      <c r="Z1184" s="1">
        <v>148</v>
      </c>
      <c r="AA1184" s="1">
        <v>143.80000000000001</v>
      </c>
      <c r="AB1184" s="1">
        <v>148.99</v>
      </c>
      <c r="AE1184" s="1">
        <v>156.38</v>
      </c>
      <c r="AF1184" s="1">
        <v>154.38</v>
      </c>
      <c r="AG1184" s="1">
        <v>145.27000000000001</v>
      </c>
      <c r="AK1184" s="1">
        <v>28</v>
      </c>
      <c r="AO1184" s="1">
        <v>7</v>
      </c>
      <c r="AS1184" s="1">
        <v>3800.9</v>
      </c>
      <c r="AT1184" s="1">
        <v>3509.54</v>
      </c>
      <c r="AX1184" s="1">
        <v>153.47999999999999</v>
      </c>
      <c r="BA1184" s="1">
        <v>154.78</v>
      </c>
      <c r="BB1184" s="1">
        <v>158.44999999999999</v>
      </c>
      <c r="BC1184" s="1">
        <v>158.38999999999999</v>
      </c>
      <c r="BD1184" s="1">
        <v>154.13</v>
      </c>
      <c r="BE1184" s="1">
        <v>152.46</v>
      </c>
      <c r="BF1184" s="1">
        <v>150.19999999999999</v>
      </c>
      <c r="BG1184" s="1">
        <v>157.12</v>
      </c>
      <c r="BI1184" s="1">
        <v>149.79</v>
      </c>
      <c r="BJ1184" s="1">
        <v>161.18</v>
      </c>
      <c r="BL1184" s="1">
        <v>144.30000000000001</v>
      </c>
      <c r="BN1184" s="1">
        <v>144.04</v>
      </c>
    </row>
    <row r="1185" spans="1:66" x14ac:dyDescent="0.3">
      <c r="A1185" s="2"/>
      <c r="C1185" s="14" t="str">
        <f t="shared" si="19"/>
        <v>20217</v>
      </c>
      <c r="D1185" s="3">
        <v>44379</v>
      </c>
      <c r="E1185" s="21">
        <v>2237.38</v>
      </c>
      <c r="F1185" s="21">
        <v>2328.11</v>
      </c>
      <c r="G1185" s="21">
        <v>2432.83</v>
      </c>
      <c r="H1185" s="21">
        <v>2230.84</v>
      </c>
      <c r="I1185" s="21">
        <v>2223.37</v>
      </c>
      <c r="J1185" s="21">
        <v>2233.67</v>
      </c>
      <c r="K1185" s="21">
        <v>2144.1999999999998</v>
      </c>
      <c r="L1185" s="21"/>
      <c r="M1185" s="21"/>
      <c r="N1185" s="21">
        <v>2019.45</v>
      </c>
      <c r="O1185" s="21">
        <v>2277.17</v>
      </c>
      <c r="P1185" s="21">
        <v>2110.6999999999998</v>
      </c>
      <c r="Q1185" s="21">
        <v>6699.27</v>
      </c>
      <c r="R1185" s="20">
        <v>143.24</v>
      </c>
      <c r="S1185" s="20">
        <v>142.55000000000001</v>
      </c>
      <c r="T1185" s="21">
        <v>149.47</v>
      </c>
      <c r="V1185" s="1">
        <v>146.29</v>
      </c>
      <c r="W1185" s="1">
        <v>150.99</v>
      </c>
      <c r="X1185" s="1">
        <v>148.76</v>
      </c>
      <c r="Y1185" s="1">
        <v>147.96</v>
      </c>
      <c r="Z1185" s="1">
        <v>148.66999999999999</v>
      </c>
      <c r="AA1185" s="1">
        <v>143.80000000000001</v>
      </c>
      <c r="AB1185" s="1">
        <v>148.99</v>
      </c>
      <c r="AE1185" s="1">
        <v>157.43</v>
      </c>
      <c r="AF1185" s="1">
        <v>154.38</v>
      </c>
      <c r="AG1185" s="1">
        <v>146.86000000000001</v>
      </c>
      <c r="AK1185" s="1">
        <v>28</v>
      </c>
      <c r="AO1185" s="1">
        <v>7</v>
      </c>
      <c r="AS1185" s="1">
        <v>3800.9</v>
      </c>
      <c r="AT1185" s="1">
        <v>3509.54</v>
      </c>
      <c r="AX1185" s="1">
        <v>153.46</v>
      </c>
      <c r="BA1185" s="1">
        <v>153.26</v>
      </c>
      <c r="BB1185" s="1">
        <v>160.07</v>
      </c>
      <c r="BC1185" s="1">
        <v>158.5</v>
      </c>
      <c r="BD1185" s="1">
        <v>154.88999999999999</v>
      </c>
      <c r="BE1185" s="1">
        <v>152.46</v>
      </c>
      <c r="BF1185" s="1">
        <v>156.78</v>
      </c>
      <c r="BG1185" s="1">
        <v>157.08000000000001</v>
      </c>
      <c r="BI1185" s="1">
        <v>149.79</v>
      </c>
      <c r="BJ1185" s="1">
        <v>161.18</v>
      </c>
      <c r="BL1185" s="1">
        <v>144.19999999999999</v>
      </c>
      <c r="BN1185" s="1">
        <v>143.85</v>
      </c>
    </row>
    <row r="1186" spans="1:66" x14ac:dyDescent="0.3">
      <c r="A1186" s="2"/>
      <c r="C1186" s="14" t="str">
        <f t="shared" si="19"/>
        <v>20217</v>
      </c>
      <c r="D1186" s="3">
        <v>44378</v>
      </c>
      <c r="E1186" s="21">
        <v>2238.17</v>
      </c>
      <c r="F1186" s="21">
        <v>2290.21</v>
      </c>
      <c r="G1186" s="21">
        <v>2352.7199999999998</v>
      </c>
      <c r="H1186" s="21">
        <v>2175.7199999999998</v>
      </c>
      <c r="I1186" s="21">
        <v>2223.37</v>
      </c>
      <c r="J1186" s="21">
        <v>2275.81</v>
      </c>
      <c r="K1186" s="21">
        <v>2041.73</v>
      </c>
      <c r="L1186" s="21"/>
      <c r="M1186" s="21"/>
      <c r="N1186" s="21">
        <v>2034.83</v>
      </c>
      <c r="O1186" s="21">
        <v>2308.33</v>
      </c>
      <c r="P1186" s="21">
        <v>2054.8000000000002</v>
      </c>
      <c r="Q1186" s="21">
        <v>6601.58</v>
      </c>
      <c r="R1186" s="20">
        <v>139.91999999999999</v>
      </c>
      <c r="S1186" s="20">
        <v>142.44999999999999</v>
      </c>
      <c r="T1186" s="21">
        <v>147.18</v>
      </c>
      <c r="U1186" s="1">
        <v>146.77000000000001</v>
      </c>
      <c r="V1186" s="1">
        <v>146.93</v>
      </c>
      <c r="W1186" s="1">
        <v>146.81</v>
      </c>
      <c r="X1186" s="1">
        <v>144.85</v>
      </c>
      <c r="Y1186" s="1">
        <v>143.6</v>
      </c>
      <c r="Z1186" s="1">
        <v>145.21</v>
      </c>
      <c r="AA1186" s="1">
        <v>141.54</v>
      </c>
      <c r="AB1186" s="1">
        <v>143.33000000000001</v>
      </c>
      <c r="AE1186" s="1">
        <v>153.47999999999999</v>
      </c>
      <c r="AF1186" s="1">
        <v>153.94999999999999</v>
      </c>
      <c r="AG1186" s="1">
        <v>146.86000000000001</v>
      </c>
      <c r="AK1186" s="1">
        <v>28</v>
      </c>
      <c r="AO1186" s="1">
        <v>7</v>
      </c>
      <c r="AS1186" s="1">
        <v>3800.9</v>
      </c>
      <c r="AT1186" s="1">
        <v>3509.54</v>
      </c>
      <c r="BA1186" s="1">
        <v>153.26</v>
      </c>
      <c r="BB1186" s="1">
        <v>158.35</v>
      </c>
      <c r="BC1186" s="1">
        <v>157.69</v>
      </c>
      <c r="BD1186" s="1">
        <v>154.72</v>
      </c>
      <c r="BE1186" s="1">
        <v>148.81</v>
      </c>
      <c r="BF1186" s="1">
        <v>153.68</v>
      </c>
      <c r="BG1186" s="1">
        <v>153.46</v>
      </c>
      <c r="BH1186" s="1">
        <v>140.91999999999999</v>
      </c>
      <c r="BI1186" s="1">
        <v>146.79</v>
      </c>
      <c r="BJ1186" s="1">
        <v>160.68</v>
      </c>
      <c r="BL1186" s="1">
        <v>141.22</v>
      </c>
      <c r="BN1186" s="1">
        <v>140.05000000000001</v>
      </c>
    </row>
    <row r="1187" spans="1:66" x14ac:dyDescent="0.3">
      <c r="A1187" s="2"/>
      <c r="C1187" s="14" t="str">
        <f t="shared" si="19"/>
        <v>20216</v>
      </c>
      <c r="D1187" s="3">
        <v>44377</v>
      </c>
      <c r="E1187" s="21">
        <v>2219.1</v>
      </c>
      <c r="F1187" s="21">
        <v>2227.1</v>
      </c>
      <c r="G1187" s="21">
        <v>2287.9499999999998</v>
      </c>
      <c r="H1187" s="21"/>
      <c r="I1187" s="21">
        <v>2253.6799999999998</v>
      </c>
      <c r="J1187" s="21">
        <v>2290</v>
      </c>
      <c r="K1187" s="21">
        <v>2041.73</v>
      </c>
      <c r="L1187" s="21"/>
      <c r="M1187" s="21"/>
      <c r="N1187" s="21">
        <v>2014.22</v>
      </c>
      <c r="O1187" s="21">
        <v>2346.67</v>
      </c>
      <c r="P1187" s="21">
        <v>2054.8000000000002</v>
      </c>
      <c r="Q1187" s="21">
        <v>6601.34</v>
      </c>
      <c r="R1187" s="20">
        <v>139.74</v>
      </c>
      <c r="S1187" s="20">
        <v>138.91999999999999</v>
      </c>
      <c r="T1187" s="21">
        <v>145.41</v>
      </c>
      <c r="U1187" s="1">
        <v>138.01</v>
      </c>
      <c r="V1187" s="1">
        <v>136.54</v>
      </c>
      <c r="W1187" s="1">
        <v>142.76</v>
      </c>
      <c r="X1187" s="1">
        <v>138.02000000000001</v>
      </c>
      <c r="Y1187" s="1">
        <v>139.11000000000001</v>
      </c>
      <c r="Z1187" s="1">
        <v>139.85</v>
      </c>
      <c r="AA1187" s="1">
        <v>141.5</v>
      </c>
      <c r="AB1187" s="1">
        <v>137.97</v>
      </c>
      <c r="AE1187" s="1">
        <v>149.51</v>
      </c>
      <c r="AF1187" s="1">
        <v>151.38999999999999</v>
      </c>
      <c r="AG1187" s="1">
        <v>138.69</v>
      </c>
      <c r="AK1187" s="1">
        <v>28</v>
      </c>
      <c r="AP1187" s="1">
        <v>4227.1000000000004</v>
      </c>
      <c r="AS1187" s="1">
        <v>3800.9</v>
      </c>
      <c r="BA1187" s="1">
        <v>150.65</v>
      </c>
      <c r="BB1187" s="1">
        <v>153.53</v>
      </c>
      <c r="BC1187" s="1">
        <v>152.66999999999999</v>
      </c>
      <c r="BD1187" s="1">
        <v>150.30000000000001</v>
      </c>
      <c r="BE1187" s="1">
        <v>148.86000000000001</v>
      </c>
      <c r="BF1187" s="1">
        <v>143.88999999999999</v>
      </c>
      <c r="BG1187" s="1">
        <v>151.9</v>
      </c>
      <c r="BH1187" s="1">
        <v>139.87</v>
      </c>
      <c r="BI1187" s="1">
        <v>142.9</v>
      </c>
      <c r="BJ1187" s="1">
        <v>152.97</v>
      </c>
      <c r="BL1187" s="1">
        <v>136.72999999999999</v>
      </c>
      <c r="BN1187" s="1">
        <v>136.68</v>
      </c>
    </row>
    <row r="1188" spans="1:66" x14ac:dyDescent="0.3">
      <c r="A1188" s="2"/>
      <c r="C1188" s="14" t="str">
        <f t="shared" si="19"/>
        <v>20216</v>
      </c>
      <c r="D1188" s="3">
        <v>44376</v>
      </c>
      <c r="E1188" s="21">
        <v>2233.12</v>
      </c>
      <c r="F1188" s="21">
        <v>2217.14</v>
      </c>
      <c r="G1188" s="21">
        <v>2260.5</v>
      </c>
      <c r="H1188" s="21">
        <v>2095.4299999999998</v>
      </c>
      <c r="I1188" s="21">
        <v>2132.44</v>
      </c>
      <c r="J1188" s="21">
        <v>2326.67</v>
      </c>
      <c r="K1188" s="21">
        <v>2046.15</v>
      </c>
      <c r="L1188" s="21"/>
      <c r="M1188" s="21"/>
      <c r="N1188" s="21">
        <v>1969.94</v>
      </c>
      <c r="O1188" s="21">
        <v>2333.33</v>
      </c>
      <c r="P1188" s="21">
        <v>2014.87</v>
      </c>
      <c r="Q1188" s="21">
        <v>6549.17</v>
      </c>
      <c r="R1188" s="20">
        <v>136.26</v>
      </c>
      <c r="S1188" s="20">
        <v>131.83000000000001</v>
      </c>
      <c r="T1188" s="21">
        <v>139.19</v>
      </c>
      <c r="U1188" s="1">
        <v>138.01</v>
      </c>
      <c r="V1188" s="1">
        <v>137.12</v>
      </c>
      <c r="W1188" s="1">
        <v>140.49</v>
      </c>
      <c r="X1188" s="1">
        <v>137.52000000000001</v>
      </c>
      <c r="Y1188" s="1">
        <v>137.08000000000001</v>
      </c>
      <c r="Z1188" s="1">
        <v>137.35</v>
      </c>
      <c r="AA1188" s="1">
        <v>135.06</v>
      </c>
      <c r="AB1188" s="1">
        <v>137.34</v>
      </c>
      <c r="AE1188" s="1">
        <v>145.88999999999999</v>
      </c>
      <c r="AF1188" s="1">
        <v>142.74</v>
      </c>
      <c r="AG1188" s="1">
        <v>135.72999999999999</v>
      </c>
      <c r="AK1188" s="1">
        <v>14</v>
      </c>
      <c r="AP1188" s="1">
        <v>4227.1000000000004</v>
      </c>
      <c r="AS1188" s="1">
        <v>4007.92</v>
      </c>
      <c r="AX1188" s="1">
        <v>142.11000000000001</v>
      </c>
      <c r="BA1188" s="1">
        <v>141.78</v>
      </c>
      <c r="BB1188" s="1">
        <v>148.1</v>
      </c>
      <c r="BC1188" s="1">
        <v>148</v>
      </c>
      <c r="BD1188" s="1">
        <v>145.38</v>
      </c>
      <c r="BE1188" s="1">
        <v>144.41</v>
      </c>
      <c r="BF1188" s="1">
        <v>143.77000000000001</v>
      </c>
      <c r="BG1188" s="1">
        <v>146.4</v>
      </c>
      <c r="BH1188" s="1">
        <v>136.72</v>
      </c>
      <c r="BI1188" s="1">
        <v>140.30000000000001</v>
      </c>
      <c r="BJ1188" s="1">
        <v>153.03</v>
      </c>
      <c r="BK1188" s="1">
        <v>132.94</v>
      </c>
      <c r="BL1188" s="1">
        <v>133.87</v>
      </c>
      <c r="BN1188" s="1">
        <v>133.33000000000001</v>
      </c>
    </row>
    <row r="1189" spans="1:66" x14ac:dyDescent="0.3">
      <c r="A1189" s="2"/>
      <c r="C1189" s="14" t="str">
        <f t="shared" si="19"/>
        <v>20216</v>
      </c>
      <c r="D1189" s="3">
        <v>44375</v>
      </c>
      <c r="E1189" s="21">
        <v>2215.25</v>
      </c>
      <c r="F1189" s="21">
        <v>2242.0500000000002</v>
      </c>
      <c r="G1189" s="21">
        <v>2260.5</v>
      </c>
      <c r="H1189" s="21">
        <v>2098.85</v>
      </c>
      <c r="I1189" s="21">
        <v>2271.94</v>
      </c>
      <c r="J1189" s="21">
        <v>2326.67</v>
      </c>
      <c r="K1189" s="21">
        <v>2027.47</v>
      </c>
      <c r="L1189" s="21"/>
      <c r="M1189" s="21"/>
      <c r="N1189" s="21">
        <v>1987.66</v>
      </c>
      <c r="O1189" s="21">
        <v>2353.33</v>
      </c>
      <c r="P1189" s="21">
        <v>2034.83</v>
      </c>
      <c r="Q1189" s="21">
        <v>6524.17</v>
      </c>
      <c r="R1189" s="20">
        <v>133.33000000000001</v>
      </c>
      <c r="S1189" s="20">
        <v>131.4</v>
      </c>
      <c r="T1189" s="21">
        <v>138.9</v>
      </c>
      <c r="U1189" s="1">
        <v>138.01</v>
      </c>
      <c r="V1189" s="1">
        <v>135.96</v>
      </c>
      <c r="W1189" s="1">
        <v>139.69</v>
      </c>
      <c r="X1189" s="1">
        <v>135.94</v>
      </c>
      <c r="Y1189" s="1">
        <v>137.22999999999999</v>
      </c>
      <c r="Z1189" s="1">
        <v>136.57</v>
      </c>
      <c r="AA1189" s="1">
        <v>134.38999999999999</v>
      </c>
      <c r="AB1189" s="1">
        <v>136.02000000000001</v>
      </c>
      <c r="AE1189" s="1">
        <v>144.65</v>
      </c>
      <c r="AF1189" s="1">
        <v>142.22</v>
      </c>
      <c r="AG1189" s="1">
        <v>135.71</v>
      </c>
      <c r="AK1189" s="1">
        <v>0</v>
      </c>
      <c r="AP1189" s="1">
        <v>4227.1000000000004</v>
      </c>
      <c r="AS1189" s="1">
        <v>4214.9399999999996</v>
      </c>
      <c r="AX1189" s="1">
        <v>142.84</v>
      </c>
      <c r="AZ1189" s="1">
        <v>4014.22</v>
      </c>
      <c r="BA1189" s="1">
        <v>140.38999999999999</v>
      </c>
      <c r="BB1189" s="1">
        <v>147.16</v>
      </c>
      <c r="BC1189" s="1">
        <v>146.13</v>
      </c>
      <c r="BD1189" s="1">
        <v>142.31</v>
      </c>
      <c r="BE1189" s="1">
        <v>144.81</v>
      </c>
      <c r="BF1189" s="1">
        <v>143.9</v>
      </c>
      <c r="BG1189" s="1">
        <v>145.82</v>
      </c>
      <c r="BH1189" s="1">
        <v>136.72</v>
      </c>
      <c r="BI1189" s="1">
        <v>139.4</v>
      </c>
      <c r="BK1189" s="1">
        <v>132.91</v>
      </c>
      <c r="BL1189" s="1">
        <v>133.68</v>
      </c>
      <c r="BN1189" s="1">
        <v>133.04</v>
      </c>
    </row>
    <row r="1190" spans="1:66" x14ac:dyDescent="0.3">
      <c r="A1190" s="2"/>
      <c r="C1190" s="14" t="str">
        <f t="shared" si="19"/>
        <v>20216</v>
      </c>
      <c r="D1190" s="3">
        <v>44372</v>
      </c>
      <c r="E1190" s="21">
        <v>2161.65</v>
      </c>
      <c r="F1190" s="21">
        <v>2257</v>
      </c>
      <c r="G1190" s="21">
        <v>2262.9899999999998</v>
      </c>
      <c r="H1190" s="21">
        <v>2118.31</v>
      </c>
      <c r="I1190" s="21">
        <v>2132.44</v>
      </c>
      <c r="J1190" s="21">
        <v>2343.33</v>
      </c>
      <c r="K1190" s="21">
        <v>2057.65</v>
      </c>
      <c r="L1190" s="21"/>
      <c r="M1190" s="21"/>
      <c r="N1190" s="21">
        <v>2018.94</v>
      </c>
      <c r="O1190" s="21">
        <v>2360</v>
      </c>
      <c r="P1190" s="21">
        <v>2045.82</v>
      </c>
      <c r="Q1190" s="21">
        <v>6498.83</v>
      </c>
      <c r="R1190" s="20">
        <v>130.91</v>
      </c>
      <c r="S1190" s="20">
        <v>129.46</v>
      </c>
      <c r="T1190" s="21">
        <v>137.96</v>
      </c>
      <c r="V1190" s="1">
        <v>137.93</v>
      </c>
      <c r="W1190" s="1">
        <v>138.16</v>
      </c>
      <c r="X1190" s="1">
        <v>137.16999999999999</v>
      </c>
      <c r="Y1190" s="1">
        <v>136.6</v>
      </c>
      <c r="Z1190" s="1">
        <v>136.28</v>
      </c>
      <c r="AA1190" s="1">
        <v>133.69</v>
      </c>
      <c r="AB1190" s="1">
        <v>137</v>
      </c>
      <c r="AE1190" s="1">
        <v>144.44</v>
      </c>
      <c r="AF1190" s="1">
        <v>141.08000000000001</v>
      </c>
      <c r="AG1190" s="1">
        <v>129.71</v>
      </c>
      <c r="AK1190" s="1">
        <v>0</v>
      </c>
      <c r="AP1190" s="1">
        <v>4227.1000000000004</v>
      </c>
      <c r="AS1190" s="1">
        <v>4214.9399999999996</v>
      </c>
      <c r="AW1190" s="1">
        <v>3929.41</v>
      </c>
      <c r="AX1190" s="1">
        <v>144.56</v>
      </c>
      <c r="AZ1190" s="1">
        <v>4014.22</v>
      </c>
      <c r="BB1190" s="1">
        <v>145.78</v>
      </c>
      <c r="BC1190" s="1">
        <v>145.15</v>
      </c>
      <c r="BD1190" s="1">
        <v>141.62</v>
      </c>
      <c r="BE1190" s="1">
        <v>144.13999999999999</v>
      </c>
      <c r="BF1190" s="1">
        <v>145.24</v>
      </c>
      <c r="BG1190" s="1">
        <v>144.75</v>
      </c>
      <c r="BH1190" s="1">
        <v>136.72</v>
      </c>
      <c r="BI1190" s="1">
        <v>138.80000000000001</v>
      </c>
      <c r="BK1190" s="1">
        <v>132.84</v>
      </c>
      <c r="BL1190" s="1">
        <v>133.5</v>
      </c>
      <c r="BN1190" s="1">
        <v>132.56</v>
      </c>
    </row>
    <row r="1191" spans="1:66" x14ac:dyDescent="0.3">
      <c r="A1191" s="2"/>
      <c r="C1191" s="14" t="str">
        <f t="shared" si="19"/>
        <v>20216</v>
      </c>
      <c r="D1191" s="3">
        <v>44371</v>
      </c>
      <c r="E1191" s="21">
        <v>2101.1799999999998</v>
      </c>
      <c r="F1191" s="21">
        <v>2270.13</v>
      </c>
      <c r="G1191" s="21">
        <v>2279.94</v>
      </c>
      <c r="H1191" s="21">
        <v>2096.89</v>
      </c>
      <c r="I1191" s="21">
        <v>2125.8000000000002</v>
      </c>
      <c r="J1191" s="21">
        <v>2325.62</v>
      </c>
      <c r="K1191" s="21">
        <v>2084.4899999999998</v>
      </c>
      <c r="L1191" s="21"/>
      <c r="M1191" s="21"/>
      <c r="N1191" s="21">
        <v>2018.39</v>
      </c>
      <c r="O1191" s="21">
        <v>2276.89</v>
      </c>
      <c r="P1191" s="21">
        <v>2053.8000000000002</v>
      </c>
      <c r="Q1191" s="21">
        <v>6606.58</v>
      </c>
      <c r="R1191" s="20">
        <v>135.13</v>
      </c>
      <c r="S1191" s="20">
        <v>127.11</v>
      </c>
      <c r="T1191" s="21">
        <v>138.91999999999999</v>
      </c>
      <c r="V1191" s="1">
        <v>137.66999999999999</v>
      </c>
      <c r="W1191" s="1">
        <v>140.33000000000001</v>
      </c>
      <c r="X1191" s="1">
        <v>136.61000000000001</v>
      </c>
      <c r="Y1191" s="1">
        <v>137.63999999999999</v>
      </c>
      <c r="Z1191" s="1">
        <v>137.28</v>
      </c>
      <c r="AA1191" s="1">
        <v>136.54</v>
      </c>
      <c r="AB1191" s="1">
        <v>137.02000000000001</v>
      </c>
      <c r="AE1191" s="1">
        <v>146.46</v>
      </c>
      <c r="AF1191" s="1">
        <v>142.09</v>
      </c>
      <c r="AG1191" s="1">
        <v>131.57</v>
      </c>
      <c r="AK1191" s="1">
        <v>0</v>
      </c>
      <c r="AP1191" s="1">
        <v>4227.1000000000004</v>
      </c>
      <c r="AS1191" s="1">
        <v>4214.9399999999996</v>
      </c>
      <c r="AW1191" s="1">
        <v>3929.41</v>
      </c>
      <c r="AX1191" s="1">
        <v>143.29</v>
      </c>
      <c r="AZ1191" s="1">
        <v>4014.22</v>
      </c>
      <c r="BB1191" s="1">
        <v>147.55000000000001</v>
      </c>
      <c r="BC1191" s="1">
        <v>147.12</v>
      </c>
      <c r="BD1191" s="1">
        <v>142.32</v>
      </c>
      <c r="BE1191" s="1">
        <v>147.01</v>
      </c>
      <c r="BF1191" s="1">
        <v>146.53</v>
      </c>
      <c r="BG1191" s="1">
        <v>146.6</v>
      </c>
      <c r="BH1191" s="1">
        <v>140.26</v>
      </c>
      <c r="BI1191" s="1">
        <v>139.19999999999999</v>
      </c>
      <c r="BK1191" s="1">
        <v>134.63</v>
      </c>
      <c r="BL1191" s="1">
        <v>135.66999999999999</v>
      </c>
      <c r="BN1191" s="1">
        <v>135.56</v>
      </c>
    </row>
    <row r="1192" spans="1:66" x14ac:dyDescent="0.3">
      <c r="A1192" s="2"/>
      <c r="C1192" s="14" t="str">
        <f t="shared" si="19"/>
        <v>20216</v>
      </c>
      <c r="D1192" s="3">
        <v>44370</v>
      </c>
      <c r="E1192" s="21">
        <v>2121.58</v>
      </c>
      <c r="F1192" s="21">
        <v>2270.13</v>
      </c>
      <c r="G1192" s="21">
        <v>2293.2399999999998</v>
      </c>
      <c r="H1192" s="21">
        <v>2098.41</v>
      </c>
      <c r="I1192" s="21">
        <v>2271.94</v>
      </c>
      <c r="J1192" s="21">
        <v>2297.9899999999998</v>
      </c>
      <c r="K1192" s="21">
        <v>2084.4899999999998</v>
      </c>
      <c r="L1192" s="21"/>
      <c r="M1192" s="21"/>
      <c r="N1192" s="21">
        <v>2033.96</v>
      </c>
      <c r="O1192" s="21">
        <v>2289.66</v>
      </c>
      <c r="P1192" s="21">
        <v>2053.8000000000002</v>
      </c>
      <c r="Q1192" s="21">
        <v>6643.95</v>
      </c>
      <c r="R1192" s="20">
        <v>137.72999999999999</v>
      </c>
      <c r="S1192" s="20">
        <v>130.09</v>
      </c>
      <c r="T1192" s="21">
        <v>141.69999999999999</v>
      </c>
      <c r="V1192" s="1">
        <v>139.96</v>
      </c>
      <c r="W1192" s="1">
        <v>141.47999999999999</v>
      </c>
      <c r="X1192" s="1">
        <v>138.32</v>
      </c>
      <c r="Y1192" s="1">
        <v>139.71</v>
      </c>
      <c r="Z1192" s="1">
        <v>139.28</v>
      </c>
      <c r="AA1192" s="1">
        <v>139.11000000000001</v>
      </c>
      <c r="AB1192" s="1">
        <v>138.66</v>
      </c>
      <c r="AE1192" s="1">
        <v>147.36000000000001</v>
      </c>
      <c r="AF1192" s="1">
        <v>146.08000000000001</v>
      </c>
      <c r="AG1192" s="1">
        <v>134.43</v>
      </c>
      <c r="AK1192" s="1">
        <v>0</v>
      </c>
      <c r="AS1192" s="1">
        <v>4214.9399999999996</v>
      </c>
      <c r="AW1192" s="1">
        <v>4128.37</v>
      </c>
      <c r="AX1192" s="1">
        <v>144.28</v>
      </c>
      <c r="AZ1192" s="1">
        <v>4014.22</v>
      </c>
      <c r="BA1192" s="1">
        <v>143.5</v>
      </c>
      <c r="BB1192" s="1">
        <v>149.24</v>
      </c>
      <c r="BC1192" s="1">
        <v>147.91999999999999</v>
      </c>
      <c r="BD1192" s="1">
        <v>146.05000000000001</v>
      </c>
      <c r="BE1192" s="1">
        <v>146.4</v>
      </c>
      <c r="BF1192" s="1">
        <v>147.53</v>
      </c>
      <c r="BG1192" s="1">
        <v>147.47999999999999</v>
      </c>
      <c r="BI1192" s="1">
        <v>139.78</v>
      </c>
      <c r="BK1192" s="1">
        <v>134.63</v>
      </c>
      <c r="BL1192" s="1">
        <v>135.69999999999999</v>
      </c>
      <c r="BN1192" s="1">
        <v>135.56</v>
      </c>
    </row>
    <row r="1193" spans="1:66" x14ac:dyDescent="0.3">
      <c r="A1193" s="2"/>
      <c r="C1193" s="14" t="str">
        <f t="shared" si="19"/>
        <v>20216</v>
      </c>
      <c r="D1193" s="3">
        <v>44369</v>
      </c>
      <c r="E1193" s="21">
        <v>2185.06</v>
      </c>
      <c r="F1193" s="21">
        <v>2270.13</v>
      </c>
      <c r="G1193" s="21">
        <v>2313.19</v>
      </c>
      <c r="H1193" s="21">
        <v>2160.87</v>
      </c>
      <c r="I1193" s="21">
        <v>2165.65</v>
      </c>
      <c r="J1193" s="21">
        <v>2370.4499999999998</v>
      </c>
      <c r="K1193" s="21">
        <v>2087.34</v>
      </c>
      <c r="L1193" s="21"/>
      <c r="M1193" s="21"/>
      <c r="N1193" s="21">
        <v>2097.96</v>
      </c>
      <c r="O1193" s="21">
        <v>2333.23</v>
      </c>
      <c r="P1193" s="21">
        <v>2057.8000000000002</v>
      </c>
      <c r="Q1193" s="21">
        <v>6512.63</v>
      </c>
      <c r="R1193" s="20">
        <v>137.93</v>
      </c>
      <c r="S1193" s="20">
        <v>132.76</v>
      </c>
      <c r="T1193" s="21">
        <v>141.30000000000001</v>
      </c>
      <c r="V1193" s="1">
        <v>141.1</v>
      </c>
      <c r="W1193" s="1">
        <v>142</v>
      </c>
      <c r="X1193" s="1">
        <v>139.1</v>
      </c>
      <c r="Y1193" s="1">
        <v>139.29</v>
      </c>
      <c r="Z1193" s="1">
        <v>139.71</v>
      </c>
      <c r="AA1193" s="1">
        <v>139.76</v>
      </c>
      <c r="AB1193" s="1">
        <v>139.11000000000001</v>
      </c>
      <c r="AE1193" s="1">
        <v>147.52000000000001</v>
      </c>
      <c r="AF1193" s="1">
        <v>146.35</v>
      </c>
      <c r="AG1193" s="1">
        <v>135.55000000000001</v>
      </c>
      <c r="AW1193" s="1">
        <v>4128.37</v>
      </c>
      <c r="AX1193" s="1">
        <v>146.6</v>
      </c>
      <c r="AZ1193" s="1">
        <v>4014.22</v>
      </c>
      <c r="BA1193" s="1">
        <v>142.97999999999999</v>
      </c>
      <c r="BB1193" s="1">
        <v>150.24</v>
      </c>
      <c r="BC1193" s="1">
        <v>149.12</v>
      </c>
      <c r="BD1193" s="1">
        <v>146.41999999999999</v>
      </c>
      <c r="BE1193" s="1">
        <v>146.4</v>
      </c>
      <c r="BF1193" s="1">
        <v>147.53</v>
      </c>
      <c r="BG1193" s="1">
        <v>147.56</v>
      </c>
      <c r="BI1193" s="1">
        <v>140.6</v>
      </c>
      <c r="BL1193" s="1">
        <v>137.66999999999999</v>
      </c>
      <c r="BN1193" s="1">
        <v>137.13</v>
      </c>
    </row>
    <row r="1194" spans="1:66" x14ac:dyDescent="0.3">
      <c r="A1194" s="2"/>
      <c r="C1194" s="14" t="str">
        <f t="shared" si="19"/>
        <v>20216</v>
      </c>
      <c r="D1194" s="3">
        <v>44368</v>
      </c>
      <c r="E1194" s="21">
        <v>2179.21</v>
      </c>
      <c r="F1194" s="21">
        <v>2270.13</v>
      </c>
      <c r="G1194" s="21">
        <v>2316.5100000000002</v>
      </c>
      <c r="H1194" s="21">
        <v>2177.7199999999998</v>
      </c>
      <c r="I1194" s="21">
        <v>2172.3000000000002</v>
      </c>
      <c r="J1194" s="21">
        <v>2380</v>
      </c>
      <c r="K1194" s="21">
        <v>2087.34</v>
      </c>
      <c r="L1194" s="21"/>
      <c r="M1194" s="21"/>
      <c r="N1194" s="21">
        <v>2077.9499999999998</v>
      </c>
      <c r="O1194" s="21">
        <v>2335.73</v>
      </c>
      <c r="P1194" s="21">
        <v>2036.64</v>
      </c>
      <c r="Q1194" s="21">
        <v>6615.02</v>
      </c>
      <c r="R1194" s="20">
        <v>139.32</v>
      </c>
      <c r="S1194" s="20">
        <v>130.47</v>
      </c>
      <c r="T1194" s="21">
        <v>143.9</v>
      </c>
      <c r="V1194" s="1">
        <v>139.96</v>
      </c>
      <c r="W1194" s="1">
        <v>141.74</v>
      </c>
      <c r="X1194" s="1">
        <v>139.19</v>
      </c>
      <c r="Y1194" s="1">
        <v>139.4</v>
      </c>
      <c r="Z1194" s="1">
        <v>140.41999999999999</v>
      </c>
      <c r="AA1194" s="1">
        <v>141.47</v>
      </c>
      <c r="AB1194" s="1">
        <v>139</v>
      </c>
      <c r="AE1194" s="1">
        <v>146.75</v>
      </c>
      <c r="AF1194" s="1">
        <v>146.52000000000001</v>
      </c>
      <c r="AG1194" s="1">
        <v>133.69</v>
      </c>
      <c r="AT1194" s="1">
        <v>3561.48</v>
      </c>
      <c r="AV1194" s="1">
        <v>30</v>
      </c>
      <c r="AW1194" s="1">
        <v>4023.79</v>
      </c>
      <c r="AX1194" s="1">
        <v>145.93</v>
      </c>
      <c r="BA1194" s="1">
        <v>140.93</v>
      </c>
      <c r="BB1194" s="1">
        <v>150.38</v>
      </c>
      <c r="BC1194" s="1">
        <v>147.33000000000001</v>
      </c>
      <c r="BD1194" s="1">
        <v>145.72</v>
      </c>
      <c r="BE1194" s="1">
        <v>145.34</v>
      </c>
      <c r="BF1194" s="1">
        <v>146.94999999999999</v>
      </c>
      <c r="BG1194" s="1">
        <v>147.56</v>
      </c>
      <c r="BH1194" s="1">
        <v>142</v>
      </c>
      <c r="BI1194" s="1">
        <v>139.80000000000001</v>
      </c>
      <c r="BJ1194" s="1">
        <v>154.37</v>
      </c>
      <c r="BK1194" s="1">
        <v>136.61000000000001</v>
      </c>
      <c r="BL1194" s="1">
        <v>137.37</v>
      </c>
      <c r="BN1194" s="1">
        <v>136.85</v>
      </c>
    </row>
    <row r="1195" spans="1:66" x14ac:dyDescent="0.3">
      <c r="A1195" s="2"/>
      <c r="C1195" s="14" t="str">
        <f t="shared" si="19"/>
        <v>20216</v>
      </c>
      <c r="D1195" s="3">
        <v>44365</v>
      </c>
      <c r="E1195" s="21">
        <v>2092.58</v>
      </c>
      <c r="F1195" s="21">
        <v>2291.87</v>
      </c>
      <c r="G1195" s="21">
        <v>2346.42</v>
      </c>
      <c r="H1195" s="21">
        <v>2129.6999999999998</v>
      </c>
      <c r="I1195" s="21">
        <v>2305.16</v>
      </c>
      <c r="J1195" s="21">
        <v>2380</v>
      </c>
      <c r="K1195" s="21">
        <v>1955.79</v>
      </c>
      <c r="L1195" s="21"/>
      <c r="M1195" s="21"/>
      <c r="N1195" s="21">
        <v>2076.12</v>
      </c>
      <c r="O1195" s="21">
        <v>2338.23</v>
      </c>
      <c r="P1195" s="21">
        <v>2072.75</v>
      </c>
      <c r="Q1195" s="21">
        <v>6581.67</v>
      </c>
      <c r="R1195" s="20">
        <v>138.26</v>
      </c>
      <c r="S1195" s="20">
        <v>129.05000000000001</v>
      </c>
      <c r="T1195" s="21">
        <v>143</v>
      </c>
      <c r="V1195" s="1">
        <v>145.76</v>
      </c>
      <c r="W1195" s="1">
        <v>141.27000000000001</v>
      </c>
      <c r="X1195" s="1">
        <v>136</v>
      </c>
      <c r="Y1195" s="1">
        <v>137</v>
      </c>
      <c r="Z1195" s="1">
        <v>139.13999999999999</v>
      </c>
      <c r="AA1195" s="1">
        <v>139.25</v>
      </c>
      <c r="AB1195" s="1">
        <v>136</v>
      </c>
      <c r="AE1195" s="1">
        <v>146.58000000000001</v>
      </c>
      <c r="AF1195" s="1">
        <v>147.43</v>
      </c>
      <c r="AG1195" s="1">
        <v>131.72</v>
      </c>
      <c r="AQ1195" s="1">
        <v>4415.6499999999996</v>
      </c>
      <c r="AT1195" s="1">
        <v>3561.48</v>
      </c>
      <c r="AV1195" s="1">
        <v>30</v>
      </c>
      <c r="AW1195" s="1">
        <v>4055.25</v>
      </c>
      <c r="AX1195" s="1">
        <v>153.61000000000001</v>
      </c>
      <c r="BA1195" s="1">
        <v>139.19999999999999</v>
      </c>
      <c r="BB1195" s="1">
        <v>149.6</v>
      </c>
      <c r="BC1195" s="1">
        <v>146.09</v>
      </c>
      <c r="BD1195" s="1">
        <v>145.58000000000001</v>
      </c>
      <c r="BE1195" s="1">
        <v>147.19</v>
      </c>
      <c r="BF1195" s="1">
        <v>145.19</v>
      </c>
      <c r="BG1195" s="1">
        <v>144.49</v>
      </c>
      <c r="BH1195" s="1">
        <v>144.11000000000001</v>
      </c>
      <c r="BI1195" s="1">
        <v>139.88</v>
      </c>
      <c r="BJ1195" s="1">
        <v>150.91</v>
      </c>
      <c r="BK1195" s="1">
        <v>137.11000000000001</v>
      </c>
      <c r="BL1195" s="1">
        <v>137.32</v>
      </c>
      <c r="BN1195" s="1">
        <v>133.78</v>
      </c>
    </row>
    <row r="1196" spans="1:66" x14ac:dyDescent="0.3">
      <c r="A1196" s="2"/>
      <c r="C1196" s="14" t="str">
        <f t="shared" si="19"/>
        <v>20216</v>
      </c>
      <c r="D1196" s="3">
        <v>44364</v>
      </c>
      <c r="E1196" s="21">
        <v>2226.54</v>
      </c>
      <c r="F1196" s="21">
        <v>2293.3200000000002</v>
      </c>
      <c r="G1196" s="21">
        <v>2370.92</v>
      </c>
      <c r="H1196" s="21">
        <v>2229.8000000000002</v>
      </c>
      <c r="I1196" s="21">
        <v>2319.91</v>
      </c>
      <c r="J1196" s="21">
        <v>2298.02</v>
      </c>
      <c r="K1196" s="21">
        <v>2086.84</v>
      </c>
      <c r="L1196" s="21"/>
      <c r="M1196" s="21"/>
      <c r="N1196" s="21">
        <v>2088.9699999999998</v>
      </c>
      <c r="O1196" s="21">
        <v>2351.5100000000002</v>
      </c>
      <c r="P1196" s="21">
        <v>2120.66</v>
      </c>
      <c r="Q1196" s="21">
        <v>6863.04</v>
      </c>
      <c r="R1196" s="20">
        <v>146.94</v>
      </c>
      <c r="S1196" s="20">
        <v>134.53</v>
      </c>
      <c r="T1196" s="21">
        <v>144.30000000000001</v>
      </c>
      <c r="V1196" s="1">
        <v>150.56</v>
      </c>
      <c r="W1196" s="1">
        <v>145.57</v>
      </c>
      <c r="X1196" s="1">
        <v>147.9</v>
      </c>
      <c r="Y1196" s="1">
        <v>142.30000000000001</v>
      </c>
      <c r="Z1196" s="1">
        <v>140.80000000000001</v>
      </c>
      <c r="AA1196" s="1">
        <v>148.11000000000001</v>
      </c>
      <c r="AB1196" s="1">
        <v>149.02000000000001</v>
      </c>
      <c r="AE1196" s="1">
        <v>152.62</v>
      </c>
      <c r="AF1196" s="1">
        <v>148.05000000000001</v>
      </c>
      <c r="AG1196" s="1">
        <v>142.63999999999999</v>
      </c>
      <c r="AQ1196" s="1">
        <v>4412.8599999999997</v>
      </c>
      <c r="AT1196" s="1">
        <v>3559.23</v>
      </c>
      <c r="AV1196" s="1">
        <v>30</v>
      </c>
      <c r="AW1196" s="1">
        <v>4053.49</v>
      </c>
      <c r="AX1196" s="1">
        <v>153.61000000000001</v>
      </c>
      <c r="BA1196" s="1">
        <v>137.65</v>
      </c>
      <c r="BB1196" s="1">
        <v>147.72</v>
      </c>
      <c r="BC1196" s="1">
        <v>148.96</v>
      </c>
      <c r="BD1196" s="1">
        <v>142.36000000000001</v>
      </c>
      <c r="BE1196" s="1">
        <v>150.41999999999999</v>
      </c>
      <c r="BF1196" s="1">
        <v>150.9</v>
      </c>
      <c r="BG1196" s="1">
        <v>155.27000000000001</v>
      </c>
      <c r="BH1196" s="1">
        <v>147.44999999999999</v>
      </c>
      <c r="BI1196" s="1">
        <v>149.35</v>
      </c>
      <c r="BJ1196" s="1">
        <v>160.59</v>
      </c>
      <c r="BK1196" s="1">
        <v>138.12</v>
      </c>
      <c r="BL1196" s="1">
        <v>138.35</v>
      </c>
      <c r="BN1196" s="1">
        <v>137.79</v>
      </c>
    </row>
    <row r="1197" spans="1:66" x14ac:dyDescent="0.3">
      <c r="A1197" s="2"/>
      <c r="C1197" s="14" t="str">
        <f t="shared" si="19"/>
        <v>20216</v>
      </c>
      <c r="D1197" s="3">
        <v>44363</v>
      </c>
      <c r="E1197" s="21">
        <v>2244.63</v>
      </c>
      <c r="F1197" s="21">
        <v>2293.3200000000002</v>
      </c>
      <c r="G1197" s="21">
        <v>2363.98</v>
      </c>
      <c r="H1197" s="21">
        <v>2240.62</v>
      </c>
      <c r="I1197" s="21">
        <v>2313.2600000000002</v>
      </c>
      <c r="J1197" s="21">
        <v>2302.31</v>
      </c>
      <c r="K1197" s="21">
        <v>2118.54</v>
      </c>
      <c r="L1197" s="21"/>
      <c r="M1197" s="21"/>
      <c r="N1197" s="21">
        <v>2084.17</v>
      </c>
      <c r="O1197" s="21">
        <v>2357.23</v>
      </c>
      <c r="P1197" s="21">
        <v>2125.31</v>
      </c>
      <c r="Q1197" s="21">
        <v>6920.02</v>
      </c>
      <c r="R1197" s="20">
        <v>146.94</v>
      </c>
      <c r="S1197" s="20">
        <v>139.94</v>
      </c>
      <c r="T1197" s="21">
        <v>151.1</v>
      </c>
      <c r="V1197" s="1">
        <v>151.1</v>
      </c>
      <c r="W1197" s="1">
        <v>149</v>
      </c>
      <c r="X1197" s="1">
        <v>150.72999999999999</v>
      </c>
      <c r="Y1197" s="1">
        <v>146.44999999999999</v>
      </c>
      <c r="Z1197" s="1">
        <v>146.28</v>
      </c>
      <c r="AA1197" s="1">
        <v>150.18</v>
      </c>
      <c r="AB1197" s="1">
        <v>150.57</v>
      </c>
      <c r="AE1197" s="1">
        <v>155.28</v>
      </c>
      <c r="AF1197" s="1">
        <v>154.22999999999999</v>
      </c>
      <c r="AG1197" s="1">
        <v>145.51</v>
      </c>
      <c r="AQ1197" s="1">
        <v>4412.8599999999997</v>
      </c>
      <c r="AT1197" s="1">
        <v>3559.23</v>
      </c>
      <c r="AV1197" s="1">
        <v>30</v>
      </c>
      <c r="AW1197" s="1">
        <v>3917.93</v>
      </c>
      <c r="AX1197" s="1">
        <v>152.25</v>
      </c>
      <c r="BA1197" s="1">
        <v>148.04</v>
      </c>
      <c r="BB1197" s="1">
        <v>159.41999999999999</v>
      </c>
      <c r="BC1197" s="1">
        <v>156.96</v>
      </c>
      <c r="BD1197" s="1">
        <v>153.93</v>
      </c>
      <c r="BE1197" s="1">
        <v>152.75</v>
      </c>
      <c r="BF1197" s="1">
        <v>155.91</v>
      </c>
      <c r="BG1197" s="1">
        <v>155.63999999999999</v>
      </c>
      <c r="BH1197" s="1">
        <v>149.97</v>
      </c>
      <c r="BI1197" s="1">
        <v>150.81</v>
      </c>
      <c r="BJ1197" s="1">
        <v>160.59</v>
      </c>
      <c r="BK1197" s="1">
        <v>141.97</v>
      </c>
      <c r="BL1197" s="1">
        <v>142.9</v>
      </c>
      <c r="BN1197" s="1">
        <v>142.35</v>
      </c>
    </row>
    <row r="1198" spans="1:66" x14ac:dyDescent="0.3">
      <c r="A1198" s="2"/>
      <c r="C1198" s="14" t="str">
        <f t="shared" si="19"/>
        <v>20216</v>
      </c>
      <c r="D1198" s="3">
        <v>44362</v>
      </c>
      <c r="E1198" s="21">
        <v>2237.5</v>
      </c>
      <c r="F1198" s="21">
        <v>2293.3200000000002</v>
      </c>
      <c r="G1198" s="21">
        <v>2356.5100000000002</v>
      </c>
      <c r="H1198" s="21">
        <v>2241.8000000000002</v>
      </c>
      <c r="I1198" s="21">
        <v>2326.5500000000002</v>
      </c>
      <c r="J1198" s="21">
        <v>2283.1999999999998</v>
      </c>
      <c r="K1198" s="21">
        <v>2146.9899999999998</v>
      </c>
      <c r="L1198" s="21"/>
      <c r="M1198" s="21"/>
      <c r="N1198" s="21">
        <v>2030.52</v>
      </c>
      <c r="O1198" s="21">
        <v>2343.6999999999998</v>
      </c>
      <c r="P1198" s="21">
        <v>2149.27</v>
      </c>
      <c r="Q1198" s="21">
        <v>7113.29</v>
      </c>
      <c r="R1198" s="20">
        <v>152.26</v>
      </c>
      <c r="S1198" s="20">
        <v>141.61000000000001</v>
      </c>
      <c r="T1198" s="21">
        <v>153.56</v>
      </c>
      <c r="V1198" s="1">
        <v>154.1</v>
      </c>
      <c r="W1198" s="1">
        <v>152.99</v>
      </c>
      <c r="X1198" s="1">
        <v>153.78</v>
      </c>
      <c r="Y1198" s="1">
        <v>147.97</v>
      </c>
      <c r="Z1198" s="1">
        <v>148</v>
      </c>
      <c r="AA1198" s="1">
        <v>151.33000000000001</v>
      </c>
      <c r="AB1198" s="1">
        <v>154.34</v>
      </c>
      <c r="AE1198" s="1">
        <v>160.87</v>
      </c>
      <c r="AF1198" s="1">
        <v>155.49</v>
      </c>
      <c r="AG1198" s="1">
        <v>146.61000000000001</v>
      </c>
      <c r="AK1198" s="1">
        <v>15</v>
      </c>
      <c r="AQ1198" s="1">
        <v>4412.8599999999997</v>
      </c>
      <c r="AS1198" s="1">
        <v>4318.3</v>
      </c>
      <c r="AT1198" s="1">
        <v>3559.23</v>
      </c>
      <c r="AV1198" s="1">
        <v>30</v>
      </c>
      <c r="AW1198" s="1">
        <v>3889.47</v>
      </c>
      <c r="AX1198" s="1">
        <v>154.1</v>
      </c>
      <c r="AZ1198" s="1">
        <v>4011.69</v>
      </c>
      <c r="BA1198" s="1">
        <v>150.24</v>
      </c>
      <c r="BB1198" s="1">
        <v>160.08000000000001</v>
      </c>
      <c r="BC1198" s="1">
        <v>160.30000000000001</v>
      </c>
      <c r="BD1198" s="1">
        <v>155.57</v>
      </c>
      <c r="BE1198" s="1">
        <v>158.04</v>
      </c>
      <c r="BF1198" s="1">
        <v>156.91</v>
      </c>
      <c r="BG1198" s="1">
        <v>160.34</v>
      </c>
      <c r="BH1198" s="1">
        <v>151.72</v>
      </c>
      <c r="BI1198" s="1">
        <v>155.61000000000001</v>
      </c>
      <c r="BJ1198" s="1">
        <v>162.5</v>
      </c>
      <c r="BK1198" s="1">
        <v>144.63</v>
      </c>
      <c r="BL1198" s="1">
        <v>146.37</v>
      </c>
      <c r="BN1198" s="1">
        <v>145.65</v>
      </c>
    </row>
    <row r="1199" spans="1:66" x14ac:dyDescent="0.3">
      <c r="A1199" s="2"/>
      <c r="C1199" s="14" t="str">
        <f t="shared" si="19"/>
        <v>20216</v>
      </c>
      <c r="D1199" s="3">
        <v>44361</v>
      </c>
      <c r="E1199" s="21">
        <v>2268.9</v>
      </c>
      <c r="F1199" s="21">
        <v>2293.3200000000002</v>
      </c>
      <c r="G1199" s="21">
        <v>2376.46</v>
      </c>
      <c r="H1199" s="21">
        <v>2270.4899999999998</v>
      </c>
      <c r="I1199" s="21">
        <v>2326.5500000000002</v>
      </c>
      <c r="J1199" s="21">
        <v>2328.5100000000002</v>
      </c>
      <c r="K1199" s="21">
        <v>2146.9899999999998</v>
      </c>
      <c r="L1199" s="21"/>
      <c r="M1199" s="21"/>
      <c r="N1199" s="21">
        <v>2063.9299999999998</v>
      </c>
      <c r="O1199" s="21">
        <v>2363.75</v>
      </c>
      <c r="P1199" s="21">
        <v>2149.27</v>
      </c>
      <c r="Q1199" s="21">
        <v>7084.83</v>
      </c>
      <c r="R1199" s="20">
        <v>156.87</v>
      </c>
      <c r="S1199" s="20">
        <v>143.01</v>
      </c>
      <c r="T1199" s="21">
        <v>155.75</v>
      </c>
      <c r="V1199" s="1">
        <v>153.97</v>
      </c>
      <c r="W1199" s="1">
        <v>156.15</v>
      </c>
      <c r="X1199" s="1">
        <v>155.36000000000001</v>
      </c>
      <c r="Y1199" s="1">
        <v>149.78</v>
      </c>
      <c r="Z1199" s="1">
        <v>151.66</v>
      </c>
      <c r="AA1199" s="1">
        <v>152.76</v>
      </c>
      <c r="AB1199" s="1">
        <v>155.34</v>
      </c>
      <c r="AE1199" s="1">
        <v>161.71</v>
      </c>
      <c r="AF1199" s="1">
        <v>160.16</v>
      </c>
      <c r="AG1199" s="1">
        <v>146.80000000000001</v>
      </c>
      <c r="AK1199" s="1">
        <v>15</v>
      </c>
      <c r="AQ1199" s="1">
        <v>4412.8599999999997</v>
      </c>
      <c r="AS1199" s="1">
        <v>4318.3</v>
      </c>
      <c r="AW1199" s="1">
        <v>3832.55</v>
      </c>
      <c r="AX1199" s="1">
        <v>155.22999999999999</v>
      </c>
      <c r="AZ1199" s="1">
        <v>4011.69</v>
      </c>
      <c r="BA1199" s="1">
        <v>152.75</v>
      </c>
      <c r="BB1199" s="1">
        <v>164.08</v>
      </c>
      <c r="BC1199" s="1">
        <v>159</v>
      </c>
      <c r="BD1199" s="1">
        <v>160.56</v>
      </c>
      <c r="BE1199" s="1">
        <v>163.63999999999999</v>
      </c>
      <c r="BF1199" s="1">
        <v>161.94</v>
      </c>
      <c r="BG1199" s="1">
        <v>160.55000000000001</v>
      </c>
      <c r="BI1199" s="1">
        <v>158.78</v>
      </c>
      <c r="BJ1199" s="1">
        <v>165.42</v>
      </c>
      <c r="BL1199" s="1">
        <v>147.54</v>
      </c>
      <c r="BN1199" s="1">
        <v>147.94</v>
      </c>
    </row>
    <row r="1200" spans="1:66" x14ac:dyDescent="0.3">
      <c r="A1200" s="2"/>
      <c r="C1200" s="14" t="str">
        <f t="shared" si="19"/>
        <v>20216</v>
      </c>
      <c r="D1200" s="3">
        <v>44358</v>
      </c>
      <c r="E1200" s="21">
        <v>2251.7399999999998</v>
      </c>
      <c r="F1200" s="21">
        <v>2324.14</v>
      </c>
      <c r="G1200" s="21">
        <v>2411.38</v>
      </c>
      <c r="H1200" s="21">
        <v>2308.83</v>
      </c>
      <c r="I1200" s="21">
        <v>2329.88</v>
      </c>
      <c r="J1200" s="21">
        <v>2368.1999999999998</v>
      </c>
      <c r="K1200" s="21">
        <v>2144.2600000000002</v>
      </c>
      <c r="L1200" s="21"/>
      <c r="M1200" s="21"/>
      <c r="N1200" s="21">
        <v>2013.59</v>
      </c>
      <c r="O1200" s="21">
        <v>2378.19</v>
      </c>
      <c r="P1200" s="21">
        <v>2161.2600000000002</v>
      </c>
      <c r="Q1200" s="21">
        <v>7287.05</v>
      </c>
      <c r="R1200" s="20">
        <v>156.75</v>
      </c>
      <c r="S1200" s="20">
        <v>149.66</v>
      </c>
      <c r="T1200" s="21">
        <v>159.36000000000001</v>
      </c>
      <c r="V1200" s="1">
        <v>160.94</v>
      </c>
      <c r="W1200" s="1">
        <v>157.81</v>
      </c>
      <c r="X1200" s="1">
        <v>157.94</v>
      </c>
      <c r="Y1200" s="1">
        <v>152</v>
      </c>
      <c r="Z1200" s="1">
        <v>153.13999999999999</v>
      </c>
      <c r="AA1200" s="1">
        <v>158.01</v>
      </c>
      <c r="AB1200" s="1">
        <v>158.07</v>
      </c>
      <c r="AE1200" s="1">
        <v>164.57</v>
      </c>
      <c r="AF1200" s="1">
        <v>163.9</v>
      </c>
      <c r="AG1200" s="1">
        <v>156.26</v>
      </c>
      <c r="AK1200" s="1">
        <v>15</v>
      </c>
      <c r="AS1200" s="1">
        <v>4318.3</v>
      </c>
      <c r="AW1200" s="1">
        <v>3832.55</v>
      </c>
      <c r="AX1200" s="1">
        <v>165.01</v>
      </c>
      <c r="AZ1200" s="1">
        <v>4011.69</v>
      </c>
      <c r="BA1200" s="1">
        <v>160.33000000000001</v>
      </c>
      <c r="BB1200" s="1">
        <v>166.37</v>
      </c>
      <c r="BC1200" s="1">
        <v>164.33</v>
      </c>
      <c r="BD1200" s="1">
        <v>163.31</v>
      </c>
      <c r="BE1200" s="1">
        <v>163.13</v>
      </c>
      <c r="BF1200" s="1">
        <v>164.16</v>
      </c>
      <c r="BG1200" s="1">
        <v>165.16</v>
      </c>
      <c r="BI1200" s="1">
        <v>160.91999999999999</v>
      </c>
      <c r="BJ1200" s="1">
        <v>173.79</v>
      </c>
      <c r="BL1200" s="1">
        <v>149.24</v>
      </c>
      <c r="BN1200" s="1">
        <v>150.44</v>
      </c>
    </row>
    <row r="1201" spans="1:66" x14ac:dyDescent="0.3">
      <c r="A1201" s="2"/>
      <c r="C1201" s="14" t="str">
        <f t="shared" si="19"/>
        <v>20216</v>
      </c>
      <c r="D1201" s="3">
        <v>44357</v>
      </c>
      <c r="E1201" s="21">
        <v>2261.7199999999998</v>
      </c>
      <c r="F1201" s="21">
        <v>2334.11</v>
      </c>
      <c r="G1201" s="21">
        <v>2418.86</v>
      </c>
      <c r="H1201" s="21">
        <v>2256.75</v>
      </c>
      <c r="I1201" s="21">
        <v>2352.04</v>
      </c>
      <c r="J1201" s="21">
        <v>2416.92</v>
      </c>
      <c r="K1201" s="21">
        <v>2185.11</v>
      </c>
      <c r="L1201" s="21"/>
      <c r="M1201" s="21"/>
      <c r="N1201" s="21">
        <v>2086.52</v>
      </c>
      <c r="O1201" s="21">
        <v>2410.7800000000002</v>
      </c>
      <c r="P1201" s="21">
        <v>2165.2800000000002</v>
      </c>
      <c r="Q1201" s="21">
        <v>7337.05</v>
      </c>
      <c r="R1201" s="20">
        <v>158.59</v>
      </c>
      <c r="S1201" s="20">
        <v>150.52000000000001</v>
      </c>
      <c r="T1201" s="21">
        <v>159.79</v>
      </c>
      <c r="U1201" s="1">
        <v>159.41999999999999</v>
      </c>
      <c r="V1201" s="1">
        <v>159.96</v>
      </c>
      <c r="W1201" s="1">
        <v>158.34</v>
      </c>
      <c r="X1201" s="1">
        <v>158.94</v>
      </c>
      <c r="Y1201" s="1">
        <v>153.47</v>
      </c>
      <c r="Z1201" s="1">
        <v>153.71</v>
      </c>
      <c r="AA1201" s="1">
        <v>159.58000000000001</v>
      </c>
      <c r="AB1201" s="1">
        <v>158.78</v>
      </c>
      <c r="AE1201" s="1">
        <v>166.34</v>
      </c>
      <c r="AF1201" s="1">
        <v>163.99</v>
      </c>
      <c r="AG1201" s="1">
        <v>155.31</v>
      </c>
      <c r="AK1201" s="1">
        <v>15</v>
      </c>
      <c r="AS1201" s="1">
        <v>4318.3</v>
      </c>
      <c r="AT1201" s="1">
        <v>4212.28</v>
      </c>
      <c r="AW1201" s="1">
        <v>3832.55</v>
      </c>
      <c r="AX1201" s="1">
        <v>164.85</v>
      </c>
      <c r="AZ1201" s="1">
        <v>4011.69</v>
      </c>
      <c r="BA1201" s="1">
        <v>160.58000000000001</v>
      </c>
      <c r="BB1201" s="1">
        <v>167.3</v>
      </c>
      <c r="BC1201" s="1">
        <v>165.72</v>
      </c>
      <c r="BD1201" s="1">
        <v>162.94</v>
      </c>
      <c r="BE1201" s="1">
        <v>165.42</v>
      </c>
      <c r="BF1201" s="1">
        <v>166.03</v>
      </c>
      <c r="BG1201" s="1">
        <v>166.94</v>
      </c>
      <c r="BI1201" s="1">
        <v>160.80000000000001</v>
      </c>
      <c r="BJ1201" s="1">
        <v>173.78</v>
      </c>
      <c r="BK1201" s="1">
        <v>150.57</v>
      </c>
      <c r="BL1201" s="1">
        <v>152.74</v>
      </c>
      <c r="BN1201" s="1">
        <v>150.94</v>
      </c>
    </row>
    <row r="1202" spans="1:66" x14ac:dyDescent="0.3">
      <c r="A1202" s="2"/>
      <c r="C1202" s="14" t="str">
        <f t="shared" si="19"/>
        <v>20216</v>
      </c>
      <c r="D1202" s="3">
        <v>44356</v>
      </c>
      <c r="E1202" s="21">
        <v>2293.6799999999998</v>
      </c>
      <c r="F1202" s="21">
        <v>2329.58</v>
      </c>
      <c r="G1202" s="21">
        <v>2418.86</v>
      </c>
      <c r="H1202" s="21">
        <v>2240.7800000000002</v>
      </c>
      <c r="I1202" s="21">
        <v>2329.88</v>
      </c>
      <c r="J1202" s="21">
        <v>2398.65</v>
      </c>
      <c r="K1202" s="21">
        <v>2179.73</v>
      </c>
      <c r="L1202" s="21">
        <v>2257.4899999999998</v>
      </c>
      <c r="M1202" s="21">
        <v>2325.12</v>
      </c>
      <c r="N1202" s="21">
        <v>2107.92</v>
      </c>
      <c r="O1202" s="21">
        <v>2386.52</v>
      </c>
      <c r="P1202" s="21">
        <v>2171.2600000000002</v>
      </c>
      <c r="Q1202" s="21">
        <v>7359.43</v>
      </c>
      <c r="R1202" s="20">
        <v>158.99</v>
      </c>
      <c r="S1202" s="20">
        <v>150.03</v>
      </c>
      <c r="T1202" s="21">
        <v>162.52000000000001</v>
      </c>
      <c r="U1202" s="1">
        <v>160.59</v>
      </c>
      <c r="V1202" s="1">
        <v>160.37</v>
      </c>
      <c r="W1202" s="1">
        <v>157.99</v>
      </c>
      <c r="X1202" s="1">
        <v>158.94</v>
      </c>
      <c r="Y1202" s="1">
        <v>152.94</v>
      </c>
      <c r="Z1202" s="1">
        <v>153</v>
      </c>
      <c r="AA1202" s="1">
        <v>160.18</v>
      </c>
      <c r="AB1202" s="1">
        <v>158.78</v>
      </c>
      <c r="AE1202" s="1">
        <v>166.43</v>
      </c>
      <c r="AF1202" s="1">
        <v>165.12</v>
      </c>
      <c r="AG1202" s="1">
        <v>160.44999999999999</v>
      </c>
      <c r="AK1202" s="1">
        <v>15</v>
      </c>
      <c r="AS1202" s="1">
        <v>4318.3</v>
      </c>
      <c r="AT1202" s="1">
        <v>4212.28</v>
      </c>
      <c r="AW1202" s="1">
        <v>3832.55</v>
      </c>
      <c r="AX1202" s="1">
        <v>164.55</v>
      </c>
      <c r="AZ1202" s="1">
        <v>4011.69</v>
      </c>
      <c r="BA1202" s="1">
        <v>164.14</v>
      </c>
      <c r="BB1202" s="1">
        <v>168.73</v>
      </c>
      <c r="BC1202" s="1">
        <v>166.44</v>
      </c>
      <c r="BD1202" s="1">
        <v>165.29</v>
      </c>
      <c r="BE1202" s="1">
        <v>164.5</v>
      </c>
      <c r="BF1202" s="1">
        <v>167.29</v>
      </c>
      <c r="BG1202" s="1">
        <v>166.94</v>
      </c>
      <c r="BI1202" s="1">
        <v>160.69999999999999</v>
      </c>
      <c r="BJ1202" s="1">
        <v>173.78</v>
      </c>
      <c r="BK1202" s="1">
        <v>150.41</v>
      </c>
      <c r="BL1202" s="1">
        <v>149.99</v>
      </c>
      <c r="BN1202" s="1">
        <v>150.94</v>
      </c>
    </row>
    <row r="1203" spans="1:66" x14ac:dyDescent="0.3">
      <c r="A1203" s="2"/>
      <c r="C1203" s="14" t="str">
        <f t="shared" si="19"/>
        <v>20216</v>
      </c>
      <c r="D1203" s="3">
        <v>44355</v>
      </c>
      <c r="E1203" s="21">
        <v>2297.89</v>
      </c>
      <c r="F1203" s="21">
        <v>2329.58</v>
      </c>
      <c r="G1203" s="21">
        <v>2418.86</v>
      </c>
      <c r="H1203" s="21">
        <v>2247.64</v>
      </c>
      <c r="I1203" s="21">
        <v>2336.52</v>
      </c>
      <c r="J1203" s="21">
        <v>2476.67</v>
      </c>
      <c r="K1203" s="21">
        <v>2239.3000000000002</v>
      </c>
      <c r="L1203" s="21">
        <v>2300.4899999999998</v>
      </c>
      <c r="M1203" s="21">
        <v>2356.34</v>
      </c>
      <c r="N1203" s="21">
        <v>2068.4699999999998</v>
      </c>
      <c r="O1203" s="21">
        <v>2383.96</v>
      </c>
      <c r="P1203" s="21">
        <v>2268.9299999999998</v>
      </c>
      <c r="Q1203" s="21">
        <v>7574.41</v>
      </c>
      <c r="R1203" s="20">
        <v>160.13</v>
      </c>
      <c r="S1203" s="20">
        <v>152.34</v>
      </c>
      <c r="T1203" s="21">
        <v>161.47999999999999</v>
      </c>
      <c r="U1203" s="1">
        <v>161.85</v>
      </c>
      <c r="V1203" s="1">
        <v>162.29</v>
      </c>
      <c r="W1203" s="1">
        <v>159.91</v>
      </c>
      <c r="X1203" s="1">
        <v>158.94</v>
      </c>
      <c r="Y1203" s="1">
        <v>152.44</v>
      </c>
      <c r="Z1203" s="1">
        <v>152.66</v>
      </c>
      <c r="AA1203" s="1">
        <v>161.07</v>
      </c>
      <c r="AB1203" s="1">
        <v>159.31</v>
      </c>
      <c r="AE1203" s="1">
        <v>167.15</v>
      </c>
      <c r="AF1203" s="1">
        <v>165.14</v>
      </c>
      <c r="AG1203" s="1">
        <v>159.91</v>
      </c>
      <c r="AT1203" s="1">
        <v>4212.28</v>
      </c>
      <c r="AX1203" s="1">
        <v>164.72</v>
      </c>
      <c r="BA1203" s="1">
        <v>163.9</v>
      </c>
      <c r="BB1203" s="1">
        <v>169.84</v>
      </c>
      <c r="BC1203" s="1">
        <v>166.94</v>
      </c>
      <c r="BD1203" s="1">
        <v>165.38</v>
      </c>
      <c r="BE1203" s="1">
        <v>165.78</v>
      </c>
      <c r="BF1203" s="1">
        <v>167.23</v>
      </c>
      <c r="BG1203" s="1">
        <v>168.09</v>
      </c>
      <c r="BI1203" s="1">
        <v>162.5</v>
      </c>
      <c r="BJ1203" s="1">
        <v>174.03</v>
      </c>
      <c r="BK1203" s="1">
        <v>150.34</v>
      </c>
      <c r="BL1203" s="1">
        <v>149.68</v>
      </c>
      <c r="BN1203" s="1">
        <v>151.58000000000001</v>
      </c>
    </row>
    <row r="1204" spans="1:66" x14ac:dyDescent="0.3">
      <c r="A1204" s="2"/>
      <c r="C1204" s="14" t="str">
        <f t="shared" si="19"/>
        <v>20216</v>
      </c>
      <c r="D1204" s="3">
        <v>44354</v>
      </c>
      <c r="E1204" s="21">
        <v>2298.12</v>
      </c>
      <c r="F1204" s="21">
        <v>2329.58</v>
      </c>
      <c r="G1204" s="21">
        <v>2431.33</v>
      </c>
      <c r="H1204" s="21">
        <v>2269.91</v>
      </c>
      <c r="I1204" s="21">
        <v>2379.73</v>
      </c>
      <c r="J1204" s="21">
        <v>2451.5500000000002</v>
      </c>
      <c r="K1204" s="21">
        <v>2265.63</v>
      </c>
      <c r="L1204" s="21">
        <v>2309.71</v>
      </c>
      <c r="M1204" s="21">
        <v>2350.62</v>
      </c>
      <c r="N1204" s="21">
        <v>2073.87</v>
      </c>
      <c r="O1204" s="21">
        <v>2374.5300000000002</v>
      </c>
      <c r="P1204" s="21">
        <v>2253.14</v>
      </c>
      <c r="Q1204" s="21">
        <v>7555.17</v>
      </c>
      <c r="R1204" s="20">
        <v>160.03</v>
      </c>
      <c r="S1204" s="20">
        <v>153.13</v>
      </c>
      <c r="T1204" s="21">
        <v>160.35</v>
      </c>
      <c r="U1204" s="1">
        <v>159.85</v>
      </c>
      <c r="V1204" s="1">
        <v>162.1</v>
      </c>
      <c r="W1204" s="1">
        <v>159.47999999999999</v>
      </c>
      <c r="X1204" s="1">
        <v>159.44</v>
      </c>
      <c r="Y1204" s="1">
        <v>153.55000000000001</v>
      </c>
      <c r="Z1204" s="1">
        <v>153.41999999999999</v>
      </c>
      <c r="AA1204" s="1">
        <v>160.43</v>
      </c>
      <c r="AB1204" s="1">
        <v>159.22999999999999</v>
      </c>
      <c r="AE1204" s="1">
        <v>167.25</v>
      </c>
      <c r="AF1204" s="1">
        <v>165.03</v>
      </c>
      <c r="AG1204" s="1">
        <v>158.09</v>
      </c>
      <c r="AT1204" s="1">
        <v>4212.28</v>
      </c>
      <c r="AX1204" s="1">
        <v>164.91</v>
      </c>
      <c r="BA1204" s="1">
        <v>162.72</v>
      </c>
      <c r="BB1204" s="1">
        <v>168.89</v>
      </c>
      <c r="BC1204" s="1">
        <v>168.3</v>
      </c>
      <c r="BD1204" s="1">
        <v>165.68</v>
      </c>
      <c r="BE1204" s="1">
        <v>166.36</v>
      </c>
      <c r="BF1204" s="1">
        <v>167.41</v>
      </c>
      <c r="BG1204" s="1">
        <v>168.17</v>
      </c>
      <c r="BI1204" s="1">
        <v>162.5</v>
      </c>
      <c r="BJ1204" s="1">
        <v>174.01</v>
      </c>
      <c r="BK1204" s="1">
        <v>150.13</v>
      </c>
      <c r="BL1204" s="1">
        <v>149.88</v>
      </c>
      <c r="BN1204" s="1">
        <v>150.94</v>
      </c>
    </row>
    <row r="1205" spans="1:66" x14ac:dyDescent="0.3">
      <c r="A1205" s="2"/>
      <c r="C1205" s="14" t="str">
        <f t="shared" si="19"/>
        <v>20216</v>
      </c>
      <c r="D1205" s="3">
        <v>44351</v>
      </c>
      <c r="E1205" s="21">
        <v>2299.31</v>
      </c>
      <c r="F1205" s="21">
        <v>2329.58</v>
      </c>
      <c r="G1205" s="21">
        <v>2431.33</v>
      </c>
      <c r="H1205" s="21">
        <v>2287.12</v>
      </c>
      <c r="I1205" s="21">
        <v>2379.73</v>
      </c>
      <c r="J1205" s="21">
        <v>2464.65</v>
      </c>
      <c r="K1205" s="21">
        <v>2271.12</v>
      </c>
      <c r="L1205" s="21">
        <v>2337.37</v>
      </c>
      <c r="M1205" s="21">
        <v>2350.62</v>
      </c>
      <c r="N1205" s="21">
        <v>2066.7399999999998</v>
      </c>
      <c r="O1205" s="21">
        <v>2432.87</v>
      </c>
      <c r="P1205" s="21">
        <v>2273.11</v>
      </c>
      <c r="Q1205" s="21">
        <v>7529.31</v>
      </c>
      <c r="R1205" s="20">
        <v>159.72999999999999</v>
      </c>
      <c r="S1205" s="20">
        <v>151.93</v>
      </c>
      <c r="T1205" s="21">
        <v>161.30000000000001</v>
      </c>
      <c r="U1205" s="1">
        <v>160.25</v>
      </c>
      <c r="V1205" s="1">
        <v>161.66999999999999</v>
      </c>
      <c r="W1205" s="1">
        <v>159.31</v>
      </c>
      <c r="X1205" s="1">
        <v>159.02000000000001</v>
      </c>
      <c r="Y1205" s="1">
        <v>152.97</v>
      </c>
      <c r="Z1205" s="1">
        <v>153</v>
      </c>
      <c r="AA1205" s="1">
        <v>160.69999999999999</v>
      </c>
      <c r="AB1205" s="1">
        <v>158.44</v>
      </c>
      <c r="AE1205" s="1">
        <v>166.92</v>
      </c>
      <c r="AF1205" s="1">
        <v>166.51</v>
      </c>
      <c r="AG1205" s="1">
        <v>155.75</v>
      </c>
      <c r="AT1205" s="1">
        <v>4212.28</v>
      </c>
      <c r="AU1205" s="1">
        <v>3976.59</v>
      </c>
      <c r="AW1205" s="1">
        <v>3633.77</v>
      </c>
      <c r="AX1205" s="1">
        <v>164.76</v>
      </c>
      <c r="BA1205" s="1">
        <v>163.49</v>
      </c>
      <c r="BB1205" s="1">
        <v>169.63</v>
      </c>
      <c r="BC1205" s="1">
        <v>166.71</v>
      </c>
      <c r="BD1205" s="1">
        <v>165.38</v>
      </c>
      <c r="BE1205" s="1">
        <v>166.78</v>
      </c>
      <c r="BF1205" s="1">
        <v>166.4</v>
      </c>
      <c r="BG1205" s="1">
        <v>167.93</v>
      </c>
      <c r="BI1205" s="1">
        <v>162.5</v>
      </c>
      <c r="BJ1205" s="1">
        <v>172.51</v>
      </c>
      <c r="BK1205" s="1">
        <v>150.03</v>
      </c>
      <c r="BL1205" s="1">
        <v>149.66999999999999</v>
      </c>
      <c r="BN1205" s="1">
        <v>150.54</v>
      </c>
    </row>
    <row r="1206" spans="1:66" x14ac:dyDescent="0.3">
      <c r="A1206" s="2"/>
      <c r="C1206" s="14" t="str">
        <f t="shared" si="19"/>
        <v>20216</v>
      </c>
      <c r="D1206" s="3">
        <v>44349</v>
      </c>
      <c r="E1206" s="21">
        <v>2320.0100000000002</v>
      </c>
      <c r="F1206" s="21">
        <v>2329.58</v>
      </c>
      <c r="G1206" s="21">
        <v>2431.33</v>
      </c>
      <c r="H1206" s="21">
        <v>2290.0100000000002</v>
      </c>
      <c r="I1206" s="21">
        <v>2386.38</v>
      </c>
      <c r="J1206" s="21">
        <v>2413.7800000000002</v>
      </c>
      <c r="K1206" s="21">
        <v>2271.12</v>
      </c>
      <c r="L1206" s="21">
        <v>2363.9899999999998</v>
      </c>
      <c r="M1206" s="21">
        <v>2350.62</v>
      </c>
      <c r="N1206" s="21">
        <v>2083.8000000000002</v>
      </c>
      <c r="O1206" s="21">
        <v>2485</v>
      </c>
      <c r="P1206" s="21">
        <v>2273.11</v>
      </c>
      <c r="Q1206" s="21">
        <v>7475.17</v>
      </c>
      <c r="R1206" s="20">
        <v>159.72999999999999</v>
      </c>
      <c r="S1206" s="20">
        <v>150.77000000000001</v>
      </c>
      <c r="T1206" s="21">
        <v>159.35</v>
      </c>
      <c r="U1206" s="1">
        <v>159.38999999999999</v>
      </c>
      <c r="V1206" s="1">
        <v>162.12</v>
      </c>
      <c r="W1206" s="1">
        <v>158.66</v>
      </c>
      <c r="X1206" s="1">
        <v>160.49</v>
      </c>
      <c r="Y1206" s="1">
        <v>154.19999999999999</v>
      </c>
      <c r="Z1206" s="1">
        <v>153.57</v>
      </c>
      <c r="AA1206" s="1">
        <v>160.74</v>
      </c>
      <c r="AB1206" s="1">
        <v>161.08000000000001</v>
      </c>
      <c r="AE1206" s="1">
        <v>167.21</v>
      </c>
      <c r="AF1206" s="1">
        <v>165.42</v>
      </c>
      <c r="AG1206" s="1">
        <v>159.32</v>
      </c>
      <c r="AP1206" s="1">
        <v>3595.2</v>
      </c>
      <c r="AU1206" s="1">
        <v>3976.59</v>
      </c>
      <c r="AV1206" s="1">
        <v>30</v>
      </c>
      <c r="AW1206" s="1">
        <v>3497.25</v>
      </c>
      <c r="AX1206" s="1">
        <v>166.69</v>
      </c>
      <c r="BA1206" s="1">
        <v>161.91</v>
      </c>
      <c r="BB1206" s="1">
        <v>169.46</v>
      </c>
      <c r="BC1206" s="1">
        <v>167.96</v>
      </c>
      <c r="BD1206" s="1">
        <v>165.69</v>
      </c>
      <c r="BE1206" s="1">
        <v>165.74</v>
      </c>
      <c r="BF1206" s="1">
        <v>167.03</v>
      </c>
      <c r="BG1206" s="1">
        <v>167.91</v>
      </c>
      <c r="BI1206" s="1">
        <v>162.84</v>
      </c>
      <c r="BJ1206" s="1">
        <v>174.86</v>
      </c>
      <c r="BK1206" s="1">
        <v>149.87</v>
      </c>
      <c r="BL1206" s="1">
        <v>150.41999999999999</v>
      </c>
      <c r="BN1206" s="1">
        <v>150.82</v>
      </c>
    </row>
    <row r="1207" spans="1:66" x14ac:dyDescent="0.3">
      <c r="A1207" s="2"/>
      <c r="C1207" s="14" t="str">
        <f t="shared" si="19"/>
        <v>20216</v>
      </c>
      <c r="D1207" s="3">
        <v>44348</v>
      </c>
      <c r="E1207" s="21">
        <v>2305.36</v>
      </c>
      <c r="F1207" s="21">
        <v>2313.2600000000002</v>
      </c>
      <c r="G1207" s="21">
        <v>2434.12</v>
      </c>
      <c r="H1207" s="21">
        <v>2226.94</v>
      </c>
      <c r="I1207" s="21">
        <v>2358.13</v>
      </c>
      <c r="J1207" s="21">
        <v>2428</v>
      </c>
      <c r="K1207" s="21">
        <v>2262.96</v>
      </c>
      <c r="L1207" s="21"/>
      <c r="M1207" s="21">
        <v>2375.63</v>
      </c>
      <c r="N1207" s="21">
        <v>2099.8000000000002</v>
      </c>
      <c r="O1207" s="21">
        <v>2500.75</v>
      </c>
      <c r="P1207" s="21">
        <v>2277.11</v>
      </c>
      <c r="Q1207" s="21">
        <v>7575.14</v>
      </c>
      <c r="R1207" s="20">
        <v>159.09</v>
      </c>
      <c r="S1207" s="20">
        <v>153.35</v>
      </c>
      <c r="T1207" s="21">
        <v>158.83000000000001</v>
      </c>
      <c r="U1207" s="1">
        <v>159.55000000000001</v>
      </c>
      <c r="V1207" s="1">
        <v>161.96</v>
      </c>
      <c r="W1207" s="1">
        <v>159.97</v>
      </c>
      <c r="X1207" s="1">
        <v>160.49</v>
      </c>
      <c r="Y1207" s="1">
        <v>154.97</v>
      </c>
      <c r="Z1207" s="1">
        <v>155</v>
      </c>
      <c r="AA1207" s="1">
        <v>160.28</v>
      </c>
      <c r="AB1207" s="1">
        <v>161.28</v>
      </c>
      <c r="AE1207" s="1">
        <v>167.12</v>
      </c>
      <c r="AF1207" s="1">
        <v>165.42</v>
      </c>
      <c r="AG1207" s="1">
        <v>159.33000000000001</v>
      </c>
      <c r="AP1207" s="1">
        <v>3595.2</v>
      </c>
      <c r="AU1207" s="1">
        <v>3976.59</v>
      </c>
      <c r="AV1207" s="1">
        <v>30</v>
      </c>
      <c r="AW1207" s="1">
        <v>3497.25</v>
      </c>
      <c r="AX1207" s="1">
        <v>166.68</v>
      </c>
      <c r="BA1207" s="1">
        <v>161.76</v>
      </c>
      <c r="BB1207" s="1">
        <v>170.23</v>
      </c>
      <c r="BC1207" s="1">
        <v>169.38</v>
      </c>
      <c r="BD1207" s="1">
        <v>165.94</v>
      </c>
      <c r="BE1207" s="1">
        <v>164.62</v>
      </c>
      <c r="BF1207" s="1">
        <v>164.47</v>
      </c>
      <c r="BG1207" s="1">
        <v>168.04</v>
      </c>
      <c r="BI1207" s="1">
        <v>163.19999999999999</v>
      </c>
      <c r="BJ1207" s="1">
        <v>174.85</v>
      </c>
      <c r="BK1207" s="1">
        <v>153.19999999999999</v>
      </c>
      <c r="BL1207" s="1">
        <v>154.55000000000001</v>
      </c>
      <c r="BN1207" s="1">
        <v>154.55000000000001</v>
      </c>
    </row>
    <row r="1208" spans="1:66" x14ac:dyDescent="0.3">
      <c r="A1208" s="2"/>
      <c r="C1208" s="14" t="str">
        <f t="shared" si="19"/>
        <v>20215</v>
      </c>
      <c r="D1208" s="3">
        <v>44347</v>
      </c>
      <c r="E1208" s="21">
        <v>2300.6799999999998</v>
      </c>
      <c r="F1208" s="21">
        <v>2313.54</v>
      </c>
      <c r="G1208" s="21">
        <v>2444.35</v>
      </c>
      <c r="H1208" s="21">
        <v>2265.61</v>
      </c>
      <c r="I1208" s="21">
        <v>2358.41</v>
      </c>
      <c r="J1208" s="21">
        <v>2435.5700000000002</v>
      </c>
      <c r="K1208" s="21">
        <v>2274.13</v>
      </c>
      <c r="L1208" s="21"/>
      <c r="M1208" s="21">
        <v>2335.83</v>
      </c>
      <c r="N1208" s="21">
        <v>2094.7199999999998</v>
      </c>
      <c r="O1208" s="21">
        <v>2442.7199999999998</v>
      </c>
      <c r="P1208" s="21">
        <v>2277.23</v>
      </c>
      <c r="Q1208" s="21">
        <v>7440</v>
      </c>
      <c r="R1208" s="20">
        <v>158.53</v>
      </c>
      <c r="S1208" s="20">
        <v>152.86000000000001</v>
      </c>
      <c r="T1208" s="21">
        <v>157.22999999999999</v>
      </c>
      <c r="U1208" s="1">
        <v>159.44999999999999</v>
      </c>
      <c r="V1208" s="1">
        <v>160.72</v>
      </c>
      <c r="W1208" s="1">
        <v>159.57</v>
      </c>
      <c r="X1208" s="1">
        <v>160.47999999999999</v>
      </c>
      <c r="Y1208" s="1">
        <v>154.96</v>
      </c>
      <c r="Z1208" s="1">
        <v>155</v>
      </c>
      <c r="AA1208" s="1">
        <v>160.77000000000001</v>
      </c>
      <c r="AB1208" s="1">
        <v>160.29</v>
      </c>
      <c r="AE1208" s="1">
        <v>168.39</v>
      </c>
      <c r="AF1208" s="1">
        <v>164.44</v>
      </c>
      <c r="AG1208" s="1">
        <v>160.21</v>
      </c>
      <c r="AP1208" s="1">
        <v>3595.2</v>
      </c>
      <c r="AV1208" s="1">
        <v>30</v>
      </c>
      <c r="AW1208" s="1">
        <v>3574.09</v>
      </c>
      <c r="AX1208" s="1">
        <v>162.16</v>
      </c>
      <c r="BA1208" s="1">
        <v>162</v>
      </c>
      <c r="BB1208" s="1">
        <v>169.46</v>
      </c>
      <c r="BC1208" s="1">
        <v>168.64</v>
      </c>
      <c r="BD1208" s="1">
        <v>164.64</v>
      </c>
      <c r="BE1208" s="1">
        <v>163.9</v>
      </c>
      <c r="BF1208" s="1">
        <v>163.22999999999999</v>
      </c>
      <c r="BG1208" s="1">
        <v>168.69</v>
      </c>
      <c r="BI1208" s="1">
        <v>162.41</v>
      </c>
      <c r="BJ1208" s="1">
        <v>172.62</v>
      </c>
      <c r="BK1208" s="1">
        <v>155.30000000000001</v>
      </c>
      <c r="BL1208" s="1">
        <v>151.80000000000001</v>
      </c>
      <c r="BN1208" s="1">
        <v>153.6</v>
      </c>
    </row>
    <row r="1209" spans="1:66" x14ac:dyDescent="0.3">
      <c r="A1209" s="2"/>
      <c r="C1209" s="14" t="str">
        <f t="shared" si="19"/>
        <v>20215</v>
      </c>
      <c r="D1209" s="3">
        <v>44344</v>
      </c>
      <c r="E1209" s="21">
        <v>2303.81</v>
      </c>
      <c r="F1209" s="21">
        <v>2375.1799999999998</v>
      </c>
      <c r="G1209" s="21">
        <v>2436.58</v>
      </c>
      <c r="H1209" s="21">
        <v>2282.2600000000002</v>
      </c>
      <c r="I1209" s="21">
        <v>2393.31</v>
      </c>
      <c r="J1209" s="21">
        <v>2435.5700000000002</v>
      </c>
      <c r="K1209" s="21">
        <v>2286.11</v>
      </c>
      <c r="L1209" s="21"/>
      <c r="M1209" s="21">
        <v>2335.83</v>
      </c>
      <c r="N1209" s="21">
        <v>2084.0700000000002</v>
      </c>
      <c r="O1209" s="21">
        <v>2444.7199999999998</v>
      </c>
      <c r="P1209" s="21">
        <v>2359.04</v>
      </c>
      <c r="Q1209" s="21">
        <v>7529.56</v>
      </c>
      <c r="R1209" s="20">
        <v>158.53</v>
      </c>
      <c r="S1209" s="20">
        <v>150.81</v>
      </c>
      <c r="T1209" s="21">
        <v>156.47</v>
      </c>
      <c r="U1209" s="1">
        <v>159.16999999999999</v>
      </c>
      <c r="V1209" s="1">
        <v>161.44999999999999</v>
      </c>
      <c r="W1209" s="1">
        <v>159.88999999999999</v>
      </c>
      <c r="X1209" s="1">
        <v>161.21</v>
      </c>
      <c r="Y1209" s="1">
        <v>155.53</v>
      </c>
      <c r="Z1209" s="1">
        <v>155</v>
      </c>
      <c r="AA1209" s="1">
        <v>159.83000000000001</v>
      </c>
      <c r="AB1209" s="1">
        <v>161.33000000000001</v>
      </c>
      <c r="AE1209" s="1">
        <v>168.45</v>
      </c>
      <c r="AF1209" s="1">
        <v>164.03</v>
      </c>
      <c r="AG1209" s="1">
        <v>159.03</v>
      </c>
      <c r="AP1209" s="1">
        <v>3595.2</v>
      </c>
      <c r="AV1209" s="1">
        <v>30</v>
      </c>
      <c r="AW1209" s="1">
        <v>3514.9</v>
      </c>
      <c r="AX1209" s="1">
        <v>162.35</v>
      </c>
      <c r="BA1209" s="1">
        <v>161.9</v>
      </c>
      <c r="BB1209" s="1">
        <v>168.83</v>
      </c>
      <c r="BC1209" s="1">
        <v>168.28</v>
      </c>
      <c r="BD1209" s="1">
        <v>164.95</v>
      </c>
      <c r="BE1209" s="1">
        <v>162.58000000000001</v>
      </c>
      <c r="BF1209" s="1">
        <v>164.8</v>
      </c>
      <c r="BG1209" s="1">
        <v>168.99</v>
      </c>
      <c r="BI1209" s="1">
        <v>161.81</v>
      </c>
      <c r="BJ1209" s="1">
        <v>172.61</v>
      </c>
    </row>
    <row r="1210" spans="1:66" x14ac:dyDescent="0.3">
      <c r="A1210" s="2"/>
      <c r="C1210" s="14" t="str">
        <f t="shared" si="19"/>
        <v>20215</v>
      </c>
      <c r="D1210" s="3">
        <v>44343</v>
      </c>
      <c r="E1210" s="21">
        <v>2292.2600000000002</v>
      </c>
      <c r="F1210" s="21">
        <v>2376.69</v>
      </c>
      <c r="G1210" s="21">
        <v>2409.9299999999998</v>
      </c>
      <c r="H1210" s="21">
        <v>2255.67</v>
      </c>
      <c r="I1210" s="21">
        <v>2393.31</v>
      </c>
      <c r="J1210" s="21">
        <v>2435.5700000000002</v>
      </c>
      <c r="K1210" s="21">
        <v>2297.5300000000002</v>
      </c>
      <c r="L1210" s="21"/>
      <c r="M1210" s="21">
        <v>2360.79</v>
      </c>
      <c r="N1210" s="21">
        <v>2129.4</v>
      </c>
      <c r="O1210" s="21">
        <v>2448.7199999999998</v>
      </c>
      <c r="P1210" s="21">
        <v>2299.21</v>
      </c>
      <c r="Q1210" s="21">
        <v>7557.84</v>
      </c>
      <c r="R1210" s="20">
        <v>159.34</v>
      </c>
      <c r="S1210" s="20">
        <v>151.27000000000001</v>
      </c>
      <c r="T1210" s="21">
        <v>158.11000000000001</v>
      </c>
      <c r="U1210" s="1">
        <v>159.19</v>
      </c>
      <c r="V1210" s="1">
        <v>161.38999999999999</v>
      </c>
      <c r="W1210" s="1">
        <v>160.22</v>
      </c>
      <c r="X1210" s="1">
        <v>161.25</v>
      </c>
      <c r="Y1210" s="1">
        <v>155.53</v>
      </c>
      <c r="Z1210" s="1">
        <v>155.71</v>
      </c>
      <c r="AA1210" s="1">
        <v>160.59</v>
      </c>
      <c r="AB1210" s="1">
        <v>161.44</v>
      </c>
      <c r="AE1210" s="1">
        <v>168.47</v>
      </c>
      <c r="AF1210" s="1">
        <v>163.31</v>
      </c>
      <c r="AG1210" s="1">
        <v>155.27000000000001</v>
      </c>
      <c r="AV1210" s="1">
        <v>30</v>
      </c>
      <c r="AW1210" s="1">
        <v>3514.9</v>
      </c>
      <c r="AX1210" s="1">
        <v>164.83</v>
      </c>
      <c r="BA1210" s="1">
        <v>162.5</v>
      </c>
      <c r="BB1210" s="1">
        <v>170.11</v>
      </c>
      <c r="BC1210" s="1">
        <v>167.12</v>
      </c>
      <c r="BD1210" s="1">
        <v>164.87</v>
      </c>
      <c r="BE1210" s="1">
        <v>162.91</v>
      </c>
      <c r="BF1210" s="1">
        <v>165.07</v>
      </c>
      <c r="BG1210" s="1">
        <v>169.33</v>
      </c>
      <c r="BH1210" s="1">
        <v>156.99</v>
      </c>
      <c r="BI1210" s="1">
        <v>161.81</v>
      </c>
      <c r="BJ1210" s="1">
        <v>169.61</v>
      </c>
    </row>
    <row r="1211" spans="1:66" x14ac:dyDescent="0.3">
      <c r="A1211" s="2"/>
      <c r="C1211" s="14" t="str">
        <f t="shared" si="19"/>
        <v>20215</v>
      </c>
      <c r="D1211" s="3">
        <v>44342</v>
      </c>
      <c r="E1211" s="21">
        <v>2310.4</v>
      </c>
      <c r="F1211" s="21">
        <v>2385</v>
      </c>
      <c r="G1211" s="21">
        <v>2456.52</v>
      </c>
      <c r="H1211" s="21">
        <v>2240.3200000000002</v>
      </c>
      <c r="I1211" s="21">
        <v>2393.31</v>
      </c>
      <c r="J1211" s="21">
        <v>2412.0700000000002</v>
      </c>
      <c r="K1211" s="21">
        <v>2290</v>
      </c>
      <c r="L1211" s="21">
        <v>2338.2399999999998</v>
      </c>
      <c r="M1211" s="21">
        <v>2360.79</v>
      </c>
      <c r="N1211" s="21">
        <v>2189.31</v>
      </c>
      <c r="O1211" s="21">
        <v>2456.7199999999998</v>
      </c>
      <c r="P1211" s="21">
        <v>2299.21</v>
      </c>
      <c r="Q1211" s="21">
        <v>7629.13</v>
      </c>
      <c r="R1211" s="20">
        <v>156.25</v>
      </c>
      <c r="S1211" s="20">
        <v>151.03</v>
      </c>
      <c r="T1211" s="21">
        <v>157.62</v>
      </c>
      <c r="U1211" s="1">
        <v>158.26</v>
      </c>
      <c r="V1211" s="1">
        <v>160.66999999999999</v>
      </c>
      <c r="W1211" s="1">
        <v>161.35</v>
      </c>
      <c r="X1211" s="1">
        <v>161.47999999999999</v>
      </c>
      <c r="Y1211" s="1">
        <v>156</v>
      </c>
      <c r="Z1211" s="1">
        <v>156</v>
      </c>
      <c r="AA1211" s="1">
        <v>159.06</v>
      </c>
      <c r="AB1211" s="1">
        <v>161.77000000000001</v>
      </c>
      <c r="AE1211" s="1">
        <v>168.44</v>
      </c>
      <c r="AF1211" s="1">
        <v>164.63</v>
      </c>
      <c r="AG1211" s="1">
        <v>154.62</v>
      </c>
      <c r="AW1211" s="1">
        <v>3805.59</v>
      </c>
      <c r="AX1211" s="1">
        <v>164.99</v>
      </c>
      <c r="BA1211" s="1">
        <v>163.16999999999999</v>
      </c>
      <c r="BB1211" s="1">
        <v>169.11</v>
      </c>
      <c r="BC1211" s="1">
        <v>166.86</v>
      </c>
      <c r="BD1211" s="1">
        <v>166.18</v>
      </c>
      <c r="BE1211" s="1">
        <v>162.94</v>
      </c>
      <c r="BF1211" s="1">
        <v>164.19</v>
      </c>
      <c r="BG1211" s="1">
        <v>169.24</v>
      </c>
      <c r="BH1211" s="1">
        <v>157.08000000000001</v>
      </c>
      <c r="BI1211" s="1">
        <v>161.81</v>
      </c>
      <c r="BJ1211" s="1">
        <v>170.36</v>
      </c>
    </row>
    <row r="1212" spans="1:66" x14ac:dyDescent="0.3">
      <c r="A1212" s="2"/>
      <c r="C1212" s="14" t="str">
        <f t="shared" si="19"/>
        <v>20215</v>
      </c>
      <c r="D1212" s="3">
        <v>44341</v>
      </c>
      <c r="E1212" s="21">
        <v>2347.09</v>
      </c>
      <c r="F1212" s="21">
        <v>2389.16</v>
      </c>
      <c r="G1212" s="21">
        <v>2473.98</v>
      </c>
      <c r="H1212" s="21">
        <v>2260.15</v>
      </c>
      <c r="I1212" s="21">
        <v>2405.7800000000002</v>
      </c>
      <c r="J1212" s="21">
        <v>2516.67</v>
      </c>
      <c r="K1212" s="21">
        <v>2314.64</v>
      </c>
      <c r="L1212" s="21">
        <v>2342.75</v>
      </c>
      <c r="M1212" s="21">
        <v>2385.7600000000002</v>
      </c>
      <c r="N1212" s="21">
        <v>2166.77</v>
      </c>
      <c r="O1212" s="21">
        <v>2478.44</v>
      </c>
      <c r="P1212" s="21">
        <v>2323.1799999999998</v>
      </c>
      <c r="Q1212" s="21">
        <v>7631.37</v>
      </c>
      <c r="R1212" s="20">
        <v>158.13</v>
      </c>
      <c r="S1212" s="20">
        <v>151.44</v>
      </c>
      <c r="T1212" s="21">
        <v>157.6</v>
      </c>
      <c r="U1212" s="1">
        <v>157.99</v>
      </c>
      <c r="V1212" s="1">
        <v>160.79</v>
      </c>
      <c r="W1212" s="1">
        <v>160.88999999999999</v>
      </c>
      <c r="X1212" s="1">
        <v>161.32</v>
      </c>
      <c r="Y1212" s="1">
        <v>157.03</v>
      </c>
      <c r="Z1212" s="1">
        <v>157.13999999999999</v>
      </c>
      <c r="AA1212" s="1">
        <v>159.56</v>
      </c>
      <c r="AB1212" s="1">
        <v>161.38</v>
      </c>
      <c r="AE1212" s="1">
        <v>168.89</v>
      </c>
      <c r="AF1212" s="1">
        <v>166.51</v>
      </c>
      <c r="AG1212" s="1">
        <v>154.94999999999999</v>
      </c>
      <c r="AW1212" s="1">
        <v>3805.59</v>
      </c>
      <c r="AX1212" s="1">
        <v>163.16999999999999</v>
      </c>
      <c r="BA1212" s="1">
        <v>163.69</v>
      </c>
      <c r="BB1212" s="1">
        <v>168.76</v>
      </c>
      <c r="BC1212" s="1">
        <v>169.64</v>
      </c>
      <c r="BD1212" s="1">
        <v>165.03</v>
      </c>
      <c r="BE1212" s="1">
        <v>163.81</v>
      </c>
      <c r="BF1212" s="1">
        <v>164.74</v>
      </c>
      <c r="BG1212" s="1">
        <v>169.68</v>
      </c>
      <c r="BH1212" s="1">
        <v>157.61000000000001</v>
      </c>
      <c r="BI1212" s="1">
        <v>162.81</v>
      </c>
      <c r="BJ1212" s="1">
        <v>170.87</v>
      </c>
    </row>
    <row r="1213" spans="1:66" x14ac:dyDescent="0.3">
      <c r="A1213" s="2"/>
      <c r="C1213" s="14" t="str">
        <f t="shared" si="19"/>
        <v>20215</v>
      </c>
      <c r="D1213" s="3">
        <v>44340</v>
      </c>
      <c r="E1213" s="21">
        <v>2351.7600000000002</v>
      </c>
      <c r="F1213" s="21">
        <v>2389.16</v>
      </c>
      <c r="G1213" s="21">
        <v>2461.5</v>
      </c>
      <c r="H1213" s="21">
        <v>2297.59</v>
      </c>
      <c r="I1213" s="21">
        <v>2415.75</v>
      </c>
      <c r="J1213" s="21">
        <v>2540</v>
      </c>
      <c r="K1213" s="21">
        <v>2328.85</v>
      </c>
      <c r="L1213" s="21">
        <v>2356.29</v>
      </c>
      <c r="M1213" s="21">
        <v>2385.7600000000002</v>
      </c>
      <c r="N1213" s="21">
        <v>2131.64</v>
      </c>
      <c r="O1213" s="21">
        <v>2526.75</v>
      </c>
      <c r="P1213" s="21">
        <v>2343.15</v>
      </c>
      <c r="Q1213" s="21">
        <v>7709.66</v>
      </c>
      <c r="R1213" s="20">
        <v>158.33000000000001</v>
      </c>
      <c r="S1213" s="20">
        <v>152.99</v>
      </c>
      <c r="T1213" s="21">
        <v>158.49</v>
      </c>
      <c r="U1213" s="1">
        <v>159.88999999999999</v>
      </c>
      <c r="V1213" s="1">
        <v>160.53</v>
      </c>
      <c r="W1213" s="1">
        <v>161</v>
      </c>
      <c r="X1213" s="1">
        <v>161.32</v>
      </c>
      <c r="Y1213" s="1">
        <v>156.97</v>
      </c>
      <c r="Z1213" s="1">
        <v>157</v>
      </c>
      <c r="AA1213" s="1">
        <v>160.05000000000001</v>
      </c>
      <c r="AB1213" s="1">
        <v>161.38</v>
      </c>
      <c r="AE1213" s="1">
        <v>168.65</v>
      </c>
      <c r="AF1213" s="1">
        <v>166.5</v>
      </c>
      <c r="AG1213" s="1">
        <v>156.37</v>
      </c>
      <c r="AX1213" s="1">
        <v>165.24</v>
      </c>
      <c r="BA1213" s="1">
        <v>163.72999999999999</v>
      </c>
      <c r="BB1213" s="1">
        <v>169.12</v>
      </c>
      <c r="BC1213" s="1">
        <v>167.72</v>
      </c>
      <c r="BD1213" s="1">
        <v>165.53</v>
      </c>
      <c r="BE1213" s="1">
        <v>163.72999999999999</v>
      </c>
      <c r="BF1213" s="1">
        <v>165.41</v>
      </c>
      <c r="BG1213" s="1">
        <v>169.65</v>
      </c>
      <c r="BH1213" s="1">
        <v>157.33000000000001</v>
      </c>
      <c r="BI1213" s="1">
        <v>163.21</v>
      </c>
      <c r="BJ1213" s="1">
        <v>169.59</v>
      </c>
    </row>
    <row r="1214" spans="1:66" x14ac:dyDescent="0.3">
      <c r="A1214" s="2"/>
      <c r="C1214" s="14" t="str">
        <f t="shared" si="19"/>
        <v>20215</v>
      </c>
      <c r="D1214" s="3">
        <v>44337</v>
      </c>
      <c r="E1214" s="21">
        <v>2343.1</v>
      </c>
      <c r="F1214" s="21">
        <v>2402.4499999999998</v>
      </c>
      <c r="G1214" s="21">
        <v>2493.94</v>
      </c>
      <c r="H1214" s="21">
        <v>2319.08</v>
      </c>
      <c r="I1214" s="21">
        <v>2423.23</v>
      </c>
      <c r="J1214" s="21">
        <v>2491.59</v>
      </c>
      <c r="K1214" s="21">
        <v>2343.1799999999998</v>
      </c>
      <c r="L1214" s="21">
        <v>2376.94</v>
      </c>
      <c r="M1214" s="21">
        <v>2355.65</v>
      </c>
      <c r="N1214" s="21">
        <v>2149.48</v>
      </c>
      <c r="O1214" s="21">
        <v>2475.2800000000002</v>
      </c>
      <c r="P1214" s="21">
        <v>2351.94</v>
      </c>
      <c r="Q1214" s="21">
        <v>7655.6</v>
      </c>
      <c r="R1214" s="20">
        <v>159.93</v>
      </c>
      <c r="S1214" s="20">
        <v>153.02000000000001</v>
      </c>
      <c r="T1214" s="21">
        <v>158.30000000000001</v>
      </c>
      <c r="U1214" s="1">
        <v>159.47</v>
      </c>
      <c r="V1214" s="1">
        <v>160.53</v>
      </c>
      <c r="W1214" s="1">
        <v>160.91</v>
      </c>
      <c r="X1214" s="1">
        <v>161.66999999999999</v>
      </c>
      <c r="Y1214" s="1">
        <v>157.44</v>
      </c>
      <c r="Z1214" s="1">
        <v>157.71</v>
      </c>
      <c r="AA1214" s="1">
        <v>161.43</v>
      </c>
      <c r="AB1214" s="1">
        <v>162.55000000000001</v>
      </c>
      <c r="AE1214" s="1">
        <v>168.08</v>
      </c>
      <c r="AF1214" s="1">
        <v>166.21</v>
      </c>
      <c r="AG1214" s="1">
        <v>157.59</v>
      </c>
      <c r="AX1214" s="1">
        <v>167.57</v>
      </c>
      <c r="BA1214" s="1">
        <v>164.2</v>
      </c>
      <c r="BB1214" s="1">
        <v>169.06</v>
      </c>
      <c r="BC1214" s="1">
        <v>166.71</v>
      </c>
      <c r="BD1214" s="1">
        <v>165.84</v>
      </c>
      <c r="BE1214" s="1">
        <v>165.7</v>
      </c>
      <c r="BF1214" s="1">
        <v>166.9</v>
      </c>
      <c r="BG1214" s="1">
        <v>169.55</v>
      </c>
      <c r="BH1214" s="1">
        <v>159.22</v>
      </c>
      <c r="BI1214" s="1">
        <v>163.21</v>
      </c>
      <c r="BJ1214" s="1">
        <v>172.07</v>
      </c>
      <c r="BK1214" s="1">
        <v>154.80000000000001</v>
      </c>
      <c r="BL1214" s="1">
        <v>154.96</v>
      </c>
      <c r="BN1214" s="1">
        <v>154.80000000000001</v>
      </c>
    </row>
    <row r="1215" spans="1:66" x14ac:dyDescent="0.3">
      <c r="A1215" s="2"/>
      <c r="C1215" s="14" t="str">
        <f t="shared" si="19"/>
        <v>20215</v>
      </c>
      <c r="D1215" s="3">
        <v>44336</v>
      </c>
      <c r="E1215" s="21">
        <v>2394.5100000000002</v>
      </c>
      <c r="F1215" s="21">
        <v>2444.17</v>
      </c>
      <c r="G1215" s="21">
        <v>2551.2800000000002</v>
      </c>
      <c r="H1215" s="21">
        <v>2317.7800000000002</v>
      </c>
      <c r="I1215" s="21">
        <v>2438.19</v>
      </c>
      <c r="J1215" s="21">
        <v>2496.7399999999998</v>
      </c>
      <c r="K1215" s="21">
        <v>2307.0300000000002</v>
      </c>
      <c r="L1215" s="21">
        <v>2376.94</v>
      </c>
      <c r="M1215" s="21">
        <v>2366.9699999999998</v>
      </c>
      <c r="N1215" s="21">
        <v>2161.5100000000002</v>
      </c>
      <c r="O1215" s="21">
        <v>2506</v>
      </c>
      <c r="P1215" s="21">
        <v>2354.06</v>
      </c>
      <c r="Q1215" s="21">
        <v>7824.26</v>
      </c>
      <c r="R1215" s="20">
        <v>160.13</v>
      </c>
      <c r="S1215" s="20">
        <v>152.35</v>
      </c>
      <c r="T1215" s="21">
        <v>159.93</v>
      </c>
      <c r="U1215" s="1">
        <v>158.66999999999999</v>
      </c>
      <c r="V1215" s="1">
        <v>164.1</v>
      </c>
      <c r="W1215" s="1">
        <v>160.91</v>
      </c>
      <c r="X1215" s="1">
        <v>162.94</v>
      </c>
      <c r="Y1215" s="1">
        <v>157.97</v>
      </c>
      <c r="Z1215" s="1">
        <v>158</v>
      </c>
      <c r="AA1215" s="1">
        <v>161.82</v>
      </c>
      <c r="AB1215" s="1">
        <v>163.33000000000001</v>
      </c>
      <c r="AE1215" s="1">
        <v>169.3</v>
      </c>
      <c r="AF1215" s="1">
        <v>164.32</v>
      </c>
      <c r="AG1215" s="1">
        <v>155.72999999999999</v>
      </c>
      <c r="AX1215" s="1">
        <v>168.37</v>
      </c>
      <c r="BA1215" s="1">
        <v>163.74</v>
      </c>
      <c r="BB1215" s="1">
        <v>168.02</v>
      </c>
      <c r="BC1215" s="1">
        <v>165.59</v>
      </c>
      <c r="BD1215" s="1">
        <v>164.29</v>
      </c>
      <c r="BE1215" s="1">
        <v>166.26</v>
      </c>
      <c r="BF1215" s="1">
        <v>166.91</v>
      </c>
      <c r="BG1215" s="1">
        <v>170.06</v>
      </c>
      <c r="BH1215" s="1">
        <v>159.72</v>
      </c>
      <c r="BI1215" s="1">
        <v>164.41</v>
      </c>
      <c r="BJ1215" s="1">
        <v>174.36</v>
      </c>
      <c r="BK1215" s="1">
        <v>154.80000000000001</v>
      </c>
      <c r="BL1215" s="1">
        <v>154.96</v>
      </c>
      <c r="BN1215" s="1">
        <v>159.30000000000001</v>
      </c>
    </row>
    <row r="1216" spans="1:66" x14ac:dyDescent="0.3">
      <c r="A1216" s="2"/>
      <c r="C1216" s="14" t="str">
        <f t="shared" si="19"/>
        <v>20215</v>
      </c>
      <c r="D1216" s="3">
        <v>44335</v>
      </c>
      <c r="E1216" s="21">
        <v>2395.94</v>
      </c>
      <c r="F1216" s="21">
        <v>2442.27</v>
      </c>
      <c r="G1216" s="21">
        <v>2566.25</v>
      </c>
      <c r="H1216" s="21">
        <v>2328.02</v>
      </c>
      <c r="I1216" s="21">
        <v>2489.71</v>
      </c>
      <c r="J1216" s="21">
        <v>2527.39</v>
      </c>
      <c r="K1216" s="21">
        <v>2321.31</v>
      </c>
      <c r="L1216" s="21">
        <v>2376.94</v>
      </c>
      <c r="M1216" s="21">
        <v>2368.5100000000002</v>
      </c>
      <c r="N1216" s="21">
        <v>2183.89</v>
      </c>
      <c r="O1216" s="21">
        <v>2585</v>
      </c>
      <c r="P1216" s="21">
        <v>2345.14</v>
      </c>
      <c r="Q1216" s="21">
        <v>7840.82</v>
      </c>
      <c r="R1216" s="20">
        <v>160.91</v>
      </c>
      <c r="S1216" s="20">
        <v>154.49</v>
      </c>
      <c r="T1216" s="21">
        <v>159.88999999999999</v>
      </c>
      <c r="V1216" s="1">
        <v>164.82</v>
      </c>
      <c r="W1216" s="1">
        <v>163.89</v>
      </c>
      <c r="X1216" s="1">
        <v>163.77000000000001</v>
      </c>
      <c r="Y1216" s="1">
        <v>158.07</v>
      </c>
      <c r="Z1216" s="1">
        <v>158</v>
      </c>
      <c r="AA1216" s="1">
        <v>163.22999999999999</v>
      </c>
      <c r="AB1216" s="1">
        <v>163.93</v>
      </c>
      <c r="AE1216" s="1">
        <v>169.68</v>
      </c>
      <c r="AF1216" s="1">
        <v>164.31</v>
      </c>
      <c r="AG1216" s="1">
        <v>161.94999999999999</v>
      </c>
      <c r="AS1216" s="1">
        <v>4281.91</v>
      </c>
      <c r="AX1216" s="1">
        <v>168.84</v>
      </c>
      <c r="BA1216" s="1">
        <v>164.25</v>
      </c>
      <c r="BB1216" s="1">
        <v>168.05</v>
      </c>
      <c r="BC1216" s="1">
        <v>166.53</v>
      </c>
      <c r="BD1216" s="1">
        <v>163.49</v>
      </c>
      <c r="BE1216" s="1">
        <v>166.23</v>
      </c>
      <c r="BF1216" s="1">
        <v>171.18</v>
      </c>
      <c r="BG1216" s="1">
        <v>170.11</v>
      </c>
      <c r="BH1216" s="1">
        <v>158</v>
      </c>
      <c r="BI1216" s="1">
        <v>166.8</v>
      </c>
      <c r="BJ1216" s="1">
        <v>175.56</v>
      </c>
      <c r="BK1216" s="1">
        <v>155.51</v>
      </c>
      <c r="BL1216" s="1">
        <v>154.80000000000001</v>
      </c>
      <c r="BN1216" s="1">
        <v>159.30000000000001</v>
      </c>
    </row>
    <row r="1217" spans="1:66" x14ac:dyDescent="0.3">
      <c r="A1217" s="2"/>
      <c r="C1217" s="14" t="str">
        <f t="shared" si="19"/>
        <v>20215</v>
      </c>
      <c r="D1217" s="3">
        <v>44334</v>
      </c>
      <c r="E1217" s="21">
        <v>2421.92</v>
      </c>
      <c r="F1217" s="21">
        <v>2493.0300000000002</v>
      </c>
      <c r="G1217" s="21">
        <v>2588.6999999999998</v>
      </c>
      <c r="H1217" s="21">
        <v>2369.54</v>
      </c>
      <c r="I1217" s="21">
        <v>2445.67</v>
      </c>
      <c r="J1217" s="21">
        <v>2538.86</v>
      </c>
      <c r="K1217" s="21">
        <v>2343.1799999999998</v>
      </c>
      <c r="L1217" s="21">
        <v>2443.5</v>
      </c>
      <c r="M1217" s="21">
        <v>2377.88</v>
      </c>
      <c r="N1217" s="21">
        <v>2210.6</v>
      </c>
      <c r="O1217" s="21">
        <v>2523.2800000000002</v>
      </c>
      <c r="P1217" s="21">
        <v>2377.7800000000002</v>
      </c>
      <c r="Q1217" s="21">
        <v>7842.14</v>
      </c>
      <c r="R1217" s="20">
        <v>162.72999999999999</v>
      </c>
      <c r="S1217" s="20">
        <v>156.79</v>
      </c>
      <c r="T1217" s="21">
        <v>162.26</v>
      </c>
      <c r="V1217" s="1">
        <v>165.74</v>
      </c>
      <c r="W1217" s="1">
        <v>163.72</v>
      </c>
      <c r="X1217" s="1">
        <v>164.78</v>
      </c>
      <c r="Y1217" s="1">
        <v>159.5</v>
      </c>
      <c r="Z1217" s="1">
        <v>158.66</v>
      </c>
      <c r="AA1217" s="1">
        <v>164.98</v>
      </c>
      <c r="AB1217" s="1">
        <v>165.01</v>
      </c>
      <c r="AE1217" s="1">
        <v>171.53</v>
      </c>
      <c r="AF1217" s="1">
        <v>168.55</v>
      </c>
      <c r="AG1217" s="1">
        <v>164.31</v>
      </c>
      <c r="AS1217" s="1">
        <v>4281.91</v>
      </c>
      <c r="AX1217" s="1">
        <v>170.4</v>
      </c>
      <c r="BA1217" s="1">
        <v>168.03</v>
      </c>
      <c r="BB1217" s="1">
        <v>170.74</v>
      </c>
      <c r="BC1217" s="1">
        <v>169.43</v>
      </c>
      <c r="BD1217" s="1">
        <v>167.71</v>
      </c>
      <c r="BE1217" s="1">
        <v>170.58</v>
      </c>
      <c r="BF1217" s="1">
        <v>172.31</v>
      </c>
      <c r="BG1217" s="1">
        <v>171.82</v>
      </c>
      <c r="BH1217" s="1">
        <v>160.5</v>
      </c>
      <c r="BI1217" s="1">
        <v>166.78</v>
      </c>
      <c r="BJ1217" s="1">
        <v>176.75</v>
      </c>
      <c r="BK1217" s="1">
        <v>156.6</v>
      </c>
      <c r="BL1217" s="1">
        <v>159.26</v>
      </c>
      <c r="BN1217" s="1">
        <v>161.94999999999999</v>
      </c>
    </row>
    <row r="1218" spans="1:66" x14ac:dyDescent="0.3">
      <c r="A1218" s="2"/>
      <c r="C1218" s="14" t="str">
        <f t="shared" si="19"/>
        <v>20215</v>
      </c>
      <c r="D1218" s="3">
        <v>44333</v>
      </c>
      <c r="E1218" s="21">
        <v>2437.33</v>
      </c>
      <c r="F1218" s="21">
        <v>2505.5</v>
      </c>
      <c r="G1218" s="21">
        <v>2588.6999999999998</v>
      </c>
      <c r="H1218" s="21">
        <v>2345.5700000000002</v>
      </c>
      <c r="I1218" s="21">
        <v>2445.67</v>
      </c>
      <c r="J1218" s="21">
        <v>2583.33</v>
      </c>
      <c r="K1218" s="21">
        <v>2339.77</v>
      </c>
      <c r="L1218" s="21">
        <v>2403.6</v>
      </c>
      <c r="M1218" s="21">
        <v>2403.41</v>
      </c>
      <c r="N1218" s="21">
        <v>2202.7399999999998</v>
      </c>
      <c r="O1218" s="21">
        <v>2536.14</v>
      </c>
      <c r="P1218" s="21">
        <v>2404.09</v>
      </c>
      <c r="Q1218" s="21">
        <v>7804.56</v>
      </c>
      <c r="R1218" s="20">
        <v>163.27000000000001</v>
      </c>
      <c r="S1218" s="20">
        <v>158.08000000000001</v>
      </c>
      <c r="T1218" s="21">
        <v>162.91999999999999</v>
      </c>
      <c r="V1218" s="1">
        <v>165.94</v>
      </c>
      <c r="W1218" s="1">
        <v>166.39</v>
      </c>
      <c r="X1218" s="1">
        <v>164.75</v>
      </c>
      <c r="Y1218" s="1">
        <v>160.38999999999999</v>
      </c>
      <c r="Z1218" s="1">
        <v>161.41999999999999</v>
      </c>
      <c r="AA1218" s="1">
        <v>166.26</v>
      </c>
      <c r="AB1218" s="1">
        <v>165.12</v>
      </c>
      <c r="AE1218" s="1">
        <v>172.48</v>
      </c>
      <c r="AF1218" s="1">
        <v>167.39</v>
      </c>
      <c r="AG1218" s="1">
        <v>161.31</v>
      </c>
      <c r="AS1218" s="1">
        <v>4281.91</v>
      </c>
      <c r="AX1218" s="1">
        <v>170.6</v>
      </c>
      <c r="BA1218" s="1">
        <v>169.1</v>
      </c>
      <c r="BB1218" s="1">
        <v>172.31</v>
      </c>
      <c r="BC1218" s="1">
        <v>170</v>
      </c>
      <c r="BD1218" s="1">
        <v>169.37</v>
      </c>
      <c r="BE1218" s="1">
        <v>172.1</v>
      </c>
      <c r="BF1218" s="1">
        <v>172.9</v>
      </c>
      <c r="BG1218" s="1">
        <v>172.87</v>
      </c>
      <c r="BH1218" s="1">
        <v>160.59</v>
      </c>
      <c r="BI1218" s="1">
        <v>166.8</v>
      </c>
      <c r="BJ1218" s="1">
        <v>174.62</v>
      </c>
      <c r="BK1218" s="1">
        <v>157</v>
      </c>
      <c r="BL1218" s="1">
        <v>158.26</v>
      </c>
      <c r="BN1218" s="1">
        <v>161.94999999999999</v>
      </c>
    </row>
    <row r="1219" spans="1:66" x14ac:dyDescent="0.3">
      <c r="A1219" s="2"/>
      <c r="C1219" s="14" t="str">
        <f t="shared" si="19"/>
        <v>20215</v>
      </c>
      <c r="D1219" s="3">
        <v>44330</v>
      </c>
      <c r="E1219" s="21">
        <v>2486.8000000000002</v>
      </c>
      <c r="F1219" s="21">
        <v>2529.3000000000002</v>
      </c>
      <c r="G1219" s="21">
        <v>2606.13</v>
      </c>
      <c r="H1219" s="21">
        <v>2366.15</v>
      </c>
      <c r="I1219" s="21">
        <v>2503.0100000000002</v>
      </c>
      <c r="J1219" s="21">
        <v>2491.34</v>
      </c>
      <c r="K1219" s="21">
        <v>2394.65</v>
      </c>
      <c r="L1219" s="21">
        <v>2458.9699999999998</v>
      </c>
      <c r="M1219" s="21"/>
      <c r="N1219" s="21">
        <v>2236.0500000000002</v>
      </c>
      <c r="O1219" s="21">
        <v>2584.4899999999998</v>
      </c>
      <c r="P1219" s="21">
        <v>2402.09</v>
      </c>
      <c r="Q1219" s="21">
        <v>7535</v>
      </c>
      <c r="R1219" s="20">
        <v>162.58000000000001</v>
      </c>
      <c r="S1219" s="20">
        <v>158.66999999999999</v>
      </c>
      <c r="T1219" s="21">
        <v>163.87</v>
      </c>
      <c r="V1219" s="1">
        <v>165.61</v>
      </c>
      <c r="W1219" s="1">
        <v>165.89</v>
      </c>
      <c r="X1219" s="1">
        <v>165.4</v>
      </c>
      <c r="Y1219" s="1">
        <v>162.80000000000001</v>
      </c>
      <c r="Z1219" s="1">
        <v>161.99</v>
      </c>
      <c r="AA1219" s="1">
        <v>166.15</v>
      </c>
      <c r="AB1219" s="1">
        <v>165.9</v>
      </c>
      <c r="AE1219" s="1">
        <v>173.7</v>
      </c>
      <c r="AF1219" s="1">
        <v>168.4</v>
      </c>
      <c r="AG1219" s="1">
        <v>164.71</v>
      </c>
      <c r="AS1219" s="1">
        <v>4281.91</v>
      </c>
      <c r="AX1219" s="1">
        <v>171.39</v>
      </c>
      <c r="BA1219" s="1">
        <v>171.79</v>
      </c>
      <c r="BB1219" s="1">
        <v>171.98</v>
      </c>
      <c r="BC1219" s="1">
        <v>174.03</v>
      </c>
      <c r="BD1219" s="1">
        <v>168.38</v>
      </c>
      <c r="BE1219" s="1">
        <v>167.69</v>
      </c>
      <c r="BF1219" s="1">
        <v>169.53</v>
      </c>
      <c r="BG1219" s="1">
        <v>174.68</v>
      </c>
      <c r="BH1219" s="1">
        <v>160.87</v>
      </c>
      <c r="BI1219" s="1">
        <v>167.6</v>
      </c>
      <c r="BJ1219" s="1">
        <v>176.74</v>
      </c>
      <c r="BK1219" s="1">
        <v>157.30000000000001</v>
      </c>
      <c r="BL1219" s="1">
        <v>158.13999999999999</v>
      </c>
      <c r="BN1219" s="1">
        <v>158.36000000000001</v>
      </c>
    </row>
    <row r="1220" spans="1:66" x14ac:dyDescent="0.3">
      <c r="A1220" s="2"/>
      <c r="C1220" s="14" t="str">
        <f t="shared" si="19"/>
        <v>20215</v>
      </c>
      <c r="D1220" s="3">
        <v>44329</v>
      </c>
      <c r="E1220" s="21">
        <v>2496.7800000000002</v>
      </c>
      <c r="F1220" s="21">
        <v>2529.3000000000002</v>
      </c>
      <c r="G1220" s="21">
        <v>2631.09</v>
      </c>
      <c r="H1220" s="21">
        <v>2386.16</v>
      </c>
      <c r="I1220" s="21">
        <v>2503.0100000000002</v>
      </c>
      <c r="J1220" s="21">
        <v>2551.2199999999998</v>
      </c>
      <c r="K1220" s="21">
        <v>2354.75</v>
      </c>
      <c r="L1220" s="21">
        <v>2485.34</v>
      </c>
      <c r="M1220" s="21"/>
      <c r="N1220" s="21">
        <v>2247.73</v>
      </c>
      <c r="O1220" s="21">
        <v>2572.38</v>
      </c>
      <c r="P1220" s="21">
        <v>2422.06</v>
      </c>
      <c r="Q1220" s="21">
        <v>7658.6</v>
      </c>
      <c r="R1220" s="20">
        <v>164.53</v>
      </c>
      <c r="S1220" s="20">
        <v>162.82</v>
      </c>
      <c r="T1220" s="21">
        <v>166.19</v>
      </c>
      <c r="U1220" s="1">
        <v>173.04</v>
      </c>
      <c r="V1220" s="1">
        <v>166.67</v>
      </c>
      <c r="W1220" s="1">
        <v>165.38</v>
      </c>
      <c r="X1220" s="1">
        <v>167.07</v>
      </c>
      <c r="Y1220" s="1">
        <v>163.13</v>
      </c>
      <c r="Z1220" s="1">
        <v>162.85</v>
      </c>
      <c r="AA1220" s="1">
        <v>167.53</v>
      </c>
      <c r="AB1220" s="1">
        <v>166.79</v>
      </c>
      <c r="AE1220" s="1">
        <v>175.52</v>
      </c>
      <c r="AF1220" s="1">
        <v>169.36</v>
      </c>
      <c r="AG1220" s="1">
        <v>167.95</v>
      </c>
      <c r="AS1220" s="1">
        <v>4281.91</v>
      </c>
      <c r="AX1220" s="1">
        <v>171.13</v>
      </c>
      <c r="BA1220" s="1">
        <v>174.18</v>
      </c>
      <c r="BB1220" s="1">
        <v>172.47</v>
      </c>
      <c r="BC1220" s="1">
        <v>175.31</v>
      </c>
      <c r="BD1220" s="1">
        <v>169.16</v>
      </c>
      <c r="BE1220" s="1">
        <v>170.58</v>
      </c>
      <c r="BF1220" s="1">
        <v>173.03</v>
      </c>
      <c r="BG1220" s="1">
        <v>176.12</v>
      </c>
      <c r="BH1220" s="1">
        <v>160.72</v>
      </c>
      <c r="BI1220" s="1">
        <v>169</v>
      </c>
      <c r="BJ1220" s="1">
        <v>179.72</v>
      </c>
      <c r="BK1220" s="1">
        <v>151.30000000000001</v>
      </c>
      <c r="BL1220" s="1">
        <v>158.11000000000001</v>
      </c>
      <c r="BN1220" s="1">
        <v>158.68</v>
      </c>
    </row>
    <row r="1221" spans="1:66" x14ac:dyDescent="0.3">
      <c r="A1221" s="2"/>
      <c r="C1221" s="14" t="str">
        <f t="shared" si="19"/>
        <v>20215</v>
      </c>
      <c r="D1221" s="3">
        <v>44328</v>
      </c>
      <c r="E1221" s="21">
        <v>2586.79</v>
      </c>
      <c r="F1221" s="21">
        <v>2514.79</v>
      </c>
      <c r="G1221" s="21">
        <v>2608.64</v>
      </c>
      <c r="H1221" s="21">
        <v>2442.0700000000002</v>
      </c>
      <c r="I1221" s="21">
        <v>2496.36</v>
      </c>
      <c r="J1221" s="21">
        <v>2533.87</v>
      </c>
      <c r="K1221" s="21">
        <v>2412.96</v>
      </c>
      <c r="L1221" s="21">
        <v>2461.66</v>
      </c>
      <c r="M1221" s="21">
        <v>2539.79</v>
      </c>
      <c r="N1221" s="21">
        <v>2340.69</v>
      </c>
      <c r="O1221" s="21">
        <v>2539.69</v>
      </c>
      <c r="P1221" s="21">
        <v>2417.06</v>
      </c>
      <c r="Q1221" s="21">
        <v>7538.33</v>
      </c>
      <c r="R1221" s="20">
        <v>165.13</v>
      </c>
      <c r="S1221" s="20">
        <v>162.58000000000001</v>
      </c>
      <c r="T1221" s="21">
        <v>166.26</v>
      </c>
      <c r="U1221" s="1">
        <v>171.72</v>
      </c>
      <c r="V1221" s="1">
        <v>166.18</v>
      </c>
      <c r="W1221" s="1">
        <v>167.55</v>
      </c>
      <c r="X1221" s="1">
        <v>166.15</v>
      </c>
      <c r="Y1221" s="1">
        <v>164.26</v>
      </c>
      <c r="Z1221" s="1">
        <v>164.71</v>
      </c>
      <c r="AA1221" s="1">
        <v>168.15</v>
      </c>
      <c r="AB1221" s="1">
        <v>166.12</v>
      </c>
      <c r="AE1221" s="1">
        <v>176.15</v>
      </c>
      <c r="AF1221" s="1">
        <v>174.22</v>
      </c>
      <c r="AG1221" s="1">
        <v>169.64</v>
      </c>
      <c r="AX1221" s="1">
        <v>172.33</v>
      </c>
      <c r="BA1221" s="1">
        <v>175.19</v>
      </c>
      <c r="BB1221" s="1">
        <v>178.1</v>
      </c>
      <c r="BC1221" s="1">
        <v>176.61</v>
      </c>
      <c r="BD1221" s="1">
        <v>174.43</v>
      </c>
      <c r="BE1221" s="1">
        <v>171.01</v>
      </c>
      <c r="BF1221" s="1">
        <v>174.78</v>
      </c>
      <c r="BG1221" s="1">
        <v>176.12</v>
      </c>
      <c r="BH1221" s="1">
        <v>160.72</v>
      </c>
      <c r="BI1221" s="1">
        <v>169.4</v>
      </c>
      <c r="BJ1221" s="1">
        <v>181.77</v>
      </c>
      <c r="BK1221" s="1">
        <v>153.30000000000001</v>
      </c>
      <c r="BL1221" s="1">
        <v>161.61000000000001</v>
      </c>
      <c r="BN1221" s="1">
        <v>160.46</v>
      </c>
    </row>
    <row r="1222" spans="1:66" x14ac:dyDescent="0.3">
      <c r="A1222" s="2"/>
      <c r="C1222" s="14" t="str">
        <f t="shared" ref="C1222:C1285" si="20">YEAR(D1222)&amp;MONTH(D1222)</f>
        <v>20215</v>
      </c>
      <c r="D1222" s="3">
        <v>44327</v>
      </c>
      <c r="E1222" s="21">
        <v>2498.66</v>
      </c>
      <c r="F1222" s="21">
        <v>2496.66</v>
      </c>
      <c r="G1222" s="21">
        <v>2593.6799999999998</v>
      </c>
      <c r="H1222" s="21">
        <v>2399.75</v>
      </c>
      <c r="I1222" s="21">
        <v>2458.13</v>
      </c>
      <c r="J1222" s="21">
        <v>2515.56</v>
      </c>
      <c r="K1222" s="21">
        <v>2357.44</v>
      </c>
      <c r="L1222" s="21">
        <v>2438.75</v>
      </c>
      <c r="M1222" s="21">
        <v>2485.69</v>
      </c>
      <c r="N1222" s="21">
        <v>2260.6799999999998</v>
      </c>
      <c r="O1222" s="21">
        <v>2588</v>
      </c>
      <c r="P1222" s="21">
        <v>2361.11</v>
      </c>
      <c r="Q1222" s="21">
        <v>7535.44</v>
      </c>
      <c r="R1222" s="20">
        <v>163.33000000000001</v>
      </c>
      <c r="S1222" s="20">
        <v>161.22</v>
      </c>
      <c r="T1222" s="21">
        <v>165.83</v>
      </c>
      <c r="U1222" s="1">
        <v>170.78</v>
      </c>
      <c r="V1222" s="1">
        <v>164.28</v>
      </c>
      <c r="W1222" s="1">
        <v>165.21</v>
      </c>
      <c r="X1222" s="1">
        <v>165.3</v>
      </c>
      <c r="Y1222" s="1">
        <v>161.83000000000001</v>
      </c>
      <c r="Z1222" s="1">
        <v>161.85</v>
      </c>
      <c r="AA1222" s="1">
        <v>165.83</v>
      </c>
      <c r="AB1222" s="1">
        <v>165.56</v>
      </c>
      <c r="AE1222" s="1">
        <v>174.16</v>
      </c>
      <c r="AF1222" s="1">
        <v>170.05</v>
      </c>
      <c r="AG1222" s="1">
        <v>168.88</v>
      </c>
      <c r="AX1222" s="1">
        <v>168.61</v>
      </c>
      <c r="BA1222" s="1">
        <v>173.02</v>
      </c>
      <c r="BB1222" s="1">
        <v>173.55</v>
      </c>
      <c r="BC1222" s="1">
        <v>174.83</v>
      </c>
      <c r="BD1222" s="1">
        <v>170.35</v>
      </c>
      <c r="BE1222" s="1">
        <v>168.29</v>
      </c>
      <c r="BF1222" s="1">
        <v>172.76</v>
      </c>
      <c r="BG1222" s="1">
        <v>173.77</v>
      </c>
      <c r="BI1222" s="1">
        <v>167</v>
      </c>
      <c r="BJ1222" s="1">
        <v>178.62</v>
      </c>
      <c r="BK1222" s="1">
        <v>151.97</v>
      </c>
      <c r="BL1222" s="1">
        <v>158.88</v>
      </c>
      <c r="BN1222" s="1">
        <v>159.68</v>
      </c>
    </row>
    <row r="1223" spans="1:66" x14ac:dyDescent="0.3">
      <c r="A1223" s="2"/>
      <c r="C1223" s="14" t="str">
        <f t="shared" si="20"/>
        <v>20215</v>
      </c>
      <c r="D1223" s="3">
        <v>44326</v>
      </c>
      <c r="E1223" s="21">
        <v>2498.66</v>
      </c>
      <c r="F1223" s="21">
        <v>2515.6999999999998</v>
      </c>
      <c r="G1223" s="21">
        <v>2582.7800000000002</v>
      </c>
      <c r="H1223" s="21">
        <v>2387.9499999999998</v>
      </c>
      <c r="I1223" s="21">
        <v>2453.15</v>
      </c>
      <c r="J1223" s="21">
        <v>2456.75</v>
      </c>
      <c r="K1223" s="21">
        <v>2348.65</v>
      </c>
      <c r="L1223" s="21">
        <v>2413.08</v>
      </c>
      <c r="M1223" s="21">
        <v>2474.6799999999998</v>
      </c>
      <c r="N1223" s="21">
        <v>2267</v>
      </c>
      <c r="O1223" s="21">
        <v>2549.67</v>
      </c>
      <c r="P1223" s="21">
        <v>2361.11</v>
      </c>
      <c r="Q1223" s="21">
        <v>7416</v>
      </c>
      <c r="R1223" s="20">
        <v>162.53</v>
      </c>
      <c r="S1223" s="20">
        <v>158.4</v>
      </c>
      <c r="T1223" s="21">
        <v>164.74</v>
      </c>
      <c r="U1223" s="1">
        <v>167.75</v>
      </c>
      <c r="V1223" s="1">
        <v>164.28</v>
      </c>
      <c r="W1223" s="1">
        <v>164.89</v>
      </c>
      <c r="X1223" s="1">
        <v>165.3</v>
      </c>
      <c r="Y1223" s="1">
        <v>161.97</v>
      </c>
      <c r="Z1223" s="1">
        <v>161.99</v>
      </c>
      <c r="AA1223" s="1">
        <v>165.26</v>
      </c>
      <c r="AB1223" s="1">
        <v>165.56</v>
      </c>
      <c r="AE1223" s="1">
        <v>173.31</v>
      </c>
      <c r="AF1223" s="1">
        <v>169.85</v>
      </c>
      <c r="AG1223" s="1">
        <v>162.94</v>
      </c>
      <c r="AX1223" s="1">
        <v>167.39</v>
      </c>
      <c r="BA1223" s="1">
        <v>169.68</v>
      </c>
      <c r="BB1223" s="1">
        <v>173.06</v>
      </c>
      <c r="BC1223" s="1">
        <v>171.44</v>
      </c>
      <c r="BD1223" s="1">
        <v>170.05</v>
      </c>
      <c r="BE1223" s="1">
        <v>167.78</v>
      </c>
      <c r="BF1223" s="1">
        <v>169.41</v>
      </c>
      <c r="BG1223" s="1">
        <v>173.65</v>
      </c>
      <c r="BI1223" s="1">
        <v>168.2</v>
      </c>
      <c r="BJ1223" s="1">
        <v>178.92</v>
      </c>
      <c r="BK1223" s="1">
        <v>151.63</v>
      </c>
      <c r="BL1223" s="1">
        <v>157.88</v>
      </c>
      <c r="BN1223" s="1">
        <v>157.84</v>
      </c>
    </row>
    <row r="1224" spans="1:66" x14ac:dyDescent="0.3">
      <c r="A1224" s="2"/>
      <c r="C1224" s="14" t="str">
        <f t="shared" si="20"/>
        <v>20215</v>
      </c>
      <c r="D1224" s="3">
        <v>44323</v>
      </c>
      <c r="E1224" s="21">
        <v>2486.81</v>
      </c>
      <c r="F1224" s="21">
        <v>2537.91</v>
      </c>
      <c r="G1224" s="21">
        <v>2593.6799999999998</v>
      </c>
      <c r="H1224" s="21">
        <v>2390.23</v>
      </c>
      <c r="I1224" s="21">
        <v>2453.15</v>
      </c>
      <c r="J1224" s="21">
        <v>2456.75</v>
      </c>
      <c r="K1224" s="21">
        <v>2353.65</v>
      </c>
      <c r="L1224" s="21">
        <v>2407.5700000000002</v>
      </c>
      <c r="M1224" s="21">
        <v>2441.67</v>
      </c>
      <c r="N1224" s="21">
        <v>2248.44</v>
      </c>
      <c r="O1224" s="21">
        <v>2544.59</v>
      </c>
      <c r="P1224" s="21">
        <v>2374.11</v>
      </c>
      <c r="Q1224" s="21">
        <v>7566.89</v>
      </c>
      <c r="R1224" s="20">
        <v>162.53</v>
      </c>
      <c r="S1224" s="20">
        <v>158.77000000000001</v>
      </c>
      <c r="T1224" s="21">
        <v>165.05</v>
      </c>
      <c r="U1224" s="1">
        <v>169.15</v>
      </c>
      <c r="V1224" s="1">
        <v>164.22</v>
      </c>
      <c r="W1224" s="1">
        <v>166.19</v>
      </c>
      <c r="X1224" s="1">
        <v>165.12</v>
      </c>
      <c r="Y1224" s="1">
        <v>161.41999999999999</v>
      </c>
      <c r="Z1224" s="1">
        <v>161.28</v>
      </c>
      <c r="AA1224" s="1">
        <v>165.52</v>
      </c>
      <c r="AB1224" s="1">
        <v>165.69</v>
      </c>
      <c r="AE1224" s="1">
        <v>174.66</v>
      </c>
      <c r="AF1224" s="1">
        <v>170.53</v>
      </c>
      <c r="AG1224" s="1">
        <v>164.29</v>
      </c>
      <c r="AX1224" s="1">
        <v>168.26</v>
      </c>
      <c r="BA1224" s="1">
        <v>170.65</v>
      </c>
      <c r="BB1224" s="1">
        <v>173.29</v>
      </c>
      <c r="BC1224" s="1">
        <v>172.2</v>
      </c>
      <c r="BD1224" s="1">
        <v>172.17</v>
      </c>
      <c r="BE1224" s="1">
        <v>166.56</v>
      </c>
      <c r="BF1224" s="1">
        <v>170.16</v>
      </c>
      <c r="BG1224" s="1">
        <v>174.78</v>
      </c>
      <c r="BI1224" s="1">
        <v>167.6</v>
      </c>
      <c r="BJ1224" s="1">
        <v>179.01</v>
      </c>
      <c r="BK1224" s="1">
        <v>150.97</v>
      </c>
      <c r="BL1224" s="1">
        <v>157.79</v>
      </c>
      <c r="BN1224" s="1">
        <v>157.16</v>
      </c>
    </row>
    <row r="1225" spans="1:66" x14ac:dyDescent="0.3">
      <c r="A1225" s="2"/>
      <c r="C1225" s="14" t="str">
        <f t="shared" si="20"/>
        <v>20215</v>
      </c>
      <c r="D1225" s="3">
        <v>44322</v>
      </c>
      <c r="E1225" s="21">
        <v>2497.84</v>
      </c>
      <c r="F1225" s="21">
        <v>2539.4299999999998</v>
      </c>
      <c r="G1225" s="21">
        <v>2595.04</v>
      </c>
      <c r="H1225" s="21">
        <v>2396.56</v>
      </c>
      <c r="I1225" s="21">
        <v>2467.09</v>
      </c>
      <c r="J1225" s="21">
        <v>2470.9899999999998</v>
      </c>
      <c r="K1225" s="21">
        <v>2334.75</v>
      </c>
      <c r="L1225" s="21">
        <v>2470.88</v>
      </c>
      <c r="M1225" s="21">
        <v>2408.08</v>
      </c>
      <c r="N1225" s="21">
        <v>2255.12</v>
      </c>
      <c r="O1225" s="21">
        <v>2539.88</v>
      </c>
      <c r="P1225" s="21">
        <v>2327.7800000000002</v>
      </c>
      <c r="Q1225" s="21">
        <v>7675.25</v>
      </c>
      <c r="R1225" s="20">
        <v>163.35</v>
      </c>
      <c r="S1225" s="20">
        <v>158.94999999999999</v>
      </c>
      <c r="T1225" s="21">
        <v>164.46</v>
      </c>
      <c r="U1225" s="1">
        <v>167.52</v>
      </c>
      <c r="V1225" s="1">
        <v>164.3</v>
      </c>
      <c r="W1225" s="1">
        <v>163.89</v>
      </c>
      <c r="X1225" s="1">
        <v>166.57</v>
      </c>
      <c r="Y1225" s="1">
        <v>161.54</v>
      </c>
      <c r="Z1225" s="1">
        <v>161.28</v>
      </c>
      <c r="AA1225" s="1">
        <v>165.78</v>
      </c>
      <c r="AB1225" s="1">
        <v>166.22</v>
      </c>
      <c r="AE1225" s="1">
        <v>175.08</v>
      </c>
      <c r="AF1225" s="1">
        <v>170.32</v>
      </c>
      <c r="AG1225" s="1">
        <v>164.48</v>
      </c>
      <c r="AX1225" s="1">
        <v>168.22</v>
      </c>
      <c r="BA1225" s="1">
        <v>171.45</v>
      </c>
      <c r="BB1225" s="1">
        <v>173.73</v>
      </c>
      <c r="BC1225" s="1">
        <v>174.13</v>
      </c>
      <c r="BD1225" s="1">
        <v>171.78</v>
      </c>
      <c r="BE1225" s="1">
        <v>167.45</v>
      </c>
      <c r="BF1225" s="1">
        <v>170.93</v>
      </c>
      <c r="BG1225" s="1">
        <v>175.51</v>
      </c>
      <c r="BI1225" s="1">
        <v>167.62</v>
      </c>
      <c r="BJ1225" s="1">
        <v>179.81</v>
      </c>
      <c r="BL1225" s="1">
        <v>157.96</v>
      </c>
      <c r="BN1225" s="1">
        <v>158.41999999999999</v>
      </c>
    </row>
    <row r="1226" spans="1:66" x14ac:dyDescent="0.3">
      <c r="A1226" s="2"/>
      <c r="C1226" s="14" t="str">
        <f t="shared" si="20"/>
        <v>20215</v>
      </c>
      <c r="D1226" s="3">
        <v>44321</v>
      </c>
      <c r="E1226" s="21">
        <v>2518.4699999999998</v>
      </c>
      <c r="F1226" s="21">
        <v>2539.4299999999998</v>
      </c>
      <c r="G1226" s="21">
        <v>2595.04</v>
      </c>
      <c r="H1226" s="21">
        <v>2391.6999999999998</v>
      </c>
      <c r="I1226" s="21">
        <v>2491.21</v>
      </c>
      <c r="J1226" s="21">
        <v>2473.0500000000002</v>
      </c>
      <c r="K1226" s="21">
        <v>2334.75</v>
      </c>
      <c r="L1226" s="21">
        <v>2434.7800000000002</v>
      </c>
      <c r="M1226" s="21">
        <v>2401.02</v>
      </c>
      <c r="N1226" s="21">
        <v>2228.06</v>
      </c>
      <c r="O1226" s="21">
        <v>2549.91</v>
      </c>
      <c r="P1226" s="21">
        <v>2334.7800000000002</v>
      </c>
      <c r="Q1226" s="21">
        <v>7805.65</v>
      </c>
      <c r="R1226" s="20">
        <v>163.35</v>
      </c>
      <c r="S1226" s="20">
        <v>158.72999999999999</v>
      </c>
      <c r="T1226" s="21">
        <v>166.13</v>
      </c>
      <c r="U1226" s="1">
        <v>165.42</v>
      </c>
      <c r="V1226" s="1">
        <v>164.29</v>
      </c>
      <c r="W1226" s="1">
        <v>161.97</v>
      </c>
      <c r="X1226" s="1">
        <v>165.5</v>
      </c>
      <c r="Y1226" s="1">
        <v>162.29</v>
      </c>
      <c r="Z1226" s="1">
        <v>162.66</v>
      </c>
      <c r="AA1226" s="1">
        <v>165.16</v>
      </c>
      <c r="AB1226" s="1">
        <v>165.92</v>
      </c>
      <c r="AE1226" s="1">
        <v>175.26</v>
      </c>
      <c r="AF1226" s="1">
        <v>169.3</v>
      </c>
      <c r="AG1226" s="1">
        <v>163.98</v>
      </c>
      <c r="AX1226" s="1">
        <v>167.41</v>
      </c>
      <c r="BA1226" s="1">
        <v>169.32</v>
      </c>
      <c r="BB1226" s="1">
        <v>175.93</v>
      </c>
      <c r="BC1226" s="1">
        <v>176.42</v>
      </c>
      <c r="BD1226" s="1">
        <v>176.06</v>
      </c>
      <c r="BE1226" s="1">
        <v>167.9</v>
      </c>
      <c r="BF1226" s="1">
        <v>172.59</v>
      </c>
      <c r="BG1226" s="1">
        <v>175.66</v>
      </c>
      <c r="BI1226" s="1">
        <v>167.62</v>
      </c>
      <c r="BJ1226" s="1">
        <v>180.7</v>
      </c>
      <c r="BL1226" s="1">
        <v>158.16</v>
      </c>
      <c r="BN1226" s="1">
        <v>158.26</v>
      </c>
    </row>
    <row r="1227" spans="1:66" x14ac:dyDescent="0.3">
      <c r="A1227" s="2"/>
      <c r="C1227" s="14" t="str">
        <f t="shared" si="20"/>
        <v>20215</v>
      </c>
      <c r="D1227" s="3">
        <v>44320</v>
      </c>
      <c r="E1227" s="21">
        <v>2500.4899999999998</v>
      </c>
      <c r="F1227" s="21">
        <v>2538.98</v>
      </c>
      <c r="G1227" s="21">
        <v>2595.04</v>
      </c>
      <c r="H1227" s="21">
        <v>2412.1999999999998</v>
      </c>
      <c r="I1227" s="21">
        <v>2454.62</v>
      </c>
      <c r="J1227" s="21">
        <v>2560.23</v>
      </c>
      <c r="K1227" s="21">
        <v>2337.6</v>
      </c>
      <c r="L1227" s="21">
        <v>2450.91</v>
      </c>
      <c r="M1227" s="21">
        <v>2400.7600000000002</v>
      </c>
      <c r="N1227" s="21">
        <v>2315.86</v>
      </c>
      <c r="O1227" s="21">
        <v>2545.52</v>
      </c>
      <c r="P1227" s="21">
        <v>2334.7800000000002</v>
      </c>
      <c r="Q1227" s="21">
        <v>7607.83</v>
      </c>
      <c r="R1227" s="20">
        <v>163.35</v>
      </c>
      <c r="S1227" s="20">
        <v>159.72999999999999</v>
      </c>
      <c r="T1227" s="21">
        <v>165.22</v>
      </c>
      <c r="U1227" s="1">
        <v>165.34</v>
      </c>
      <c r="V1227" s="1">
        <v>164.75</v>
      </c>
      <c r="W1227" s="1">
        <v>162.97</v>
      </c>
      <c r="X1227" s="1">
        <v>164.96</v>
      </c>
      <c r="Y1227" s="1">
        <v>161.34</v>
      </c>
      <c r="Z1227" s="1">
        <v>161.33000000000001</v>
      </c>
      <c r="AA1227" s="1">
        <v>165.43</v>
      </c>
      <c r="AB1227" s="1">
        <v>165.58</v>
      </c>
      <c r="AE1227" s="1">
        <v>175.23</v>
      </c>
      <c r="AF1227" s="1">
        <v>167.63</v>
      </c>
      <c r="AG1227" s="1">
        <v>164.74</v>
      </c>
      <c r="AQ1227" s="1">
        <v>4166.47</v>
      </c>
      <c r="AX1227" s="1">
        <v>165.49</v>
      </c>
      <c r="BA1227" s="1">
        <v>170.9</v>
      </c>
      <c r="BB1227" s="1">
        <v>175.72</v>
      </c>
      <c r="BC1227" s="1">
        <v>175.5</v>
      </c>
      <c r="BD1227" s="1">
        <v>175.07</v>
      </c>
      <c r="BE1227" s="1">
        <v>167.83</v>
      </c>
      <c r="BF1227" s="1">
        <v>171.12</v>
      </c>
      <c r="BG1227" s="1">
        <v>175.86</v>
      </c>
      <c r="BH1227" s="1">
        <v>163.91</v>
      </c>
      <c r="BI1227" s="1">
        <v>166.82</v>
      </c>
      <c r="BJ1227" s="1">
        <v>180.8</v>
      </c>
      <c r="BL1227" s="1">
        <v>157.1</v>
      </c>
      <c r="BN1227" s="1">
        <v>158.06</v>
      </c>
    </row>
    <row r="1228" spans="1:66" x14ac:dyDescent="0.3">
      <c r="A1228" s="2"/>
      <c r="C1228" s="14" t="str">
        <f t="shared" si="20"/>
        <v>20215</v>
      </c>
      <c r="D1228" s="3">
        <v>44319</v>
      </c>
      <c r="E1228" s="21">
        <v>2474.54</v>
      </c>
      <c r="F1228" s="21">
        <v>2549.87</v>
      </c>
      <c r="G1228" s="21">
        <v>2594.31</v>
      </c>
      <c r="H1228" s="21">
        <v>2417.25</v>
      </c>
      <c r="I1228" s="21">
        <v>2454.62</v>
      </c>
      <c r="J1228" s="21">
        <v>2560.23</v>
      </c>
      <c r="K1228" s="21">
        <v>2336.17</v>
      </c>
      <c r="L1228" s="21">
        <v>2450.91</v>
      </c>
      <c r="M1228" s="21">
        <v>2400.7600000000002</v>
      </c>
      <c r="N1228" s="21">
        <v>2265.52</v>
      </c>
      <c r="O1228" s="21">
        <v>2522.11</v>
      </c>
      <c r="P1228" s="21">
        <v>2325.7800000000002</v>
      </c>
      <c r="Q1228" s="21">
        <v>7604.5</v>
      </c>
      <c r="R1228" s="20">
        <v>161.93</v>
      </c>
      <c r="S1228" s="20">
        <v>158.04</v>
      </c>
      <c r="T1228" s="21">
        <v>164.09</v>
      </c>
      <c r="U1228" s="1">
        <v>165.13</v>
      </c>
      <c r="V1228" s="1">
        <v>163.69999999999999</v>
      </c>
      <c r="W1228" s="1">
        <v>163.65</v>
      </c>
      <c r="X1228" s="1">
        <v>165.25</v>
      </c>
      <c r="Y1228" s="1">
        <v>160.80000000000001</v>
      </c>
      <c r="Z1228" s="1">
        <v>159.13999999999999</v>
      </c>
      <c r="AA1228" s="1">
        <v>164.08</v>
      </c>
      <c r="AB1228" s="1">
        <v>165.47</v>
      </c>
      <c r="AE1228" s="1">
        <v>174.53</v>
      </c>
      <c r="AF1228" s="1">
        <v>167.63</v>
      </c>
      <c r="AG1228" s="1">
        <v>162.38</v>
      </c>
      <c r="AQ1228" s="1">
        <v>4166.47</v>
      </c>
      <c r="AX1228" s="1">
        <v>166.1</v>
      </c>
      <c r="BA1228" s="1">
        <v>166.02</v>
      </c>
      <c r="BB1228" s="1">
        <v>172.74</v>
      </c>
      <c r="BC1228" s="1">
        <v>175.63</v>
      </c>
      <c r="BD1228" s="1">
        <v>169.71</v>
      </c>
      <c r="BE1228" s="1">
        <v>169</v>
      </c>
      <c r="BF1228" s="1">
        <v>170.61</v>
      </c>
      <c r="BG1228" s="1">
        <v>175.31</v>
      </c>
      <c r="BH1228" s="1">
        <v>163.80000000000001</v>
      </c>
      <c r="BI1228" s="1">
        <v>166.22</v>
      </c>
      <c r="BJ1228" s="1">
        <v>179.02</v>
      </c>
      <c r="BL1228" s="1">
        <v>156.1</v>
      </c>
      <c r="BN1228" s="1">
        <v>156.86000000000001</v>
      </c>
    </row>
    <row r="1229" spans="1:66" x14ac:dyDescent="0.3">
      <c r="A1229" s="2"/>
      <c r="C1229" s="14" t="str">
        <f t="shared" si="20"/>
        <v>20214</v>
      </c>
      <c r="D1229" s="3">
        <v>44316</v>
      </c>
      <c r="E1229" s="21">
        <v>2463.7399999999998</v>
      </c>
      <c r="F1229" s="21">
        <v>2512.4499999999998</v>
      </c>
      <c r="G1229" s="21">
        <v>2610.71</v>
      </c>
      <c r="H1229" s="21">
        <v>2391.54</v>
      </c>
      <c r="I1229" s="21">
        <v>2434.44</v>
      </c>
      <c r="J1229" s="21">
        <v>2537.3200000000002</v>
      </c>
      <c r="K1229" s="21">
        <v>2336.0500000000002</v>
      </c>
      <c r="L1229" s="21">
        <v>2413.86</v>
      </c>
      <c r="M1229" s="21">
        <v>2404.33</v>
      </c>
      <c r="N1229" s="21">
        <v>2233.16</v>
      </c>
      <c r="O1229" s="21">
        <v>2526.14</v>
      </c>
      <c r="P1229" s="21">
        <v>2343.6799999999998</v>
      </c>
      <c r="Q1229" s="21">
        <v>7654.08</v>
      </c>
      <c r="R1229" s="20">
        <v>163.68</v>
      </c>
      <c r="S1229" s="20">
        <v>156.12</v>
      </c>
      <c r="T1229" s="21">
        <v>163.97</v>
      </c>
      <c r="U1229" s="1">
        <v>163.13</v>
      </c>
      <c r="V1229" s="1">
        <v>161.79</v>
      </c>
      <c r="W1229" s="1">
        <v>161.31</v>
      </c>
      <c r="X1229" s="1">
        <v>165.06</v>
      </c>
      <c r="Y1229" s="1">
        <v>158.74</v>
      </c>
      <c r="Z1229" s="1">
        <v>158.28</v>
      </c>
      <c r="AA1229" s="1">
        <v>163.03</v>
      </c>
      <c r="AB1229" s="1">
        <v>166.27</v>
      </c>
      <c r="AE1229" s="1">
        <v>172.29</v>
      </c>
      <c r="AF1229" s="1">
        <v>166.06</v>
      </c>
      <c r="AG1229" s="1">
        <v>164.22</v>
      </c>
      <c r="AQ1229" s="1">
        <v>4166.8999999999996</v>
      </c>
      <c r="AX1229" s="1">
        <v>165.69</v>
      </c>
      <c r="BA1229" s="1">
        <v>166.87</v>
      </c>
      <c r="BB1229" s="1">
        <v>171.63</v>
      </c>
      <c r="BC1229" s="1">
        <v>171.82</v>
      </c>
      <c r="BD1229" s="1">
        <v>169.19</v>
      </c>
      <c r="BE1229" s="1">
        <v>170.16</v>
      </c>
      <c r="BF1229" s="1">
        <v>171.94</v>
      </c>
      <c r="BG1229" s="1">
        <v>172.7</v>
      </c>
      <c r="BH1229" s="1">
        <v>162.69999999999999</v>
      </c>
      <c r="BI1229" s="1">
        <v>165.62</v>
      </c>
      <c r="BJ1229" s="1">
        <v>172.86</v>
      </c>
      <c r="BL1229" s="1">
        <v>155.9</v>
      </c>
      <c r="BN1229" s="1">
        <v>155.59</v>
      </c>
    </row>
    <row r="1230" spans="1:66" x14ac:dyDescent="0.3">
      <c r="A1230" s="2"/>
      <c r="C1230" s="14" t="str">
        <f t="shared" si="20"/>
        <v>20214</v>
      </c>
      <c r="D1230" s="3">
        <v>44315</v>
      </c>
      <c r="E1230" s="21">
        <v>2505.11</v>
      </c>
      <c r="F1230" s="21">
        <v>2573.29</v>
      </c>
      <c r="G1230" s="21">
        <v>2660.59</v>
      </c>
      <c r="H1230" s="21">
        <v>2374.23</v>
      </c>
      <c r="I1230" s="21">
        <v>2434.44</v>
      </c>
      <c r="J1230" s="21">
        <v>2515.6</v>
      </c>
      <c r="K1230" s="21">
        <v>2353.17</v>
      </c>
      <c r="L1230" s="21">
        <v>2418.85</v>
      </c>
      <c r="M1230" s="21">
        <v>2404.33</v>
      </c>
      <c r="N1230" s="21">
        <v>2255.46</v>
      </c>
      <c r="O1230" s="21">
        <v>2534.4499999999998</v>
      </c>
      <c r="P1230" s="21">
        <v>2366.46</v>
      </c>
      <c r="Q1230" s="21">
        <v>7764.08</v>
      </c>
      <c r="R1230" s="20">
        <v>166.64</v>
      </c>
      <c r="S1230" s="20">
        <v>155.47999999999999</v>
      </c>
      <c r="T1230" s="21">
        <v>165.2</v>
      </c>
      <c r="U1230" s="1">
        <v>160.94999999999999</v>
      </c>
      <c r="V1230" s="1">
        <v>163.15</v>
      </c>
      <c r="W1230" s="1">
        <v>163.83000000000001</v>
      </c>
      <c r="X1230" s="1">
        <v>167.59</v>
      </c>
      <c r="Y1230" s="1">
        <v>158.44</v>
      </c>
      <c r="Z1230" s="1">
        <v>158.13999999999999</v>
      </c>
      <c r="AA1230" s="1">
        <v>164.14</v>
      </c>
      <c r="AB1230" s="1">
        <v>169.26</v>
      </c>
      <c r="AE1230" s="1">
        <v>174.07</v>
      </c>
      <c r="AF1230" s="1">
        <v>166.18</v>
      </c>
      <c r="AG1230" s="1">
        <v>162.69</v>
      </c>
      <c r="AQ1230" s="1">
        <v>4166.8999999999996</v>
      </c>
      <c r="AX1230" s="1">
        <v>166.8</v>
      </c>
      <c r="BA1230" s="1">
        <v>166.13</v>
      </c>
      <c r="BB1230" s="1">
        <v>173.27</v>
      </c>
      <c r="BC1230" s="1">
        <v>173.9</v>
      </c>
      <c r="BD1230" s="1">
        <v>169.74</v>
      </c>
      <c r="BE1230" s="1">
        <v>169.92</v>
      </c>
      <c r="BF1230" s="1">
        <v>171.93</v>
      </c>
      <c r="BG1230" s="1">
        <v>175.23</v>
      </c>
      <c r="BH1230" s="1">
        <v>163.47999999999999</v>
      </c>
      <c r="BI1230" s="1">
        <v>169.13</v>
      </c>
      <c r="BJ1230" s="1">
        <v>175.35</v>
      </c>
      <c r="BL1230" s="1">
        <v>154.5</v>
      </c>
      <c r="BN1230" s="1">
        <v>154.34</v>
      </c>
    </row>
    <row r="1231" spans="1:66" x14ac:dyDescent="0.3">
      <c r="A1231" s="2"/>
      <c r="C1231" s="14" t="str">
        <f t="shared" si="20"/>
        <v>20214</v>
      </c>
      <c r="D1231" s="3">
        <v>44314</v>
      </c>
      <c r="E1231" s="21">
        <v>2595.3000000000002</v>
      </c>
      <c r="F1231" s="21">
        <v>2573.29</v>
      </c>
      <c r="G1231" s="21">
        <v>2660.59</v>
      </c>
      <c r="H1231" s="21">
        <v>2396.5700000000002</v>
      </c>
      <c r="I1231" s="21">
        <v>2457.7199999999998</v>
      </c>
      <c r="J1231" s="21">
        <v>2508.83</v>
      </c>
      <c r="K1231" s="21">
        <v>2366.7800000000002</v>
      </c>
      <c r="L1231" s="21">
        <v>2433.34</v>
      </c>
      <c r="M1231" s="21"/>
      <c r="N1231" s="21">
        <v>2252.44</v>
      </c>
      <c r="O1231" s="21">
        <v>2546.2600000000002</v>
      </c>
      <c r="P1231" s="21">
        <v>2386.4299999999998</v>
      </c>
      <c r="Q1231" s="21">
        <v>7548.06</v>
      </c>
      <c r="R1231" s="20">
        <v>165.16</v>
      </c>
      <c r="S1231" s="20">
        <v>156.32</v>
      </c>
      <c r="T1231" s="21">
        <v>166.23</v>
      </c>
      <c r="U1231" s="1">
        <v>162.46</v>
      </c>
      <c r="V1231" s="1">
        <v>164.62</v>
      </c>
      <c r="W1231" s="1">
        <v>167.43</v>
      </c>
      <c r="X1231" s="1">
        <v>169.25</v>
      </c>
      <c r="Y1231" s="1">
        <v>161.36000000000001</v>
      </c>
      <c r="Z1231" s="1">
        <v>161.71</v>
      </c>
      <c r="AA1231" s="1">
        <v>165.49</v>
      </c>
      <c r="AB1231" s="1">
        <v>169.82</v>
      </c>
      <c r="AE1231" s="1">
        <v>175.2</v>
      </c>
      <c r="AF1231" s="1">
        <v>169.91</v>
      </c>
      <c r="AG1231" s="1">
        <v>163.28</v>
      </c>
      <c r="AQ1231" s="1">
        <v>4166.8999999999996</v>
      </c>
      <c r="AX1231" s="1">
        <v>167.8</v>
      </c>
      <c r="BA1231" s="1">
        <v>167.74</v>
      </c>
      <c r="BB1231" s="1">
        <v>175.83</v>
      </c>
      <c r="BC1231" s="1">
        <v>175.3</v>
      </c>
      <c r="BD1231" s="1">
        <v>172.67</v>
      </c>
      <c r="BE1231" s="1">
        <v>171.44</v>
      </c>
      <c r="BF1231" s="1">
        <v>175.27</v>
      </c>
      <c r="BG1231" s="1">
        <v>175.59</v>
      </c>
      <c r="BH1231" s="1">
        <v>163.47999999999999</v>
      </c>
      <c r="BI1231" s="1">
        <v>169.02</v>
      </c>
      <c r="BJ1231" s="1">
        <v>175.34</v>
      </c>
      <c r="BL1231" s="1">
        <v>158.63</v>
      </c>
      <c r="BN1231" s="1">
        <v>158.41</v>
      </c>
    </row>
    <row r="1232" spans="1:66" x14ac:dyDescent="0.3">
      <c r="A1232" s="2"/>
      <c r="C1232" s="14" t="str">
        <f t="shared" si="20"/>
        <v>20214</v>
      </c>
      <c r="D1232" s="3">
        <v>44313</v>
      </c>
      <c r="E1232" s="21">
        <v>2557.58</v>
      </c>
      <c r="F1232" s="21">
        <v>2580.4699999999998</v>
      </c>
      <c r="G1232" s="21">
        <v>2637.21</v>
      </c>
      <c r="H1232" s="21">
        <v>2431.15</v>
      </c>
      <c r="I1232" s="21">
        <v>2424.46</v>
      </c>
      <c r="J1232" s="21">
        <v>2496.5100000000002</v>
      </c>
      <c r="K1232" s="21">
        <v>2368.87</v>
      </c>
      <c r="L1232" s="21">
        <v>2476.8000000000002</v>
      </c>
      <c r="M1232" s="21"/>
      <c r="N1232" s="21">
        <v>2295.29</v>
      </c>
      <c r="O1232" s="21">
        <v>2556.35</v>
      </c>
      <c r="P1232" s="21">
        <v>2386.4299999999998</v>
      </c>
      <c r="Q1232" s="21">
        <v>7706.45</v>
      </c>
      <c r="R1232" s="20">
        <v>162.56</v>
      </c>
      <c r="S1232" s="20">
        <v>159.66</v>
      </c>
      <c r="T1232" s="21">
        <v>167.52</v>
      </c>
      <c r="U1232" s="1">
        <v>166.6</v>
      </c>
      <c r="V1232" s="1">
        <v>164.94</v>
      </c>
      <c r="W1232" s="1">
        <v>167.35</v>
      </c>
      <c r="X1232" s="1">
        <v>170.64</v>
      </c>
      <c r="Y1232" s="1">
        <v>163.15</v>
      </c>
      <c r="Z1232" s="1">
        <v>162.57</v>
      </c>
      <c r="AA1232" s="1">
        <v>164.69</v>
      </c>
      <c r="AB1232" s="1">
        <v>171.04</v>
      </c>
      <c r="AE1232" s="1">
        <v>177.58</v>
      </c>
      <c r="AF1232" s="1">
        <v>171.91</v>
      </c>
      <c r="AG1232" s="1">
        <v>162.38999999999999</v>
      </c>
      <c r="BA1232" s="1">
        <v>169.84</v>
      </c>
      <c r="BB1232" s="1">
        <v>176.17</v>
      </c>
      <c r="BC1232" s="1">
        <v>177.18</v>
      </c>
      <c r="BD1232" s="1">
        <v>172.68</v>
      </c>
      <c r="BE1232" s="1">
        <v>168.94</v>
      </c>
      <c r="BF1232" s="1">
        <v>172.94</v>
      </c>
      <c r="BG1232" s="1">
        <v>177.43</v>
      </c>
      <c r="BH1232" s="1">
        <v>166.13</v>
      </c>
      <c r="BI1232" s="1">
        <v>169.02</v>
      </c>
      <c r="BJ1232" s="1">
        <v>175.34</v>
      </c>
      <c r="BL1232" s="1">
        <v>158.76</v>
      </c>
      <c r="BN1232" s="1">
        <v>158.62</v>
      </c>
    </row>
    <row r="1233" spans="1:66" x14ac:dyDescent="0.3">
      <c r="A1233" s="2"/>
      <c r="C1233" s="14" t="str">
        <f t="shared" si="20"/>
        <v>20214</v>
      </c>
      <c r="D1233" s="3">
        <v>44312</v>
      </c>
      <c r="E1233" s="21">
        <v>2552.2800000000002</v>
      </c>
      <c r="F1233" s="21">
        <v>2580.4699999999998</v>
      </c>
      <c r="G1233" s="21">
        <v>2644.73</v>
      </c>
      <c r="H1233" s="21">
        <v>2463.17</v>
      </c>
      <c r="I1233" s="21">
        <v>2419.48</v>
      </c>
      <c r="J1233" s="21">
        <v>2498.09</v>
      </c>
      <c r="K1233" s="21">
        <v>2368.87</v>
      </c>
      <c r="L1233" s="21">
        <v>2456.83</v>
      </c>
      <c r="M1233" s="21"/>
      <c r="N1233" s="21">
        <v>2296.38</v>
      </c>
      <c r="O1233" s="21">
        <v>2548.35</v>
      </c>
      <c r="P1233" s="21">
        <v>2373.64</v>
      </c>
      <c r="Q1233" s="21">
        <v>7618.84</v>
      </c>
      <c r="R1233" s="20">
        <v>161.96</v>
      </c>
      <c r="S1233" s="20">
        <v>159.94999999999999</v>
      </c>
      <c r="T1233" s="21">
        <v>165.84</v>
      </c>
      <c r="U1233" s="1">
        <v>170.66</v>
      </c>
      <c r="V1233" s="1">
        <v>163.44999999999999</v>
      </c>
      <c r="W1233" s="1">
        <v>166.99</v>
      </c>
      <c r="X1233" s="1">
        <v>169.82</v>
      </c>
      <c r="Y1233" s="1">
        <v>162.41999999999999</v>
      </c>
      <c r="Z1233" s="1">
        <v>162.28</v>
      </c>
      <c r="AA1233" s="1">
        <v>164.58</v>
      </c>
      <c r="AB1233" s="1">
        <v>170.71</v>
      </c>
      <c r="AE1233" s="1">
        <v>177.01</v>
      </c>
      <c r="AF1233" s="1">
        <v>169.76</v>
      </c>
      <c r="AG1233" s="1">
        <v>165.2</v>
      </c>
      <c r="AY1233" s="1">
        <v>3974.06</v>
      </c>
      <c r="BA1233" s="1">
        <v>173.24</v>
      </c>
      <c r="BB1233" s="1">
        <v>176.29</v>
      </c>
      <c r="BC1233" s="1">
        <v>177.08</v>
      </c>
      <c r="BD1233" s="1">
        <v>171.05</v>
      </c>
      <c r="BE1233" s="1">
        <v>169.46</v>
      </c>
      <c r="BF1233" s="1">
        <v>168.42</v>
      </c>
      <c r="BG1233" s="1">
        <v>177.43</v>
      </c>
      <c r="BH1233" s="1">
        <v>164.48</v>
      </c>
      <c r="BI1233" s="1">
        <v>168.82</v>
      </c>
      <c r="BJ1233" s="1">
        <v>175.34</v>
      </c>
      <c r="BL1233" s="1">
        <v>159.36000000000001</v>
      </c>
      <c r="BN1233" s="1">
        <v>159.13</v>
      </c>
    </row>
    <row r="1234" spans="1:66" x14ac:dyDescent="0.3">
      <c r="A1234" s="2"/>
      <c r="C1234" s="14" t="str">
        <f t="shared" si="20"/>
        <v>20214</v>
      </c>
      <c r="D1234" s="3">
        <v>44309</v>
      </c>
      <c r="E1234" s="21">
        <v>2526.52</v>
      </c>
      <c r="F1234" s="21">
        <v>2610.71</v>
      </c>
      <c r="G1234" s="21">
        <v>2612.27</v>
      </c>
      <c r="H1234" s="21">
        <v>2439.0300000000002</v>
      </c>
      <c r="I1234" s="21">
        <v>2421.14</v>
      </c>
      <c r="J1234" s="21">
        <v>2498.09</v>
      </c>
      <c r="K1234" s="21">
        <v>2407.4299999999998</v>
      </c>
      <c r="L1234" s="21">
        <v>2456.83</v>
      </c>
      <c r="M1234" s="21"/>
      <c r="N1234" s="21">
        <v>2282.41</v>
      </c>
      <c r="O1234" s="21">
        <v>2514.41</v>
      </c>
      <c r="P1234" s="21">
        <v>2375.64</v>
      </c>
      <c r="Q1234" s="21">
        <v>7690.73</v>
      </c>
      <c r="R1234" s="20">
        <v>162.72999999999999</v>
      </c>
      <c r="S1234" s="20">
        <v>159.19</v>
      </c>
      <c r="T1234" s="21">
        <v>165.49</v>
      </c>
      <c r="U1234" s="1">
        <v>169.83</v>
      </c>
      <c r="V1234" s="1">
        <v>163.44999999999999</v>
      </c>
      <c r="W1234" s="1">
        <v>166.16</v>
      </c>
      <c r="X1234" s="1">
        <v>169.17</v>
      </c>
      <c r="Y1234" s="1">
        <v>161.4</v>
      </c>
      <c r="Z1234" s="1">
        <v>161.74</v>
      </c>
      <c r="AA1234" s="1">
        <v>163.96</v>
      </c>
      <c r="AB1234" s="1">
        <v>170.1</v>
      </c>
      <c r="AE1234" s="1">
        <v>175.92</v>
      </c>
      <c r="AF1234" s="1">
        <v>168.88</v>
      </c>
      <c r="AG1234" s="1">
        <v>165.55</v>
      </c>
      <c r="AK1234" s="1">
        <v>0</v>
      </c>
      <c r="AN1234" s="1">
        <v>4159.49</v>
      </c>
      <c r="AO1234" s="1">
        <v>7</v>
      </c>
      <c r="AS1234" s="1">
        <v>4630.5600000000004</v>
      </c>
      <c r="AT1234" s="1">
        <v>3801.37</v>
      </c>
      <c r="AY1234" s="1">
        <v>3974.06</v>
      </c>
      <c r="AZ1234" s="1">
        <v>4209.6000000000004</v>
      </c>
      <c r="BA1234" s="1">
        <v>171.92</v>
      </c>
      <c r="BB1234" s="1">
        <v>175.79</v>
      </c>
      <c r="BC1234" s="1">
        <v>174.06</v>
      </c>
      <c r="BD1234" s="1">
        <v>170.17</v>
      </c>
      <c r="BE1234" s="1">
        <v>167.69</v>
      </c>
      <c r="BF1234" s="1">
        <v>166.92</v>
      </c>
      <c r="BG1234" s="1">
        <v>176.81</v>
      </c>
      <c r="BH1234" s="1">
        <v>162.30000000000001</v>
      </c>
      <c r="BI1234" s="1">
        <v>168.82</v>
      </c>
      <c r="BJ1234" s="1">
        <v>175.19</v>
      </c>
      <c r="BL1234" s="1">
        <v>158.5</v>
      </c>
      <c r="BN1234" s="1">
        <v>158.36000000000001</v>
      </c>
    </row>
    <row r="1235" spans="1:66" x14ac:dyDescent="0.3">
      <c r="A1235" s="2"/>
      <c r="C1235" s="14" t="str">
        <f t="shared" si="20"/>
        <v>20214</v>
      </c>
      <c r="D1235" s="3">
        <v>44308</v>
      </c>
      <c r="E1235" s="21">
        <v>2522.2399999999998</v>
      </c>
      <c r="F1235" s="21">
        <v>2616.25</v>
      </c>
      <c r="G1235" s="21">
        <v>2589.81</v>
      </c>
      <c r="H1235" s="21">
        <v>2445.13</v>
      </c>
      <c r="I1235" s="21">
        <v>2451.0700000000002</v>
      </c>
      <c r="J1235" s="21">
        <v>2482.85</v>
      </c>
      <c r="K1235" s="21">
        <v>2389.87</v>
      </c>
      <c r="L1235" s="21">
        <v>2463.4899999999998</v>
      </c>
      <c r="M1235" s="21"/>
      <c r="N1235" s="21">
        <v>2269.12</v>
      </c>
      <c r="O1235" s="21">
        <v>2520.41</v>
      </c>
      <c r="P1235" s="21">
        <v>2337.9299999999998</v>
      </c>
      <c r="Q1235" s="21">
        <v>7516.43</v>
      </c>
      <c r="R1235" s="20">
        <v>161.13</v>
      </c>
      <c r="S1235" s="20">
        <v>161.28</v>
      </c>
      <c r="T1235" s="21">
        <v>164.55</v>
      </c>
      <c r="U1235" s="1">
        <v>171.16</v>
      </c>
      <c r="V1235" s="1">
        <v>163.44999999999999</v>
      </c>
      <c r="W1235" s="1">
        <v>166.07</v>
      </c>
      <c r="X1235" s="1">
        <v>168.32</v>
      </c>
      <c r="Y1235" s="1">
        <v>161.97</v>
      </c>
      <c r="Z1235" s="1">
        <v>162</v>
      </c>
      <c r="AA1235" s="1">
        <v>162.72</v>
      </c>
      <c r="AB1235" s="1">
        <v>169.48</v>
      </c>
      <c r="AE1235" s="1">
        <v>175.5</v>
      </c>
      <c r="AF1235" s="1">
        <v>169.89</v>
      </c>
      <c r="AG1235" s="1">
        <v>165.05</v>
      </c>
      <c r="AK1235" s="1">
        <v>0</v>
      </c>
      <c r="AN1235" s="1">
        <v>4159.49</v>
      </c>
      <c r="AO1235" s="1">
        <v>7</v>
      </c>
      <c r="AS1235" s="1">
        <v>4630.5600000000004</v>
      </c>
      <c r="AT1235" s="1">
        <v>3801.37</v>
      </c>
      <c r="AY1235" s="1">
        <v>3974.06</v>
      </c>
      <c r="AZ1235" s="1">
        <v>4209.6000000000004</v>
      </c>
      <c r="BA1235" s="1">
        <v>171.38</v>
      </c>
      <c r="BB1235" s="1">
        <v>177.31</v>
      </c>
      <c r="BC1235" s="1">
        <v>174.32</v>
      </c>
      <c r="BD1235" s="1">
        <v>172.24</v>
      </c>
      <c r="BE1235" s="1">
        <v>165.23</v>
      </c>
      <c r="BF1235" s="1">
        <v>167.73</v>
      </c>
      <c r="BG1235" s="1">
        <v>176.11</v>
      </c>
      <c r="BI1235" s="1">
        <v>167.82</v>
      </c>
      <c r="BJ1235" s="1">
        <v>175.87</v>
      </c>
      <c r="BL1235" s="1">
        <v>158.44</v>
      </c>
      <c r="BN1235" s="1">
        <v>158.16</v>
      </c>
    </row>
    <row r="1236" spans="1:66" x14ac:dyDescent="0.3">
      <c r="A1236" s="2"/>
      <c r="C1236" s="14" t="str">
        <f t="shared" si="20"/>
        <v>20214</v>
      </c>
      <c r="D1236" s="3">
        <v>44306</v>
      </c>
      <c r="E1236" s="21">
        <v>2504.34</v>
      </c>
      <c r="F1236" s="21">
        <v>2544.19</v>
      </c>
      <c r="G1236" s="21">
        <v>2544.92</v>
      </c>
      <c r="H1236" s="21">
        <v>2413.67</v>
      </c>
      <c r="I1236" s="21">
        <v>2427.79</v>
      </c>
      <c r="J1236" s="21">
        <v>2486.85</v>
      </c>
      <c r="K1236" s="21">
        <v>2373.1799999999998</v>
      </c>
      <c r="L1236" s="21">
        <v>2443.52</v>
      </c>
      <c r="M1236" s="21"/>
      <c r="N1236" s="21">
        <v>2218.41</v>
      </c>
      <c r="O1236" s="21">
        <v>2490.42</v>
      </c>
      <c r="P1236" s="21">
        <v>2343.6799999999998</v>
      </c>
      <c r="Q1236" s="21">
        <v>7383.47</v>
      </c>
      <c r="R1236" s="20">
        <v>159.96</v>
      </c>
      <c r="S1236" s="20">
        <v>156.94999999999999</v>
      </c>
      <c r="T1236" s="21">
        <v>162.38</v>
      </c>
      <c r="U1236" s="1">
        <v>165.5</v>
      </c>
      <c r="V1236" s="1">
        <v>161.69999999999999</v>
      </c>
      <c r="W1236" s="1">
        <v>163.55000000000001</v>
      </c>
      <c r="X1236" s="1">
        <v>166.73</v>
      </c>
      <c r="Y1236" s="1">
        <v>160.56</v>
      </c>
      <c r="Z1236" s="1">
        <v>160.47999999999999</v>
      </c>
      <c r="AA1236" s="1">
        <v>161.63999999999999</v>
      </c>
      <c r="AB1236" s="1">
        <v>167.16</v>
      </c>
      <c r="AE1236" s="1">
        <v>172.89</v>
      </c>
      <c r="AF1236" s="1">
        <v>164.76</v>
      </c>
      <c r="AG1236" s="1">
        <v>161.66</v>
      </c>
      <c r="AK1236" s="1">
        <v>0</v>
      </c>
      <c r="AN1236" s="1">
        <v>4159.49</v>
      </c>
      <c r="AO1236" s="1">
        <v>7</v>
      </c>
      <c r="AS1236" s="1">
        <v>4630.5600000000004</v>
      </c>
      <c r="AT1236" s="1">
        <v>3801.37</v>
      </c>
      <c r="AY1236" s="1">
        <v>3974.06</v>
      </c>
      <c r="AZ1236" s="1">
        <v>4209.6000000000004</v>
      </c>
      <c r="BA1236" s="1">
        <v>169.22</v>
      </c>
      <c r="BB1236" s="1">
        <v>172.73</v>
      </c>
      <c r="BC1236" s="1">
        <v>171.86</v>
      </c>
      <c r="BD1236" s="1">
        <v>166.15</v>
      </c>
      <c r="BE1236" s="1">
        <v>164.69</v>
      </c>
      <c r="BF1236" s="1">
        <v>166.44</v>
      </c>
      <c r="BG1236" s="1">
        <v>172.68</v>
      </c>
      <c r="BH1236" s="1">
        <v>161.68</v>
      </c>
      <c r="BI1236" s="1">
        <v>167.82</v>
      </c>
      <c r="BJ1236" s="1">
        <v>175.87</v>
      </c>
      <c r="BL1236" s="1">
        <v>156.36000000000001</v>
      </c>
      <c r="BN1236" s="1">
        <v>155.91999999999999</v>
      </c>
    </row>
    <row r="1237" spans="1:66" x14ac:dyDescent="0.3">
      <c r="A1237" s="2"/>
      <c r="C1237" s="14" t="str">
        <f t="shared" si="20"/>
        <v>20214</v>
      </c>
      <c r="D1237" s="3">
        <v>44305</v>
      </c>
      <c r="E1237" s="21">
        <v>2496.02</v>
      </c>
      <c r="F1237" s="21">
        <v>2544.19</v>
      </c>
      <c r="G1237" s="21">
        <v>2549.91</v>
      </c>
      <c r="H1237" s="21">
        <v>2402.75</v>
      </c>
      <c r="I1237" s="21">
        <v>2424.46</v>
      </c>
      <c r="J1237" s="21">
        <v>2516.81</v>
      </c>
      <c r="K1237" s="21">
        <v>2373.1799999999998</v>
      </c>
      <c r="L1237" s="21">
        <v>2443.52</v>
      </c>
      <c r="M1237" s="21"/>
      <c r="N1237" s="21">
        <v>2216.69</v>
      </c>
      <c r="O1237" s="21">
        <v>2486.42</v>
      </c>
      <c r="P1237" s="21">
        <v>2343.6799999999998</v>
      </c>
      <c r="Q1237" s="21">
        <v>7362.19</v>
      </c>
      <c r="R1237" s="20">
        <v>159.26</v>
      </c>
      <c r="S1237" s="20">
        <v>155.12</v>
      </c>
      <c r="T1237" s="21">
        <v>162.01</v>
      </c>
      <c r="U1237" s="1">
        <v>164</v>
      </c>
      <c r="V1237" s="1">
        <v>159.19999999999999</v>
      </c>
      <c r="W1237" s="1">
        <v>162.13999999999999</v>
      </c>
      <c r="X1237" s="1">
        <v>166.1</v>
      </c>
      <c r="Y1237" s="1">
        <v>159.97</v>
      </c>
      <c r="Z1237" s="1">
        <v>160</v>
      </c>
      <c r="AA1237" s="1">
        <v>160.53</v>
      </c>
      <c r="AB1237" s="1">
        <v>166.71</v>
      </c>
      <c r="AE1237" s="1">
        <v>172.37</v>
      </c>
      <c r="AF1237" s="1">
        <v>166.11</v>
      </c>
      <c r="AG1237" s="1">
        <v>160.46</v>
      </c>
      <c r="AK1237" s="1">
        <v>0</v>
      </c>
      <c r="AN1237" s="1">
        <v>4159.49</v>
      </c>
      <c r="AS1237" s="1">
        <v>4630.5600000000004</v>
      </c>
      <c r="AT1237" s="1">
        <v>3908.92</v>
      </c>
      <c r="AY1237" s="1">
        <v>4006.64</v>
      </c>
      <c r="AZ1237" s="1">
        <v>4209.6000000000004</v>
      </c>
      <c r="BA1237" s="1">
        <v>167.78</v>
      </c>
      <c r="BB1237" s="1">
        <v>172.25</v>
      </c>
      <c r="BC1237" s="1">
        <v>171.13</v>
      </c>
      <c r="BD1237" s="1">
        <v>167.89</v>
      </c>
      <c r="BE1237" s="1">
        <v>164.69</v>
      </c>
      <c r="BF1237" s="1">
        <v>165.44</v>
      </c>
      <c r="BG1237" s="1">
        <v>172.11</v>
      </c>
      <c r="BH1237" s="1">
        <v>162.44</v>
      </c>
      <c r="BI1237" s="1">
        <v>166.42</v>
      </c>
      <c r="BJ1237" s="1">
        <v>174.17</v>
      </c>
      <c r="BL1237" s="1">
        <v>156.33000000000001</v>
      </c>
      <c r="BN1237" s="1">
        <v>155.96</v>
      </c>
    </row>
    <row r="1238" spans="1:66" x14ac:dyDescent="0.3">
      <c r="A1238" s="2"/>
      <c r="C1238" s="14" t="str">
        <f t="shared" si="20"/>
        <v>20214</v>
      </c>
      <c r="D1238" s="3">
        <v>44302</v>
      </c>
      <c r="E1238" s="21">
        <v>2535.41</v>
      </c>
      <c r="F1238" s="21">
        <v>2544.19</v>
      </c>
      <c r="G1238" s="21">
        <v>2582.36</v>
      </c>
      <c r="H1238" s="21">
        <v>2402.75</v>
      </c>
      <c r="I1238" s="21">
        <v>2467.6999999999998</v>
      </c>
      <c r="J1238" s="21">
        <v>2506.81</v>
      </c>
      <c r="K1238" s="21">
        <v>2370.33</v>
      </c>
      <c r="L1238" s="21">
        <v>2443.52</v>
      </c>
      <c r="M1238" s="21"/>
      <c r="N1238" s="21">
        <v>2272.31</v>
      </c>
      <c r="O1238" s="21">
        <v>2485.35</v>
      </c>
      <c r="P1238" s="21">
        <v>2343.6799999999998</v>
      </c>
      <c r="Q1238" s="21">
        <v>7175.73</v>
      </c>
      <c r="R1238" s="20">
        <v>158.06</v>
      </c>
      <c r="S1238" s="20">
        <v>153.62</v>
      </c>
      <c r="T1238" s="21">
        <v>160.94999999999999</v>
      </c>
      <c r="U1238" s="1">
        <v>162.13999999999999</v>
      </c>
      <c r="V1238" s="1">
        <v>160.19999999999999</v>
      </c>
      <c r="W1238" s="1">
        <v>161.57</v>
      </c>
      <c r="X1238" s="1">
        <v>166.04</v>
      </c>
      <c r="Y1238" s="1">
        <v>159.97</v>
      </c>
      <c r="Z1238" s="1">
        <v>160</v>
      </c>
      <c r="AA1238" s="1">
        <v>159.96</v>
      </c>
      <c r="AB1238" s="1">
        <v>166.71</v>
      </c>
      <c r="AE1238" s="1">
        <v>171.2</v>
      </c>
      <c r="AF1238" s="1">
        <v>165.63</v>
      </c>
      <c r="AG1238" s="1">
        <v>157.44</v>
      </c>
      <c r="AW1238" s="1">
        <v>2895.36</v>
      </c>
      <c r="AY1238" s="1">
        <v>4006.64</v>
      </c>
      <c r="BA1238" s="1">
        <v>167.14</v>
      </c>
      <c r="BB1238" s="1">
        <v>171.55</v>
      </c>
      <c r="BC1238" s="1">
        <v>170.44</v>
      </c>
      <c r="BD1238" s="1">
        <v>169</v>
      </c>
      <c r="BE1238" s="1">
        <v>163.89</v>
      </c>
      <c r="BF1238" s="1">
        <v>159.93</v>
      </c>
      <c r="BG1238" s="1">
        <v>171.38</v>
      </c>
      <c r="BH1238" s="1">
        <v>163.97</v>
      </c>
      <c r="BI1238" s="1">
        <v>165.23</v>
      </c>
      <c r="BJ1238" s="1">
        <v>172.91</v>
      </c>
      <c r="BL1238" s="1">
        <v>156.13999999999999</v>
      </c>
      <c r="BN1238" s="1">
        <v>155.52000000000001</v>
      </c>
    </row>
    <row r="1239" spans="1:66" x14ac:dyDescent="0.3">
      <c r="A1239" s="2"/>
      <c r="C1239" s="14" t="str">
        <f t="shared" si="20"/>
        <v>20214</v>
      </c>
      <c r="D1239" s="3">
        <v>44301</v>
      </c>
      <c r="E1239" s="21">
        <v>2515.44</v>
      </c>
      <c r="F1239" s="21">
        <v>2544.19</v>
      </c>
      <c r="G1239" s="21">
        <v>2582.36</v>
      </c>
      <c r="H1239" s="21">
        <v>2420.62</v>
      </c>
      <c r="I1239" s="21">
        <v>2424.46</v>
      </c>
      <c r="J1239" s="21">
        <v>2473.37</v>
      </c>
      <c r="K1239" s="21">
        <v>2347.67</v>
      </c>
      <c r="L1239" s="21">
        <v>2433.25</v>
      </c>
      <c r="M1239" s="21"/>
      <c r="N1239" s="21">
        <v>2256.71</v>
      </c>
      <c r="O1239" s="21">
        <v>2492.79</v>
      </c>
      <c r="P1239" s="21">
        <v>2351.67</v>
      </c>
      <c r="Q1239" s="21">
        <v>7213.21</v>
      </c>
      <c r="R1239" s="20">
        <v>158.1</v>
      </c>
      <c r="S1239" s="20">
        <v>151.62</v>
      </c>
      <c r="T1239" s="21">
        <v>160.28</v>
      </c>
      <c r="U1239" s="1">
        <v>159.4</v>
      </c>
      <c r="V1239" s="1">
        <v>159.69999999999999</v>
      </c>
      <c r="W1239" s="1">
        <v>162.21</v>
      </c>
      <c r="X1239" s="1">
        <v>165.71</v>
      </c>
      <c r="Y1239" s="1">
        <v>159.88999999999999</v>
      </c>
      <c r="Z1239" s="1">
        <v>159.35</v>
      </c>
      <c r="AA1239" s="1">
        <v>160.18</v>
      </c>
      <c r="AB1239" s="1">
        <v>166.15</v>
      </c>
      <c r="AE1239" s="1">
        <v>169.63</v>
      </c>
      <c r="AF1239" s="1">
        <v>164.42</v>
      </c>
      <c r="AG1239" s="1">
        <v>157.11000000000001</v>
      </c>
      <c r="AW1239" s="1">
        <v>2895.36</v>
      </c>
      <c r="AY1239" s="1">
        <v>4006.64</v>
      </c>
      <c r="AZ1239" s="1">
        <v>4267.2299999999996</v>
      </c>
      <c r="BA1239" s="1">
        <v>164.61</v>
      </c>
      <c r="BB1239" s="1">
        <v>170.94</v>
      </c>
      <c r="BC1239" s="1">
        <v>168.33</v>
      </c>
      <c r="BD1239" s="1">
        <v>165.12</v>
      </c>
      <c r="BF1239" s="1">
        <v>159.88</v>
      </c>
      <c r="BG1239" s="1">
        <v>170.02</v>
      </c>
      <c r="BH1239" s="1">
        <v>163.22999999999999</v>
      </c>
      <c r="BI1239" s="1">
        <v>164.32</v>
      </c>
      <c r="BJ1239" s="1">
        <v>172.05</v>
      </c>
      <c r="BL1239" s="1">
        <v>155.88999999999999</v>
      </c>
      <c r="BN1239" s="1">
        <v>154.72</v>
      </c>
    </row>
    <row r="1240" spans="1:66" x14ac:dyDescent="0.3">
      <c r="A1240" s="2"/>
      <c r="C1240" s="14" t="str">
        <f t="shared" si="20"/>
        <v>20214</v>
      </c>
      <c r="D1240" s="3">
        <v>44300</v>
      </c>
      <c r="E1240" s="21">
        <v>2488.35</v>
      </c>
      <c r="F1240" s="21">
        <v>2544.19</v>
      </c>
      <c r="G1240" s="21">
        <v>2594.83</v>
      </c>
      <c r="H1240" s="21">
        <v>2414.21</v>
      </c>
      <c r="I1240" s="21">
        <v>2424.46</v>
      </c>
      <c r="J1240" s="21">
        <v>2479.37</v>
      </c>
      <c r="K1240" s="21">
        <v>2343.2800000000002</v>
      </c>
      <c r="L1240" s="21">
        <v>2433.25</v>
      </c>
      <c r="M1240" s="21"/>
      <c r="N1240" s="21">
        <v>2217.85</v>
      </c>
      <c r="O1240" s="21">
        <v>2511.8000000000002</v>
      </c>
      <c r="P1240" s="21">
        <v>2351.67</v>
      </c>
      <c r="Q1240" s="21">
        <v>7233.19</v>
      </c>
      <c r="R1240" s="20">
        <v>158.1</v>
      </c>
      <c r="S1240" s="20">
        <v>152.04</v>
      </c>
      <c r="T1240" s="21">
        <v>159.37</v>
      </c>
      <c r="U1240" s="1">
        <v>159.66</v>
      </c>
      <c r="V1240" s="1">
        <v>159.69999999999999</v>
      </c>
      <c r="W1240" s="1">
        <v>161.62</v>
      </c>
      <c r="X1240" s="1">
        <v>164.96</v>
      </c>
      <c r="Y1240" s="1">
        <v>158.97</v>
      </c>
      <c r="Z1240" s="1">
        <v>159.19</v>
      </c>
      <c r="AA1240" s="1">
        <v>160.13</v>
      </c>
      <c r="AB1240" s="1">
        <v>165.6</v>
      </c>
      <c r="AD1240" s="1">
        <v>161.96</v>
      </c>
      <c r="AE1240" s="1">
        <v>169.34</v>
      </c>
      <c r="AF1240" s="1">
        <v>162.52000000000001</v>
      </c>
      <c r="AG1240" s="1">
        <v>156.87</v>
      </c>
      <c r="AP1240" s="1">
        <v>4531.25</v>
      </c>
      <c r="AW1240" s="1">
        <v>2895.36</v>
      </c>
      <c r="AY1240" s="1">
        <v>4006.64</v>
      </c>
      <c r="AZ1240" s="1">
        <v>4267.2299999999996</v>
      </c>
      <c r="BA1240" s="1">
        <v>163.68</v>
      </c>
      <c r="BB1240" s="1">
        <v>172.79</v>
      </c>
      <c r="BC1240" s="1">
        <v>169.64</v>
      </c>
      <c r="BD1240" s="1">
        <v>172.06</v>
      </c>
      <c r="BF1240" s="1">
        <v>159.77000000000001</v>
      </c>
      <c r="BG1240" s="1">
        <v>169.37</v>
      </c>
      <c r="BH1240" s="1">
        <v>160.38</v>
      </c>
      <c r="BI1240" s="1">
        <v>161.62</v>
      </c>
      <c r="BJ1240" s="1">
        <v>172.05</v>
      </c>
      <c r="BL1240" s="1">
        <v>155.13999999999999</v>
      </c>
      <c r="BN1240" s="1">
        <v>154.32</v>
      </c>
    </row>
    <row r="1241" spans="1:66" x14ac:dyDescent="0.3">
      <c r="A1241" s="2"/>
      <c r="C1241" s="14" t="str">
        <f t="shared" si="20"/>
        <v>20214</v>
      </c>
      <c r="D1241" s="3">
        <v>44299</v>
      </c>
      <c r="E1241" s="21">
        <v>2449.48</v>
      </c>
      <c r="F1241" s="21">
        <v>2539.1999999999998</v>
      </c>
      <c r="G1241" s="21">
        <v>2594.83</v>
      </c>
      <c r="H1241" s="21">
        <v>2406.34</v>
      </c>
      <c r="I1241" s="21">
        <v>2419.48</v>
      </c>
      <c r="J1241" s="21">
        <v>2477.81</v>
      </c>
      <c r="K1241" s="21">
        <v>2466.86</v>
      </c>
      <c r="L1241" s="21">
        <v>2446.56</v>
      </c>
      <c r="M1241" s="21"/>
      <c r="N1241" s="21">
        <v>2210.09</v>
      </c>
      <c r="O1241" s="21">
        <v>2480.44</v>
      </c>
      <c r="P1241" s="21">
        <v>2483.41</v>
      </c>
      <c r="Q1241" s="21">
        <v>7270</v>
      </c>
      <c r="R1241" s="20">
        <v>157.16</v>
      </c>
      <c r="S1241" s="20">
        <v>152.04</v>
      </c>
      <c r="T1241" s="21">
        <v>159.51</v>
      </c>
      <c r="U1241" s="1">
        <v>159.88999999999999</v>
      </c>
      <c r="V1241" s="1">
        <v>159.69999999999999</v>
      </c>
      <c r="W1241" s="1">
        <v>160.31</v>
      </c>
      <c r="X1241" s="1">
        <v>164.78</v>
      </c>
      <c r="Y1241" s="1">
        <v>158.84</v>
      </c>
      <c r="Z1241" s="1">
        <v>158.47</v>
      </c>
      <c r="AA1241" s="1">
        <v>158.66999999999999</v>
      </c>
      <c r="AB1241" s="1">
        <v>165.71</v>
      </c>
      <c r="AE1241" s="1">
        <v>167.86</v>
      </c>
      <c r="AF1241" s="1">
        <v>161.24</v>
      </c>
      <c r="AG1241" s="1">
        <v>156.44</v>
      </c>
      <c r="AP1241" s="1">
        <v>4531.25</v>
      </c>
      <c r="AW1241" s="1">
        <v>2895.36</v>
      </c>
      <c r="AX1241" s="1">
        <v>160.84</v>
      </c>
      <c r="AY1241" s="1">
        <v>4006.64</v>
      </c>
      <c r="AZ1241" s="1">
        <v>4267.2299999999996</v>
      </c>
      <c r="BA1241" s="1">
        <v>162.53</v>
      </c>
      <c r="BB1241" s="1">
        <v>169.38</v>
      </c>
      <c r="BC1241" s="1">
        <v>168.45</v>
      </c>
      <c r="BD1241" s="1">
        <v>163.97</v>
      </c>
      <c r="BE1241" s="1">
        <v>161.41999999999999</v>
      </c>
      <c r="BF1241" s="1">
        <v>159.43</v>
      </c>
      <c r="BG1241" s="1">
        <v>168.45</v>
      </c>
      <c r="BH1241" s="1">
        <v>159.71</v>
      </c>
      <c r="BI1241" s="1">
        <v>163.02000000000001</v>
      </c>
      <c r="BJ1241" s="1">
        <v>168.65</v>
      </c>
      <c r="BL1241" s="1">
        <v>154.46</v>
      </c>
      <c r="BN1241" s="1">
        <v>153.41999999999999</v>
      </c>
    </row>
    <row r="1242" spans="1:66" x14ac:dyDescent="0.3">
      <c r="A1242" s="2"/>
      <c r="C1242" s="14" t="str">
        <f t="shared" si="20"/>
        <v>20214</v>
      </c>
      <c r="D1242" s="3">
        <v>44298</v>
      </c>
      <c r="E1242" s="21">
        <v>2438.69</v>
      </c>
      <c r="F1242" s="21">
        <v>2538.75</v>
      </c>
      <c r="G1242" s="21">
        <v>2611.71</v>
      </c>
      <c r="H1242" s="21">
        <v>2417.58</v>
      </c>
      <c r="I1242" s="21">
        <v>2419.48</v>
      </c>
      <c r="J1242" s="21">
        <v>2541.59</v>
      </c>
      <c r="K1242" s="21">
        <v>2466.86</v>
      </c>
      <c r="L1242" s="21">
        <v>2446.56</v>
      </c>
      <c r="M1242" s="21"/>
      <c r="N1242" s="21">
        <v>2230.1999999999998</v>
      </c>
      <c r="O1242" s="21">
        <v>2483</v>
      </c>
      <c r="P1242" s="21">
        <v>2505.9</v>
      </c>
      <c r="Q1242" s="21">
        <v>7249.37</v>
      </c>
      <c r="R1242" s="20">
        <v>156.16</v>
      </c>
      <c r="S1242" s="20">
        <v>150.62</v>
      </c>
      <c r="T1242" s="21">
        <v>158.86000000000001</v>
      </c>
      <c r="U1242" s="1">
        <v>160.19999999999999</v>
      </c>
      <c r="V1242" s="1">
        <v>159.94999999999999</v>
      </c>
      <c r="W1242" s="1">
        <v>159.97</v>
      </c>
      <c r="X1242" s="1">
        <v>164.96</v>
      </c>
      <c r="Y1242" s="1">
        <v>157.97</v>
      </c>
      <c r="Z1242" s="1">
        <v>158</v>
      </c>
      <c r="AA1242" s="1">
        <v>157.74</v>
      </c>
      <c r="AB1242" s="1">
        <v>165.67</v>
      </c>
      <c r="AE1242" s="1">
        <v>167.8</v>
      </c>
      <c r="AF1242" s="1">
        <v>161.68</v>
      </c>
      <c r="AG1242" s="1">
        <v>156.18</v>
      </c>
      <c r="AP1242" s="1">
        <v>4531.25</v>
      </c>
      <c r="AW1242" s="1">
        <v>2895.36</v>
      </c>
      <c r="AX1242" s="1">
        <v>160.96</v>
      </c>
      <c r="AZ1242" s="1">
        <v>4267.2299999999996</v>
      </c>
      <c r="BA1242" s="1">
        <v>160.56</v>
      </c>
      <c r="BB1242" s="1">
        <v>167.04</v>
      </c>
      <c r="BC1242" s="1">
        <v>166.54</v>
      </c>
      <c r="BD1242" s="1">
        <v>163.05000000000001</v>
      </c>
      <c r="BE1242" s="1">
        <v>160.85</v>
      </c>
      <c r="BF1242" s="1">
        <v>160.44</v>
      </c>
      <c r="BG1242" s="1">
        <v>167.93</v>
      </c>
      <c r="BH1242" s="1">
        <v>159.63999999999999</v>
      </c>
      <c r="BI1242" s="1">
        <v>162.82</v>
      </c>
      <c r="BJ1242" s="1">
        <v>168.65</v>
      </c>
      <c r="BL1242" s="1">
        <v>154.41999999999999</v>
      </c>
      <c r="BN1242" s="1">
        <v>152.84</v>
      </c>
    </row>
    <row r="1243" spans="1:66" x14ac:dyDescent="0.3">
      <c r="A1243" s="2"/>
      <c r="C1243" s="14" t="str">
        <f t="shared" si="20"/>
        <v>20214</v>
      </c>
      <c r="D1243" s="3">
        <v>44295</v>
      </c>
      <c r="E1243" s="21">
        <v>2515.44</v>
      </c>
      <c r="F1243" s="21">
        <v>2531.7199999999998</v>
      </c>
      <c r="G1243" s="21">
        <v>2582.35</v>
      </c>
      <c r="H1243" s="21">
        <v>2416.04</v>
      </c>
      <c r="I1243" s="21">
        <v>2419.48</v>
      </c>
      <c r="J1243" s="21">
        <v>2498.14</v>
      </c>
      <c r="K1243" s="21">
        <v>2448.54</v>
      </c>
      <c r="L1243" s="21">
        <v>2449.61</v>
      </c>
      <c r="M1243" s="21">
        <v>2379.0100000000002</v>
      </c>
      <c r="N1243" s="21">
        <v>2259.7600000000002</v>
      </c>
      <c r="O1243" s="21">
        <v>2505.9</v>
      </c>
      <c r="P1243" s="21">
        <v>2478.4299999999998</v>
      </c>
      <c r="Q1243" s="21">
        <v>7279.3</v>
      </c>
      <c r="R1243" s="20">
        <v>157.56</v>
      </c>
      <c r="S1243" s="20">
        <v>151.55000000000001</v>
      </c>
      <c r="T1243" s="21">
        <v>159.34</v>
      </c>
      <c r="U1243" s="1">
        <v>160.93</v>
      </c>
      <c r="V1243" s="1">
        <v>159.69999999999999</v>
      </c>
      <c r="W1243" s="1">
        <v>159.86000000000001</v>
      </c>
      <c r="X1243" s="1">
        <v>164.96</v>
      </c>
      <c r="Y1243" s="1">
        <v>157.34</v>
      </c>
      <c r="Z1243" s="1">
        <v>158.18</v>
      </c>
      <c r="AA1243" s="1">
        <v>158.72</v>
      </c>
      <c r="AB1243" s="1">
        <v>165.25</v>
      </c>
      <c r="AE1243" s="1">
        <v>167.78</v>
      </c>
      <c r="AF1243" s="1">
        <v>166.82</v>
      </c>
      <c r="AG1243" s="1">
        <v>156.31</v>
      </c>
      <c r="AP1243" s="1">
        <v>4531.25</v>
      </c>
      <c r="AW1243" s="1">
        <v>3038.43</v>
      </c>
      <c r="AX1243" s="1">
        <v>161.32</v>
      </c>
      <c r="AZ1243" s="1">
        <v>4267.2299999999996</v>
      </c>
      <c r="BA1243" s="1">
        <v>162.59</v>
      </c>
      <c r="BB1243" s="1">
        <v>168.77</v>
      </c>
      <c r="BC1243" s="1">
        <v>166.78</v>
      </c>
      <c r="BD1243" s="1">
        <v>166.89</v>
      </c>
      <c r="BE1243" s="1">
        <v>162.59</v>
      </c>
      <c r="BF1243" s="1">
        <v>161.53</v>
      </c>
      <c r="BG1243" s="1">
        <v>167.82</v>
      </c>
      <c r="BH1243" s="1">
        <v>160.83000000000001</v>
      </c>
      <c r="BI1243" s="1">
        <v>162.82</v>
      </c>
      <c r="BJ1243" s="1">
        <v>171.2</v>
      </c>
      <c r="BL1243" s="1">
        <v>153.63999999999999</v>
      </c>
      <c r="BN1243" s="1">
        <v>153.12</v>
      </c>
    </row>
    <row r="1244" spans="1:66" x14ac:dyDescent="0.3">
      <c r="A1244" s="2"/>
      <c r="C1244" s="14" t="str">
        <f t="shared" si="20"/>
        <v>20214</v>
      </c>
      <c r="D1244" s="3">
        <v>44294</v>
      </c>
      <c r="E1244" s="21">
        <v>2474.38</v>
      </c>
      <c r="F1244" s="21">
        <v>2531.7199999999998</v>
      </c>
      <c r="G1244" s="21">
        <v>2599.83</v>
      </c>
      <c r="H1244" s="21">
        <v>2419.38</v>
      </c>
      <c r="I1244" s="21">
        <v>2407</v>
      </c>
      <c r="J1244" s="21">
        <v>2497.54</v>
      </c>
      <c r="K1244" s="21">
        <v>2448.54</v>
      </c>
      <c r="L1244" s="21">
        <v>2449.61</v>
      </c>
      <c r="M1244" s="21">
        <v>2375.3000000000002</v>
      </c>
      <c r="N1244" s="21">
        <v>2186.7600000000002</v>
      </c>
      <c r="O1244" s="21">
        <v>2504.73</v>
      </c>
      <c r="P1244" s="21">
        <v>2478.4299999999998</v>
      </c>
      <c r="Q1244" s="21">
        <v>7399.14</v>
      </c>
      <c r="R1244" s="20">
        <v>157.96</v>
      </c>
      <c r="S1244" s="20">
        <v>150.44</v>
      </c>
      <c r="T1244" s="21">
        <v>158.88999999999999</v>
      </c>
      <c r="U1244" s="1">
        <v>159.35</v>
      </c>
      <c r="V1244" s="1">
        <v>159.56</v>
      </c>
      <c r="W1244" s="1">
        <v>160.99</v>
      </c>
      <c r="X1244" s="1">
        <v>164.96</v>
      </c>
      <c r="Y1244" s="1">
        <v>157.6</v>
      </c>
      <c r="Z1244" s="1">
        <v>158.1</v>
      </c>
      <c r="AA1244" s="1">
        <v>158.87</v>
      </c>
      <c r="AB1244" s="1">
        <v>165.25</v>
      </c>
      <c r="AE1244" s="1">
        <v>167.98</v>
      </c>
      <c r="AF1244" s="1">
        <v>163.27000000000001</v>
      </c>
      <c r="AG1244" s="1">
        <v>155.99</v>
      </c>
      <c r="AP1244" s="1">
        <v>4531.25</v>
      </c>
      <c r="AW1244" s="1">
        <v>3038.43</v>
      </c>
      <c r="AX1244" s="1">
        <v>161.36000000000001</v>
      </c>
      <c r="BA1244" s="1">
        <v>162.16999999999999</v>
      </c>
      <c r="BB1244" s="1">
        <v>166.83</v>
      </c>
      <c r="BC1244" s="1">
        <v>165.13</v>
      </c>
      <c r="BD1244" s="1">
        <v>161.79</v>
      </c>
      <c r="BE1244" s="1">
        <v>162.59</v>
      </c>
      <c r="BF1244" s="1">
        <v>161.53</v>
      </c>
      <c r="BG1244" s="1">
        <v>167.39</v>
      </c>
      <c r="BH1244" s="1">
        <v>161.47999999999999</v>
      </c>
      <c r="BI1244" s="1">
        <v>162.82</v>
      </c>
      <c r="BJ1244" s="1">
        <v>171.2</v>
      </c>
      <c r="BL1244" s="1">
        <v>153.36000000000001</v>
      </c>
      <c r="BN1244" s="1">
        <v>152.72</v>
      </c>
    </row>
    <row r="1245" spans="1:66" x14ac:dyDescent="0.3">
      <c r="A1245" s="2"/>
      <c r="C1245" s="14" t="str">
        <f t="shared" si="20"/>
        <v>20214</v>
      </c>
      <c r="D1245" s="3">
        <v>44293</v>
      </c>
      <c r="E1245" s="21">
        <v>2466.61</v>
      </c>
      <c r="F1245" s="21">
        <v>2528.0700000000002</v>
      </c>
      <c r="G1245" s="21">
        <v>2587.33</v>
      </c>
      <c r="H1245" s="21">
        <v>2350.65</v>
      </c>
      <c r="I1245" s="21">
        <v>2407</v>
      </c>
      <c r="J1245" s="21">
        <v>2380.9699999999998</v>
      </c>
      <c r="K1245" s="21">
        <v>2448.54</v>
      </c>
      <c r="L1245" s="21">
        <v>2419.7399999999998</v>
      </c>
      <c r="M1245" s="21">
        <v>2364.1799999999998</v>
      </c>
      <c r="N1245" s="21">
        <v>2217.2800000000002</v>
      </c>
      <c r="O1245" s="21">
        <v>2467.29</v>
      </c>
      <c r="P1245" s="21">
        <v>2479.23</v>
      </c>
      <c r="Q1245" s="21">
        <v>7353.26</v>
      </c>
      <c r="R1245" s="20">
        <v>157.96</v>
      </c>
      <c r="S1245" s="20">
        <v>150.88</v>
      </c>
      <c r="T1245" s="21">
        <v>159.21</v>
      </c>
      <c r="U1245" s="1">
        <v>160.62</v>
      </c>
      <c r="V1245" s="1">
        <v>159.56</v>
      </c>
      <c r="W1245" s="1">
        <v>161.66999999999999</v>
      </c>
      <c r="X1245" s="1">
        <v>165.06</v>
      </c>
      <c r="Y1245" s="1">
        <v>158.09</v>
      </c>
      <c r="Z1245" s="1">
        <v>158.1</v>
      </c>
      <c r="AA1245" s="1">
        <v>158.65</v>
      </c>
      <c r="AB1245" s="1">
        <v>165.25</v>
      </c>
      <c r="AE1245" s="1">
        <v>168.31</v>
      </c>
      <c r="AF1245" s="1">
        <v>161.22</v>
      </c>
      <c r="AG1245" s="1">
        <v>155.61000000000001</v>
      </c>
      <c r="AW1245" s="1">
        <v>3038.43</v>
      </c>
      <c r="AX1245" s="1">
        <v>161.26</v>
      </c>
      <c r="BA1245" s="1">
        <v>162.43</v>
      </c>
      <c r="BB1245" s="1">
        <v>167.14</v>
      </c>
      <c r="BC1245" s="1">
        <v>165.47</v>
      </c>
      <c r="BD1245" s="1">
        <v>161.04</v>
      </c>
      <c r="BE1245" s="1">
        <v>162.41999999999999</v>
      </c>
      <c r="BF1245" s="1">
        <v>161.93</v>
      </c>
      <c r="BG1245" s="1">
        <v>167.91</v>
      </c>
      <c r="BH1245" s="1">
        <v>161.97</v>
      </c>
      <c r="BI1245" s="1">
        <v>162.82</v>
      </c>
      <c r="BJ1245" s="1">
        <v>170.14</v>
      </c>
      <c r="BL1245" s="1">
        <v>153.96</v>
      </c>
      <c r="BN1245" s="1">
        <v>153.49</v>
      </c>
    </row>
    <row r="1246" spans="1:66" x14ac:dyDescent="0.3">
      <c r="A1246" s="2"/>
      <c r="C1246" s="14" t="str">
        <f t="shared" si="20"/>
        <v>20214</v>
      </c>
      <c r="D1246" s="3">
        <v>44292</v>
      </c>
      <c r="E1246" s="21">
        <v>2459.48</v>
      </c>
      <c r="F1246" s="21">
        <v>2525.14</v>
      </c>
      <c r="G1246" s="21">
        <v>2587.33</v>
      </c>
      <c r="H1246" s="21">
        <v>2422.58</v>
      </c>
      <c r="I1246" s="21">
        <v>2344.65</v>
      </c>
      <c r="J1246" s="21">
        <v>2446.21</v>
      </c>
      <c r="K1246" s="21">
        <v>2464.2600000000002</v>
      </c>
      <c r="L1246" s="21">
        <v>2505.91</v>
      </c>
      <c r="M1246" s="21">
        <v>2357.46</v>
      </c>
      <c r="N1246" s="21">
        <v>2213.56</v>
      </c>
      <c r="O1246" s="21">
        <v>2503.15</v>
      </c>
      <c r="P1246" s="21">
        <v>2467.86</v>
      </c>
      <c r="Q1246" s="21">
        <v>7394.98</v>
      </c>
      <c r="R1246" s="20">
        <v>158.36000000000001</v>
      </c>
      <c r="S1246" s="20">
        <v>150.78</v>
      </c>
      <c r="T1246" s="21">
        <v>160.77000000000001</v>
      </c>
      <c r="U1246" s="1">
        <v>160.33000000000001</v>
      </c>
      <c r="V1246" s="1">
        <v>159.76</v>
      </c>
      <c r="W1246" s="1">
        <v>161.66999999999999</v>
      </c>
      <c r="X1246" s="1">
        <v>163.86</v>
      </c>
      <c r="Y1246" s="1">
        <v>158.62</v>
      </c>
      <c r="Z1246" s="1">
        <v>158</v>
      </c>
      <c r="AA1246" s="1">
        <v>158.57</v>
      </c>
      <c r="AB1246" s="1">
        <v>164.42</v>
      </c>
      <c r="AE1246" s="1">
        <v>167.91</v>
      </c>
      <c r="AF1246" s="1">
        <v>162.78</v>
      </c>
      <c r="AG1246" s="1">
        <v>155.97</v>
      </c>
      <c r="AU1246" s="1">
        <v>4059.26</v>
      </c>
      <c r="AW1246" s="1">
        <v>3038.43</v>
      </c>
      <c r="BA1246" s="1">
        <v>163.26</v>
      </c>
      <c r="BB1246" s="1">
        <v>168.8</v>
      </c>
      <c r="BC1246" s="1">
        <v>166.29</v>
      </c>
      <c r="BD1246" s="1">
        <v>163.26</v>
      </c>
      <c r="BE1246" s="1">
        <v>163.41999999999999</v>
      </c>
      <c r="BF1246" s="1">
        <v>160.93</v>
      </c>
      <c r="BG1246" s="1">
        <v>167.33</v>
      </c>
      <c r="BH1246" s="1">
        <v>160.32</v>
      </c>
      <c r="BI1246" s="1">
        <v>162.82</v>
      </c>
      <c r="BJ1246" s="1">
        <v>170.14</v>
      </c>
      <c r="BL1246" s="1">
        <v>153.69999999999999</v>
      </c>
      <c r="BN1246" s="1">
        <v>153.52000000000001</v>
      </c>
    </row>
    <row r="1247" spans="1:66" x14ac:dyDescent="0.3">
      <c r="A1247" s="2"/>
      <c r="C1247" s="14" t="str">
        <f t="shared" si="20"/>
        <v>20214</v>
      </c>
      <c r="D1247" s="3">
        <v>44291</v>
      </c>
      <c r="E1247" s="21">
        <v>2529.61</v>
      </c>
      <c r="F1247" s="21">
        <v>2506.7800000000002</v>
      </c>
      <c r="G1247" s="21">
        <v>2587.33</v>
      </c>
      <c r="H1247" s="21">
        <v>2428.44</v>
      </c>
      <c r="I1247" s="21">
        <v>2437.77</v>
      </c>
      <c r="J1247" s="21">
        <v>2521.16</v>
      </c>
      <c r="K1247" s="21">
        <v>2439.11</v>
      </c>
      <c r="L1247" s="21">
        <v>2505.91</v>
      </c>
      <c r="M1247" s="21"/>
      <c r="N1247" s="21">
        <v>2355.44</v>
      </c>
      <c r="O1247" s="21">
        <v>2423.98</v>
      </c>
      <c r="P1247" s="21">
        <v>2406.29</v>
      </c>
      <c r="Q1247" s="21">
        <v>7349.26</v>
      </c>
      <c r="R1247" s="20">
        <v>157.77000000000001</v>
      </c>
      <c r="S1247" s="20">
        <v>151.44999999999999</v>
      </c>
      <c r="T1247" s="21">
        <v>160.16</v>
      </c>
      <c r="U1247" s="1">
        <v>161.16999999999999</v>
      </c>
      <c r="V1247" s="1">
        <v>159.47</v>
      </c>
      <c r="W1247" s="1">
        <v>161.54</v>
      </c>
      <c r="X1247" s="1">
        <v>163.33000000000001</v>
      </c>
      <c r="Y1247" s="1">
        <v>159.49</v>
      </c>
      <c r="Z1247" s="1">
        <v>159.46</v>
      </c>
      <c r="AA1247" s="1">
        <v>157.71</v>
      </c>
      <c r="AB1247" s="1">
        <v>164.04</v>
      </c>
      <c r="AE1247" s="1">
        <v>167.82</v>
      </c>
      <c r="AF1247" s="1">
        <v>160.34</v>
      </c>
      <c r="AG1247" s="1">
        <v>156.94</v>
      </c>
      <c r="AU1247" s="1">
        <v>4059.26</v>
      </c>
      <c r="AW1247" s="1">
        <v>3038.43</v>
      </c>
      <c r="AX1247" s="1">
        <v>160.9</v>
      </c>
      <c r="BA1247" s="1">
        <v>163.01</v>
      </c>
      <c r="BB1247" s="1">
        <v>168.31</v>
      </c>
      <c r="BC1247" s="1">
        <v>163.89</v>
      </c>
      <c r="BD1247" s="1">
        <v>161.09</v>
      </c>
      <c r="BE1247" s="1">
        <v>160.59</v>
      </c>
      <c r="BF1247" s="1">
        <v>160.38</v>
      </c>
      <c r="BG1247" s="1">
        <v>166.11</v>
      </c>
      <c r="BH1247" s="1">
        <v>160.72999999999999</v>
      </c>
      <c r="BI1247" s="1">
        <v>163.22</v>
      </c>
      <c r="BJ1247" s="1">
        <v>170.14</v>
      </c>
      <c r="BL1247" s="1">
        <v>154.1</v>
      </c>
      <c r="BN1247" s="1">
        <v>153.72</v>
      </c>
    </row>
    <row r="1248" spans="1:66" x14ac:dyDescent="0.3">
      <c r="A1248" s="2"/>
      <c r="C1248" s="14" t="str">
        <f t="shared" si="20"/>
        <v>20214</v>
      </c>
      <c r="D1248" s="3">
        <v>44287</v>
      </c>
      <c r="E1248" s="21">
        <v>2500.46</v>
      </c>
      <c r="F1248" s="21">
        <v>2503.38</v>
      </c>
      <c r="G1248" s="21">
        <v>2607.31</v>
      </c>
      <c r="H1248" s="21">
        <v>2503.15</v>
      </c>
      <c r="I1248" s="21">
        <v>2471.86</v>
      </c>
      <c r="J1248" s="21">
        <v>2541.16</v>
      </c>
      <c r="K1248" s="21">
        <v>2485.61</v>
      </c>
      <c r="L1248" s="21">
        <v>2505.91</v>
      </c>
      <c r="M1248" s="21"/>
      <c r="N1248" s="21">
        <v>2322.44</v>
      </c>
      <c r="O1248" s="21">
        <v>2447.7199999999998</v>
      </c>
      <c r="P1248" s="21">
        <v>2547.46</v>
      </c>
      <c r="Q1248" s="21">
        <v>7425.73</v>
      </c>
      <c r="R1248" s="20">
        <v>158.12</v>
      </c>
      <c r="S1248" s="20">
        <v>152.12</v>
      </c>
      <c r="T1248" s="21">
        <v>159.88999999999999</v>
      </c>
      <c r="U1248" s="1">
        <v>163.13999999999999</v>
      </c>
      <c r="V1248" s="1">
        <v>158.76</v>
      </c>
      <c r="W1248" s="1">
        <v>160.5</v>
      </c>
      <c r="X1248" s="1">
        <v>163.13</v>
      </c>
      <c r="Y1248" s="1">
        <v>159.52000000000001</v>
      </c>
      <c r="Z1248" s="1">
        <v>159</v>
      </c>
      <c r="AA1248" s="1">
        <v>157.69</v>
      </c>
      <c r="AB1248" s="1">
        <v>163.15</v>
      </c>
      <c r="AE1248" s="1">
        <v>166.83</v>
      </c>
      <c r="AF1248" s="1">
        <v>163.16</v>
      </c>
      <c r="AG1248" s="1">
        <v>156.88999999999999</v>
      </c>
      <c r="AL1248" s="1">
        <v>30</v>
      </c>
      <c r="AU1248" s="1">
        <v>4059.26</v>
      </c>
      <c r="AX1248" s="1">
        <v>160.11000000000001</v>
      </c>
      <c r="AZ1248" s="1">
        <v>4389.84</v>
      </c>
      <c r="BA1248" s="1">
        <v>164.17</v>
      </c>
      <c r="BB1248" s="1">
        <v>167.58</v>
      </c>
      <c r="BC1248" s="1">
        <v>165.93</v>
      </c>
      <c r="BD1248" s="1">
        <v>161.63</v>
      </c>
      <c r="BE1248" s="1">
        <v>160.1</v>
      </c>
      <c r="BF1248" s="1">
        <v>160.22</v>
      </c>
      <c r="BG1248" s="1">
        <v>167.49</v>
      </c>
      <c r="BH1248" s="1">
        <v>159.97</v>
      </c>
      <c r="BI1248" s="1">
        <v>162.55000000000001</v>
      </c>
      <c r="BJ1248" s="1">
        <v>170.16</v>
      </c>
      <c r="BL1248" s="1">
        <v>154.9</v>
      </c>
      <c r="BN1248" s="1">
        <v>153.91999999999999</v>
      </c>
    </row>
    <row r="1249" spans="1:66" x14ac:dyDescent="0.3">
      <c r="A1249" s="2"/>
      <c r="C1249" s="14" t="str">
        <f t="shared" si="20"/>
        <v>20213</v>
      </c>
      <c r="D1249" s="3">
        <v>44286</v>
      </c>
      <c r="E1249" s="21">
        <v>2462.81</v>
      </c>
      <c r="F1249" s="21">
        <v>2394.25</v>
      </c>
      <c r="G1249" s="21">
        <v>2478.38</v>
      </c>
      <c r="H1249" s="21">
        <v>2489.0500000000002</v>
      </c>
      <c r="I1249" s="21">
        <v>2451.61</v>
      </c>
      <c r="J1249" s="21">
        <v>2469.61</v>
      </c>
      <c r="K1249" s="21">
        <v>2460.8000000000002</v>
      </c>
      <c r="L1249" s="21">
        <v>2503.0700000000002</v>
      </c>
      <c r="M1249" s="21"/>
      <c r="N1249" s="21">
        <v>2219.5300000000002</v>
      </c>
      <c r="O1249" s="21">
        <v>2501.66</v>
      </c>
      <c r="P1249" s="21">
        <v>2527.35</v>
      </c>
      <c r="Q1249" s="21">
        <v>7302.74</v>
      </c>
      <c r="R1249" s="20">
        <v>158.44</v>
      </c>
      <c r="S1249" s="20">
        <v>151.38</v>
      </c>
      <c r="T1249" s="21">
        <v>159.74</v>
      </c>
      <c r="U1249" s="1">
        <v>161.47999999999999</v>
      </c>
      <c r="V1249" s="1">
        <v>157.94999999999999</v>
      </c>
      <c r="W1249" s="1">
        <v>161.5</v>
      </c>
      <c r="X1249" s="1">
        <v>160.87</v>
      </c>
      <c r="Y1249" s="1">
        <v>158.49</v>
      </c>
      <c r="Z1249" s="1">
        <v>160</v>
      </c>
      <c r="AA1249" s="1">
        <v>159.28</v>
      </c>
      <c r="AB1249" s="1">
        <v>162.06</v>
      </c>
      <c r="AE1249" s="1">
        <v>164.94</v>
      </c>
      <c r="AF1249" s="1">
        <v>162.16</v>
      </c>
      <c r="AG1249" s="1">
        <v>154.52000000000001</v>
      </c>
      <c r="AL1249" s="1">
        <v>30</v>
      </c>
      <c r="AU1249" s="1">
        <v>4059.68</v>
      </c>
      <c r="AX1249" s="1">
        <v>159.26</v>
      </c>
      <c r="AZ1249" s="1">
        <v>4390.04</v>
      </c>
      <c r="BA1249" s="1">
        <v>162.79</v>
      </c>
      <c r="BB1249" s="1">
        <v>168.86</v>
      </c>
      <c r="BC1249" s="1">
        <v>161.71</v>
      </c>
      <c r="BD1249" s="1">
        <v>163.01</v>
      </c>
      <c r="BE1249" s="1">
        <v>159.07</v>
      </c>
      <c r="BF1249" s="1">
        <v>157.53</v>
      </c>
      <c r="BG1249" s="1">
        <v>166.23</v>
      </c>
      <c r="BH1249" s="1">
        <v>159.97</v>
      </c>
      <c r="BI1249" s="1">
        <v>161.41999999999999</v>
      </c>
      <c r="BJ1249" s="1">
        <v>169.38</v>
      </c>
      <c r="BL1249" s="1">
        <v>155.1</v>
      </c>
      <c r="BN1249" s="1">
        <v>153.91999999999999</v>
      </c>
    </row>
    <row r="1250" spans="1:66" x14ac:dyDescent="0.3">
      <c r="A1250" s="2"/>
      <c r="C1250" s="14" t="str">
        <f t="shared" si="20"/>
        <v>20213</v>
      </c>
      <c r="D1250" s="3">
        <v>44285</v>
      </c>
      <c r="E1250" s="21">
        <v>2463.4</v>
      </c>
      <c r="F1250" s="21">
        <v>2394.25</v>
      </c>
      <c r="G1250" s="21">
        <v>2489.77</v>
      </c>
      <c r="H1250" s="21">
        <v>2351.1799999999998</v>
      </c>
      <c r="I1250" s="21">
        <v>2469.0700000000002</v>
      </c>
      <c r="J1250" s="21">
        <v>2444.6</v>
      </c>
      <c r="K1250" s="21">
        <v>2408.2199999999998</v>
      </c>
      <c r="L1250" s="21">
        <v>2401.8000000000002</v>
      </c>
      <c r="M1250" s="21"/>
      <c r="N1250" s="21">
        <v>2215.73</v>
      </c>
      <c r="O1250" s="21">
        <v>2454.59</v>
      </c>
      <c r="P1250" s="21">
        <v>2527.35</v>
      </c>
      <c r="Q1250" s="21">
        <v>7300.47</v>
      </c>
      <c r="R1250" s="20">
        <v>155.61000000000001</v>
      </c>
      <c r="S1250" s="20">
        <v>151.62</v>
      </c>
      <c r="T1250" s="21">
        <v>158.63</v>
      </c>
      <c r="U1250" s="1">
        <v>157.66999999999999</v>
      </c>
      <c r="V1250" s="1">
        <v>158.63</v>
      </c>
      <c r="W1250" s="1">
        <v>159.5</v>
      </c>
      <c r="X1250" s="1">
        <v>161.79</v>
      </c>
      <c r="Y1250" s="1">
        <v>157.61000000000001</v>
      </c>
      <c r="Z1250" s="1">
        <v>157.57</v>
      </c>
      <c r="AA1250" s="1">
        <v>154.4</v>
      </c>
      <c r="AB1250" s="1">
        <v>162.66</v>
      </c>
      <c r="AE1250" s="1">
        <v>165.92</v>
      </c>
      <c r="AF1250" s="1">
        <v>160.81</v>
      </c>
      <c r="AG1250" s="1">
        <v>152.78</v>
      </c>
      <c r="AL1250" s="1">
        <v>30</v>
      </c>
      <c r="AX1250" s="1">
        <v>159.19</v>
      </c>
      <c r="AZ1250" s="1">
        <v>4390.04</v>
      </c>
      <c r="BA1250" s="1">
        <v>159.15</v>
      </c>
      <c r="BB1250" s="1">
        <v>165.51</v>
      </c>
      <c r="BC1250" s="1">
        <v>163.08000000000001</v>
      </c>
      <c r="BD1250" s="1">
        <v>160.94</v>
      </c>
      <c r="BE1250" s="1">
        <v>157.66</v>
      </c>
      <c r="BF1250" s="1">
        <v>157.16999999999999</v>
      </c>
      <c r="BG1250" s="1">
        <v>166.48</v>
      </c>
      <c r="BH1250" s="1">
        <v>161.22</v>
      </c>
      <c r="BI1250" s="1">
        <v>161.91999999999999</v>
      </c>
      <c r="BJ1250" s="1">
        <v>169.38</v>
      </c>
      <c r="BL1250" s="1">
        <v>153.1</v>
      </c>
      <c r="BN1250" s="1">
        <v>152.32</v>
      </c>
    </row>
    <row r="1251" spans="1:66" x14ac:dyDescent="0.3">
      <c r="A1251" s="2"/>
      <c r="C1251" s="14" t="str">
        <f t="shared" si="20"/>
        <v>20213</v>
      </c>
      <c r="D1251" s="3">
        <v>44284</v>
      </c>
      <c r="E1251" s="21">
        <v>2452.08</v>
      </c>
      <c r="F1251" s="21">
        <v>2394.25</v>
      </c>
      <c r="G1251" s="21">
        <v>2482.29</v>
      </c>
      <c r="H1251" s="21">
        <v>2354.0300000000002</v>
      </c>
      <c r="I1251" s="21">
        <v>2479.04</v>
      </c>
      <c r="J1251" s="21">
        <v>2512.27</v>
      </c>
      <c r="K1251" s="21">
        <v>2482.4499999999998</v>
      </c>
      <c r="L1251" s="21">
        <v>2452.4299999999998</v>
      </c>
      <c r="M1251" s="21"/>
      <c r="N1251" s="21">
        <v>2210.33</v>
      </c>
      <c r="O1251" s="21">
        <v>2459.25</v>
      </c>
      <c r="P1251" s="21">
        <v>2495.81</v>
      </c>
      <c r="Q1251" s="21">
        <v>7366.83</v>
      </c>
      <c r="R1251" s="20">
        <v>156.44</v>
      </c>
      <c r="S1251" s="20">
        <v>149.78</v>
      </c>
      <c r="T1251" s="21">
        <v>157.5</v>
      </c>
      <c r="V1251" s="1">
        <v>158.55000000000001</v>
      </c>
      <c r="W1251" s="1">
        <v>159.59</v>
      </c>
      <c r="X1251" s="1">
        <v>161.79</v>
      </c>
      <c r="Y1251" s="1">
        <v>157.97999999999999</v>
      </c>
      <c r="Z1251" s="1">
        <v>158</v>
      </c>
      <c r="AA1251" s="1">
        <v>158.46</v>
      </c>
      <c r="AB1251" s="1">
        <v>162.59</v>
      </c>
      <c r="AE1251" s="1">
        <v>166.12</v>
      </c>
      <c r="AF1251" s="1">
        <v>161.75</v>
      </c>
      <c r="AG1251" s="1">
        <v>151.80000000000001</v>
      </c>
      <c r="AL1251" s="1">
        <v>30</v>
      </c>
      <c r="AP1251" s="1">
        <v>4289.75</v>
      </c>
      <c r="AW1251" s="1">
        <v>3638.68</v>
      </c>
      <c r="AX1251" s="1">
        <v>158.72</v>
      </c>
      <c r="AZ1251" s="1">
        <v>4390.04</v>
      </c>
      <c r="BA1251" s="1">
        <v>161.58000000000001</v>
      </c>
      <c r="BB1251" s="1">
        <v>167.58</v>
      </c>
      <c r="BC1251" s="1">
        <v>163.66</v>
      </c>
      <c r="BD1251" s="1">
        <v>162.22999999999999</v>
      </c>
      <c r="BE1251" s="1">
        <v>160.44</v>
      </c>
      <c r="BF1251" s="1">
        <v>157.78</v>
      </c>
      <c r="BG1251" s="1">
        <v>166.51</v>
      </c>
      <c r="BH1251" s="1">
        <v>161.22</v>
      </c>
      <c r="BI1251" s="1">
        <v>161.72</v>
      </c>
      <c r="BJ1251" s="1">
        <v>169.34</v>
      </c>
      <c r="BL1251" s="1">
        <v>153.74</v>
      </c>
      <c r="BN1251" s="1">
        <v>153</v>
      </c>
    </row>
    <row r="1252" spans="1:66" x14ac:dyDescent="0.3">
      <c r="A1252" s="2"/>
      <c r="C1252" s="14" t="str">
        <f t="shared" si="20"/>
        <v>20213</v>
      </c>
      <c r="D1252" s="3">
        <v>44281</v>
      </c>
      <c r="E1252" s="21">
        <v>2418.11</v>
      </c>
      <c r="F1252" s="21">
        <v>2353.44</v>
      </c>
      <c r="G1252" s="21">
        <v>2492.27</v>
      </c>
      <c r="H1252" s="21">
        <v>2336.1999999999998</v>
      </c>
      <c r="I1252" s="21">
        <v>2553.86</v>
      </c>
      <c r="J1252" s="21">
        <v>2525.6</v>
      </c>
      <c r="K1252" s="21">
        <v>2599.37</v>
      </c>
      <c r="L1252" s="21">
        <v>2450.98</v>
      </c>
      <c r="M1252" s="21"/>
      <c r="N1252" s="21">
        <v>2191.1999999999998</v>
      </c>
      <c r="O1252" s="21">
        <v>2485.87</v>
      </c>
      <c r="P1252" s="21">
        <v>2577.2800000000002</v>
      </c>
      <c r="Q1252" s="21">
        <v>7326.81</v>
      </c>
      <c r="R1252" s="20">
        <v>155.56</v>
      </c>
      <c r="S1252" s="20">
        <v>149.78</v>
      </c>
      <c r="T1252" s="21">
        <v>157.15</v>
      </c>
      <c r="V1252" s="1">
        <v>155.94999999999999</v>
      </c>
      <c r="W1252" s="1">
        <v>159.35</v>
      </c>
      <c r="X1252" s="1">
        <v>161.68</v>
      </c>
      <c r="Y1252" s="1">
        <v>157.19</v>
      </c>
      <c r="Z1252" s="1">
        <v>157.71</v>
      </c>
      <c r="AA1252" s="1">
        <v>158.21</v>
      </c>
      <c r="AB1252" s="1">
        <v>162.47999999999999</v>
      </c>
      <c r="AE1252" s="1">
        <v>166.13</v>
      </c>
      <c r="AF1252" s="1">
        <v>160.97</v>
      </c>
      <c r="AG1252" s="1">
        <v>151.80000000000001</v>
      </c>
      <c r="AP1252" s="1">
        <v>4289.75</v>
      </c>
      <c r="AW1252" s="1">
        <v>3510.43</v>
      </c>
      <c r="AX1252" s="1">
        <v>158.03</v>
      </c>
      <c r="BA1252" s="1">
        <v>161.32</v>
      </c>
      <c r="BB1252" s="1">
        <v>166.49</v>
      </c>
      <c r="BC1252" s="1">
        <v>162.36000000000001</v>
      </c>
      <c r="BD1252" s="1">
        <v>161.69</v>
      </c>
      <c r="BF1252" s="1">
        <v>157.57</v>
      </c>
      <c r="BG1252" s="1">
        <v>166.46</v>
      </c>
      <c r="BH1252" s="1">
        <v>158.71</v>
      </c>
      <c r="BI1252" s="1">
        <v>160.02000000000001</v>
      </c>
      <c r="BJ1252" s="1">
        <v>167.63</v>
      </c>
      <c r="BL1252" s="1">
        <v>153.54</v>
      </c>
      <c r="BN1252" s="1">
        <v>153.51</v>
      </c>
    </row>
    <row r="1253" spans="1:66" x14ac:dyDescent="0.3">
      <c r="A1253" s="2"/>
      <c r="C1253" s="14" t="str">
        <f t="shared" si="20"/>
        <v>20213</v>
      </c>
      <c r="D1253" s="3">
        <v>44280</v>
      </c>
      <c r="E1253" s="21">
        <v>2443.0500000000002</v>
      </c>
      <c r="F1253" s="21">
        <v>2353.44</v>
      </c>
      <c r="G1253" s="21">
        <v>2524.69</v>
      </c>
      <c r="H1253" s="21">
        <v>2328.85</v>
      </c>
      <c r="I1253" s="21">
        <v>2460.75</v>
      </c>
      <c r="J1253" s="21">
        <v>2519.83</v>
      </c>
      <c r="K1253" s="21">
        <v>2596.04</v>
      </c>
      <c r="L1253" s="21">
        <v>2351.7800000000002</v>
      </c>
      <c r="M1253" s="21"/>
      <c r="N1253" s="21">
        <v>2190.4499999999998</v>
      </c>
      <c r="O1253" s="21">
        <v>2494.1799999999998</v>
      </c>
      <c r="P1253" s="21">
        <v>2625.59</v>
      </c>
      <c r="Q1253" s="21">
        <v>7275.51</v>
      </c>
      <c r="R1253" s="20">
        <v>154.81</v>
      </c>
      <c r="S1253" s="20">
        <v>149.28</v>
      </c>
      <c r="T1253" s="21">
        <v>155.6</v>
      </c>
      <c r="V1253" s="1">
        <v>155.16</v>
      </c>
      <c r="W1253" s="1">
        <v>158.47999999999999</v>
      </c>
      <c r="X1253" s="1">
        <v>161.1</v>
      </c>
      <c r="Y1253" s="1">
        <v>156.72999999999999</v>
      </c>
      <c r="Z1253" s="1">
        <v>156.41999999999999</v>
      </c>
      <c r="AA1253" s="1">
        <v>157.75</v>
      </c>
      <c r="AB1253" s="1">
        <v>161.47999999999999</v>
      </c>
      <c r="AE1253" s="1">
        <v>164.48</v>
      </c>
      <c r="AF1253" s="1">
        <v>155.69999999999999</v>
      </c>
      <c r="AG1253" s="1">
        <v>152.06</v>
      </c>
      <c r="AP1253" s="1">
        <v>4289.75</v>
      </c>
      <c r="AW1253" s="1">
        <v>3510.43</v>
      </c>
      <c r="AX1253" s="1">
        <v>156.5</v>
      </c>
      <c r="BA1253" s="1">
        <v>159.5</v>
      </c>
      <c r="BB1253" s="1">
        <v>165.34</v>
      </c>
      <c r="BC1253" s="1">
        <v>162.36000000000001</v>
      </c>
      <c r="BD1253" s="1">
        <v>160.5</v>
      </c>
      <c r="BF1253" s="1">
        <v>157.16999999999999</v>
      </c>
      <c r="BG1253" s="1">
        <v>164.68</v>
      </c>
      <c r="BH1253" s="1">
        <v>158.21</v>
      </c>
      <c r="BI1253" s="1">
        <v>160.41999999999999</v>
      </c>
      <c r="BJ1253" s="1">
        <v>167.63</v>
      </c>
      <c r="BL1253" s="1">
        <v>151.9</v>
      </c>
      <c r="BN1253" s="1">
        <v>151.91999999999999</v>
      </c>
    </row>
    <row r="1254" spans="1:66" x14ac:dyDescent="0.3">
      <c r="A1254" s="2"/>
      <c r="C1254" s="14" t="str">
        <f t="shared" si="20"/>
        <v>20213</v>
      </c>
      <c r="D1254" s="3">
        <v>44279</v>
      </c>
      <c r="E1254" s="21">
        <v>2432.5700000000002</v>
      </c>
      <c r="F1254" s="21">
        <v>2353.44</v>
      </c>
      <c r="G1254" s="21">
        <v>2549.65</v>
      </c>
      <c r="H1254" s="21">
        <v>2310.64</v>
      </c>
      <c r="I1254" s="21">
        <v>2467.4</v>
      </c>
      <c r="J1254" s="21">
        <v>2519.83</v>
      </c>
      <c r="K1254" s="21">
        <v>2596.0100000000002</v>
      </c>
      <c r="L1254" s="21">
        <v>2351.7800000000002</v>
      </c>
      <c r="M1254" s="21"/>
      <c r="N1254" s="21">
        <v>2166.0700000000002</v>
      </c>
      <c r="O1254" s="21">
        <v>2501.02</v>
      </c>
      <c r="P1254" s="21">
        <v>2599.27</v>
      </c>
      <c r="Q1254" s="21">
        <v>7346.74</v>
      </c>
      <c r="R1254" s="20">
        <v>154.06</v>
      </c>
      <c r="S1254" s="20">
        <v>148.94999999999999</v>
      </c>
      <c r="T1254" s="21">
        <v>154.69</v>
      </c>
      <c r="U1254" s="1">
        <v>160.71</v>
      </c>
      <c r="V1254" s="1">
        <v>155.16</v>
      </c>
      <c r="W1254" s="1">
        <v>156.31</v>
      </c>
      <c r="X1254" s="1">
        <v>159.96</v>
      </c>
      <c r="Y1254" s="1">
        <v>155.46</v>
      </c>
      <c r="Z1254" s="1">
        <v>154.43</v>
      </c>
      <c r="AA1254" s="1">
        <v>157.57</v>
      </c>
      <c r="AB1254" s="1">
        <v>160.79</v>
      </c>
      <c r="AE1254" s="1">
        <v>163.33000000000001</v>
      </c>
      <c r="AF1254" s="1">
        <v>156</v>
      </c>
      <c r="AG1254" s="1">
        <v>153.94999999999999</v>
      </c>
      <c r="AP1254" s="1">
        <v>4289.75</v>
      </c>
      <c r="AU1254" s="1">
        <v>4009.56</v>
      </c>
      <c r="AW1254" s="1">
        <v>3510.43</v>
      </c>
      <c r="AX1254" s="1">
        <v>156.49</v>
      </c>
      <c r="BA1254" s="1">
        <v>160.41999999999999</v>
      </c>
      <c r="BB1254" s="1">
        <v>162.19999999999999</v>
      </c>
      <c r="BC1254" s="1">
        <v>160.22999999999999</v>
      </c>
      <c r="BD1254" s="1">
        <v>156.41999999999999</v>
      </c>
      <c r="BE1254" s="1">
        <v>163.69</v>
      </c>
      <c r="BF1254" s="1">
        <v>156.16999999999999</v>
      </c>
      <c r="BG1254" s="1">
        <v>163.77000000000001</v>
      </c>
      <c r="BH1254" s="1">
        <v>155.97999999999999</v>
      </c>
      <c r="BI1254" s="1">
        <v>159.41999999999999</v>
      </c>
      <c r="BJ1254" s="1">
        <v>167.63</v>
      </c>
      <c r="BL1254" s="1">
        <v>151.72</v>
      </c>
      <c r="BN1254" s="1">
        <v>151.74</v>
      </c>
    </row>
    <row r="1255" spans="1:66" x14ac:dyDescent="0.3">
      <c r="A1255" s="2"/>
      <c r="C1255" s="14" t="str">
        <f t="shared" si="20"/>
        <v>20213</v>
      </c>
      <c r="D1255" s="3">
        <v>44278</v>
      </c>
      <c r="E1255" s="21">
        <v>2384.37</v>
      </c>
      <c r="F1255" s="21">
        <v>2385.1799999999998</v>
      </c>
      <c r="G1255" s="21">
        <v>2557.14</v>
      </c>
      <c r="H1255" s="21">
        <v>2367.89</v>
      </c>
      <c r="I1255" s="21">
        <v>2631.18</v>
      </c>
      <c r="J1255" s="21">
        <v>2595.87</v>
      </c>
      <c r="K1255" s="21">
        <v>2596.31</v>
      </c>
      <c r="L1255" s="21">
        <v>2462.14</v>
      </c>
      <c r="M1255" s="21"/>
      <c r="N1255" s="21">
        <v>2212.66</v>
      </c>
      <c r="O1255" s="21">
        <v>2579.52</v>
      </c>
      <c r="P1255" s="21">
        <v>2599.27</v>
      </c>
      <c r="Q1255" s="21">
        <v>7200.83</v>
      </c>
      <c r="R1255" s="20">
        <v>154.44</v>
      </c>
      <c r="S1255" s="20">
        <v>147.93</v>
      </c>
      <c r="T1255" s="21">
        <v>155.44</v>
      </c>
      <c r="V1255" s="1">
        <v>155.19999999999999</v>
      </c>
      <c r="W1255" s="1">
        <v>156.22999999999999</v>
      </c>
      <c r="X1255" s="1">
        <v>159.34</v>
      </c>
      <c r="Y1255" s="1">
        <v>154.13999999999999</v>
      </c>
      <c r="Z1255" s="1">
        <v>154.07</v>
      </c>
      <c r="AA1255" s="1">
        <v>158.34</v>
      </c>
      <c r="AB1255" s="1">
        <v>160.04</v>
      </c>
      <c r="AE1255" s="1">
        <v>162.87</v>
      </c>
      <c r="AF1255" s="1">
        <v>155.91999999999999</v>
      </c>
      <c r="AG1255" s="1">
        <v>152.36000000000001</v>
      </c>
      <c r="AP1255" s="1">
        <v>4179.92</v>
      </c>
      <c r="AU1255" s="1">
        <v>4009.56</v>
      </c>
      <c r="AW1255" s="1">
        <v>3510.43</v>
      </c>
      <c r="AX1255" s="1">
        <v>156.36000000000001</v>
      </c>
      <c r="BA1255" s="1">
        <v>159.03</v>
      </c>
      <c r="BB1255" s="1">
        <v>161.31</v>
      </c>
      <c r="BC1255" s="1">
        <v>159.69</v>
      </c>
      <c r="BD1255" s="1">
        <v>156.16999999999999</v>
      </c>
      <c r="BE1255" s="1">
        <v>162.44</v>
      </c>
      <c r="BF1255" s="1">
        <v>156.16999999999999</v>
      </c>
      <c r="BG1255" s="1">
        <v>163.58000000000001</v>
      </c>
      <c r="BH1255" s="1">
        <v>154.07</v>
      </c>
      <c r="BI1255" s="1">
        <v>159.41999999999999</v>
      </c>
      <c r="BJ1255" s="1">
        <v>166.88</v>
      </c>
      <c r="BL1255" s="1">
        <v>150.30000000000001</v>
      </c>
      <c r="BN1255" s="1">
        <v>149.56</v>
      </c>
    </row>
    <row r="1256" spans="1:66" x14ac:dyDescent="0.3">
      <c r="A1256" s="2"/>
      <c r="C1256" s="14" t="str">
        <f t="shared" si="20"/>
        <v>20213</v>
      </c>
      <c r="D1256" s="3">
        <v>44277</v>
      </c>
      <c r="E1256" s="21">
        <v>2460.5100000000002</v>
      </c>
      <c r="F1256" s="21">
        <v>2416.92</v>
      </c>
      <c r="G1256" s="21">
        <v>2594.56</v>
      </c>
      <c r="H1256" s="21">
        <v>2355.5700000000002</v>
      </c>
      <c r="I1256" s="21">
        <v>2631.18</v>
      </c>
      <c r="J1256" s="21">
        <v>2559.54</v>
      </c>
      <c r="K1256" s="21">
        <v>2660.03</v>
      </c>
      <c r="L1256" s="21">
        <v>2462.14</v>
      </c>
      <c r="M1256" s="21"/>
      <c r="N1256" s="21">
        <v>2224.4699999999998</v>
      </c>
      <c r="O1256" s="21">
        <v>2584.4499999999998</v>
      </c>
      <c r="P1256" s="21">
        <v>2707.45</v>
      </c>
      <c r="Q1256" s="21">
        <v>7271.13</v>
      </c>
      <c r="R1256" s="20">
        <v>154.44</v>
      </c>
      <c r="S1256" s="20">
        <v>147.44999999999999</v>
      </c>
      <c r="T1256" s="21">
        <v>155.07</v>
      </c>
      <c r="U1256" s="1">
        <v>157.66</v>
      </c>
      <c r="V1256" s="1">
        <v>154.69999999999999</v>
      </c>
      <c r="W1256" s="1">
        <v>156.06</v>
      </c>
      <c r="X1256" s="1">
        <v>159.28</v>
      </c>
      <c r="Y1256" s="1">
        <v>154.02000000000001</v>
      </c>
      <c r="Z1256" s="1">
        <v>154</v>
      </c>
      <c r="AA1256" s="1">
        <v>158.22999999999999</v>
      </c>
      <c r="AB1256" s="1">
        <v>159.62</v>
      </c>
      <c r="AE1256" s="1">
        <v>162.80000000000001</v>
      </c>
      <c r="AF1256" s="1">
        <v>156.71</v>
      </c>
      <c r="AG1256" s="1">
        <v>149.29</v>
      </c>
      <c r="AP1256" s="1">
        <v>4125</v>
      </c>
      <c r="AU1256" s="1">
        <v>4009.56</v>
      </c>
      <c r="AW1256" s="1">
        <v>3382.18</v>
      </c>
      <c r="AX1256" s="1">
        <v>155.49</v>
      </c>
      <c r="BA1256" s="1">
        <v>158.16999999999999</v>
      </c>
      <c r="BB1256" s="1">
        <v>161.46</v>
      </c>
      <c r="BC1256" s="1">
        <v>159.22999999999999</v>
      </c>
      <c r="BD1256" s="1">
        <v>157.41</v>
      </c>
      <c r="BE1256" s="1">
        <v>159.94</v>
      </c>
      <c r="BF1256" s="1">
        <v>155.63</v>
      </c>
      <c r="BG1256" s="1">
        <v>163.19</v>
      </c>
      <c r="BH1256" s="1">
        <v>154.82</v>
      </c>
      <c r="BI1256" s="1">
        <v>159.41999999999999</v>
      </c>
      <c r="BJ1256" s="1">
        <v>166.88</v>
      </c>
      <c r="BL1256" s="1">
        <v>150.01</v>
      </c>
      <c r="BN1256" s="1">
        <v>149.22</v>
      </c>
    </row>
    <row r="1257" spans="1:66" x14ac:dyDescent="0.3">
      <c r="A1257" s="2"/>
      <c r="C1257" s="14" t="str">
        <f t="shared" si="20"/>
        <v>20213</v>
      </c>
      <c r="D1257" s="3">
        <v>44274</v>
      </c>
      <c r="E1257" s="21">
        <v>2396.91</v>
      </c>
      <c r="F1257" s="21">
        <v>2482.12</v>
      </c>
      <c r="G1257" s="21">
        <v>2658.53</v>
      </c>
      <c r="H1257" s="21">
        <v>2384.08</v>
      </c>
      <c r="I1257" s="21">
        <v>2687.9</v>
      </c>
      <c r="J1257" s="21">
        <v>2565.52</v>
      </c>
      <c r="K1257" s="21">
        <v>2635.9</v>
      </c>
      <c r="L1257" s="21">
        <v>2506.42</v>
      </c>
      <c r="M1257" s="21"/>
      <c r="N1257" s="21">
        <v>2210.34</v>
      </c>
      <c r="O1257" s="21">
        <v>2585.23</v>
      </c>
      <c r="P1257" s="21">
        <v>2654.02</v>
      </c>
      <c r="Q1257" s="21">
        <v>7332.51</v>
      </c>
      <c r="R1257" s="20">
        <v>153.63999999999999</v>
      </c>
      <c r="S1257" s="20">
        <v>149.66999999999999</v>
      </c>
      <c r="T1257" s="21">
        <v>155.97999999999999</v>
      </c>
      <c r="U1257" s="1">
        <v>157.56</v>
      </c>
      <c r="V1257" s="1">
        <v>154.22</v>
      </c>
      <c r="W1257" s="1">
        <v>156.4</v>
      </c>
      <c r="X1257" s="1">
        <v>159.34</v>
      </c>
      <c r="Y1257" s="1">
        <v>154.31</v>
      </c>
      <c r="Z1257" s="1">
        <v>154.13999999999999</v>
      </c>
      <c r="AA1257" s="1">
        <v>156.74</v>
      </c>
      <c r="AB1257" s="1">
        <v>160.06</v>
      </c>
      <c r="AE1257" s="1">
        <v>162.65</v>
      </c>
      <c r="AF1257" s="1">
        <v>157.04</v>
      </c>
      <c r="AG1257" s="1">
        <v>148.66</v>
      </c>
      <c r="AP1257" s="1">
        <v>4125</v>
      </c>
      <c r="AU1257" s="1">
        <v>4006.88</v>
      </c>
      <c r="AW1257" s="1">
        <v>3456.23</v>
      </c>
      <c r="AX1257" s="1">
        <v>154.53</v>
      </c>
      <c r="BA1257" s="1">
        <v>158.1</v>
      </c>
      <c r="BB1257" s="1">
        <v>161.57</v>
      </c>
      <c r="BC1257" s="1">
        <v>157.16999999999999</v>
      </c>
      <c r="BD1257" s="1">
        <v>157.33000000000001</v>
      </c>
      <c r="BE1257" s="1">
        <v>158.94</v>
      </c>
      <c r="BF1257" s="1">
        <v>156.63</v>
      </c>
      <c r="BG1257" s="1">
        <v>163.68</v>
      </c>
      <c r="BH1257" s="1">
        <v>156.72</v>
      </c>
      <c r="BI1257" s="1">
        <v>161.04</v>
      </c>
      <c r="BJ1257" s="1">
        <v>166.99</v>
      </c>
      <c r="BL1257" s="1">
        <v>150.04</v>
      </c>
      <c r="BN1257" s="1">
        <v>149.54</v>
      </c>
    </row>
    <row r="1258" spans="1:66" x14ac:dyDescent="0.3">
      <c r="A1258" s="2"/>
      <c r="C1258" s="14" t="str">
        <f t="shared" si="20"/>
        <v>20213</v>
      </c>
      <c r="D1258" s="3">
        <v>44273</v>
      </c>
      <c r="E1258" s="21">
        <v>2424.38</v>
      </c>
      <c r="F1258" s="21">
        <v>2545.64</v>
      </c>
      <c r="G1258" s="21">
        <v>2718.44</v>
      </c>
      <c r="H1258" s="21">
        <v>2377.2199999999998</v>
      </c>
      <c r="I1258" s="21">
        <v>2638.82</v>
      </c>
      <c r="J1258" s="21">
        <v>2620.35</v>
      </c>
      <c r="K1258" s="21">
        <v>2645.89</v>
      </c>
      <c r="L1258" s="21">
        <v>2586.65</v>
      </c>
      <c r="M1258" s="21"/>
      <c r="N1258" s="21">
        <v>2222.23</v>
      </c>
      <c r="O1258" s="21">
        <v>2583.98</v>
      </c>
      <c r="P1258" s="21">
        <v>2657.15</v>
      </c>
      <c r="Q1258" s="21">
        <v>7371.88</v>
      </c>
      <c r="R1258" s="20">
        <v>154.30000000000001</v>
      </c>
      <c r="S1258" s="20">
        <v>149.53</v>
      </c>
      <c r="T1258" s="21">
        <v>157.69</v>
      </c>
      <c r="U1258" s="1">
        <v>157.12</v>
      </c>
      <c r="V1258" s="1">
        <v>155.97</v>
      </c>
      <c r="W1258" s="1">
        <v>158.15</v>
      </c>
      <c r="X1258" s="1">
        <v>161.97</v>
      </c>
      <c r="Y1258" s="1">
        <v>156.22</v>
      </c>
      <c r="Z1258" s="1">
        <v>155.78</v>
      </c>
      <c r="AA1258" s="1">
        <v>157.51</v>
      </c>
      <c r="AB1258" s="1">
        <v>162.94999999999999</v>
      </c>
      <c r="AE1258" s="1">
        <v>166.95</v>
      </c>
      <c r="AF1258" s="1">
        <v>158.26</v>
      </c>
      <c r="AG1258" s="1">
        <v>151.02000000000001</v>
      </c>
      <c r="AP1258" s="1">
        <v>4125</v>
      </c>
      <c r="AT1258" s="1">
        <v>3696.34</v>
      </c>
      <c r="AU1258" s="1">
        <v>4207.22</v>
      </c>
      <c r="AW1258" s="1">
        <v>3418.52</v>
      </c>
      <c r="AX1258" s="1">
        <v>157.22999999999999</v>
      </c>
      <c r="BA1258" s="1">
        <v>160.5</v>
      </c>
      <c r="BB1258" s="1">
        <v>163.9</v>
      </c>
      <c r="BC1258" s="1">
        <v>159.19999999999999</v>
      </c>
      <c r="BD1258" s="1">
        <v>157.44999999999999</v>
      </c>
      <c r="BE1258" s="1">
        <v>158.28</v>
      </c>
      <c r="BF1258" s="1">
        <v>156.63</v>
      </c>
      <c r="BG1258" s="1">
        <v>167.77</v>
      </c>
      <c r="BH1258" s="1">
        <v>158.97</v>
      </c>
      <c r="BI1258" s="1">
        <v>161.63999999999999</v>
      </c>
      <c r="BJ1258" s="1">
        <v>169.24</v>
      </c>
      <c r="BL1258" s="1">
        <v>152.82</v>
      </c>
      <c r="BN1258" s="1">
        <v>152.04</v>
      </c>
    </row>
    <row r="1259" spans="1:66" x14ac:dyDescent="0.3">
      <c r="A1259" s="2"/>
      <c r="C1259" s="14" t="str">
        <f t="shared" si="20"/>
        <v>20213</v>
      </c>
      <c r="D1259" s="3">
        <v>44272</v>
      </c>
      <c r="E1259" s="21">
        <v>2493.64</v>
      </c>
      <c r="F1259" s="21">
        <v>2600.1</v>
      </c>
      <c r="G1259" s="21">
        <v>2788.35</v>
      </c>
      <c r="H1259" s="21">
        <v>2365.38</v>
      </c>
      <c r="I1259" s="21">
        <v>2728.66</v>
      </c>
      <c r="J1259" s="21">
        <v>2656.67</v>
      </c>
      <c r="K1259" s="21">
        <v>2660.17</v>
      </c>
      <c r="L1259" s="21">
        <v>2494.94</v>
      </c>
      <c r="M1259" s="21"/>
      <c r="N1259" s="21">
        <v>2252.1799999999998</v>
      </c>
      <c r="O1259" s="21">
        <v>2629.74</v>
      </c>
      <c r="P1259" s="21">
        <v>2678</v>
      </c>
      <c r="Q1259" s="21">
        <v>7321.8</v>
      </c>
      <c r="R1259" s="20">
        <v>156.71</v>
      </c>
      <c r="S1259" s="20">
        <v>150.63</v>
      </c>
      <c r="T1259" s="21">
        <v>159.13999999999999</v>
      </c>
      <c r="U1259" s="1">
        <v>159.41999999999999</v>
      </c>
      <c r="V1259" s="1">
        <v>156.22</v>
      </c>
      <c r="W1259" s="1">
        <v>159.9</v>
      </c>
      <c r="X1259" s="1">
        <v>162.65</v>
      </c>
      <c r="Y1259" s="1">
        <v>158.47999999999999</v>
      </c>
      <c r="Z1259" s="1">
        <v>158.5</v>
      </c>
      <c r="AA1259" s="1">
        <v>158.6</v>
      </c>
      <c r="AB1259" s="1">
        <v>163.5</v>
      </c>
      <c r="AE1259" s="1">
        <v>167.29</v>
      </c>
      <c r="AF1259" s="1">
        <v>158.75</v>
      </c>
      <c r="AG1259" s="1">
        <v>153.71</v>
      </c>
      <c r="AP1259" s="1">
        <v>4125</v>
      </c>
      <c r="AT1259" s="1">
        <v>3696.34</v>
      </c>
      <c r="AW1259" s="1">
        <v>3418.52</v>
      </c>
      <c r="BA1259" s="1">
        <v>161.47</v>
      </c>
      <c r="BB1259" s="1">
        <v>166.59</v>
      </c>
      <c r="BC1259" s="1">
        <v>161.83000000000001</v>
      </c>
      <c r="BD1259" s="1">
        <v>159.75</v>
      </c>
      <c r="BE1259" s="1">
        <v>163.37</v>
      </c>
      <c r="BF1259" s="1">
        <v>158.81</v>
      </c>
      <c r="BG1259" s="1">
        <v>168.07</v>
      </c>
      <c r="BH1259" s="1">
        <v>158.63</v>
      </c>
      <c r="BI1259" s="1">
        <v>161.63999999999999</v>
      </c>
      <c r="BJ1259" s="1">
        <v>169.24</v>
      </c>
      <c r="BL1259" s="1">
        <v>154.62</v>
      </c>
      <c r="BN1259" s="1">
        <v>153.84</v>
      </c>
    </row>
    <row r="1260" spans="1:66" x14ac:dyDescent="0.3">
      <c r="A1260" s="2"/>
      <c r="C1260" s="14" t="str">
        <f t="shared" si="20"/>
        <v>20213</v>
      </c>
      <c r="D1260" s="3">
        <v>44271</v>
      </c>
      <c r="E1260" s="21">
        <v>2501.27</v>
      </c>
      <c r="F1260" s="21">
        <v>2600.1</v>
      </c>
      <c r="G1260" s="21">
        <v>2810.8</v>
      </c>
      <c r="H1260" s="21">
        <v>2366.46</v>
      </c>
      <c r="I1260" s="21">
        <v>2712.86</v>
      </c>
      <c r="J1260" s="21">
        <v>2653.64</v>
      </c>
      <c r="K1260" s="21">
        <v>2654.46</v>
      </c>
      <c r="L1260" s="21">
        <v>2589.9699999999998</v>
      </c>
      <c r="M1260" s="21"/>
      <c r="N1260" s="21">
        <v>2268.2199999999998</v>
      </c>
      <c r="O1260" s="21">
        <v>2617.4699999999998</v>
      </c>
      <c r="P1260" s="21">
        <v>2698</v>
      </c>
      <c r="Q1260" s="21">
        <v>7321.8</v>
      </c>
      <c r="R1260" s="20">
        <v>156.46</v>
      </c>
      <c r="S1260" s="20">
        <v>150.9</v>
      </c>
      <c r="T1260" s="21">
        <v>157.56</v>
      </c>
      <c r="U1260" s="1">
        <v>159.85</v>
      </c>
      <c r="V1260" s="1">
        <v>156.22</v>
      </c>
      <c r="W1260" s="1">
        <v>159.72999999999999</v>
      </c>
      <c r="X1260" s="1">
        <v>162.27000000000001</v>
      </c>
      <c r="Y1260" s="1">
        <v>158.75</v>
      </c>
      <c r="Z1260" s="1">
        <v>158.29</v>
      </c>
      <c r="AA1260" s="1">
        <v>158.05000000000001</v>
      </c>
      <c r="AB1260" s="1">
        <v>162.94</v>
      </c>
      <c r="AE1260" s="1">
        <v>166.56</v>
      </c>
      <c r="AF1260" s="1">
        <v>158.82</v>
      </c>
      <c r="AG1260" s="1">
        <v>154.41999999999999</v>
      </c>
      <c r="AT1260" s="1">
        <v>3696.34</v>
      </c>
      <c r="AW1260" s="1">
        <v>3418.52</v>
      </c>
      <c r="AX1260" s="1">
        <v>156.88</v>
      </c>
      <c r="BA1260" s="1">
        <v>160.66999999999999</v>
      </c>
      <c r="BB1260" s="1">
        <v>165.73</v>
      </c>
      <c r="BC1260" s="1">
        <v>161.4</v>
      </c>
      <c r="BD1260" s="1">
        <v>160.01</v>
      </c>
      <c r="BE1260" s="1">
        <v>165.79</v>
      </c>
      <c r="BF1260" s="1">
        <v>158.13</v>
      </c>
      <c r="BG1260" s="1">
        <v>167.69</v>
      </c>
      <c r="BH1260" s="1">
        <v>156.96</v>
      </c>
      <c r="BI1260" s="1">
        <v>161.74</v>
      </c>
      <c r="BJ1260" s="1">
        <v>168.49</v>
      </c>
      <c r="BL1260" s="1">
        <v>153.52000000000001</v>
      </c>
      <c r="BN1260" s="1">
        <v>153.63999999999999</v>
      </c>
    </row>
    <row r="1261" spans="1:66" x14ac:dyDescent="0.3">
      <c r="A1261" s="2"/>
      <c r="C1261" s="14" t="str">
        <f t="shared" si="20"/>
        <v>20213</v>
      </c>
      <c r="D1261" s="3">
        <v>44270</v>
      </c>
      <c r="E1261" s="21">
        <v>2427.75</v>
      </c>
      <c r="F1261" s="21">
        <v>2695.39</v>
      </c>
      <c r="G1261" s="21">
        <v>2865.72</v>
      </c>
      <c r="H1261" s="21">
        <v>2447.91</v>
      </c>
      <c r="I1261" s="21">
        <v>2742.81</v>
      </c>
      <c r="J1261" s="21">
        <v>2650.31</v>
      </c>
      <c r="K1261" s="21">
        <v>2656.97</v>
      </c>
      <c r="L1261" s="21">
        <v>2589.9699999999998</v>
      </c>
      <c r="M1261" s="21"/>
      <c r="N1261" s="21">
        <v>2232.33</v>
      </c>
      <c r="O1261" s="21">
        <v>2583.14</v>
      </c>
      <c r="P1261" s="21">
        <v>2698</v>
      </c>
      <c r="Q1261" s="21">
        <v>7395.73</v>
      </c>
      <c r="R1261" s="20">
        <v>155.96</v>
      </c>
      <c r="S1261" s="20">
        <v>152.13</v>
      </c>
      <c r="T1261" s="21">
        <v>157.6</v>
      </c>
      <c r="U1261" s="1">
        <v>161.18</v>
      </c>
      <c r="V1261" s="1">
        <v>156.72</v>
      </c>
      <c r="W1261" s="1">
        <v>159.09</v>
      </c>
      <c r="X1261" s="1">
        <v>161.38</v>
      </c>
      <c r="Y1261" s="1">
        <v>157.27000000000001</v>
      </c>
      <c r="Z1261" s="1">
        <v>158.25</v>
      </c>
      <c r="AA1261" s="1">
        <v>159.28</v>
      </c>
      <c r="AB1261" s="1">
        <v>162.44</v>
      </c>
      <c r="AE1261" s="1">
        <v>166.43</v>
      </c>
      <c r="AF1261" s="1">
        <v>158.25</v>
      </c>
      <c r="AG1261" s="1">
        <v>154.76</v>
      </c>
      <c r="AT1261" s="1">
        <v>3696.34</v>
      </c>
      <c r="AW1261" s="1">
        <v>3418.52</v>
      </c>
      <c r="AX1261" s="1">
        <v>158.22</v>
      </c>
      <c r="BA1261" s="1">
        <v>161.66</v>
      </c>
      <c r="BB1261" s="1">
        <v>165.04</v>
      </c>
      <c r="BC1261" s="1">
        <v>160.59</v>
      </c>
      <c r="BD1261" s="1">
        <v>160.46</v>
      </c>
      <c r="BE1261" s="1">
        <v>167.21</v>
      </c>
      <c r="BF1261" s="1">
        <v>158.38</v>
      </c>
      <c r="BG1261" s="1">
        <v>167.89</v>
      </c>
      <c r="BH1261" s="1">
        <v>154.63</v>
      </c>
      <c r="BI1261" s="1">
        <v>160.63999999999999</v>
      </c>
      <c r="BJ1261" s="1">
        <v>169.24</v>
      </c>
      <c r="BL1261" s="1">
        <v>153.97</v>
      </c>
      <c r="BN1261" s="1">
        <v>153.99</v>
      </c>
    </row>
    <row r="1262" spans="1:66" x14ac:dyDescent="0.3">
      <c r="A1262" s="2"/>
      <c r="C1262" s="14" t="str">
        <f t="shared" si="20"/>
        <v>20213</v>
      </c>
      <c r="D1262" s="3">
        <v>44267</v>
      </c>
      <c r="E1262" s="21">
        <v>2397.86</v>
      </c>
      <c r="F1262" s="21">
        <v>2722.01</v>
      </c>
      <c r="G1262" s="21">
        <v>2878.21</v>
      </c>
      <c r="H1262" s="21">
        <v>2331.0700000000002</v>
      </c>
      <c r="I1262" s="21">
        <v>2717.85</v>
      </c>
      <c r="J1262" s="21">
        <v>2652.26</v>
      </c>
      <c r="K1262" s="21">
        <v>2632.69</v>
      </c>
      <c r="L1262" s="21">
        <v>2759.17</v>
      </c>
      <c r="M1262" s="21"/>
      <c r="N1262" s="21">
        <v>2248.85</v>
      </c>
      <c r="O1262" s="21">
        <v>2593.59</v>
      </c>
      <c r="P1262" s="21">
        <v>2712.67</v>
      </c>
      <c r="Q1262" s="21">
        <v>7026.82</v>
      </c>
      <c r="R1262" s="20">
        <v>155.21</v>
      </c>
      <c r="S1262" s="20">
        <v>152.22999999999999</v>
      </c>
      <c r="T1262" s="21">
        <v>157.97999999999999</v>
      </c>
      <c r="V1262" s="1">
        <v>159.47</v>
      </c>
      <c r="W1262" s="1">
        <v>156.94</v>
      </c>
      <c r="X1262" s="1">
        <v>163.55000000000001</v>
      </c>
      <c r="Y1262" s="1">
        <v>157.13999999999999</v>
      </c>
      <c r="Z1262" s="1">
        <v>157</v>
      </c>
      <c r="AA1262" s="1">
        <v>157.53</v>
      </c>
      <c r="AB1262" s="1">
        <v>163.11000000000001</v>
      </c>
      <c r="AE1262" s="1">
        <v>166.24</v>
      </c>
      <c r="AF1262" s="1">
        <v>161.35</v>
      </c>
      <c r="AG1262" s="1">
        <v>154.51</v>
      </c>
      <c r="AP1262" s="1">
        <v>4030</v>
      </c>
      <c r="AT1262" s="1">
        <v>3696.34</v>
      </c>
      <c r="AW1262" s="1">
        <v>3380.8</v>
      </c>
      <c r="BA1262" s="1">
        <v>162.13</v>
      </c>
      <c r="BB1262" s="1">
        <v>163.31</v>
      </c>
      <c r="BC1262" s="1">
        <v>160.33000000000001</v>
      </c>
      <c r="BD1262" s="1">
        <v>159.83000000000001</v>
      </c>
      <c r="BE1262" s="1">
        <v>167.79</v>
      </c>
      <c r="BF1262" s="1">
        <v>157.87</v>
      </c>
      <c r="BG1262" s="1">
        <v>167.3</v>
      </c>
      <c r="BH1262" s="1">
        <v>157.97999999999999</v>
      </c>
      <c r="BI1262" s="1">
        <v>160.44</v>
      </c>
      <c r="BJ1262" s="1">
        <v>169.24</v>
      </c>
      <c r="BL1262" s="1">
        <v>154.04</v>
      </c>
      <c r="BN1262" s="1">
        <v>152.91999999999999</v>
      </c>
    </row>
    <row r="1263" spans="1:66" x14ac:dyDescent="0.3">
      <c r="A1263" s="2"/>
      <c r="C1263" s="14" t="str">
        <f t="shared" si="20"/>
        <v>20213</v>
      </c>
      <c r="D1263" s="3">
        <v>44266</v>
      </c>
      <c r="E1263" s="21">
        <v>2480.2800000000002</v>
      </c>
      <c r="F1263" s="21">
        <v>2763.6</v>
      </c>
      <c r="G1263" s="21">
        <v>2920.64</v>
      </c>
      <c r="H1263" s="21">
        <v>2330.2199999999998</v>
      </c>
      <c r="I1263" s="21">
        <v>2722.84</v>
      </c>
      <c r="J1263" s="21">
        <v>2653.33</v>
      </c>
      <c r="K1263" s="21">
        <v>2671.96</v>
      </c>
      <c r="L1263" s="21">
        <v>2653.24</v>
      </c>
      <c r="M1263" s="21"/>
      <c r="N1263" s="21">
        <v>2284.2800000000002</v>
      </c>
      <c r="O1263" s="21">
        <v>2579.48</v>
      </c>
      <c r="P1263" s="21">
        <v>2748.17</v>
      </c>
      <c r="Q1263" s="21">
        <v>6993.64</v>
      </c>
      <c r="R1263" s="20">
        <v>156.96</v>
      </c>
      <c r="S1263" s="20">
        <v>152.82</v>
      </c>
      <c r="T1263" s="21">
        <v>159.97999999999999</v>
      </c>
      <c r="U1263" s="1">
        <v>161.35</v>
      </c>
      <c r="V1263" s="1">
        <v>160.37</v>
      </c>
      <c r="W1263" s="1">
        <v>161.38999999999999</v>
      </c>
      <c r="X1263" s="1">
        <v>165.47</v>
      </c>
      <c r="Y1263" s="1">
        <v>159.15</v>
      </c>
      <c r="Z1263" s="1">
        <v>160.62</v>
      </c>
      <c r="AA1263" s="1">
        <v>159.76</v>
      </c>
      <c r="AB1263" s="1">
        <v>165.09</v>
      </c>
      <c r="AE1263" s="1">
        <v>171.32</v>
      </c>
      <c r="AF1263" s="1">
        <v>163.59</v>
      </c>
      <c r="AG1263" s="1">
        <v>155.53</v>
      </c>
      <c r="AP1263" s="1">
        <v>4030</v>
      </c>
      <c r="AX1263" s="1">
        <v>160.84</v>
      </c>
      <c r="BA1263" s="1">
        <v>163.75</v>
      </c>
      <c r="BB1263" s="1">
        <v>164.76</v>
      </c>
      <c r="BC1263" s="1">
        <v>163.94</v>
      </c>
      <c r="BD1263" s="1">
        <v>163.32</v>
      </c>
      <c r="BE1263" s="1">
        <v>167.17</v>
      </c>
      <c r="BF1263" s="1">
        <v>158.96</v>
      </c>
      <c r="BG1263" s="1">
        <v>175.43</v>
      </c>
      <c r="BH1263" s="1">
        <v>160.59</v>
      </c>
      <c r="BI1263" s="1">
        <v>164.04</v>
      </c>
      <c r="BJ1263" s="1">
        <v>178.22</v>
      </c>
      <c r="BL1263" s="1">
        <v>155.29</v>
      </c>
      <c r="BN1263" s="1">
        <v>153.66999999999999</v>
      </c>
    </row>
    <row r="1264" spans="1:66" x14ac:dyDescent="0.3">
      <c r="A1264" s="2"/>
      <c r="C1264" s="14" t="str">
        <f t="shared" si="20"/>
        <v>20213</v>
      </c>
      <c r="D1264" s="3">
        <v>44265</v>
      </c>
      <c r="E1264" s="21">
        <v>2637.25</v>
      </c>
      <c r="F1264" s="21">
        <v>2776.08</v>
      </c>
      <c r="G1264" s="21">
        <v>2935.62</v>
      </c>
      <c r="H1264" s="21">
        <v>2336.06</v>
      </c>
      <c r="I1264" s="21">
        <v>2770.26</v>
      </c>
      <c r="J1264" s="21">
        <v>2669.07</v>
      </c>
      <c r="K1264" s="21">
        <v>2719.82</v>
      </c>
      <c r="L1264" s="21">
        <v>2653.24</v>
      </c>
      <c r="M1264" s="21"/>
      <c r="N1264" s="21">
        <v>2312.7399999999998</v>
      </c>
      <c r="O1264" s="21">
        <v>2659.97</v>
      </c>
      <c r="P1264" s="21">
        <v>2737.96</v>
      </c>
      <c r="Q1264" s="21">
        <v>7043.55</v>
      </c>
      <c r="R1264" s="20">
        <v>159.94999999999999</v>
      </c>
      <c r="S1264" s="20">
        <v>158.97999999999999</v>
      </c>
      <c r="T1264" s="21">
        <v>161.04</v>
      </c>
      <c r="U1264" s="1">
        <v>164.6</v>
      </c>
      <c r="V1264" s="1">
        <v>160.77000000000001</v>
      </c>
      <c r="W1264" s="1">
        <v>164.23</v>
      </c>
      <c r="X1264" s="1">
        <v>167.61</v>
      </c>
      <c r="Y1264" s="1">
        <v>161.69999999999999</v>
      </c>
      <c r="Z1264" s="1">
        <v>162.75</v>
      </c>
      <c r="AA1264" s="1">
        <v>163.28</v>
      </c>
      <c r="AB1264" s="1">
        <v>167.06</v>
      </c>
      <c r="AE1264" s="1">
        <v>174.32</v>
      </c>
      <c r="AF1264" s="1">
        <v>167.04</v>
      </c>
      <c r="AG1264" s="1">
        <v>157.58000000000001</v>
      </c>
      <c r="AP1264" s="1">
        <v>4030</v>
      </c>
      <c r="AX1264" s="1">
        <v>161.09</v>
      </c>
      <c r="BA1264" s="1">
        <v>166.17</v>
      </c>
      <c r="BB1264" s="1">
        <v>169.62</v>
      </c>
      <c r="BC1264" s="1">
        <v>166.51</v>
      </c>
      <c r="BD1264" s="1">
        <v>166.5</v>
      </c>
      <c r="BE1264" s="1">
        <v>169.39</v>
      </c>
      <c r="BF1264" s="1">
        <v>161.44999999999999</v>
      </c>
      <c r="BG1264" s="1">
        <v>174.43</v>
      </c>
      <c r="BH1264" s="1">
        <v>162.85</v>
      </c>
      <c r="BI1264" s="1">
        <v>163.84</v>
      </c>
      <c r="BJ1264" s="1">
        <v>175.54</v>
      </c>
      <c r="BL1264" s="1">
        <v>157.72</v>
      </c>
      <c r="BN1264" s="1">
        <v>155.16999999999999</v>
      </c>
    </row>
    <row r="1265" spans="1:66" x14ac:dyDescent="0.3">
      <c r="A1265" s="2"/>
      <c r="C1265" s="14" t="str">
        <f t="shared" si="20"/>
        <v>20213</v>
      </c>
      <c r="D1265" s="3">
        <v>44264</v>
      </c>
      <c r="E1265" s="21">
        <v>2612.71</v>
      </c>
      <c r="F1265" s="21">
        <v>2767.99</v>
      </c>
      <c r="G1265" s="21">
        <v>2955.58</v>
      </c>
      <c r="H1265" s="21">
        <v>2357.6799999999998</v>
      </c>
      <c r="I1265" s="21">
        <v>2762.77</v>
      </c>
      <c r="J1265" s="21">
        <v>2669.07</v>
      </c>
      <c r="K1265" s="21">
        <v>2735.8</v>
      </c>
      <c r="L1265" s="21">
        <v>2686.54</v>
      </c>
      <c r="M1265" s="21"/>
      <c r="N1265" s="21">
        <v>2380.33</v>
      </c>
      <c r="O1265" s="21">
        <v>2684.73</v>
      </c>
      <c r="P1265" s="21">
        <v>2769.94</v>
      </c>
      <c r="Q1265" s="21">
        <v>7019.06</v>
      </c>
      <c r="R1265" s="20">
        <v>159.94999999999999</v>
      </c>
      <c r="S1265" s="20">
        <v>161.47999999999999</v>
      </c>
      <c r="T1265" s="21">
        <v>162.13999999999999</v>
      </c>
      <c r="U1265" s="1">
        <v>167.87</v>
      </c>
      <c r="V1265" s="1">
        <v>160.97</v>
      </c>
      <c r="W1265" s="1">
        <v>164.52</v>
      </c>
      <c r="X1265" s="1">
        <v>166.8</v>
      </c>
      <c r="Y1265" s="1">
        <v>162.82</v>
      </c>
      <c r="Z1265" s="1">
        <v>163</v>
      </c>
      <c r="AA1265" s="1">
        <v>163.54</v>
      </c>
      <c r="AB1265" s="1">
        <v>165.7</v>
      </c>
      <c r="AE1265" s="1">
        <v>174.69</v>
      </c>
      <c r="AF1265" s="1">
        <v>168.35</v>
      </c>
      <c r="AG1265" s="1">
        <v>160.18</v>
      </c>
      <c r="AP1265" s="1">
        <v>4030</v>
      </c>
      <c r="AX1265" s="1">
        <v>161.57</v>
      </c>
      <c r="AY1265" s="1">
        <v>4102.04</v>
      </c>
      <c r="BA1265" s="1">
        <v>168</v>
      </c>
      <c r="BB1265" s="1">
        <v>173.23</v>
      </c>
      <c r="BC1265" s="1">
        <v>169.21</v>
      </c>
      <c r="BD1265" s="1">
        <v>167.22</v>
      </c>
      <c r="BE1265" s="1">
        <v>169.83</v>
      </c>
      <c r="BF1265" s="1">
        <v>164.65</v>
      </c>
      <c r="BG1265" s="1">
        <v>175.23</v>
      </c>
      <c r="BH1265" s="1">
        <v>165.51</v>
      </c>
      <c r="BI1265" s="1">
        <v>162.24</v>
      </c>
      <c r="BJ1265" s="1">
        <v>174.94</v>
      </c>
      <c r="BL1265" s="1">
        <v>159.22</v>
      </c>
      <c r="BN1265" s="1">
        <v>157.57</v>
      </c>
    </row>
    <row r="1266" spans="1:66" x14ac:dyDescent="0.3">
      <c r="A1266" s="2"/>
      <c r="C1266" s="14" t="str">
        <f t="shared" si="20"/>
        <v>20213</v>
      </c>
      <c r="D1266" s="3">
        <v>44263</v>
      </c>
      <c r="E1266" s="21">
        <v>2597.62</v>
      </c>
      <c r="F1266" s="21">
        <v>2808.83</v>
      </c>
      <c r="G1266" s="21">
        <v>2955.58</v>
      </c>
      <c r="H1266" s="21">
        <v>2482.5300000000002</v>
      </c>
      <c r="I1266" s="21">
        <v>2775.25</v>
      </c>
      <c r="J1266" s="21">
        <v>2675.32</v>
      </c>
      <c r="K1266" s="21">
        <v>2735.8</v>
      </c>
      <c r="L1266" s="21">
        <v>2686.54</v>
      </c>
      <c r="M1266" s="21"/>
      <c r="N1266" s="21">
        <v>2360.64</v>
      </c>
      <c r="O1266" s="21">
        <v>2675.97</v>
      </c>
      <c r="P1266" s="21">
        <v>2769.94</v>
      </c>
      <c r="Q1266" s="21">
        <v>6675.3</v>
      </c>
      <c r="R1266" s="20">
        <v>158.69999999999999</v>
      </c>
      <c r="S1266" s="20">
        <v>158.15</v>
      </c>
      <c r="T1266" s="21">
        <v>160.74</v>
      </c>
      <c r="U1266" s="1">
        <v>166.68</v>
      </c>
      <c r="V1266" s="1">
        <v>160.37</v>
      </c>
      <c r="W1266" s="1">
        <v>161.94</v>
      </c>
      <c r="X1266" s="1">
        <v>163.61000000000001</v>
      </c>
      <c r="Y1266" s="1">
        <v>160.5</v>
      </c>
      <c r="Z1266" s="1">
        <v>160.62</v>
      </c>
      <c r="AA1266" s="1">
        <v>161.54</v>
      </c>
      <c r="AB1266" s="1">
        <v>163.5</v>
      </c>
      <c r="AE1266" s="1">
        <v>172.6</v>
      </c>
      <c r="AF1266" s="1">
        <v>165.13</v>
      </c>
      <c r="AG1266" s="1">
        <v>158.65</v>
      </c>
      <c r="AP1266" s="1">
        <v>4030</v>
      </c>
      <c r="AX1266" s="1">
        <v>162.82</v>
      </c>
      <c r="AY1266" s="1">
        <v>4102.04</v>
      </c>
      <c r="BA1266" s="1">
        <v>165.16</v>
      </c>
      <c r="BB1266" s="1">
        <v>170.5</v>
      </c>
      <c r="BC1266" s="1">
        <v>166.5</v>
      </c>
      <c r="BD1266" s="1">
        <v>165.81</v>
      </c>
      <c r="BE1266" s="1">
        <v>164.7</v>
      </c>
      <c r="BF1266" s="1">
        <v>160.88999999999999</v>
      </c>
      <c r="BG1266" s="1">
        <v>173.02</v>
      </c>
      <c r="BH1266" s="1">
        <v>165.51</v>
      </c>
      <c r="BI1266" s="1">
        <v>162.04</v>
      </c>
      <c r="BJ1266" s="1">
        <v>174.94</v>
      </c>
      <c r="BL1266" s="1">
        <v>156.29</v>
      </c>
      <c r="BN1266" s="1">
        <v>156.22999999999999</v>
      </c>
    </row>
    <row r="1267" spans="1:66" x14ac:dyDescent="0.3">
      <c r="A1267" s="2"/>
      <c r="C1267" s="14" t="str">
        <f t="shared" si="20"/>
        <v>20213</v>
      </c>
      <c r="D1267" s="3">
        <v>44260</v>
      </c>
      <c r="E1267" s="21">
        <v>2599.2800000000002</v>
      </c>
      <c r="F1267" s="21">
        <v>2808.83</v>
      </c>
      <c r="G1267" s="21">
        <v>3030.49</v>
      </c>
      <c r="H1267" s="21">
        <v>2499.41</v>
      </c>
      <c r="I1267" s="21">
        <v>2775.25</v>
      </c>
      <c r="J1267" s="21">
        <v>2731.98</v>
      </c>
      <c r="K1267" s="21">
        <v>2711.82</v>
      </c>
      <c r="L1267" s="21">
        <v>2673.22</v>
      </c>
      <c r="M1267" s="21"/>
      <c r="N1267" s="21">
        <v>2355.6999999999998</v>
      </c>
      <c r="O1267" s="21">
        <v>2660.34</v>
      </c>
      <c r="P1267" s="21">
        <v>2745.96</v>
      </c>
      <c r="Q1267" s="21">
        <v>6662.8</v>
      </c>
      <c r="R1267" s="20">
        <v>157.96</v>
      </c>
      <c r="S1267" s="20">
        <v>155.59</v>
      </c>
      <c r="T1267" s="21">
        <v>158.72</v>
      </c>
      <c r="U1267" s="1">
        <v>164.68</v>
      </c>
      <c r="V1267" s="1">
        <v>158.47</v>
      </c>
      <c r="W1267" s="1">
        <v>159.94</v>
      </c>
      <c r="X1267" s="1">
        <v>161.79</v>
      </c>
      <c r="Y1267" s="1">
        <v>157.38999999999999</v>
      </c>
      <c r="Z1267" s="1">
        <v>157.62</v>
      </c>
      <c r="AA1267" s="1">
        <v>159.77000000000001</v>
      </c>
      <c r="AB1267" s="1">
        <v>162.38999999999999</v>
      </c>
      <c r="AE1267" s="1">
        <v>169.97</v>
      </c>
      <c r="AF1267" s="1">
        <v>161.09</v>
      </c>
      <c r="AG1267" s="1">
        <v>157.31</v>
      </c>
      <c r="AX1267" s="1">
        <v>159.15</v>
      </c>
      <c r="AY1267" s="1">
        <v>4016.89</v>
      </c>
      <c r="BA1267" s="1">
        <v>164.59</v>
      </c>
      <c r="BB1267" s="1">
        <v>167.36</v>
      </c>
      <c r="BC1267" s="1">
        <v>163.98</v>
      </c>
      <c r="BD1267" s="1">
        <v>162.81</v>
      </c>
      <c r="BE1267" s="1">
        <v>164.7</v>
      </c>
      <c r="BF1267" s="1">
        <v>159.75</v>
      </c>
      <c r="BG1267" s="1">
        <v>170.45</v>
      </c>
      <c r="BH1267" s="1">
        <v>159.29</v>
      </c>
      <c r="BI1267" s="1">
        <v>160.84</v>
      </c>
      <c r="BJ1267" s="1">
        <v>173.14</v>
      </c>
      <c r="BL1267" s="1">
        <v>153.79</v>
      </c>
      <c r="BN1267" s="1">
        <v>154.22999999999999</v>
      </c>
    </row>
    <row r="1268" spans="1:66" x14ac:dyDescent="0.3">
      <c r="A1268" s="2"/>
      <c r="C1268" s="14" t="str">
        <f t="shared" si="20"/>
        <v>20213</v>
      </c>
      <c r="D1268" s="3">
        <v>44259</v>
      </c>
      <c r="E1268" s="21">
        <v>2607.14</v>
      </c>
      <c r="F1268" s="21">
        <v>2808.83</v>
      </c>
      <c r="G1268" s="21">
        <v>3018</v>
      </c>
      <c r="H1268" s="21">
        <v>2497.5100000000002</v>
      </c>
      <c r="I1268" s="21">
        <v>2755.29</v>
      </c>
      <c r="J1268" s="21">
        <v>2760.48</v>
      </c>
      <c r="K1268" s="21">
        <v>2741.8</v>
      </c>
      <c r="L1268" s="21">
        <v>2693.2</v>
      </c>
      <c r="M1268" s="21"/>
      <c r="N1268" s="21">
        <v>2390.7399999999998</v>
      </c>
      <c r="O1268" s="21">
        <v>2752.22</v>
      </c>
      <c r="P1268" s="21">
        <v>2767.95</v>
      </c>
      <c r="Q1268" s="21">
        <v>6497.46</v>
      </c>
      <c r="R1268" s="20">
        <v>155.63999999999999</v>
      </c>
      <c r="S1268" s="20">
        <v>153.35</v>
      </c>
      <c r="T1268" s="21">
        <v>157.97</v>
      </c>
      <c r="V1268" s="1">
        <v>157.96</v>
      </c>
      <c r="W1268" s="1">
        <v>159.28</v>
      </c>
      <c r="X1268" s="1">
        <v>161.79</v>
      </c>
      <c r="Y1268" s="1">
        <v>156.99</v>
      </c>
      <c r="Z1268" s="1">
        <v>157</v>
      </c>
      <c r="AA1268" s="1">
        <v>158.22</v>
      </c>
      <c r="AB1268" s="1">
        <v>162.38999999999999</v>
      </c>
      <c r="AE1268" s="1">
        <v>168.8</v>
      </c>
      <c r="AF1268" s="1">
        <v>162.56</v>
      </c>
      <c r="AG1268" s="1">
        <v>153.96</v>
      </c>
      <c r="AX1268" s="1">
        <v>159.15</v>
      </c>
      <c r="AY1268" s="1">
        <v>4016.89</v>
      </c>
      <c r="BA1268" s="1">
        <v>162.33000000000001</v>
      </c>
      <c r="BB1268" s="1">
        <v>166.13</v>
      </c>
      <c r="BC1268" s="1">
        <v>161.22999999999999</v>
      </c>
      <c r="BD1268" s="1">
        <v>162.28</v>
      </c>
      <c r="BE1268" s="1">
        <v>160.44999999999999</v>
      </c>
      <c r="BF1268" s="1">
        <v>159.91</v>
      </c>
      <c r="BG1268" s="1">
        <v>172.32</v>
      </c>
      <c r="BH1268" s="1">
        <v>160.57</v>
      </c>
      <c r="BI1268" s="1">
        <v>160.84</v>
      </c>
      <c r="BJ1268" s="1">
        <v>173.14</v>
      </c>
      <c r="BL1268" s="1">
        <v>153.29</v>
      </c>
      <c r="BN1268" s="1">
        <v>153.66999999999999</v>
      </c>
    </row>
    <row r="1269" spans="1:66" x14ac:dyDescent="0.3">
      <c r="A1269" s="2"/>
      <c r="C1269" s="14" t="str">
        <f t="shared" si="20"/>
        <v>20213</v>
      </c>
      <c r="D1269" s="3">
        <v>44258</v>
      </c>
      <c r="E1269" s="21">
        <v>2728.95</v>
      </c>
      <c r="F1269" s="21">
        <v>2880.07</v>
      </c>
      <c r="G1269" s="21">
        <v>3042.97</v>
      </c>
      <c r="H1269" s="21">
        <v>2621.38</v>
      </c>
      <c r="I1269" s="21">
        <v>2755.29</v>
      </c>
      <c r="J1269" s="21">
        <v>2788.48</v>
      </c>
      <c r="K1269" s="21">
        <v>2741.8</v>
      </c>
      <c r="L1269" s="21">
        <v>2693.2</v>
      </c>
      <c r="M1269" s="21"/>
      <c r="N1269" s="21">
        <v>2432.4299999999998</v>
      </c>
      <c r="O1269" s="21">
        <v>2792.22</v>
      </c>
      <c r="P1269" s="21">
        <v>2767.95</v>
      </c>
      <c r="Q1269" s="21">
        <v>6486.19</v>
      </c>
      <c r="R1269" s="20">
        <v>155.30000000000001</v>
      </c>
      <c r="S1269" s="20">
        <v>153.80000000000001</v>
      </c>
      <c r="T1269" s="21">
        <v>157.71</v>
      </c>
      <c r="V1269" s="1">
        <v>157.22</v>
      </c>
      <c r="W1269" s="1">
        <v>159.28</v>
      </c>
      <c r="X1269" s="1">
        <v>161.78</v>
      </c>
      <c r="Y1269" s="1">
        <v>157.04</v>
      </c>
      <c r="Z1269" s="1">
        <v>157.5</v>
      </c>
      <c r="AA1269" s="1">
        <v>158.22</v>
      </c>
      <c r="AB1269" s="1">
        <v>162.28</v>
      </c>
      <c r="AE1269" s="1">
        <v>170.67</v>
      </c>
      <c r="AF1269" s="1">
        <v>163.16</v>
      </c>
      <c r="AG1269" s="1">
        <v>156.6</v>
      </c>
      <c r="AO1269" s="1">
        <v>7</v>
      </c>
      <c r="AT1269" s="1">
        <v>3863.59</v>
      </c>
      <c r="AX1269" s="1">
        <v>158.47999999999999</v>
      </c>
      <c r="AY1269" s="1">
        <v>4016.89</v>
      </c>
      <c r="BA1269" s="1">
        <v>163.41999999999999</v>
      </c>
      <c r="BB1269" s="1">
        <v>166.5</v>
      </c>
      <c r="BC1269" s="1">
        <v>161.52000000000001</v>
      </c>
      <c r="BD1269" s="1">
        <v>163.19999999999999</v>
      </c>
      <c r="BE1269" s="1">
        <v>161.28</v>
      </c>
      <c r="BF1269" s="1">
        <v>159.9</v>
      </c>
      <c r="BG1269" s="1">
        <v>172.31</v>
      </c>
      <c r="BH1269" s="1">
        <v>160.57</v>
      </c>
      <c r="BI1269" s="1">
        <v>160.63999999999999</v>
      </c>
      <c r="BJ1269" s="1">
        <v>168.95</v>
      </c>
      <c r="BL1269" s="1">
        <v>153.54</v>
      </c>
      <c r="BN1269" s="1">
        <v>153.66999999999999</v>
      </c>
    </row>
    <row r="1270" spans="1:66" x14ac:dyDescent="0.3">
      <c r="A1270" s="2"/>
      <c r="C1270" s="14" t="str">
        <f t="shared" si="20"/>
        <v>20213</v>
      </c>
      <c r="D1270" s="3">
        <v>44257</v>
      </c>
      <c r="E1270" s="21">
        <v>2811.95</v>
      </c>
      <c r="F1270" s="21">
        <v>2885.06</v>
      </c>
      <c r="G1270" s="21">
        <v>3042.96</v>
      </c>
      <c r="H1270" s="21">
        <v>2639.93</v>
      </c>
      <c r="I1270" s="21">
        <v>2800.21</v>
      </c>
      <c r="J1270" s="21">
        <v>2788.2</v>
      </c>
      <c r="K1270" s="21">
        <v>2734.87</v>
      </c>
      <c r="L1270" s="21">
        <v>2753.14</v>
      </c>
      <c r="M1270" s="21"/>
      <c r="N1270" s="21">
        <v>2460.17</v>
      </c>
      <c r="O1270" s="21">
        <v>2761.31</v>
      </c>
      <c r="P1270" s="21">
        <v>2754.96</v>
      </c>
      <c r="Q1270" s="21">
        <v>6387.27</v>
      </c>
      <c r="R1270" s="20">
        <v>152.72999999999999</v>
      </c>
      <c r="S1270" s="20">
        <v>153.77000000000001</v>
      </c>
      <c r="T1270" s="21">
        <v>156.46</v>
      </c>
      <c r="V1270" s="1">
        <v>154.97</v>
      </c>
      <c r="W1270" s="1">
        <v>158.38999999999999</v>
      </c>
      <c r="X1270" s="1">
        <v>159.22</v>
      </c>
      <c r="Y1270" s="1">
        <v>156.16999999999999</v>
      </c>
      <c r="Z1270" s="1">
        <v>156</v>
      </c>
      <c r="AA1270" s="1">
        <v>154.69999999999999</v>
      </c>
      <c r="AB1270" s="1">
        <v>159.44</v>
      </c>
      <c r="AE1270" s="1">
        <v>168.39</v>
      </c>
      <c r="AF1270" s="1">
        <v>158.37</v>
      </c>
      <c r="AG1270" s="1">
        <v>152.83000000000001</v>
      </c>
      <c r="AO1270" s="1">
        <v>7</v>
      </c>
      <c r="AT1270" s="1">
        <v>3863.59</v>
      </c>
      <c r="AU1270" s="1">
        <v>3911.71</v>
      </c>
      <c r="AX1270" s="1">
        <v>156.15</v>
      </c>
      <c r="AY1270" s="1">
        <v>3846.6</v>
      </c>
      <c r="BA1270" s="1">
        <v>162.5</v>
      </c>
      <c r="BB1270" s="1">
        <v>164.67</v>
      </c>
      <c r="BC1270" s="1">
        <v>161.91999999999999</v>
      </c>
      <c r="BD1270" s="1">
        <v>159.41</v>
      </c>
      <c r="BE1270" s="1">
        <v>161.28</v>
      </c>
      <c r="BF1270" s="1">
        <v>159.19999999999999</v>
      </c>
      <c r="BG1270" s="1">
        <v>169.51</v>
      </c>
      <c r="BH1270" s="1">
        <v>158.62</v>
      </c>
      <c r="BI1270" s="1">
        <v>159.84</v>
      </c>
      <c r="BJ1270" s="1">
        <v>167.35</v>
      </c>
      <c r="BL1270" s="1">
        <v>153.09</v>
      </c>
      <c r="BN1270" s="1">
        <v>153</v>
      </c>
    </row>
    <row r="1271" spans="1:66" x14ac:dyDescent="0.3">
      <c r="A1271" s="2"/>
      <c r="C1271" s="14" t="str">
        <f t="shared" si="20"/>
        <v>20213</v>
      </c>
      <c r="D1271" s="3">
        <v>44256</v>
      </c>
      <c r="E1271" s="21">
        <v>2781.03</v>
      </c>
      <c r="F1271" s="21">
        <v>2916.55</v>
      </c>
      <c r="G1271" s="21">
        <v>2991.42</v>
      </c>
      <c r="H1271" s="21">
        <v>2569.13</v>
      </c>
      <c r="I1271" s="21">
        <v>2832.65</v>
      </c>
      <c r="J1271" s="21">
        <v>2833.35</v>
      </c>
      <c r="K1271" s="21">
        <v>2735.81</v>
      </c>
      <c r="L1271" s="21">
        <v>2753.14</v>
      </c>
      <c r="M1271" s="21"/>
      <c r="N1271" s="21">
        <v>2502.23</v>
      </c>
      <c r="O1271" s="21">
        <v>2851.56</v>
      </c>
      <c r="P1271" s="21">
        <v>2754.96</v>
      </c>
      <c r="Q1271" s="21">
        <v>6123.33</v>
      </c>
      <c r="R1271" s="20">
        <v>152.30000000000001</v>
      </c>
      <c r="S1271" s="20">
        <v>151.47</v>
      </c>
      <c r="T1271" s="21">
        <v>155.97999999999999</v>
      </c>
      <c r="V1271" s="1">
        <v>153.72</v>
      </c>
      <c r="W1271" s="1">
        <v>157.38</v>
      </c>
      <c r="X1271" s="1">
        <v>158.57</v>
      </c>
      <c r="Y1271" s="1">
        <v>156.41999999999999</v>
      </c>
      <c r="Z1271" s="1">
        <v>156.29</v>
      </c>
      <c r="AA1271" s="1">
        <v>153.82</v>
      </c>
      <c r="AB1271" s="1">
        <v>157.69</v>
      </c>
      <c r="AE1271" s="1">
        <v>164.47</v>
      </c>
      <c r="AF1271" s="1">
        <v>157.34</v>
      </c>
      <c r="AG1271" s="1">
        <v>151.99</v>
      </c>
      <c r="AO1271" s="1">
        <v>7</v>
      </c>
      <c r="AT1271" s="1">
        <v>3863.59</v>
      </c>
      <c r="AU1271" s="1">
        <v>3911.71</v>
      </c>
      <c r="AX1271" s="1">
        <v>153.47999999999999</v>
      </c>
      <c r="AY1271" s="1">
        <v>3846.6</v>
      </c>
      <c r="BA1271" s="1">
        <v>160.24</v>
      </c>
      <c r="BB1271" s="1">
        <v>163.11000000000001</v>
      </c>
      <c r="BC1271" s="1">
        <v>160.19999999999999</v>
      </c>
      <c r="BD1271" s="1">
        <v>158.13</v>
      </c>
      <c r="BE1271" s="1">
        <v>159.61000000000001</v>
      </c>
      <c r="BF1271" s="1">
        <v>158.11000000000001</v>
      </c>
      <c r="BG1271" s="1">
        <v>165.98</v>
      </c>
      <c r="BH1271" s="1">
        <v>156.62</v>
      </c>
      <c r="BI1271" s="1">
        <v>159.44</v>
      </c>
      <c r="BJ1271" s="1">
        <v>167.15</v>
      </c>
      <c r="BL1271" s="1">
        <v>152.29</v>
      </c>
      <c r="BN1271" s="1">
        <v>152</v>
      </c>
    </row>
    <row r="1272" spans="1:66" x14ac:dyDescent="0.3">
      <c r="A1272" s="2"/>
      <c r="C1272" s="14" t="str">
        <f t="shared" si="20"/>
        <v>20212</v>
      </c>
      <c r="D1272" s="3">
        <v>44253</v>
      </c>
      <c r="E1272" s="21">
        <v>2898.98</v>
      </c>
      <c r="F1272" s="21">
        <v>2928.68</v>
      </c>
      <c r="G1272" s="21">
        <v>3037.94</v>
      </c>
      <c r="H1272" s="21">
        <v>2565.63</v>
      </c>
      <c r="I1272" s="21">
        <v>2848.22</v>
      </c>
      <c r="J1272" s="21">
        <v>2789.22</v>
      </c>
      <c r="K1272" s="21">
        <v>2734.08</v>
      </c>
      <c r="L1272" s="21">
        <v>2627.38</v>
      </c>
      <c r="M1272" s="21">
        <v>2573.5500000000002</v>
      </c>
      <c r="N1272" s="21">
        <v>2557.02</v>
      </c>
      <c r="O1272" s="21">
        <v>2824.73</v>
      </c>
      <c r="P1272" s="21">
        <v>2737.94</v>
      </c>
      <c r="Q1272" s="21">
        <v>6352.05</v>
      </c>
      <c r="R1272" s="20">
        <v>152.22</v>
      </c>
      <c r="S1272" s="20">
        <v>149.63</v>
      </c>
      <c r="T1272" s="21">
        <v>154.15</v>
      </c>
      <c r="V1272" s="1">
        <v>152.77000000000001</v>
      </c>
      <c r="W1272" s="1">
        <v>154.78</v>
      </c>
      <c r="X1272" s="1">
        <v>156.52000000000001</v>
      </c>
      <c r="Y1272" s="1">
        <v>154.31</v>
      </c>
      <c r="Z1272" s="1">
        <v>154</v>
      </c>
      <c r="AA1272" s="1">
        <v>152.81</v>
      </c>
      <c r="AB1272" s="1">
        <v>157.19999999999999</v>
      </c>
      <c r="AE1272" s="1">
        <v>163.25</v>
      </c>
      <c r="AF1272" s="1">
        <v>155.77000000000001</v>
      </c>
      <c r="AG1272" s="1">
        <v>151.44999999999999</v>
      </c>
      <c r="AO1272" s="1">
        <v>7</v>
      </c>
      <c r="AP1272" s="1">
        <v>4313.55</v>
      </c>
      <c r="AT1272" s="1">
        <v>3862.93</v>
      </c>
      <c r="AU1272" s="1">
        <v>3507.74</v>
      </c>
      <c r="AX1272" s="1">
        <v>152.83000000000001</v>
      </c>
      <c r="BA1272" s="1">
        <v>158.75</v>
      </c>
      <c r="BB1272" s="1">
        <v>161.74</v>
      </c>
      <c r="BC1272" s="1">
        <v>156.97999999999999</v>
      </c>
      <c r="BD1272" s="1">
        <v>158.16</v>
      </c>
      <c r="BE1272" s="1">
        <v>158.28</v>
      </c>
      <c r="BF1272" s="1">
        <v>156.79</v>
      </c>
      <c r="BG1272" s="1">
        <v>164.29</v>
      </c>
      <c r="BH1272" s="1">
        <v>154.88</v>
      </c>
      <c r="BI1272" s="1">
        <v>158.44999999999999</v>
      </c>
      <c r="BJ1272" s="1">
        <v>165.81</v>
      </c>
      <c r="BL1272" s="1">
        <v>151.30000000000001</v>
      </c>
      <c r="BN1272" s="1">
        <v>151</v>
      </c>
    </row>
    <row r="1273" spans="1:66" x14ac:dyDescent="0.3">
      <c r="A1273" s="2"/>
      <c r="C1273" s="14" t="str">
        <f t="shared" si="20"/>
        <v>20212</v>
      </c>
      <c r="D1273" s="3">
        <v>44252</v>
      </c>
      <c r="E1273" s="21">
        <v>2736.68</v>
      </c>
      <c r="F1273" s="21">
        <v>2909.48</v>
      </c>
      <c r="G1273" s="21">
        <v>2985.52</v>
      </c>
      <c r="H1273" s="21">
        <v>2641.05</v>
      </c>
      <c r="I1273" s="21">
        <v>2819.1</v>
      </c>
      <c r="J1273" s="21">
        <v>2823</v>
      </c>
      <c r="K1273" s="21">
        <v>2737.94</v>
      </c>
      <c r="L1273" s="21">
        <v>2686.96</v>
      </c>
      <c r="M1273" s="21"/>
      <c r="N1273" s="21">
        <v>2540.02</v>
      </c>
      <c r="O1273" s="21">
        <v>2807.91</v>
      </c>
      <c r="P1273" s="21">
        <v>2755.21</v>
      </c>
      <c r="Q1273" s="21">
        <v>6045.06</v>
      </c>
      <c r="R1273" s="20">
        <v>149.81</v>
      </c>
      <c r="S1273" s="20">
        <v>150.22</v>
      </c>
      <c r="T1273" s="21">
        <v>153.97999999999999</v>
      </c>
      <c r="V1273" s="1">
        <v>153.16999999999999</v>
      </c>
      <c r="W1273" s="1">
        <v>154.38</v>
      </c>
      <c r="X1273" s="1">
        <v>156.80000000000001</v>
      </c>
      <c r="Y1273" s="1">
        <v>153.99</v>
      </c>
      <c r="Z1273" s="1">
        <v>154</v>
      </c>
      <c r="AA1273" s="1">
        <v>152.11000000000001</v>
      </c>
      <c r="AB1273" s="1">
        <v>157.57</v>
      </c>
      <c r="AE1273" s="1">
        <v>162.76</v>
      </c>
      <c r="AF1273" s="1">
        <v>155.91</v>
      </c>
      <c r="AG1273" s="1">
        <v>151.77000000000001</v>
      </c>
      <c r="AO1273" s="1">
        <v>7</v>
      </c>
      <c r="AP1273" s="1">
        <v>4313.55</v>
      </c>
      <c r="AT1273" s="1">
        <v>3862.93</v>
      </c>
      <c r="AU1273" s="1">
        <v>3473.76</v>
      </c>
      <c r="AX1273" s="1">
        <v>153.35</v>
      </c>
      <c r="BA1273" s="1">
        <v>160.66999999999999</v>
      </c>
      <c r="BB1273" s="1">
        <v>160.85</v>
      </c>
      <c r="BC1273" s="1">
        <v>157.32</v>
      </c>
      <c r="BD1273" s="1">
        <v>157.78</v>
      </c>
      <c r="BE1273" s="1">
        <v>158.28</v>
      </c>
      <c r="BF1273" s="1">
        <v>156.5</v>
      </c>
      <c r="BG1273" s="1">
        <v>164.52</v>
      </c>
      <c r="BH1273" s="1">
        <v>155.72999999999999</v>
      </c>
      <c r="BI1273" s="1">
        <v>156.05000000000001</v>
      </c>
      <c r="BJ1273" s="1">
        <v>166.98</v>
      </c>
      <c r="BL1273" s="1">
        <v>149.79</v>
      </c>
      <c r="BN1273" s="1">
        <v>149.66999999999999</v>
      </c>
    </row>
    <row r="1274" spans="1:66" x14ac:dyDescent="0.3">
      <c r="A1274" s="2"/>
      <c r="C1274" s="14" t="str">
        <f t="shared" si="20"/>
        <v>20212</v>
      </c>
      <c r="D1274" s="3">
        <v>44251</v>
      </c>
      <c r="E1274" s="21">
        <v>2768.73</v>
      </c>
      <c r="F1274" s="21">
        <v>2891.66</v>
      </c>
      <c r="G1274" s="21">
        <v>3140.91</v>
      </c>
      <c r="H1274" s="21">
        <v>2691.84</v>
      </c>
      <c r="I1274" s="21">
        <v>2888.16</v>
      </c>
      <c r="J1274" s="21">
        <v>2833</v>
      </c>
      <c r="K1274" s="21">
        <v>2740.07</v>
      </c>
      <c r="L1274" s="21">
        <v>2802.97</v>
      </c>
      <c r="M1274" s="21"/>
      <c r="N1274" s="21">
        <v>2541.41</v>
      </c>
      <c r="O1274" s="21">
        <v>2831.59</v>
      </c>
      <c r="P1274" s="21">
        <v>2755.21</v>
      </c>
      <c r="Q1274" s="21">
        <v>5920.25</v>
      </c>
      <c r="R1274" s="20">
        <v>150.01</v>
      </c>
      <c r="S1274" s="20">
        <v>148.97</v>
      </c>
      <c r="T1274" s="21">
        <v>153.97999999999999</v>
      </c>
      <c r="V1274" s="1">
        <v>152.47</v>
      </c>
      <c r="W1274" s="1">
        <v>154.24</v>
      </c>
      <c r="X1274" s="1">
        <v>155.88999999999999</v>
      </c>
      <c r="Y1274" s="1">
        <v>152.99</v>
      </c>
      <c r="Z1274" s="1">
        <v>153</v>
      </c>
      <c r="AA1274" s="1">
        <v>150.03</v>
      </c>
      <c r="AB1274" s="1">
        <v>156.82</v>
      </c>
      <c r="AE1274" s="1">
        <v>162.58000000000001</v>
      </c>
      <c r="AF1274" s="1">
        <v>155.84</v>
      </c>
      <c r="AG1274" s="1">
        <v>150.56</v>
      </c>
      <c r="AP1274" s="1">
        <v>4313.55</v>
      </c>
      <c r="AU1274" s="1">
        <v>3473.76</v>
      </c>
      <c r="AX1274" s="1">
        <v>153.30000000000001</v>
      </c>
      <c r="BA1274" s="1">
        <v>160.25</v>
      </c>
      <c r="BB1274" s="1">
        <v>159.80000000000001</v>
      </c>
      <c r="BC1274" s="1">
        <v>156.26</v>
      </c>
      <c r="BD1274" s="1">
        <v>157.24</v>
      </c>
      <c r="BE1274" s="1">
        <v>157.94999999999999</v>
      </c>
      <c r="BF1274" s="1">
        <v>156.41999999999999</v>
      </c>
      <c r="BG1274" s="1">
        <v>163.83000000000001</v>
      </c>
      <c r="BH1274" s="1">
        <v>155.22999999999999</v>
      </c>
      <c r="BI1274" s="1">
        <v>155.58000000000001</v>
      </c>
      <c r="BJ1274" s="1">
        <v>166.18</v>
      </c>
      <c r="BL1274" s="1">
        <v>149.29</v>
      </c>
      <c r="BN1274" s="1">
        <v>149</v>
      </c>
    </row>
    <row r="1275" spans="1:66" x14ac:dyDescent="0.3">
      <c r="A1275" s="2"/>
      <c r="C1275" s="14" t="str">
        <f t="shared" si="20"/>
        <v>20212</v>
      </c>
      <c r="D1275" s="3">
        <v>44250</v>
      </c>
      <c r="E1275" s="21">
        <v>2844.08</v>
      </c>
      <c r="F1275" s="21">
        <v>2888.66</v>
      </c>
      <c r="G1275" s="21">
        <v>3155.89</v>
      </c>
      <c r="H1275" s="21">
        <v>2687.01</v>
      </c>
      <c r="I1275" s="21">
        <v>2893.16</v>
      </c>
      <c r="J1275" s="21">
        <v>2896.43</v>
      </c>
      <c r="K1275" s="21">
        <v>2748.07</v>
      </c>
      <c r="L1275" s="21">
        <v>2740.25</v>
      </c>
      <c r="M1275" s="21">
        <v>2604</v>
      </c>
      <c r="N1275" s="21">
        <v>2615.0100000000002</v>
      </c>
      <c r="O1275" s="21">
        <v>2899.75</v>
      </c>
      <c r="P1275" s="21">
        <v>2763.2</v>
      </c>
      <c r="Q1275" s="21">
        <v>5936.97</v>
      </c>
      <c r="R1275" s="20">
        <v>151.19</v>
      </c>
      <c r="S1275" s="20">
        <v>149.6</v>
      </c>
      <c r="T1275" s="21">
        <v>154.22</v>
      </c>
      <c r="V1275" s="1">
        <v>151.47</v>
      </c>
      <c r="W1275" s="1">
        <v>154.1</v>
      </c>
      <c r="X1275" s="1">
        <v>154.97999999999999</v>
      </c>
      <c r="Y1275" s="1">
        <v>153</v>
      </c>
      <c r="Z1275" s="1">
        <v>153</v>
      </c>
      <c r="AA1275" s="1">
        <v>149.6</v>
      </c>
      <c r="AB1275" s="1">
        <v>155.58000000000001</v>
      </c>
      <c r="AE1275" s="1">
        <v>162</v>
      </c>
      <c r="AF1275" s="1">
        <v>156.94</v>
      </c>
      <c r="AG1275" s="1">
        <v>150.61000000000001</v>
      </c>
      <c r="AP1275" s="1">
        <v>4313.55</v>
      </c>
      <c r="AU1275" s="1">
        <v>3400.91</v>
      </c>
      <c r="AX1275" s="1">
        <v>150.5</v>
      </c>
      <c r="BA1275" s="1">
        <v>158.79</v>
      </c>
      <c r="BB1275" s="1">
        <v>159.65</v>
      </c>
      <c r="BC1275" s="1">
        <v>156.82</v>
      </c>
      <c r="BD1275" s="1">
        <v>156.83000000000001</v>
      </c>
      <c r="BE1275" s="1">
        <v>156.46</v>
      </c>
      <c r="BF1275" s="1">
        <v>155</v>
      </c>
      <c r="BG1275" s="1">
        <v>162.91999999999999</v>
      </c>
      <c r="BI1275" s="1">
        <v>155.65</v>
      </c>
      <c r="BJ1275" s="1">
        <v>166.18</v>
      </c>
      <c r="BL1275" s="1">
        <v>148.97</v>
      </c>
      <c r="BN1275" s="1">
        <v>148.66999999999999</v>
      </c>
    </row>
    <row r="1276" spans="1:66" x14ac:dyDescent="0.3">
      <c r="A1276" s="2"/>
      <c r="C1276" s="14" t="str">
        <f t="shared" si="20"/>
        <v>20212</v>
      </c>
      <c r="D1276" s="3">
        <v>44249</v>
      </c>
      <c r="E1276" s="21">
        <v>2960.03</v>
      </c>
      <c r="F1276" s="21">
        <v>2885.67</v>
      </c>
      <c r="G1276" s="21">
        <v>3155.89</v>
      </c>
      <c r="H1276" s="21">
        <v>2739.71</v>
      </c>
      <c r="I1276" s="21">
        <v>2893.16</v>
      </c>
      <c r="J1276" s="21">
        <v>2850.84</v>
      </c>
      <c r="K1276" s="21">
        <v>2748.07</v>
      </c>
      <c r="L1276" s="21">
        <v>2834.33</v>
      </c>
      <c r="M1276" s="21">
        <v>2574.08</v>
      </c>
      <c r="N1276" s="21">
        <v>2654.66</v>
      </c>
      <c r="O1276" s="21">
        <v>2898</v>
      </c>
      <c r="P1276" s="21">
        <v>2763.2</v>
      </c>
      <c r="Q1276" s="21">
        <v>5964.59</v>
      </c>
      <c r="R1276" s="20">
        <v>150.21</v>
      </c>
      <c r="S1276" s="20">
        <v>148.97</v>
      </c>
      <c r="T1276" s="21">
        <v>152.97</v>
      </c>
      <c r="V1276" s="1">
        <v>150.16999999999999</v>
      </c>
      <c r="W1276" s="1">
        <v>155.12</v>
      </c>
      <c r="X1276" s="1">
        <v>154.97999999999999</v>
      </c>
      <c r="Y1276" s="1">
        <v>151.41999999999999</v>
      </c>
      <c r="Z1276" s="1">
        <v>151.57</v>
      </c>
      <c r="AA1276" s="1">
        <v>148.12</v>
      </c>
      <c r="AB1276" s="1">
        <v>154.38</v>
      </c>
      <c r="AE1276" s="1">
        <v>162.22999999999999</v>
      </c>
      <c r="AF1276" s="1">
        <v>155.55000000000001</v>
      </c>
      <c r="AG1276" s="1">
        <v>150.47</v>
      </c>
      <c r="AP1276" s="1">
        <v>4313.55</v>
      </c>
      <c r="AU1276" s="1">
        <v>3400.91</v>
      </c>
      <c r="AX1276" s="1">
        <v>149.9</v>
      </c>
      <c r="BA1276" s="1">
        <v>156.46</v>
      </c>
      <c r="BB1276" s="1">
        <v>158.88</v>
      </c>
      <c r="BC1276" s="1">
        <v>156.11000000000001</v>
      </c>
      <c r="BD1276" s="1">
        <v>155.1</v>
      </c>
      <c r="BE1276" s="1">
        <v>156.21</v>
      </c>
      <c r="BF1276" s="1">
        <v>155.13</v>
      </c>
      <c r="BG1276" s="1">
        <v>163.38999999999999</v>
      </c>
      <c r="BI1276" s="1">
        <v>155.85</v>
      </c>
      <c r="BJ1276" s="1">
        <v>166.18</v>
      </c>
      <c r="BL1276" s="1">
        <v>147.97</v>
      </c>
      <c r="BN1276" s="1">
        <v>147.66999999999999</v>
      </c>
    </row>
    <row r="1277" spans="1:66" x14ac:dyDescent="0.3">
      <c r="A1277" s="2"/>
      <c r="C1277" s="14" t="str">
        <f t="shared" si="20"/>
        <v>20212</v>
      </c>
      <c r="D1277" s="3">
        <v>44246</v>
      </c>
      <c r="E1277" s="21">
        <v>2948.99</v>
      </c>
      <c r="F1277" s="21">
        <v>2900.65</v>
      </c>
      <c r="G1277" s="21">
        <v>3155.89</v>
      </c>
      <c r="H1277" s="21">
        <v>2796.53</v>
      </c>
      <c r="I1277" s="21">
        <v>3065.4</v>
      </c>
      <c r="J1277" s="21">
        <v>2834.07</v>
      </c>
      <c r="K1277" s="21">
        <v>2748.07</v>
      </c>
      <c r="L1277" s="21">
        <v>2802.97</v>
      </c>
      <c r="M1277" s="21">
        <v>2576.6</v>
      </c>
      <c r="N1277" s="21">
        <v>2646.66</v>
      </c>
      <c r="O1277" s="21">
        <v>2896</v>
      </c>
      <c r="P1277" s="21">
        <v>2763.2</v>
      </c>
      <c r="Q1277" s="21">
        <v>6010.34</v>
      </c>
      <c r="R1277" s="20">
        <v>148.46</v>
      </c>
      <c r="S1277" s="20">
        <v>146.47</v>
      </c>
      <c r="T1277" s="21">
        <v>152.03</v>
      </c>
      <c r="V1277" s="1">
        <v>150.57</v>
      </c>
      <c r="W1277" s="1">
        <v>153.79</v>
      </c>
      <c r="X1277" s="1">
        <v>154.97999999999999</v>
      </c>
      <c r="Y1277" s="1">
        <v>151.69999999999999</v>
      </c>
      <c r="Z1277" s="1">
        <v>151.37</v>
      </c>
      <c r="AA1277" s="1">
        <v>147.44</v>
      </c>
      <c r="AB1277" s="1">
        <v>154.28</v>
      </c>
      <c r="AE1277" s="1">
        <v>160.49</v>
      </c>
      <c r="AF1277" s="1">
        <v>154.57</v>
      </c>
      <c r="AG1277" s="1">
        <v>149.16</v>
      </c>
      <c r="AU1277" s="1">
        <v>3428.45</v>
      </c>
      <c r="AX1277" s="1">
        <v>150.56</v>
      </c>
      <c r="BB1277" s="1">
        <v>158.80000000000001</v>
      </c>
      <c r="BC1277" s="1">
        <v>153.77000000000001</v>
      </c>
      <c r="BD1277" s="1">
        <v>155.91999999999999</v>
      </c>
      <c r="BE1277" s="1">
        <v>154.71</v>
      </c>
      <c r="BF1277" s="1">
        <v>153.62</v>
      </c>
      <c r="BG1277" s="1">
        <v>162.81</v>
      </c>
      <c r="BI1277" s="1">
        <v>156.44999999999999</v>
      </c>
      <c r="BJ1277" s="1">
        <v>166.18</v>
      </c>
      <c r="BL1277" s="1">
        <v>147.30000000000001</v>
      </c>
      <c r="BN1277" s="1">
        <v>147</v>
      </c>
    </row>
    <row r="1278" spans="1:66" x14ac:dyDescent="0.3">
      <c r="A1278" s="2"/>
      <c r="C1278" s="14" t="str">
        <f t="shared" si="20"/>
        <v>20212</v>
      </c>
      <c r="D1278" s="3">
        <v>44245</v>
      </c>
      <c r="E1278" s="21">
        <v>2948.99</v>
      </c>
      <c r="F1278" s="21">
        <v>2900.65</v>
      </c>
      <c r="G1278" s="21">
        <v>3158.39</v>
      </c>
      <c r="H1278" s="21">
        <v>2867.13</v>
      </c>
      <c r="I1278" s="21">
        <v>3075.38</v>
      </c>
      <c r="J1278" s="21">
        <v>2836.57</v>
      </c>
      <c r="K1278" s="21">
        <v>2742.07</v>
      </c>
      <c r="L1278" s="21">
        <v>2740.25</v>
      </c>
      <c r="M1278" s="21">
        <v>2576.6</v>
      </c>
      <c r="N1278" s="21">
        <v>2673.82</v>
      </c>
      <c r="O1278" s="21">
        <v>2894.99</v>
      </c>
      <c r="P1278" s="21">
        <v>2752.92</v>
      </c>
      <c r="Q1278" s="21">
        <v>5865.25</v>
      </c>
      <c r="R1278" s="20">
        <v>148.63999999999999</v>
      </c>
      <c r="S1278" s="20">
        <v>147.97</v>
      </c>
      <c r="T1278" s="21">
        <v>152.52000000000001</v>
      </c>
      <c r="V1278" s="1">
        <v>150.72</v>
      </c>
      <c r="W1278" s="1">
        <v>153.38</v>
      </c>
      <c r="X1278" s="1">
        <v>154.97999999999999</v>
      </c>
      <c r="Y1278" s="1">
        <v>151.97999999999999</v>
      </c>
      <c r="Z1278" s="1">
        <v>152</v>
      </c>
      <c r="AA1278" s="1">
        <v>147.33000000000001</v>
      </c>
      <c r="AB1278" s="1">
        <v>154.61000000000001</v>
      </c>
      <c r="AE1278" s="1">
        <v>161.49</v>
      </c>
      <c r="AF1278" s="1">
        <v>154.57</v>
      </c>
      <c r="AG1278" s="1">
        <v>149.11000000000001</v>
      </c>
      <c r="AU1278" s="1">
        <v>3254.86</v>
      </c>
      <c r="AX1278" s="1">
        <v>150.88999999999999</v>
      </c>
      <c r="BA1278" s="1">
        <v>156.47</v>
      </c>
      <c r="BB1278" s="1">
        <v>158.62</v>
      </c>
      <c r="BC1278" s="1">
        <v>156.18</v>
      </c>
      <c r="BD1278" s="1">
        <v>155.30000000000001</v>
      </c>
      <c r="BE1278" s="1">
        <v>156.12</v>
      </c>
      <c r="BF1278" s="1">
        <v>156.15</v>
      </c>
      <c r="BG1278" s="1">
        <v>163.07</v>
      </c>
      <c r="BI1278" s="1">
        <v>156.44999999999999</v>
      </c>
      <c r="BJ1278" s="1">
        <v>165.52</v>
      </c>
      <c r="BL1278" s="1">
        <v>147.97</v>
      </c>
      <c r="BN1278" s="1">
        <v>148.47</v>
      </c>
    </row>
    <row r="1279" spans="1:66" x14ac:dyDescent="0.3">
      <c r="A1279" s="2"/>
      <c r="C1279" s="14" t="str">
        <f t="shared" si="20"/>
        <v>20212</v>
      </c>
      <c r="D1279" s="3">
        <v>44244</v>
      </c>
      <c r="E1279" s="21">
        <v>2920.17</v>
      </c>
      <c r="F1279" s="21">
        <v>2931.96</v>
      </c>
      <c r="G1279" s="21">
        <v>3199.37</v>
      </c>
      <c r="H1279" s="21">
        <v>2867.13</v>
      </c>
      <c r="I1279" s="21">
        <v>2980.53</v>
      </c>
      <c r="J1279" s="21">
        <v>2878.58</v>
      </c>
      <c r="K1279" s="21">
        <v>2772.88</v>
      </c>
      <c r="L1279" s="21">
        <v>2740.25</v>
      </c>
      <c r="M1279" s="21"/>
      <c r="N1279" s="21">
        <v>2693.11</v>
      </c>
      <c r="O1279" s="21">
        <v>2894.93</v>
      </c>
      <c r="P1279" s="21">
        <v>2752.92</v>
      </c>
      <c r="Q1279" s="21">
        <v>5865.25</v>
      </c>
      <c r="R1279" s="20">
        <v>148.97999999999999</v>
      </c>
      <c r="S1279" s="20">
        <v>147.06</v>
      </c>
      <c r="T1279" s="21">
        <v>154.22</v>
      </c>
      <c r="V1279" s="1">
        <v>150.97</v>
      </c>
      <c r="W1279" s="1">
        <v>154.65</v>
      </c>
      <c r="X1279" s="1">
        <v>155.25</v>
      </c>
      <c r="Y1279" s="1">
        <v>152.44999999999999</v>
      </c>
      <c r="Z1279" s="1">
        <v>152.83000000000001</v>
      </c>
      <c r="AA1279" s="1">
        <v>146.81</v>
      </c>
      <c r="AB1279" s="1">
        <v>155.72999999999999</v>
      </c>
      <c r="AC1279" s="1">
        <v>144.19999999999999</v>
      </c>
      <c r="AE1279" s="1">
        <v>160.82</v>
      </c>
      <c r="AF1279" s="1">
        <v>155.96</v>
      </c>
      <c r="AG1279" s="1">
        <v>148.99</v>
      </c>
      <c r="AU1279" s="1">
        <v>3254.86</v>
      </c>
      <c r="AX1279" s="1">
        <v>150.81</v>
      </c>
      <c r="BA1279" s="1">
        <v>156.09</v>
      </c>
      <c r="BB1279" s="1">
        <v>159.57</v>
      </c>
      <c r="BC1279" s="1">
        <v>157.93</v>
      </c>
      <c r="BD1279" s="1">
        <v>156.28</v>
      </c>
      <c r="BE1279" s="1">
        <v>156.75</v>
      </c>
      <c r="BF1279" s="1">
        <v>156.15</v>
      </c>
      <c r="BG1279" s="1">
        <v>161.88999999999999</v>
      </c>
      <c r="BI1279" s="1">
        <v>156.44999999999999</v>
      </c>
      <c r="BJ1279" s="1">
        <v>165.52</v>
      </c>
      <c r="BL1279" s="1">
        <v>148.53</v>
      </c>
      <c r="BN1279" s="1">
        <v>148.99</v>
      </c>
    </row>
    <row r="1280" spans="1:66" x14ac:dyDescent="0.3">
      <c r="A1280" s="2"/>
      <c r="C1280" s="14" t="str">
        <f t="shared" si="20"/>
        <v>20212</v>
      </c>
      <c r="D1280" s="3">
        <v>44239</v>
      </c>
      <c r="E1280" s="21">
        <v>3099.82</v>
      </c>
      <c r="F1280" s="21">
        <v>2951.4</v>
      </c>
      <c r="G1280" s="21">
        <v>3230.78</v>
      </c>
      <c r="H1280" s="21">
        <v>2897.11</v>
      </c>
      <c r="I1280" s="21">
        <v>3002.16</v>
      </c>
      <c r="J1280" s="21">
        <v>2911.43</v>
      </c>
      <c r="K1280" s="21">
        <v>2887.28</v>
      </c>
      <c r="L1280" s="21">
        <v>2740.25</v>
      </c>
      <c r="M1280" s="21"/>
      <c r="N1280" s="21">
        <v>2673.9</v>
      </c>
      <c r="O1280" s="21">
        <v>2864.8</v>
      </c>
      <c r="P1280" s="21">
        <v>2809.17</v>
      </c>
      <c r="Q1280" s="21">
        <v>5915.25</v>
      </c>
      <c r="R1280" s="20">
        <v>147.55000000000001</v>
      </c>
      <c r="S1280" s="20">
        <v>146.47</v>
      </c>
      <c r="T1280" s="21">
        <v>152.76</v>
      </c>
      <c r="V1280" s="1">
        <v>150.72</v>
      </c>
      <c r="W1280" s="1">
        <v>153.62</v>
      </c>
      <c r="X1280" s="1">
        <v>155.97999999999999</v>
      </c>
      <c r="Y1280" s="1">
        <v>154.41999999999999</v>
      </c>
      <c r="Z1280" s="1">
        <v>154.37</v>
      </c>
      <c r="AA1280" s="1">
        <v>145.81</v>
      </c>
      <c r="AB1280" s="1">
        <v>156.4</v>
      </c>
      <c r="AC1280" s="1">
        <v>143.41999999999999</v>
      </c>
      <c r="AE1280" s="1">
        <v>161.08000000000001</v>
      </c>
      <c r="AF1280" s="1">
        <v>156.76</v>
      </c>
      <c r="AG1280" s="1">
        <v>148.83000000000001</v>
      </c>
      <c r="AU1280" s="1">
        <v>3254.86</v>
      </c>
      <c r="AX1280" s="1">
        <v>150.68</v>
      </c>
      <c r="AZ1280" s="1">
        <v>3755.61</v>
      </c>
      <c r="BA1280" s="1">
        <v>155.33000000000001</v>
      </c>
      <c r="BB1280" s="1">
        <v>159.16</v>
      </c>
      <c r="BC1280" s="1">
        <v>160.75</v>
      </c>
      <c r="BD1280" s="1">
        <v>158.36000000000001</v>
      </c>
      <c r="BE1280" s="1">
        <v>157.94999999999999</v>
      </c>
      <c r="BF1280" s="1">
        <v>154.69999999999999</v>
      </c>
      <c r="BG1280" s="1">
        <v>161.97</v>
      </c>
      <c r="BI1280" s="1">
        <v>155.65</v>
      </c>
      <c r="BJ1280" s="1">
        <v>166.38</v>
      </c>
      <c r="BL1280" s="1">
        <v>149.88999999999999</v>
      </c>
      <c r="BN1280" s="1">
        <v>149.57</v>
      </c>
    </row>
    <row r="1281" spans="1:66" x14ac:dyDescent="0.3">
      <c r="A1281" s="2"/>
      <c r="C1281" s="14" t="str">
        <f t="shared" si="20"/>
        <v>20212</v>
      </c>
      <c r="D1281" s="3">
        <v>44238</v>
      </c>
      <c r="E1281" s="21">
        <v>3068.82</v>
      </c>
      <c r="F1281" s="21">
        <v>3001.33</v>
      </c>
      <c r="G1281" s="21">
        <v>3255.74</v>
      </c>
      <c r="H1281" s="21">
        <v>2892.12</v>
      </c>
      <c r="I1281" s="21">
        <v>2925.61</v>
      </c>
      <c r="J1281" s="21">
        <v>2911.43</v>
      </c>
      <c r="K1281" s="21">
        <v>2853.97</v>
      </c>
      <c r="L1281" s="21">
        <v>2740.25</v>
      </c>
      <c r="M1281" s="21"/>
      <c r="N1281" s="21">
        <v>2670.86</v>
      </c>
      <c r="O1281" s="21">
        <v>2864.8</v>
      </c>
      <c r="P1281" s="21">
        <v>2778.6</v>
      </c>
      <c r="Q1281" s="21">
        <v>5982.17</v>
      </c>
      <c r="R1281" s="20">
        <v>148.66</v>
      </c>
      <c r="S1281" s="20">
        <v>148.47</v>
      </c>
      <c r="T1281" s="21">
        <v>153.33000000000001</v>
      </c>
      <c r="V1281" s="1">
        <v>150.57</v>
      </c>
      <c r="W1281" s="1">
        <v>153.79</v>
      </c>
      <c r="X1281" s="1">
        <v>154.31</v>
      </c>
      <c r="Y1281" s="1">
        <v>154.19</v>
      </c>
      <c r="Z1281" s="1">
        <v>154.62</v>
      </c>
      <c r="AA1281" s="1">
        <v>145.61000000000001</v>
      </c>
      <c r="AB1281" s="1">
        <v>155.4</v>
      </c>
      <c r="AC1281" s="1">
        <v>143.41999999999999</v>
      </c>
      <c r="AE1281" s="1">
        <v>161.22</v>
      </c>
      <c r="AF1281" s="1">
        <v>155.97</v>
      </c>
      <c r="AG1281" s="1">
        <v>148.65</v>
      </c>
      <c r="AQ1281" s="1">
        <v>3254.86</v>
      </c>
      <c r="AX1281" s="1">
        <v>150.69</v>
      </c>
      <c r="AZ1281" s="1">
        <v>3755.61</v>
      </c>
      <c r="BA1281" s="1">
        <v>155.33000000000001</v>
      </c>
      <c r="BB1281" s="1">
        <v>160.22999999999999</v>
      </c>
      <c r="BC1281" s="1">
        <v>161.19999999999999</v>
      </c>
      <c r="BD1281" s="1">
        <v>156.21</v>
      </c>
      <c r="BE1281" s="1">
        <v>157.94999999999999</v>
      </c>
      <c r="BF1281" s="1">
        <v>153.80000000000001</v>
      </c>
      <c r="BG1281" s="1">
        <v>163.26</v>
      </c>
      <c r="BI1281" s="1">
        <v>156.05000000000001</v>
      </c>
      <c r="BJ1281" s="1">
        <v>166.38</v>
      </c>
      <c r="BL1281" s="1">
        <v>150.27000000000001</v>
      </c>
      <c r="BN1281" s="1">
        <v>149.57</v>
      </c>
    </row>
    <row r="1282" spans="1:66" x14ac:dyDescent="0.3">
      <c r="A1282" s="2"/>
      <c r="C1282" s="14" t="str">
        <f t="shared" si="20"/>
        <v>20212</v>
      </c>
      <c r="D1282" s="3">
        <v>44237</v>
      </c>
      <c r="E1282" s="21">
        <v>3275.5</v>
      </c>
      <c r="F1282" s="21">
        <v>3241.8</v>
      </c>
      <c r="G1282" s="21">
        <v>3355.59</v>
      </c>
      <c r="H1282" s="21">
        <v>2897.11</v>
      </c>
      <c r="I1282" s="21">
        <v>2890.66</v>
      </c>
      <c r="J1282" s="21">
        <v>2911.43</v>
      </c>
      <c r="K1282" s="21">
        <v>2887.28</v>
      </c>
      <c r="L1282" s="21">
        <v>2841.16</v>
      </c>
      <c r="M1282" s="21"/>
      <c r="N1282" s="21">
        <v>2664.39</v>
      </c>
      <c r="O1282" s="21">
        <v>2862.8</v>
      </c>
      <c r="P1282" s="21">
        <v>2818.57</v>
      </c>
      <c r="Q1282" s="21">
        <v>5952.75</v>
      </c>
      <c r="R1282" s="20">
        <v>147.72999999999999</v>
      </c>
      <c r="S1282" s="20">
        <v>147.59</v>
      </c>
      <c r="T1282" s="21">
        <v>153.63</v>
      </c>
      <c r="V1282" s="1">
        <v>151.16999999999999</v>
      </c>
      <c r="W1282" s="1">
        <v>155.79</v>
      </c>
      <c r="X1282" s="1">
        <v>156.72999999999999</v>
      </c>
      <c r="Y1282" s="1">
        <v>155.4</v>
      </c>
      <c r="Z1282" s="1">
        <v>155.43</v>
      </c>
      <c r="AA1282" s="1">
        <v>146.09</v>
      </c>
      <c r="AB1282" s="1">
        <v>157.69999999999999</v>
      </c>
      <c r="AC1282" s="1">
        <v>144.86000000000001</v>
      </c>
      <c r="AE1282" s="1">
        <v>163.22</v>
      </c>
      <c r="AF1282" s="1">
        <v>156.76</v>
      </c>
      <c r="AG1282" s="1">
        <v>147.44</v>
      </c>
      <c r="AQ1282" s="1">
        <v>3254.86</v>
      </c>
      <c r="AX1282" s="1">
        <v>153.53</v>
      </c>
      <c r="AZ1282" s="1">
        <v>3755.61</v>
      </c>
      <c r="BA1282" s="1">
        <v>153.66999999999999</v>
      </c>
      <c r="BB1282" s="1">
        <v>161.44999999999999</v>
      </c>
      <c r="BC1282" s="1">
        <v>163.78</v>
      </c>
      <c r="BD1282" s="1">
        <v>158</v>
      </c>
      <c r="BE1282" s="1">
        <v>158.94999999999999</v>
      </c>
      <c r="BF1282" s="1">
        <v>155.34</v>
      </c>
      <c r="BG1282" s="1">
        <v>164.31</v>
      </c>
      <c r="BI1282" s="1">
        <v>156.05000000000001</v>
      </c>
      <c r="BJ1282" s="1">
        <v>165.52</v>
      </c>
      <c r="BL1282" s="1">
        <v>151.30000000000001</v>
      </c>
      <c r="BN1282" s="1">
        <v>150</v>
      </c>
    </row>
    <row r="1283" spans="1:66" x14ac:dyDescent="0.3">
      <c r="A1283" s="2"/>
      <c r="C1283" s="14" t="str">
        <f t="shared" si="20"/>
        <v>20212</v>
      </c>
      <c r="D1283" s="3">
        <v>44236</v>
      </c>
      <c r="E1283" s="21">
        <v>3096.59</v>
      </c>
      <c r="F1283" s="21">
        <v>3291.73</v>
      </c>
      <c r="G1283" s="21">
        <v>3380.55</v>
      </c>
      <c r="H1283" s="21">
        <v>2887.28</v>
      </c>
      <c r="I1283" s="21">
        <v>2890.66</v>
      </c>
      <c r="J1283" s="21">
        <v>2878.58</v>
      </c>
      <c r="K1283" s="21">
        <v>2890.61</v>
      </c>
      <c r="L1283" s="21">
        <v>2819.62</v>
      </c>
      <c r="M1283" s="21"/>
      <c r="N1283" s="21">
        <v>2684.36</v>
      </c>
      <c r="O1283" s="21">
        <v>2834.35</v>
      </c>
      <c r="P1283" s="21">
        <v>2852.55</v>
      </c>
      <c r="Q1283" s="21">
        <v>5968.43</v>
      </c>
      <c r="R1283" s="20">
        <v>148.81</v>
      </c>
      <c r="S1283" s="20">
        <v>147.96</v>
      </c>
      <c r="T1283" s="21">
        <v>155.66</v>
      </c>
      <c r="V1283" s="1">
        <v>152.22</v>
      </c>
      <c r="W1283" s="1">
        <v>157.5</v>
      </c>
      <c r="X1283" s="1">
        <v>156.56</v>
      </c>
      <c r="Y1283" s="1">
        <v>157.35</v>
      </c>
      <c r="Z1283" s="1">
        <v>157.71</v>
      </c>
      <c r="AA1283" s="1">
        <v>147.13</v>
      </c>
      <c r="AB1283" s="1">
        <v>155.62</v>
      </c>
      <c r="AC1283" s="1">
        <v>147.63</v>
      </c>
      <c r="AE1283" s="1">
        <v>163.79</v>
      </c>
      <c r="AG1283" s="1">
        <v>149.35</v>
      </c>
      <c r="AQ1283" s="1">
        <v>3254.86</v>
      </c>
      <c r="AW1283" s="1">
        <v>3635.43</v>
      </c>
      <c r="AX1283" s="1">
        <v>157.24</v>
      </c>
      <c r="AZ1283" s="1">
        <v>3755.61</v>
      </c>
      <c r="BA1283" s="1">
        <v>157.33000000000001</v>
      </c>
      <c r="BB1283" s="1">
        <v>165.36</v>
      </c>
      <c r="BC1283" s="1">
        <v>165.54</v>
      </c>
      <c r="BD1283" s="1">
        <v>161.07</v>
      </c>
      <c r="BE1283" s="1">
        <v>156.96</v>
      </c>
      <c r="BF1283" s="1">
        <v>159.13999999999999</v>
      </c>
      <c r="BG1283" s="1">
        <v>164.2</v>
      </c>
      <c r="BI1283" s="1">
        <v>156.05000000000001</v>
      </c>
      <c r="BJ1283" s="1">
        <v>165.52</v>
      </c>
      <c r="BL1283" s="1">
        <v>153.63</v>
      </c>
      <c r="BN1283" s="1">
        <v>153</v>
      </c>
    </row>
    <row r="1284" spans="1:66" x14ac:dyDescent="0.3">
      <c r="A1284" s="2"/>
      <c r="C1284" s="14" t="str">
        <f t="shared" si="20"/>
        <v>20212</v>
      </c>
      <c r="D1284" s="3">
        <v>44235</v>
      </c>
      <c r="E1284" s="21">
        <v>3096.59</v>
      </c>
      <c r="F1284" s="21">
        <v>3386.58</v>
      </c>
      <c r="G1284" s="21">
        <v>3380.55</v>
      </c>
      <c r="H1284" s="21">
        <v>2841.86</v>
      </c>
      <c r="I1284" s="21">
        <v>3065.4</v>
      </c>
      <c r="J1284" s="21">
        <v>2865.34</v>
      </c>
      <c r="K1284" s="21">
        <v>2885.62</v>
      </c>
      <c r="L1284" s="21">
        <v>2773.55</v>
      </c>
      <c r="M1284" s="21"/>
      <c r="N1284" s="21">
        <v>2712.35</v>
      </c>
      <c r="O1284" s="21">
        <v>2873.46</v>
      </c>
      <c r="P1284" s="21">
        <v>2846.56</v>
      </c>
      <c r="Q1284" s="21">
        <v>5860.21</v>
      </c>
      <c r="R1284" s="20">
        <v>147.47999999999999</v>
      </c>
      <c r="S1284" s="20">
        <v>146.94999999999999</v>
      </c>
      <c r="T1284" s="21">
        <v>153.33000000000001</v>
      </c>
      <c r="V1284" s="1">
        <v>152.16999999999999</v>
      </c>
      <c r="W1284" s="1">
        <v>156.75</v>
      </c>
      <c r="X1284" s="1">
        <v>155.62</v>
      </c>
      <c r="Y1284" s="1">
        <v>154.97999999999999</v>
      </c>
      <c r="Z1284" s="1">
        <v>155</v>
      </c>
      <c r="AA1284" s="1">
        <v>144.31</v>
      </c>
      <c r="AB1284" s="1">
        <v>155.29</v>
      </c>
      <c r="AC1284" s="1">
        <v>150.30000000000001</v>
      </c>
      <c r="AE1284" s="1">
        <v>162.59</v>
      </c>
      <c r="AF1284" s="1">
        <v>157.96</v>
      </c>
      <c r="AG1284" s="1">
        <v>149.61000000000001</v>
      </c>
      <c r="AQ1284" s="1">
        <v>3254.86</v>
      </c>
      <c r="AW1284" s="1">
        <v>3635.43</v>
      </c>
      <c r="AX1284" s="1">
        <v>154.97999999999999</v>
      </c>
      <c r="BA1284" s="1">
        <v>156.91</v>
      </c>
      <c r="BB1284" s="1">
        <v>164.56</v>
      </c>
      <c r="BC1284" s="1">
        <v>166.53</v>
      </c>
      <c r="BD1284" s="1">
        <v>159.32</v>
      </c>
      <c r="BE1284" s="1">
        <v>154.96</v>
      </c>
      <c r="BF1284" s="1">
        <v>157.93</v>
      </c>
      <c r="BG1284" s="1">
        <v>163.86</v>
      </c>
      <c r="BI1284" s="1">
        <v>155.44999999999999</v>
      </c>
      <c r="BJ1284" s="1">
        <v>165.52</v>
      </c>
      <c r="BL1284" s="1">
        <v>151.97</v>
      </c>
      <c r="BN1284" s="1">
        <v>152</v>
      </c>
    </row>
    <row r="1285" spans="1:66" x14ac:dyDescent="0.3">
      <c r="A1285" s="2"/>
      <c r="C1285" s="14" t="str">
        <f t="shared" si="20"/>
        <v>20212</v>
      </c>
      <c r="D1285" s="3">
        <v>44232</v>
      </c>
      <c r="E1285" s="21">
        <v>3176.49</v>
      </c>
      <c r="F1285" s="21">
        <v>3449.37</v>
      </c>
      <c r="G1285" s="21">
        <v>3418</v>
      </c>
      <c r="H1285" s="21">
        <v>2896.97</v>
      </c>
      <c r="I1285" s="21">
        <v>3065.4</v>
      </c>
      <c r="J1285" s="21">
        <v>2865.34</v>
      </c>
      <c r="K1285" s="21">
        <v>2862.08</v>
      </c>
      <c r="L1285" s="21">
        <v>2773.55</v>
      </c>
      <c r="M1285" s="21"/>
      <c r="N1285" s="21">
        <v>2699.63</v>
      </c>
      <c r="O1285" s="21">
        <v>2875.25</v>
      </c>
      <c r="P1285" s="21">
        <v>2879.01</v>
      </c>
      <c r="Q1285" s="21">
        <v>5953.72</v>
      </c>
      <c r="R1285" s="20">
        <v>144.32</v>
      </c>
      <c r="S1285" s="20">
        <v>147.41</v>
      </c>
      <c r="T1285" s="21">
        <v>153.13</v>
      </c>
      <c r="V1285" s="1">
        <v>153.57</v>
      </c>
      <c r="W1285" s="1">
        <v>156.5</v>
      </c>
      <c r="X1285" s="1">
        <v>156.78</v>
      </c>
      <c r="Y1285" s="1">
        <v>155.47999999999999</v>
      </c>
      <c r="Z1285" s="1">
        <v>154.81</v>
      </c>
      <c r="AA1285" s="1">
        <v>144.31</v>
      </c>
      <c r="AB1285" s="1">
        <v>157.33000000000001</v>
      </c>
      <c r="AE1285" s="1">
        <v>165.02</v>
      </c>
      <c r="AF1285" s="1">
        <v>158.76</v>
      </c>
      <c r="AG1285" s="1">
        <v>149.57</v>
      </c>
      <c r="AQ1285" s="1">
        <v>3254.86</v>
      </c>
      <c r="AW1285" s="1">
        <v>3635.43</v>
      </c>
      <c r="AX1285" s="1">
        <v>158.86000000000001</v>
      </c>
      <c r="BA1285" s="1">
        <v>156.16</v>
      </c>
      <c r="BB1285" s="1">
        <v>167.3</v>
      </c>
      <c r="BC1285" s="1">
        <v>167.85</v>
      </c>
      <c r="BD1285" s="1">
        <v>161.61000000000001</v>
      </c>
      <c r="BE1285" s="1">
        <v>154.29</v>
      </c>
      <c r="BF1285" s="1">
        <v>158.13</v>
      </c>
      <c r="BG1285" s="1">
        <v>165.22</v>
      </c>
      <c r="BI1285" s="1">
        <v>154.85</v>
      </c>
      <c r="BJ1285" s="1">
        <v>163.30000000000001</v>
      </c>
      <c r="BL1285" s="1">
        <v>150.97</v>
      </c>
      <c r="BN1285" s="1">
        <v>151.33000000000001</v>
      </c>
    </row>
    <row r="1286" spans="1:66" x14ac:dyDescent="0.3">
      <c r="A1286" s="2"/>
      <c r="C1286" s="14" t="str">
        <f t="shared" ref="C1286:C1349" si="21">YEAR(D1286)&amp;MONTH(D1286)</f>
        <v>20212</v>
      </c>
      <c r="D1286" s="3">
        <v>44231</v>
      </c>
      <c r="E1286" s="21">
        <v>3226.51</v>
      </c>
      <c r="F1286" s="21">
        <v>3453.15</v>
      </c>
      <c r="G1286" s="21">
        <v>3418</v>
      </c>
      <c r="H1286" s="21">
        <v>2909.59</v>
      </c>
      <c r="I1286" s="21">
        <v>3008.82</v>
      </c>
      <c r="J1286" s="21">
        <v>2865.24</v>
      </c>
      <c r="K1286" s="21">
        <v>2867.07</v>
      </c>
      <c r="L1286" s="21">
        <v>2766.89</v>
      </c>
      <c r="M1286" s="21"/>
      <c r="N1286" s="21">
        <v>2710.76</v>
      </c>
      <c r="O1286" s="21">
        <v>2876.62</v>
      </c>
      <c r="P1286" s="21">
        <v>2875.01</v>
      </c>
      <c r="Q1286" s="21">
        <v>5982.13</v>
      </c>
      <c r="R1286" s="20">
        <v>143.97999999999999</v>
      </c>
      <c r="S1286" s="20">
        <v>147.29</v>
      </c>
      <c r="T1286" s="21">
        <v>153.72999999999999</v>
      </c>
      <c r="V1286" s="1">
        <v>153.16999999999999</v>
      </c>
      <c r="W1286" s="1">
        <v>156.35</v>
      </c>
      <c r="X1286" s="1">
        <v>155.76</v>
      </c>
      <c r="Y1286" s="1">
        <v>154.94</v>
      </c>
      <c r="Z1286" s="1">
        <v>155.75</v>
      </c>
      <c r="AA1286" s="1">
        <v>145.24</v>
      </c>
      <c r="AB1286" s="1">
        <v>156.13</v>
      </c>
      <c r="AE1286" s="1">
        <v>164.17</v>
      </c>
      <c r="AF1286" s="1">
        <v>158.74</v>
      </c>
      <c r="AG1286" s="1">
        <v>148.85</v>
      </c>
      <c r="AW1286" s="1">
        <v>3635.43</v>
      </c>
      <c r="AX1286" s="1">
        <v>156.85</v>
      </c>
      <c r="BA1286" s="1">
        <v>155.74</v>
      </c>
      <c r="BB1286" s="1">
        <v>167.6</v>
      </c>
      <c r="BC1286" s="1">
        <v>167.41</v>
      </c>
      <c r="BD1286" s="1">
        <v>161.31</v>
      </c>
      <c r="BE1286" s="1">
        <v>153.96</v>
      </c>
      <c r="BF1286" s="1">
        <v>155.44999999999999</v>
      </c>
      <c r="BG1286" s="1">
        <v>165.42</v>
      </c>
      <c r="BH1286" s="1">
        <v>156.46</v>
      </c>
      <c r="BI1286" s="1">
        <v>154.85</v>
      </c>
      <c r="BJ1286" s="1">
        <v>163.28</v>
      </c>
      <c r="BL1286" s="1">
        <v>151.63</v>
      </c>
      <c r="BN1286" s="1">
        <v>151.33000000000001</v>
      </c>
    </row>
    <row r="1287" spans="1:66" x14ac:dyDescent="0.3">
      <c r="A1287" s="2"/>
      <c r="C1287" s="14" t="str">
        <f t="shared" si="21"/>
        <v>20212</v>
      </c>
      <c r="D1287" s="3">
        <v>44230</v>
      </c>
      <c r="E1287" s="21">
        <v>3449.98</v>
      </c>
      <c r="F1287" s="21">
        <v>3453.15</v>
      </c>
      <c r="G1287" s="21">
        <v>3418</v>
      </c>
      <c r="H1287" s="21">
        <v>2909.59</v>
      </c>
      <c r="I1287" s="21">
        <v>3065.4</v>
      </c>
      <c r="J1287" s="21">
        <v>2906.42</v>
      </c>
      <c r="K1287" s="21">
        <v>2867.07</v>
      </c>
      <c r="L1287" s="21">
        <v>2766.89</v>
      </c>
      <c r="M1287" s="21"/>
      <c r="N1287" s="21">
        <v>2767.42</v>
      </c>
      <c r="O1287" s="21">
        <v>2871.62</v>
      </c>
      <c r="P1287" s="21">
        <v>2875.01</v>
      </c>
      <c r="Q1287" s="21">
        <v>5982.13</v>
      </c>
      <c r="R1287" s="20">
        <v>143.97999999999999</v>
      </c>
      <c r="S1287" s="20">
        <v>146.96</v>
      </c>
      <c r="T1287" s="21">
        <v>154.65</v>
      </c>
      <c r="V1287" s="1">
        <v>153.16999999999999</v>
      </c>
      <c r="W1287" s="1">
        <v>156.5</v>
      </c>
      <c r="X1287" s="1">
        <v>155.06</v>
      </c>
      <c r="Y1287" s="1">
        <v>153.01</v>
      </c>
      <c r="Z1287" s="1">
        <v>153.57</v>
      </c>
      <c r="AA1287" s="1">
        <v>145.24</v>
      </c>
      <c r="AB1287" s="1">
        <v>154.44999999999999</v>
      </c>
      <c r="AE1287" s="1">
        <v>163.35</v>
      </c>
      <c r="AF1287" s="1">
        <v>158.66999999999999</v>
      </c>
      <c r="AG1287" s="1">
        <v>149.47</v>
      </c>
      <c r="AU1287" s="1">
        <v>3905.83</v>
      </c>
      <c r="AW1287" s="1">
        <v>3635.43</v>
      </c>
      <c r="AX1287" s="1">
        <v>156.85</v>
      </c>
      <c r="AY1287" s="1">
        <v>4142.8500000000004</v>
      </c>
      <c r="BA1287" s="1">
        <v>153.83000000000001</v>
      </c>
      <c r="BB1287" s="1">
        <v>166.2</v>
      </c>
      <c r="BC1287" s="1">
        <v>161.27000000000001</v>
      </c>
      <c r="BD1287" s="1">
        <v>161.41</v>
      </c>
      <c r="BE1287" s="1">
        <v>153.62</v>
      </c>
      <c r="BF1287" s="1">
        <v>152.44999999999999</v>
      </c>
      <c r="BG1287" s="1">
        <v>162.99</v>
      </c>
      <c r="BH1287" s="1">
        <v>156.97999999999999</v>
      </c>
      <c r="BI1287" s="1">
        <v>154.85</v>
      </c>
      <c r="BJ1287" s="1">
        <v>163.28</v>
      </c>
      <c r="BL1287" s="1">
        <v>150.30000000000001</v>
      </c>
      <c r="BN1287" s="1">
        <v>150</v>
      </c>
    </row>
    <row r="1288" spans="1:66" x14ac:dyDescent="0.3">
      <c r="A1288" s="2"/>
      <c r="C1288" s="14" t="str">
        <f t="shared" si="21"/>
        <v>20212</v>
      </c>
      <c r="D1288" s="3">
        <v>44229</v>
      </c>
      <c r="E1288" s="21">
        <v>3370.41</v>
      </c>
      <c r="F1288" s="21">
        <v>3449.37</v>
      </c>
      <c r="G1288" s="21">
        <v>3418</v>
      </c>
      <c r="H1288" s="21">
        <v>2854.36</v>
      </c>
      <c r="I1288" s="21">
        <v>2948.07</v>
      </c>
      <c r="J1288" s="21">
        <v>2901.42</v>
      </c>
      <c r="K1288" s="21">
        <v>2903.3</v>
      </c>
      <c r="L1288" s="21">
        <v>2766.89</v>
      </c>
      <c r="M1288" s="21"/>
      <c r="N1288" s="21">
        <v>2737.99</v>
      </c>
      <c r="O1288" s="21">
        <v>2904.64</v>
      </c>
      <c r="P1288" s="21">
        <v>2937.96</v>
      </c>
      <c r="Q1288" s="21">
        <v>5992.85</v>
      </c>
      <c r="R1288" s="20">
        <v>143.29</v>
      </c>
      <c r="S1288" s="20">
        <v>146.79</v>
      </c>
      <c r="T1288" s="21">
        <v>154.65</v>
      </c>
      <c r="V1288" s="1">
        <v>153.16999999999999</v>
      </c>
      <c r="W1288" s="1">
        <v>156.25</v>
      </c>
      <c r="X1288" s="1">
        <v>156.47999999999999</v>
      </c>
      <c r="Y1288" s="1">
        <v>154.37</v>
      </c>
      <c r="Z1288" s="1">
        <v>153.91</v>
      </c>
      <c r="AA1288" s="1">
        <v>144.93</v>
      </c>
      <c r="AB1288" s="1">
        <v>154.44999999999999</v>
      </c>
      <c r="AE1288" s="1">
        <v>163.12</v>
      </c>
      <c r="AF1288" s="1">
        <v>159.01</v>
      </c>
      <c r="AG1288" s="1">
        <v>148.37</v>
      </c>
      <c r="AU1288" s="1">
        <v>3905.83</v>
      </c>
      <c r="AY1288" s="1">
        <v>4361.51</v>
      </c>
      <c r="BA1288" s="1">
        <v>152.6</v>
      </c>
      <c r="BB1288" s="1">
        <v>165.86</v>
      </c>
      <c r="BC1288" s="1">
        <v>168.47</v>
      </c>
      <c r="BD1288" s="1">
        <v>161.21</v>
      </c>
      <c r="BE1288" s="1">
        <v>157.32</v>
      </c>
      <c r="BF1288" s="1">
        <v>158.61000000000001</v>
      </c>
      <c r="BG1288" s="1">
        <v>162.88999999999999</v>
      </c>
      <c r="BH1288" s="1">
        <v>157.47999999999999</v>
      </c>
      <c r="BI1288" s="1">
        <v>154.85</v>
      </c>
      <c r="BJ1288" s="1">
        <v>168.48</v>
      </c>
      <c r="BL1288" s="1">
        <v>150.97</v>
      </c>
      <c r="BN1288" s="1">
        <v>151.07</v>
      </c>
    </row>
    <row r="1289" spans="1:66" x14ac:dyDescent="0.3">
      <c r="A1289" s="2"/>
      <c r="C1289" s="14" t="str">
        <f t="shared" si="21"/>
        <v>20212</v>
      </c>
      <c r="D1289" s="3">
        <v>44228</v>
      </c>
      <c r="E1289" s="21">
        <v>3256.06</v>
      </c>
      <c r="F1289" s="21">
        <v>3453.15</v>
      </c>
      <c r="G1289" s="21">
        <v>3418</v>
      </c>
      <c r="H1289" s="21">
        <v>2859.35</v>
      </c>
      <c r="I1289" s="21">
        <v>2925.61</v>
      </c>
      <c r="J1289" s="21">
        <v>2878.57</v>
      </c>
      <c r="K1289" s="21">
        <v>2867.37</v>
      </c>
      <c r="L1289" s="21">
        <v>2766.89</v>
      </c>
      <c r="M1289" s="21"/>
      <c r="N1289" s="21">
        <v>2750.78</v>
      </c>
      <c r="O1289" s="21">
        <v>2906.19</v>
      </c>
      <c r="P1289" s="21">
        <v>2876.67</v>
      </c>
      <c r="Q1289" s="21">
        <v>6070.21</v>
      </c>
      <c r="R1289" s="20">
        <v>144.63</v>
      </c>
      <c r="S1289" s="20">
        <v>148.62</v>
      </c>
      <c r="T1289" s="21">
        <v>155.65</v>
      </c>
      <c r="V1289" s="1">
        <v>153.78</v>
      </c>
      <c r="W1289" s="1">
        <v>156.5</v>
      </c>
      <c r="X1289" s="1">
        <v>156.47999999999999</v>
      </c>
      <c r="Y1289" s="1">
        <v>155.51</v>
      </c>
      <c r="Z1289" s="1">
        <v>155.28</v>
      </c>
      <c r="AA1289" s="1">
        <v>145.78</v>
      </c>
      <c r="AB1289" s="1">
        <v>154.57</v>
      </c>
      <c r="AE1289" s="1">
        <v>164.08</v>
      </c>
      <c r="AF1289" s="1">
        <v>159.66999999999999</v>
      </c>
      <c r="AG1289" s="1">
        <v>151.11000000000001</v>
      </c>
      <c r="AU1289" s="1">
        <v>3905.83</v>
      </c>
      <c r="AY1289" s="1">
        <v>4361.51</v>
      </c>
      <c r="AZ1289" s="1">
        <v>3705.53</v>
      </c>
      <c r="BA1289" s="1">
        <v>156.33000000000001</v>
      </c>
      <c r="BB1289" s="1">
        <v>168.65</v>
      </c>
      <c r="BC1289" s="1">
        <v>169.71</v>
      </c>
      <c r="BD1289" s="1">
        <v>162.16</v>
      </c>
      <c r="BE1289" s="1">
        <v>161.28</v>
      </c>
      <c r="BF1289" s="1">
        <v>158.61000000000001</v>
      </c>
      <c r="BG1289" s="1">
        <v>164.47</v>
      </c>
      <c r="BH1289" s="1">
        <v>157.21</v>
      </c>
      <c r="BI1289" s="1">
        <v>154.85</v>
      </c>
      <c r="BJ1289" s="1">
        <v>169.12</v>
      </c>
      <c r="BL1289" s="1">
        <v>151.72</v>
      </c>
      <c r="BN1289" s="1">
        <v>151.07</v>
      </c>
    </row>
    <row r="1290" spans="1:66" x14ac:dyDescent="0.3">
      <c r="A1290" s="2"/>
      <c r="C1290" s="14" t="str">
        <f t="shared" si="21"/>
        <v>20211</v>
      </c>
      <c r="D1290" s="3">
        <v>44225</v>
      </c>
      <c r="E1290" s="21"/>
      <c r="F1290" s="21">
        <v>3386.38</v>
      </c>
      <c r="G1290" s="21">
        <v>3417.82</v>
      </c>
      <c r="H1290" s="21">
        <v>2857.12</v>
      </c>
      <c r="I1290" s="21">
        <v>2902.97</v>
      </c>
      <c r="J1290" s="21">
        <v>2901.38</v>
      </c>
      <c r="K1290" s="21">
        <v>2831.37</v>
      </c>
      <c r="L1290" s="21">
        <v>2766.76</v>
      </c>
      <c r="M1290" s="21"/>
      <c r="N1290" s="21">
        <v>2774.36</v>
      </c>
      <c r="O1290" s="21">
        <v>2913.33</v>
      </c>
      <c r="P1290" s="21">
        <v>2876.6</v>
      </c>
      <c r="Q1290" s="21">
        <v>5900.31</v>
      </c>
      <c r="R1290" s="20">
        <v>146.32</v>
      </c>
      <c r="S1290" s="20">
        <v>146.87</v>
      </c>
      <c r="T1290" s="21">
        <v>156.22999999999999</v>
      </c>
      <c r="V1290" s="1">
        <v>153.47</v>
      </c>
      <c r="W1290" s="1">
        <v>156.5</v>
      </c>
      <c r="X1290" s="1">
        <v>154.81</v>
      </c>
      <c r="Y1290" s="1">
        <v>154.94999999999999</v>
      </c>
      <c r="Z1290" s="1">
        <v>154.85</v>
      </c>
      <c r="AA1290" s="1">
        <v>146.81</v>
      </c>
      <c r="AB1290" s="1">
        <v>153.82</v>
      </c>
      <c r="AE1290" s="1">
        <v>163.74</v>
      </c>
      <c r="AF1290" s="1">
        <v>160.19999999999999</v>
      </c>
      <c r="AG1290" s="1">
        <v>151.4</v>
      </c>
      <c r="AU1290" s="1">
        <v>3906.12</v>
      </c>
      <c r="AV1290" s="1">
        <v>0</v>
      </c>
      <c r="AW1290" s="1">
        <v>2884.62</v>
      </c>
      <c r="AY1290" s="1">
        <v>4361.84</v>
      </c>
      <c r="AZ1290" s="1">
        <v>3705.81</v>
      </c>
      <c r="BA1290" s="1">
        <v>155.93</v>
      </c>
      <c r="BB1290" s="1">
        <v>166.75</v>
      </c>
      <c r="BC1290" s="1">
        <v>167.76</v>
      </c>
      <c r="BD1290" s="1">
        <v>162.15</v>
      </c>
      <c r="BE1290" s="1">
        <v>161.61000000000001</v>
      </c>
      <c r="BF1290" s="1">
        <v>163.44999999999999</v>
      </c>
      <c r="BG1290" s="1">
        <v>164.02</v>
      </c>
      <c r="BH1290" s="1">
        <v>156.72999999999999</v>
      </c>
      <c r="BI1290" s="1">
        <v>154.85</v>
      </c>
      <c r="BJ1290" s="1">
        <v>170.41</v>
      </c>
      <c r="BL1290" s="1">
        <v>150.97</v>
      </c>
      <c r="BN1290" s="1">
        <v>150.72999999999999</v>
      </c>
    </row>
    <row r="1291" spans="1:66" x14ac:dyDescent="0.3">
      <c r="A1291" s="2"/>
      <c r="C1291" s="14" t="str">
        <f t="shared" si="21"/>
        <v>20211</v>
      </c>
      <c r="D1291" s="3">
        <v>44224</v>
      </c>
      <c r="E1291" s="21"/>
      <c r="F1291" s="21">
        <v>3353.1</v>
      </c>
      <c r="G1291" s="21">
        <v>3380.38</v>
      </c>
      <c r="H1291" s="21">
        <v>2857.12</v>
      </c>
      <c r="I1291" s="21">
        <v>2875.51</v>
      </c>
      <c r="J1291" s="21">
        <v>2901.38</v>
      </c>
      <c r="K1291" s="21">
        <v>2821.37</v>
      </c>
      <c r="L1291" s="21">
        <v>2773.42</v>
      </c>
      <c r="M1291" s="21"/>
      <c r="N1291" s="21">
        <v>2781.22</v>
      </c>
      <c r="O1291" s="21">
        <v>2898.8</v>
      </c>
      <c r="P1291" s="21">
        <v>2866.61</v>
      </c>
      <c r="Q1291" s="21">
        <v>5930.26</v>
      </c>
      <c r="R1291" s="20">
        <v>145.97999999999999</v>
      </c>
      <c r="S1291" s="20">
        <v>147.13</v>
      </c>
      <c r="T1291" s="21">
        <v>155.65</v>
      </c>
      <c r="V1291" s="1">
        <v>152.97</v>
      </c>
      <c r="W1291" s="1">
        <v>155.79</v>
      </c>
      <c r="X1291" s="1">
        <v>155.31</v>
      </c>
      <c r="Y1291" s="1">
        <v>154.69999999999999</v>
      </c>
      <c r="Z1291" s="1">
        <v>154.85</v>
      </c>
      <c r="AA1291" s="1">
        <v>146.81</v>
      </c>
      <c r="AB1291" s="1">
        <v>154.65</v>
      </c>
      <c r="AE1291" s="1">
        <v>163.51</v>
      </c>
      <c r="AF1291" s="1">
        <v>160.19999999999999</v>
      </c>
      <c r="AG1291" s="1">
        <v>148.56</v>
      </c>
      <c r="AU1291" s="1">
        <v>3906.12</v>
      </c>
      <c r="AV1291" s="1">
        <v>0</v>
      </c>
      <c r="AW1291" s="1">
        <v>2884.62</v>
      </c>
      <c r="AY1291" s="1">
        <v>4361.84</v>
      </c>
      <c r="AZ1291" s="1">
        <v>3705.81</v>
      </c>
      <c r="BA1291" s="1">
        <v>154.76</v>
      </c>
      <c r="BB1291" s="1">
        <v>168.67</v>
      </c>
      <c r="BC1291" s="1">
        <v>167.77</v>
      </c>
      <c r="BD1291" s="1">
        <v>161.97</v>
      </c>
      <c r="BE1291" s="1">
        <v>162.94999999999999</v>
      </c>
      <c r="BF1291" s="1">
        <v>163.44999999999999</v>
      </c>
      <c r="BG1291" s="1">
        <v>163.43</v>
      </c>
      <c r="BH1291" s="1">
        <v>155.30000000000001</v>
      </c>
      <c r="BI1291" s="1">
        <v>154.85</v>
      </c>
      <c r="BJ1291" s="1">
        <v>173</v>
      </c>
      <c r="BL1291" s="1">
        <v>150.22</v>
      </c>
      <c r="BN1291" s="1">
        <v>151</v>
      </c>
    </row>
    <row r="1292" spans="1:66" x14ac:dyDescent="0.3">
      <c r="A1292" s="2"/>
      <c r="C1292" s="14" t="str">
        <f t="shared" si="21"/>
        <v>20211</v>
      </c>
      <c r="D1292" s="3">
        <v>44223</v>
      </c>
      <c r="E1292" s="21"/>
      <c r="F1292" s="21">
        <v>3328.14</v>
      </c>
      <c r="G1292" s="21">
        <v>3367.9</v>
      </c>
      <c r="H1292" s="21">
        <v>2857.12</v>
      </c>
      <c r="I1292" s="21">
        <v>2865.53</v>
      </c>
      <c r="J1292" s="21">
        <v>2898.88</v>
      </c>
      <c r="K1292" s="21">
        <v>2821.37</v>
      </c>
      <c r="L1292" s="21">
        <v>2773.42</v>
      </c>
      <c r="M1292" s="21"/>
      <c r="N1292" s="21">
        <v>2765.41</v>
      </c>
      <c r="O1292" s="21">
        <v>2873.5</v>
      </c>
      <c r="P1292" s="21">
        <v>2811.62</v>
      </c>
      <c r="Q1292" s="21">
        <v>5870.4</v>
      </c>
      <c r="R1292" s="20"/>
      <c r="S1292" s="20">
        <v>146.96</v>
      </c>
      <c r="T1292" s="21">
        <v>155.72999999999999</v>
      </c>
      <c r="V1292" s="1">
        <v>153.47</v>
      </c>
      <c r="W1292" s="1">
        <v>154.94999999999999</v>
      </c>
      <c r="X1292" s="1">
        <v>154.43</v>
      </c>
      <c r="Y1292" s="1">
        <v>154.19999999999999</v>
      </c>
      <c r="Z1292" s="1">
        <v>154</v>
      </c>
      <c r="AA1292" s="1">
        <v>145.77000000000001</v>
      </c>
      <c r="AB1292" s="1">
        <v>154.44999999999999</v>
      </c>
      <c r="AE1292" s="1">
        <v>163.18</v>
      </c>
      <c r="AF1292" s="1">
        <v>160.49</v>
      </c>
      <c r="AG1292" s="1">
        <v>148.49</v>
      </c>
      <c r="AV1292" s="1">
        <v>15</v>
      </c>
      <c r="AW1292" s="1">
        <v>2760.2</v>
      </c>
      <c r="AZ1292" s="1">
        <v>3801.79</v>
      </c>
      <c r="BA1292" s="1">
        <v>155.24</v>
      </c>
      <c r="BB1292" s="1">
        <v>168.56</v>
      </c>
      <c r="BC1292" s="1">
        <v>168.72</v>
      </c>
      <c r="BD1292" s="1">
        <v>162.07</v>
      </c>
      <c r="BE1292" s="1">
        <v>162.5</v>
      </c>
      <c r="BG1292" s="1">
        <v>162.84</v>
      </c>
      <c r="BH1292" s="1">
        <v>155.30000000000001</v>
      </c>
      <c r="BI1292" s="1">
        <v>154.85</v>
      </c>
      <c r="BJ1292" s="1">
        <v>173</v>
      </c>
      <c r="BL1292" s="1">
        <v>150.22</v>
      </c>
      <c r="BN1292" s="1">
        <v>150.33000000000001</v>
      </c>
    </row>
    <row r="1293" spans="1:66" x14ac:dyDescent="0.3">
      <c r="A1293" s="2"/>
      <c r="C1293" s="14" t="str">
        <f t="shared" si="21"/>
        <v>20211</v>
      </c>
      <c r="D1293" s="3">
        <v>44222</v>
      </c>
      <c r="E1293" s="21"/>
      <c r="F1293" s="21">
        <v>3176.86</v>
      </c>
      <c r="G1293" s="21">
        <v>3293.01</v>
      </c>
      <c r="H1293" s="21"/>
      <c r="I1293" s="21">
        <v>2865.53</v>
      </c>
      <c r="J1293" s="21">
        <v>2883.33</v>
      </c>
      <c r="K1293" s="21">
        <v>2859.27</v>
      </c>
      <c r="L1293" s="21"/>
      <c r="M1293" s="21"/>
      <c r="N1293" s="21">
        <v>2745.9</v>
      </c>
      <c r="O1293" s="21">
        <v>2864.25</v>
      </c>
      <c r="P1293" s="21">
        <v>2814.95</v>
      </c>
      <c r="Q1293" s="21">
        <v>5926.72</v>
      </c>
      <c r="R1293" s="20"/>
      <c r="S1293" s="20">
        <v>146.29</v>
      </c>
      <c r="T1293" s="21">
        <v>155.72999999999999</v>
      </c>
      <c r="V1293" s="1">
        <v>152.22</v>
      </c>
      <c r="W1293" s="1">
        <v>154.69999999999999</v>
      </c>
      <c r="X1293" s="1">
        <v>154.08000000000001</v>
      </c>
      <c r="Y1293" s="1">
        <v>153.99</v>
      </c>
      <c r="Z1293" s="1">
        <v>154</v>
      </c>
      <c r="AA1293" s="1">
        <v>144.77000000000001</v>
      </c>
      <c r="AB1293" s="1">
        <v>153.94999999999999</v>
      </c>
      <c r="AE1293" s="1">
        <v>161.06</v>
      </c>
      <c r="AF1293" s="1">
        <v>161.75</v>
      </c>
      <c r="AG1293" s="1">
        <v>149.22999999999999</v>
      </c>
      <c r="AV1293" s="1">
        <v>15</v>
      </c>
      <c r="AW1293" s="1">
        <v>2760.2</v>
      </c>
      <c r="AZ1293" s="1">
        <v>3727.72</v>
      </c>
      <c r="BA1293" s="1">
        <v>154.09</v>
      </c>
      <c r="BB1293" s="1">
        <v>167.3</v>
      </c>
      <c r="BC1293" s="1">
        <v>166.07</v>
      </c>
      <c r="BD1293" s="1">
        <v>162.65</v>
      </c>
      <c r="BE1293" s="1">
        <v>161.62</v>
      </c>
      <c r="BG1293" s="1">
        <v>162.08000000000001</v>
      </c>
      <c r="BI1293" s="1">
        <v>154.85</v>
      </c>
      <c r="BJ1293" s="1">
        <v>173</v>
      </c>
      <c r="BL1293" s="1">
        <v>152.47</v>
      </c>
      <c r="BN1293" s="1">
        <v>150</v>
      </c>
    </row>
    <row r="1294" spans="1:66" x14ac:dyDescent="0.3">
      <c r="A1294" s="2"/>
      <c r="C1294" s="14" t="str">
        <f t="shared" si="21"/>
        <v>20211</v>
      </c>
      <c r="D1294" s="3">
        <v>44221</v>
      </c>
      <c r="E1294" s="21"/>
      <c r="F1294" s="21">
        <v>3224.97</v>
      </c>
      <c r="G1294" s="21">
        <v>3317.97</v>
      </c>
      <c r="H1294" s="21"/>
      <c r="I1294" s="21">
        <v>2845.56</v>
      </c>
      <c r="J1294" s="21">
        <v>2796.09</v>
      </c>
      <c r="K1294" s="21">
        <v>2859.27</v>
      </c>
      <c r="L1294" s="21"/>
      <c r="M1294" s="21"/>
      <c r="N1294" s="21">
        <v>2680.57</v>
      </c>
      <c r="O1294" s="21">
        <v>2876.67</v>
      </c>
      <c r="P1294" s="21">
        <v>2814.95</v>
      </c>
      <c r="Q1294" s="21">
        <v>5912.1</v>
      </c>
      <c r="R1294" s="20"/>
      <c r="S1294" s="20">
        <v>143.52000000000001</v>
      </c>
      <c r="T1294" s="21">
        <v>155.97999999999999</v>
      </c>
      <c r="V1294" s="1">
        <v>150.30000000000001</v>
      </c>
      <c r="W1294" s="1">
        <v>154.65</v>
      </c>
      <c r="X1294" s="1">
        <v>153.18</v>
      </c>
      <c r="Y1294" s="1">
        <v>153.47999999999999</v>
      </c>
      <c r="Z1294" s="1">
        <v>153.93</v>
      </c>
      <c r="AA1294" s="1">
        <v>144.77000000000001</v>
      </c>
      <c r="AB1294" s="1">
        <v>153.44999999999999</v>
      </c>
      <c r="AE1294" s="1">
        <v>161.57</v>
      </c>
      <c r="AF1294" s="1">
        <v>160.38999999999999</v>
      </c>
      <c r="AG1294" s="1">
        <v>144.79</v>
      </c>
      <c r="AK1294" s="1">
        <v>0</v>
      </c>
      <c r="AS1294" s="1">
        <v>3916.14</v>
      </c>
      <c r="AV1294" s="1">
        <v>15</v>
      </c>
      <c r="AW1294" s="1">
        <v>2760.2</v>
      </c>
      <c r="AZ1294" s="1">
        <v>3735.02</v>
      </c>
      <c r="BA1294" s="1">
        <v>153.34</v>
      </c>
      <c r="BB1294" s="1">
        <v>167.72</v>
      </c>
      <c r="BC1294" s="1">
        <v>167.99</v>
      </c>
      <c r="BD1294" s="1">
        <v>162.41</v>
      </c>
      <c r="BE1294" s="1">
        <v>162.28</v>
      </c>
      <c r="BF1294" s="1">
        <v>157.49</v>
      </c>
      <c r="BG1294" s="1">
        <v>161.74</v>
      </c>
      <c r="BI1294" s="1">
        <v>154.85</v>
      </c>
      <c r="BJ1294" s="1">
        <v>173</v>
      </c>
      <c r="BL1294" s="1">
        <v>152.47</v>
      </c>
      <c r="BN1294" s="1">
        <v>150</v>
      </c>
    </row>
    <row r="1295" spans="1:66" x14ac:dyDescent="0.3">
      <c r="A1295" s="2"/>
      <c r="C1295" s="14" t="str">
        <f t="shared" si="21"/>
        <v>20211</v>
      </c>
      <c r="D1295" s="3">
        <v>44218</v>
      </c>
      <c r="E1295" s="21"/>
      <c r="F1295" s="21">
        <v>3095.17</v>
      </c>
      <c r="G1295" s="21">
        <v>3265.56</v>
      </c>
      <c r="H1295" s="21"/>
      <c r="I1295" s="21">
        <v>2825.59</v>
      </c>
      <c r="J1295" s="21">
        <v>2821.01</v>
      </c>
      <c r="K1295" s="21">
        <v>2831.72</v>
      </c>
      <c r="L1295" s="21"/>
      <c r="M1295" s="21"/>
      <c r="N1295" s="21">
        <v>2694.16</v>
      </c>
      <c r="O1295" s="21">
        <v>2895.51</v>
      </c>
      <c r="P1295" s="21">
        <v>2780.11</v>
      </c>
      <c r="Q1295" s="21">
        <v>5958.83</v>
      </c>
      <c r="R1295" s="20">
        <v>144.81</v>
      </c>
      <c r="S1295" s="20">
        <v>143.62</v>
      </c>
      <c r="T1295" s="21">
        <v>155.72</v>
      </c>
      <c r="V1295" s="1">
        <v>149.63</v>
      </c>
      <c r="W1295" s="1">
        <v>156.03</v>
      </c>
      <c r="X1295" s="1">
        <v>154.58000000000001</v>
      </c>
      <c r="Y1295" s="1">
        <v>153.38999999999999</v>
      </c>
      <c r="Z1295" s="1">
        <v>153.71</v>
      </c>
      <c r="AA1295" s="1">
        <v>145.22999999999999</v>
      </c>
      <c r="AB1295" s="1">
        <v>153.72999999999999</v>
      </c>
      <c r="AE1295" s="1">
        <v>161.32</v>
      </c>
      <c r="AF1295" s="1">
        <v>161.75</v>
      </c>
      <c r="AG1295" s="1">
        <v>149.03</v>
      </c>
      <c r="AK1295" s="1">
        <v>0</v>
      </c>
      <c r="AS1295" s="1">
        <v>3916.14</v>
      </c>
      <c r="AV1295" s="1">
        <v>30</v>
      </c>
      <c r="AW1295" s="1">
        <v>2511.36</v>
      </c>
      <c r="AZ1295" s="1">
        <v>3735.02</v>
      </c>
      <c r="BA1295" s="1">
        <v>153.34</v>
      </c>
      <c r="BB1295" s="1">
        <v>165.95</v>
      </c>
      <c r="BC1295" s="1">
        <v>167.58</v>
      </c>
      <c r="BD1295" s="1">
        <v>164.2</v>
      </c>
      <c r="BE1295" s="1">
        <v>163.61000000000001</v>
      </c>
      <c r="BF1295" s="1">
        <v>164.52</v>
      </c>
      <c r="BG1295" s="1">
        <v>162.24</v>
      </c>
      <c r="BH1295" s="1">
        <v>155.16</v>
      </c>
      <c r="BI1295" s="1">
        <v>154.85</v>
      </c>
      <c r="BJ1295" s="1">
        <v>173</v>
      </c>
      <c r="BL1295" s="1">
        <v>149.97</v>
      </c>
      <c r="BN1295" s="1">
        <v>150</v>
      </c>
    </row>
    <row r="1296" spans="1:66" x14ac:dyDescent="0.3">
      <c r="A1296" s="2"/>
      <c r="C1296" s="14" t="str">
        <f t="shared" si="21"/>
        <v>20211</v>
      </c>
      <c r="D1296" s="3">
        <v>44217</v>
      </c>
      <c r="E1296" s="21">
        <v>3158.79</v>
      </c>
      <c r="F1296" s="21">
        <v>3095.17</v>
      </c>
      <c r="G1296" s="21">
        <v>3260.56</v>
      </c>
      <c r="H1296" s="21">
        <v>2765.47</v>
      </c>
      <c r="I1296" s="21">
        <v>2838.07</v>
      </c>
      <c r="J1296" s="21">
        <v>2780.81</v>
      </c>
      <c r="K1296" s="21">
        <v>2791.96</v>
      </c>
      <c r="L1296" s="21"/>
      <c r="M1296" s="21"/>
      <c r="N1296" s="21">
        <v>2699.95</v>
      </c>
      <c r="O1296" s="21">
        <v>2891.87</v>
      </c>
      <c r="P1296" s="21">
        <v>2772.11</v>
      </c>
      <c r="Q1296" s="21">
        <v>5938.02</v>
      </c>
      <c r="R1296" s="20">
        <v>144.44</v>
      </c>
      <c r="S1296" s="20">
        <v>146.29</v>
      </c>
      <c r="T1296" s="21">
        <v>155.71</v>
      </c>
      <c r="V1296" s="1">
        <v>149.65</v>
      </c>
      <c r="W1296" s="1">
        <v>156.09</v>
      </c>
      <c r="X1296" s="1">
        <v>154.61000000000001</v>
      </c>
      <c r="Y1296" s="1">
        <v>154.31</v>
      </c>
      <c r="Z1296" s="1">
        <v>154.71</v>
      </c>
      <c r="AA1296" s="1">
        <v>145.24</v>
      </c>
      <c r="AB1296" s="1">
        <v>153.84</v>
      </c>
      <c r="AE1296" s="1">
        <v>162.53</v>
      </c>
      <c r="AF1296" s="1">
        <v>162.55000000000001</v>
      </c>
      <c r="AG1296" s="1">
        <v>149.46</v>
      </c>
      <c r="AK1296" s="1">
        <v>0</v>
      </c>
      <c r="AS1296" s="1">
        <v>3916.14</v>
      </c>
      <c r="AV1296" s="1">
        <v>30</v>
      </c>
      <c r="AW1296" s="1">
        <v>2511.36</v>
      </c>
      <c r="AZ1296" s="1">
        <v>3735.02</v>
      </c>
      <c r="BA1296" s="1">
        <v>154.18</v>
      </c>
      <c r="BB1296" s="1">
        <v>167.24</v>
      </c>
      <c r="BC1296" s="1">
        <v>167.03</v>
      </c>
      <c r="BD1296" s="1">
        <v>165.42</v>
      </c>
      <c r="BE1296" s="1">
        <v>163.61000000000001</v>
      </c>
      <c r="BF1296" s="1">
        <v>164.11</v>
      </c>
      <c r="BG1296" s="1">
        <v>162.69999999999999</v>
      </c>
      <c r="BH1296" s="1">
        <v>156.08000000000001</v>
      </c>
      <c r="BI1296" s="1">
        <v>154.85</v>
      </c>
      <c r="BJ1296" s="1">
        <v>173</v>
      </c>
      <c r="BL1296" s="1">
        <v>151.22</v>
      </c>
      <c r="BN1296" s="1">
        <v>150.33000000000001</v>
      </c>
    </row>
    <row r="1297" spans="1:66" x14ac:dyDescent="0.3">
      <c r="A1297" s="2"/>
      <c r="C1297" s="14" t="str">
        <f t="shared" si="21"/>
        <v>20211</v>
      </c>
      <c r="D1297" s="3">
        <v>44216</v>
      </c>
      <c r="E1297" s="21">
        <v>3146.25</v>
      </c>
      <c r="F1297" s="21">
        <v>3095.17</v>
      </c>
      <c r="G1297" s="21">
        <v>3260.57</v>
      </c>
      <c r="H1297" s="21">
        <v>2742.96</v>
      </c>
      <c r="I1297" s="21">
        <v>2788.15</v>
      </c>
      <c r="J1297" s="21">
        <v>2752.07</v>
      </c>
      <c r="K1297" s="21">
        <v>2828.86</v>
      </c>
      <c r="L1297" s="21"/>
      <c r="M1297" s="21"/>
      <c r="N1297" s="21">
        <v>2680.98</v>
      </c>
      <c r="O1297" s="21">
        <v>2870</v>
      </c>
      <c r="P1297" s="21">
        <v>2772.11</v>
      </c>
      <c r="Q1297" s="21">
        <v>5948.55</v>
      </c>
      <c r="R1297" s="20">
        <v>143.33000000000001</v>
      </c>
      <c r="S1297" s="20">
        <v>142.96</v>
      </c>
      <c r="T1297" s="21">
        <v>156.46</v>
      </c>
      <c r="V1297" s="1">
        <v>150.97</v>
      </c>
      <c r="W1297" s="1">
        <v>155.79</v>
      </c>
      <c r="X1297" s="1">
        <v>155.34</v>
      </c>
      <c r="Y1297" s="1">
        <v>154.44999999999999</v>
      </c>
      <c r="Z1297" s="1">
        <v>156.47</v>
      </c>
      <c r="AA1297" s="1">
        <v>145.22999999999999</v>
      </c>
      <c r="AB1297" s="1">
        <v>154.28</v>
      </c>
      <c r="AE1297" s="1">
        <v>162.93</v>
      </c>
      <c r="AG1297" s="1">
        <v>147.09</v>
      </c>
      <c r="AK1297" s="1">
        <v>0</v>
      </c>
      <c r="AS1297" s="1">
        <v>3916.14</v>
      </c>
      <c r="AZ1297" s="1">
        <v>3505.49</v>
      </c>
      <c r="BA1297" s="1">
        <v>155.49</v>
      </c>
      <c r="BB1297" s="1">
        <v>166.25</v>
      </c>
      <c r="BC1297" s="1">
        <v>165.07</v>
      </c>
      <c r="BD1297" s="1">
        <v>164.94</v>
      </c>
      <c r="BE1297" s="1">
        <v>163.61000000000001</v>
      </c>
      <c r="BF1297" s="1">
        <v>162.46</v>
      </c>
      <c r="BG1297" s="1">
        <v>163.1</v>
      </c>
      <c r="BH1297" s="1">
        <v>158.31</v>
      </c>
      <c r="BI1297" s="1">
        <v>154.85</v>
      </c>
      <c r="BJ1297" s="1">
        <v>172.25</v>
      </c>
      <c r="BL1297" s="1">
        <v>150.72</v>
      </c>
      <c r="BN1297" s="1">
        <v>150</v>
      </c>
    </row>
    <row r="1298" spans="1:66" x14ac:dyDescent="0.3">
      <c r="A1298" s="2"/>
      <c r="C1298" s="14" t="str">
        <f t="shared" si="21"/>
        <v>20211</v>
      </c>
      <c r="D1298" s="3">
        <v>44215</v>
      </c>
      <c r="E1298" s="21">
        <v>3108.64</v>
      </c>
      <c r="F1298" s="21">
        <v>3095.17</v>
      </c>
      <c r="G1298" s="21">
        <v>3255.57</v>
      </c>
      <c r="H1298" s="21">
        <v>2697.95</v>
      </c>
      <c r="I1298" s="21">
        <v>2788.15</v>
      </c>
      <c r="J1298" s="21">
        <v>2724.59</v>
      </c>
      <c r="K1298" s="21">
        <v>2824.38</v>
      </c>
      <c r="L1298" s="21"/>
      <c r="M1298" s="21"/>
      <c r="N1298" s="21">
        <v>2691.84</v>
      </c>
      <c r="O1298" s="21">
        <v>2876.67</v>
      </c>
      <c r="P1298" s="21">
        <v>2746.21</v>
      </c>
      <c r="Q1298" s="21">
        <v>5987.94</v>
      </c>
      <c r="R1298" s="20">
        <v>139.97999999999999</v>
      </c>
      <c r="S1298" s="20">
        <v>149.26</v>
      </c>
      <c r="T1298" s="21">
        <v>156.46</v>
      </c>
      <c r="V1298" s="1">
        <v>152.72</v>
      </c>
      <c r="W1298" s="1">
        <v>155.94999999999999</v>
      </c>
      <c r="X1298" s="1">
        <v>156.28</v>
      </c>
      <c r="Y1298" s="1">
        <v>156.87</v>
      </c>
      <c r="Z1298" s="1">
        <v>157</v>
      </c>
      <c r="AA1298" s="1">
        <v>143.35</v>
      </c>
      <c r="AB1298" s="1">
        <v>156.82</v>
      </c>
      <c r="AE1298" s="1">
        <v>163.72</v>
      </c>
      <c r="AG1298" s="1">
        <v>149.22</v>
      </c>
      <c r="AK1298" s="1">
        <v>0</v>
      </c>
      <c r="AS1298" s="1">
        <v>3916.14</v>
      </c>
      <c r="BA1298" s="1">
        <v>157.76</v>
      </c>
      <c r="BB1298" s="1">
        <v>168.16</v>
      </c>
      <c r="BC1298" s="1">
        <v>167.42</v>
      </c>
      <c r="BD1298" s="1">
        <v>165.66</v>
      </c>
      <c r="BE1298" s="1">
        <v>161.61000000000001</v>
      </c>
      <c r="BF1298" s="1">
        <v>161.28</v>
      </c>
      <c r="BG1298" s="1">
        <v>165.55</v>
      </c>
      <c r="BH1298" s="1">
        <v>154.97</v>
      </c>
      <c r="BI1298" s="1">
        <v>154.85</v>
      </c>
      <c r="BJ1298" s="1">
        <v>172.25</v>
      </c>
      <c r="BL1298" s="1">
        <v>152.97</v>
      </c>
      <c r="BN1298" s="1">
        <v>153</v>
      </c>
    </row>
    <row r="1299" spans="1:66" x14ac:dyDescent="0.3">
      <c r="A1299" s="2"/>
      <c r="C1299" s="14" t="str">
        <f t="shared" si="21"/>
        <v>20211</v>
      </c>
      <c r="D1299" s="3">
        <v>44214</v>
      </c>
      <c r="E1299" s="21">
        <v>3108.64</v>
      </c>
      <c r="F1299" s="21">
        <v>3095.17</v>
      </c>
      <c r="G1299" s="21">
        <v>3258.07</v>
      </c>
      <c r="H1299" s="21">
        <v>2698.15</v>
      </c>
      <c r="I1299" s="21">
        <v>2738.23</v>
      </c>
      <c r="J1299" s="21">
        <v>2696.05</v>
      </c>
      <c r="K1299" s="21">
        <v>2819.56</v>
      </c>
      <c r="L1299" s="21">
        <v>2736.14</v>
      </c>
      <c r="M1299" s="21"/>
      <c r="N1299" s="21">
        <v>2698.6</v>
      </c>
      <c r="O1299" s="21">
        <v>2829.25</v>
      </c>
      <c r="P1299" s="21">
        <v>2746.21</v>
      </c>
      <c r="Q1299" s="21">
        <v>6175.98</v>
      </c>
      <c r="R1299" s="20">
        <v>139.96</v>
      </c>
      <c r="S1299" s="20">
        <v>148.85</v>
      </c>
      <c r="T1299" s="21">
        <v>156.46</v>
      </c>
      <c r="V1299" s="1">
        <v>154.97</v>
      </c>
      <c r="W1299" s="1">
        <v>158.38</v>
      </c>
      <c r="X1299" s="1">
        <v>156.28</v>
      </c>
      <c r="Y1299" s="1">
        <v>156.59</v>
      </c>
      <c r="Z1299" s="1">
        <v>157</v>
      </c>
      <c r="AA1299" s="1">
        <v>144.77000000000001</v>
      </c>
      <c r="AB1299" s="1">
        <v>156.82</v>
      </c>
      <c r="AE1299" s="1">
        <v>162.09</v>
      </c>
      <c r="AG1299" s="1">
        <v>150.22</v>
      </c>
      <c r="BA1299" s="1">
        <v>158.43</v>
      </c>
      <c r="BB1299" s="1">
        <v>168.47</v>
      </c>
      <c r="BC1299" s="1">
        <v>165.16</v>
      </c>
      <c r="BD1299" s="1">
        <v>164.29</v>
      </c>
      <c r="BE1299" s="1">
        <v>161.28</v>
      </c>
      <c r="BF1299" s="1">
        <v>159.96</v>
      </c>
      <c r="BG1299" s="1">
        <v>164.92</v>
      </c>
      <c r="BH1299" s="1">
        <v>156.69</v>
      </c>
      <c r="BI1299" s="1">
        <v>153.85</v>
      </c>
      <c r="BJ1299" s="1">
        <v>170.76</v>
      </c>
      <c r="BL1299" s="1">
        <v>152.97</v>
      </c>
      <c r="BN1299" s="1">
        <v>153</v>
      </c>
    </row>
    <row r="1300" spans="1:66" x14ac:dyDescent="0.3">
      <c r="A1300" s="2"/>
      <c r="C1300" s="14" t="str">
        <f t="shared" si="21"/>
        <v>20211</v>
      </c>
      <c r="D1300" s="3">
        <v>44211</v>
      </c>
      <c r="E1300" s="21">
        <v>3108.64</v>
      </c>
      <c r="F1300" s="21">
        <v>3031.63</v>
      </c>
      <c r="G1300" s="21">
        <v>3255.57</v>
      </c>
      <c r="H1300" s="21">
        <v>2648.97</v>
      </c>
      <c r="I1300" s="21">
        <v>2690.8</v>
      </c>
      <c r="J1300" s="21">
        <v>2718.16</v>
      </c>
      <c r="K1300" s="21">
        <v>2771.61</v>
      </c>
      <c r="L1300" s="21">
        <v>2833.6</v>
      </c>
      <c r="M1300" s="21"/>
      <c r="N1300" s="21">
        <v>2686.61</v>
      </c>
      <c r="O1300" s="21">
        <v>2792.29</v>
      </c>
      <c r="P1300" s="21">
        <v>2733.71</v>
      </c>
      <c r="Q1300" s="21">
        <v>6164.34</v>
      </c>
      <c r="R1300" s="20">
        <v>139.97999999999999</v>
      </c>
      <c r="S1300" s="20">
        <v>146.62</v>
      </c>
      <c r="T1300" s="21">
        <v>156.47999999999999</v>
      </c>
      <c r="V1300" s="1">
        <v>153.72</v>
      </c>
      <c r="W1300" s="1">
        <v>158.37</v>
      </c>
      <c r="X1300" s="1">
        <v>156.34</v>
      </c>
      <c r="Y1300" s="1">
        <v>156.13999999999999</v>
      </c>
      <c r="Z1300" s="1">
        <v>156.5</v>
      </c>
      <c r="AA1300" s="1">
        <v>143.57</v>
      </c>
      <c r="AB1300" s="1">
        <v>156.97</v>
      </c>
      <c r="AE1300" s="1">
        <v>162.78</v>
      </c>
      <c r="AG1300" s="1">
        <v>151.71</v>
      </c>
      <c r="AZ1300" s="1">
        <v>3255.1</v>
      </c>
      <c r="BA1300" s="1">
        <v>158.74</v>
      </c>
      <c r="BB1300" s="1">
        <v>168.9</v>
      </c>
      <c r="BC1300" s="1">
        <v>167.2</v>
      </c>
      <c r="BD1300" s="1">
        <v>163.65</v>
      </c>
      <c r="BE1300" s="1">
        <v>161.61000000000001</v>
      </c>
      <c r="BF1300" s="1">
        <v>159.96</v>
      </c>
      <c r="BG1300" s="1">
        <v>164.14</v>
      </c>
      <c r="BH1300" s="1">
        <v>156.18</v>
      </c>
      <c r="BI1300" s="1">
        <v>153.85</v>
      </c>
      <c r="BJ1300" s="1">
        <v>170.76</v>
      </c>
      <c r="BL1300" s="1">
        <v>156.22</v>
      </c>
      <c r="BN1300" s="1">
        <v>153</v>
      </c>
    </row>
    <row r="1301" spans="1:66" x14ac:dyDescent="0.3">
      <c r="A1301" s="2"/>
      <c r="C1301" s="14" t="str">
        <f t="shared" si="21"/>
        <v>20211</v>
      </c>
      <c r="D1301" s="3">
        <v>44210</v>
      </c>
      <c r="E1301" s="21">
        <v>3108.64</v>
      </c>
      <c r="F1301" s="21">
        <v>3036.93</v>
      </c>
      <c r="G1301" s="21">
        <v>3258.07</v>
      </c>
      <c r="H1301" s="21">
        <v>2720.35</v>
      </c>
      <c r="I1301" s="21">
        <v>2658.35</v>
      </c>
      <c r="J1301" s="21">
        <v>2784.47</v>
      </c>
      <c r="K1301" s="21">
        <v>2753.62</v>
      </c>
      <c r="L1301" s="21">
        <v>2833.6</v>
      </c>
      <c r="M1301" s="21"/>
      <c r="N1301" s="21">
        <v>2683.43</v>
      </c>
      <c r="O1301" s="21">
        <v>2763.56</v>
      </c>
      <c r="P1301" s="21">
        <v>2711.23</v>
      </c>
      <c r="Q1301" s="21">
        <v>6221.95</v>
      </c>
      <c r="R1301" s="20">
        <v>139.97999999999999</v>
      </c>
      <c r="S1301" s="20">
        <v>146.62</v>
      </c>
      <c r="T1301" s="21">
        <v>155.22999999999999</v>
      </c>
      <c r="V1301" s="1">
        <v>153.30000000000001</v>
      </c>
      <c r="W1301" s="1">
        <v>158.21</v>
      </c>
      <c r="X1301" s="1">
        <v>154.88999999999999</v>
      </c>
      <c r="Y1301" s="1">
        <v>155.69999999999999</v>
      </c>
      <c r="Z1301" s="1">
        <v>155.5</v>
      </c>
      <c r="AA1301" s="1">
        <v>143.57</v>
      </c>
      <c r="AB1301" s="1">
        <v>154.16999999999999</v>
      </c>
      <c r="AE1301" s="1">
        <v>161.49</v>
      </c>
      <c r="AG1301" s="1">
        <v>150.22</v>
      </c>
      <c r="AZ1301" s="1">
        <v>3255.1</v>
      </c>
      <c r="BA1301" s="1">
        <v>159.22</v>
      </c>
      <c r="BB1301" s="1">
        <v>168.48</v>
      </c>
      <c r="BC1301" s="1">
        <v>166.05</v>
      </c>
      <c r="BD1301" s="1">
        <v>164.42</v>
      </c>
      <c r="BE1301" s="1">
        <v>161.61000000000001</v>
      </c>
      <c r="BF1301" s="1">
        <v>159.96</v>
      </c>
      <c r="BG1301" s="1">
        <v>163.96</v>
      </c>
      <c r="BH1301" s="1">
        <v>154.63</v>
      </c>
      <c r="BI1301" s="1">
        <v>154.44999999999999</v>
      </c>
      <c r="BJ1301" s="1">
        <v>165.51</v>
      </c>
      <c r="BL1301" s="1">
        <v>152.22</v>
      </c>
      <c r="BN1301" s="1">
        <v>152</v>
      </c>
    </row>
    <row r="1302" spans="1:66" x14ac:dyDescent="0.3">
      <c r="A1302" s="2"/>
      <c r="C1302" s="14" t="str">
        <f t="shared" si="21"/>
        <v>20211</v>
      </c>
      <c r="D1302" s="3">
        <v>44209</v>
      </c>
      <c r="E1302" s="21">
        <v>3123.63</v>
      </c>
      <c r="F1302" s="21">
        <v>3020.67</v>
      </c>
      <c r="G1302" s="21">
        <v>3255.57</v>
      </c>
      <c r="H1302" s="21">
        <v>2749.34</v>
      </c>
      <c r="I1302" s="21">
        <v>2643.37</v>
      </c>
      <c r="J1302" s="21">
        <v>2784.8</v>
      </c>
      <c r="K1302" s="21">
        <v>2733.64</v>
      </c>
      <c r="L1302" s="21">
        <v>2833.6</v>
      </c>
      <c r="M1302" s="21"/>
      <c r="N1302" s="21">
        <v>2648.28</v>
      </c>
      <c r="O1302" s="21">
        <v>2747.48</v>
      </c>
      <c r="P1302" s="21">
        <v>2686.25</v>
      </c>
      <c r="Q1302" s="21">
        <v>6339.86</v>
      </c>
      <c r="R1302" s="20">
        <v>136.65</v>
      </c>
      <c r="S1302" s="20"/>
      <c r="T1302" s="21">
        <v>154.97</v>
      </c>
      <c r="V1302" s="1">
        <v>154.63</v>
      </c>
      <c r="W1302" s="1">
        <v>154.37</v>
      </c>
      <c r="X1302" s="1">
        <v>153.88999999999999</v>
      </c>
      <c r="Y1302" s="1">
        <v>155.41999999999999</v>
      </c>
      <c r="Z1302" s="1">
        <v>155.37</v>
      </c>
      <c r="AA1302" s="1">
        <v>142.94999999999999</v>
      </c>
      <c r="AB1302" s="1">
        <v>153.69999999999999</v>
      </c>
      <c r="AC1302" s="1">
        <v>122.67</v>
      </c>
      <c r="AE1302" s="1">
        <v>159.75</v>
      </c>
      <c r="AG1302" s="1">
        <v>151.06</v>
      </c>
      <c r="AW1302" s="1">
        <v>3154.94</v>
      </c>
      <c r="AX1302" s="1">
        <v>156.53</v>
      </c>
      <c r="AZ1302" s="1">
        <v>3255.1</v>
      </c>
      <c r="BA1302" s="1">
        <v>159.65</v>
      </c>
      <c r="BB1302" s="1">
        <v>167.45</v>
      </c>
      <c r="BC1302" s="1">
        <v>165.64</v>
      </c>
      <c r="BD1302" s="1">
        <v>163.74</v>
      </c>
      <c r="BE1302" s="1">
        <v>161.61000000000001</v>
      </c>
      <c r="BF1302" s="1">
        <v>163.46</v>
      </c>
      <c r="BG1302" s="1">
        <v>163.07</v>
      </c>
      <c r="BH1302" s="1">
        <v>153.30000000000001</v>
      </c>
      <c r="BI1302" s="1">
        <v>154.44999999999999</v>
      </c>
      <c r="BJ1302" s="1">
        <v>165.51</v>
      </c>
      <c r="BL1302" s="1">
        <v>151.72</v>
      </c>
      <c r="BN1302" s="1">
        <v>151.33000000000001</v>
      </c>
    </row>
    <row r="1303" spans="1:66" x14ac:dyDescent="0.3">
      <c r="A1303" s="2"/>
      <c r="C1303" s="14" t="str">
        <f t="shared" si="21"/>
        <v>20211</v>
      </c>
      <c r="D1303" s="3">
        <v>44208</v>
      </c>
      <c r="E1303" s="21">
        <v>3071.2</v>
      </c>
      <c r="F1303" s="21">
        <v>2987.4</v>
      </c>
      <c r="G1303" s="21">
        <v>3168.19</v>
      </c>
      <c r="H1303" s="21">
        <v>2662.88</v>
      </c>
      <c r="I1303" s="21">
        <v>2613.42</v>
      </c>
      <c r="J1303" s="21">
        <v>2776.98</v>
      </c>
      <c r="K1303" s="21">
        <v>2717.66</v>
      </c>
      <c r="L1303" s="21">
        <v>2883.55</v>
      </c>
      <c r="M1303" s="21"/>
      <c r="N1303" s="21">
        <v>2677.14</v>
      </c>
      <c r="O1303" s="21">
        <v>2693.51</v>
      </c>
      <c r="P1303" s="21">
        <v>2666.27</v>
      </c>
      <c r="Q1303" s="21">
        <v>6384.35</v>
      </c>
      <c r="R1303" s="20">
        <v>133.32</v>
      </c>
      <c r="S1303" s="20"/>
      <c r="T1303" s="21">
        <v>153.97999999999999</v>
      </c>
      <c r="V1303" s="1">
        <v>152.22</v>
      </c>
      <c r="W1303" s="1">
        <v>150.28</v>
      </c>
      <c r="X1303" s="1">
        <v>151.81</v>
      </c>
      <c r="Y1303" s="1">
        <v>154.38999999999999</v>
      </c>
      <c r="Z1303" s="1">
        <v>153.31</v>
      </c>
      <c r="AA1303" s="1">
        <v>141.44</v>
      </c>
      <c r="AB1303" s="1">
        <v>151.5</v>
      </c>
      <c r="AC1303" s="1">
        <v>125.38</v>
      </c>
      <c r="AE1303" s="1">
        <v>159.06</v>
      </c>
      <c r="AG1303" s="1">
        <v>152.38999999999999</v>
      </c>
      <c r="AW1303" s="1">
        <v>3154.94</v>
      </c>
      <c r="AZ1303" s="1">
        <v>3330.22</v>
      </c>
      <c r="BA1303" s="1">
        <v>159.65</v>
      </c>
      <c r="BB1303" s="1">
        <v>168.08</v>
      </c>
      <c r="BC1303" s="1">
        <v>166.58</v>
      </c>
      <c r="BD1303" s="1">
        <v>162.08000000000001</v>
      </c>
      <c r="BE1303" s="1">
        <v>158.61000000000001</v>
      </c>
      <c r="BF1303" s="1">
        <v>162.46</v>
      </c>
      <c r="BG1303" s="1">
        <v>164.85</v>
      </c>
      <c r="BI1303" s="1">
        <v>150.65</v>
      </c>
      <c r="BJ1303" s="1">
        <v>165.51</v>
      </c>
      <c r="BL1303" s="1">
        <v>151.47</v>
      </c>
      <c r="BN1303" s="1">
        <v>151</v>
      </c>
    </row>
    <row r="1304" spans="1:66" x14ac:dyDescent="0.3">
      <c r="A1304" s="2"/>
      <c r="C1304" s="14" t="str">
        <f t="shared" si="21"/>
        <v>20211</v>
      </c>
      <c r="D1304" s="3">
        <v>44207</v>
      </c>
      <c r="E1304" s="21">
        <v>3033.25</v>
      </c>
      <c r="F1304" s="21">
        <v>2954.48</v>
      </c>
      <c r="G1304" s="21">
        <v>3135.94</v>
      </c>
      <c r="H1304" s="21">
        <v>2629.57</v>
      </c>
      <c r="I1304" s="21">
        <v>2636.14</v>
      </c>
      <c r="J1304" s="21">
        <v>2821.9</v>
      </c>
      <c r="K1304" s="21">
        <v>2715.66</v>
      </c>
      <c r="L1304" s="21">
        <v>2888.59</v>
      </c>
      <c r="M1304" s="21"/>
      <c r="N1304" s="21">
        <v>2696.19</v>
      </c>
      <c r="O1304" s="21">
        <v>2690.59</v>
      </c>
      <c r="P1304" s="21">
        <v>2663.77</v>
      </c>
      <c r="Q1304" s="21">
        <v>6316.4</v>
      </c>
      <c r="R1304" s="20">
        <v>130.65</v>
      </c>
      <c r="S1304" s="20"/>
      <c r="T1304" s="21">
        <v>153.44</v>
      </c>
      <c r="V1304" s="1">
        <v>149.97</v>
      </c>
      <c r="W1304" s="1">
        <v>148.44999999999999</v>
      </c>
      <c r="X1304" s="1">
        <v>150.16</v>
      </c>
      <c r="Y1304" s="1">
        <v>152.30000000000001</v>
      </c>
      <c r="Z1304" s="1">
        <v>152.44</v>
      </c>
      <c r="AA1304" s="1">
        <v>140.16999999999999</v>
      </c>
      <c r="AB1304" s="1">
        <v>150.69999999999999</v>
      </c>
      <c r="AC1304" s="1">
        <v>130.80000000000001</v>
      </c>
      <c r="AE1304" s="1">
        <v>158.21</v>
      </c>
      <c r="AG1304" s="1">
        <v>150.66999999999999</v>
      </c>
      <c r="AW1304" s="1">
        <v>3154.94</v>
      </c>
      <c r="AZ1304" s="1">
        <v>3330.22</v>
      </c>
      <c r="BA1304" s="1">
        <v>157.08000000000001</v>
      </c>
      <c r="BB1304" s="1">
        <v>166.06</v>
      </c>
      <c r="BC1304" s="1">
        <v>164.78</v>
      </c>
      <c r="BD1304" s="1">
        <v>161.30000000000001</v>
      </c>
      <c r="BE1304" s="1">
        <v>158.61000000000001</v>
      </c>
      <c r="BF1304" s="1">
        <v>157.51</v>
      </c>
      <c r="BG1304" s="1">
        <v>160.84</v>
      </c>
      <c r="BI1304" s="1">
        <v>149.25</v>
      </c>
      <c r="BL1304" s="1">
        <v>147.19</v>
      </c>
      <c r="BN1304" s="1">
        <v>147.15</v>
      </c>
    </row>
    <row r="1305" spans="1:66" x14ac:dyDescent="0.3">
      <c r="A1305" s="2"/>
      <c r="C1305" s="14" t="str">
        <f t="shared" si="21"/>
        <v>20211</v>
      </c>
      <c r="D1305" s="3">
        <v>44204</v>
      </c>
      <c r="E1305" s="21">
        <v>2908.9</v>
      </c>
      <c r="F1305" s="21">
        <v>2788.65</v>
      </c>
      <c r="G1305" s="21">
        <v>3012.5</v>
      </c>
      <c r="H1305" s="21">
        <v>2560.9299999999998</v>
      </c>
      <c r="I1305" s="21">
        <v>2583.4699999999998</v>
      </c>
      <c r="J1305" s="21">
        <v>2749.93</v>
      </c>
      <c r="K1305" s="21">
        <v>2687.69</v>
      </c>
      <c r="L1305" s="21">
        <v>2776.15</v>
      </c>
      <c r="M1305" s="21"/>
      <c r="N1305" s="21">
        <v>2608.84</v>
      </c>
      <c r="O1305" s="21">
        <v>2670.66</v>
      </c>
      <c r="P1305" s="21">
        <v>2653.77</v>
      </c>
      <c r="Q1305" s="21">
        <v>6279.62</v>
      </c>
      <c r="R1305" s="20">
        <v>127.97</v>
      </c>
      <c r="S1305" s="20"/>
      <c r="T1305" s="21">
        <v>151.96</v>
      </c>
      <c r="V1305" s="1">
        <v>146.47</v>
      </c>
      <c r="W1305" s="1">
        <v>150.15</v>
      </c>
      <c r="X1305" s="1">
        <v>147.22999999999999</v>
      </c>
      <c r="Y1305" s="1">
        <v>150.05000000000001</v>
      </c>
      <c r="Z1305" s="1">
        <v>150.71</v>
      </c>
      <c r="AA1305" s="1">
        <v>141.88999999999999</v>
      </c>
      <c r="AB1305" s="1">
        <v>146.28</v>
      </c>
      <c r="AC1305" s="1">
        <v>141.63999999999999</v>
      </c>
      <c r="AE1305" s="1">
        <v>158.11000000000001</v>
      </c>
      <c r="AG1305" s="1">
        <v>148.88999999999999</v>
      </c>
      <c r="AW1305" s="1">
        <v>3154.94</v>
      </c>
      <c r="AZ1305" s="1">
        <v>3405.34</v>
      </c>
      <c r="BA1305" s="1">
        <v>154.83000000000001</v>
      </c>
      <c r="BB1305" s="1">
        <v>161.44999999999999</v>
      </c>
      <c r="BC1305" s="1">
        <v>160.07</v>
      </c>
      <c r="BD1305" s="1">
        <v>158.44</v>
      </c>
      <c r="BE1305" s="1">
        <v>155.62</v>
      </c>
      <c r="BF1305" s="1">
        <v>163.30000000000001</v>
      </c>
      <c r="BG1305" s="1">
        <v>160.46</v>
      </c>
      <c r="BI1305" s="1">
        <v>145.25</v>
      </c>
      <c r="BJ1305" s="1">
        <v>153.25</v>
      </c>
      <c r="BL1305" s="1">
        <v>145.72</v>
      </c>
      <c r="BN1305" s="1">
        <v>145.9</v>
      </c>
    </row>
    <row r="1306" spans="1:66" x14ac:dyDescent="0.3">
      <c r="A1306" s="2"/>
      <c r="C1306" s="14" t="str">
        <f t="shared" si="21"/>
        <v>20211</v>
      </c>
      <c r="D1306" s="3">
        <v>44203</v>
      </c>
      <c r="E1306" s="21">
        <v>2908.9</v>
      </c>
      <c r="F1306" s="21">
        <v>2793.82</v>
      </c>
      <c r="G1306" s="21">
        <v>3038.37</v>
      </c>
      <c r="H1306" s="21">
        <v>2535.12</v>
      </c>
      <c r="I1306" s="21">
        <v>2583.4699999999998</v>
      </c>
      <c r="J1306" s="21">
        <v>2695.9</v>
      </c>
      <c r="K1306" s="21">
        <v>2667.71</v>
      </c>
      <c r="L1306" s="21">
        <v>2776.15</v>
      </c>
      <c r="M1306" s="21"/>
      <c r="N1306" s="21">
        <v>2620.92</v>
      </c>
      <c r="O1306" s="21">
        <v>2651.98</v>
      </c>
      <c r="P1306" s="21">
        <v>2638.39</v>
      </c>
      <c r="Q1306" s="21">
        <v>6293.79</v>
      </c>
      <c r="R1306" s="20">
        <v>133.99</v>
      </c>
      <c r="S1306" s="20"/>
      <c r="T1306" s="21">
        <v>147.97999999999999</v>
      </c>
      <c r="V1306" s="1">
        <v>145.47</v>
      </c>
      <c r="W1306" s="1">
        <v>150.15</v>
      </c>
      <c r="X1306" s="1">
        <v>144.31</v>
      </c>
      <c r="Y1306" s="1">
        <v>148.47999999999999</v>
      </c>
      <c r="Z1306" s="1">
        <v>148.71</v>
      </c>
      <c r="AA1306" s="1">
        <v>140.03</v>
      </c>
      <c r="AB1306" s="1">
        <v>142.51</v>
      </c>
      <c r="AE1306" s="1">
        <v>153.19999999999999</v>
      </c>
      <c r="AG1306" s="1">
        <v>149.72</v>
      </c>
      <c r="AW1306" s="1">
        <v>3154.94</v>
      </c>
      <c r="AZ1306" s="1">
        <v>3405.34</v>
      </c>
      <c r="BA1306" s="1">
        <v>152.27000000000001</v>
      </c>
      <c r="BB1306" s="1">
        <v>159.4</v>
      </c>
      <c r="BC1306" s="1">
        <v>159.66999999999999</v>
      </c>
      <c r="BD1306" s="1">
        <v>156.4</v>
      </c>
      <c r="BE1306" s="1">
        <v>155.28</v>
      </c>
      <c r="BF1306" s="1">
        <v>159.94999999999999</v>
      </c>
      <c r="BG1306" s="1">
        <v>154.74</v>
      </c>
      <c r="BI1306" s="1">
        <v>144.85</v>
      </c>
      <c r="BJ1306" s="1">
        <v>153.25</v>
      </c>
      <c r="BL1306" s="1">
        <v>145.30000000000001</v>
      </c>
      <c r="BN1306" s="1">
        <v>145.22999999999999</v>
      </c>
    </row>
    <row r="1307" spans="1:66" x14ac:dyDescent="0.3">
      <c r="A1307" s="2"/>
      <c r="C1307" s="14" t="str">
        <f t="shared" si="21"/>
        <v>20211</v>
      </c>
      <c r="D1307" s="3">
        <v>44202</v>
      </c>
      <c r="E1307" s="21">
        <v>2928.87</v>
      </c>
      <c r="F1307" s="21">
        <v>2843.74</v>
      </c>
      <c r="G1307" s="21">
        <v>3055.84</v>
      </c>
      <c r="H1307" s="21">
        <v>2535.12</v>
      </c>
      <c r="I1307" s="21">
        <v>2573.48</v>
      </c>
      <c r="J1307" s="21">
        <v>2759.91</v>
      </c>
      <c r="K1307" s="21">
        <v>2657.71</v>
      </c>
      <c r="L1307" s="21">
        <v>2781.15</v>
      </c>
      <c r="M1307" s="21"/>
      <c r="N1307" s="21">
        <v>2635.75</v>
      </c>
      <c r="O1307" s="21">
        <v>2611.9299999999998</v>
      </c>
      <c r="P1307" s="21">
        <v>2606.31</v>
      </c>
      <c r="Q1307" s="21">
        <v>6281.69</v>
      </c>
      <c r="R1307" s="20">
        <v>133.99</v>
      </c>
      <c r="S1307" s="20"/>
      <c r="T1307" s="21">
        <v>147.97999999999999</v>
      </c>
      <c r="V1307" s="1">
        <v>145.97</v>
      </c>
      <c r="W1307" s="1">
        <v>149.75</v>
      </c>
      <c r="X1307" s="1">
        <v>142.62</v>
      </c>
      <c r="Y1307" s="1">
        <v>144.91999999999999</v>
      </c>
      <c r="Z1307" s="1">
        <v>146.12</v>
      </c>
      <c r="AA1307" s="1">
        <v>140.02000000000001</v>
      </c>
      <c r="AB1307" s="1">
        <v>141.4</v>
      </c>
      <c r="AC1307" s="1">
        <v>125.59</v>
      </c>
      <c r="AE1307" s="1">
        <v>151.91</v>
      </c>
      <c r="AG1307" s="1">
        <v>150.07</v>
      </c>
      <c r="AZ1307" s="1">
        <v>3405.34</v>
      </c>
      <c r="BA1307" s="1">
        <v>151.37</v>
      </c>
      <c r="BB1307" s="1">
        <v>158.62</v>
      </c>
      <c r="BC1307" s="1">
        <v>157.4</v>
      </c>
      <c r="BD1307" s="1">
        <v>156.56</v>
      </c>
      <c r="BE1307" s="1">
        <v>155.27000000000001</v>
      </c>
      <c r="BF1307" s="1">
        <v>159.94999999999999</v>
      </c>
      <c r="BG1307" s="1">
        <v>154.94</v>
      </c>
      <c r="BH1307" s="1">
        <v>140.01</v>
      </c>
      <c r="BI1307" s="1">
        <v>144.85</v>
      </c>
      <c r="BJ1307" s="1">
        <v>153.25</v>
      </c>
      <c r="BL1307" s="1">
        <v>144.30000000000001</v>
      </c>
      <c r="BN1307" s="1">
        <v>144.22999999999999</v>
      </c>
    </row>
    <row r="1308" spans="1:66" x14ac:dyDescent="0.3">
      <c r="A1308" s="2"/>
      <c r="C1308" s="14" t="str">
        <f t="shared" si="21"/>
        <v>20211</v>
      </c>
      <c r="D1308" s="3">
        <v>44201</v>
      </c>
      <c r="E1308" s="21">
        <v>2868.95</v>
      </c>
      <c r="F1308" s="21">
        <v>2804.79</v>
      </c>
      <c r="G1308" s="21">
        <v>2993.43</v>
      </c>
      <c r="H1308" s="21"/>
      <c r="I1308" s="21">
        <v>2553.5100000000002</v>
      </c>
      <c r="J1308" s="21">
        <v>2684.65</v>
      </c>
      <c r="K1308" s="21">
        <v>2659.65</v>
      </c>
      <c r="L1308" s="21">
        <v>2700.5</v>
      </c>
      <c r="M1308" s="21"/>
      <c r="N1308" s="21">
        <v>2577.75</v>
      </c>
      <c r="O1308" s="21">
        <v>2559.85</v>
      </c>
      <c r="P1308" s="21">
        <v>2591.75</v>
      </c>
      <c r="Q1308" s="21">
        <v>6063.59</v>
      </c>
      <c r="R1308" s="20">
        <v>123.99</v>
      </c>
      <c r="S1308" s="20"/>
      <c r="T1308" s="21">
        <v>142.99</v>
      </c>
      <c r="V1308" s="1">
        <v>139.72</v>
      </c>
      <c r="W1308" s="1">
        <v>146.12</v>
      </c>
      <c r="X1308" s="1">
        <v>141.25</v>
      </c>
      <c r="Y1308" s="1">
        <v>141.91999999999999</v>
      </c>
      <c r="Z1308" s="1">
        <v>142.71</v>
      </c>
      <c r="AA1308" s="1">
        <v>133.88</v>
      </c>
      <c r="AB1308" s="1">
        <v>141.19999999999999</v>
      </c>
      <c r="AC1308" s="1">
        <v>131.22</v>
      </c>
      <c r="AE1308" s="1">
        <v>150.91999999999999</v>
      </c>
      <c r="AG1308" s="1">
        <v>149.41999999999999</v>
      </c>
      <c r="BA1308" s="1">
        <v>151.37</v>
      </c>
      <c r="BB1308" s="1">
        <v>154.81</v>
      </c>
      <c r="BC1308" s="1">
        <v>153.47999999999999</v>
      </c>
      <c r="BD1308" s="1">
        <v>154.30000000000001</v>
      </c>
      <c r="BE1308" s="1">
        <v>151.93</v>
      </c>
      <c r="BF1308" s="1">
        <v>153.44999999999999</v>
      </c>
      <c r="BG1308" s="1">
        <v>152.02000000000001</v>
      </c>
      <c r="BH1308" s="1">
        <v>140.06</v>
      </c>
      <c r="BI1308" s="1">
        <v>139.91999999999999</v>
      </c>
      <c r="BJ1308" s="1">
        <v>151.66</v>
      </c>
      <c r="BL1308" s="1">
        <v>137.63</v>
      </c>
      <c r="BN1308" s="1">
        <v>137.9</v>
      </c>
    </row>
    <row r="1309" spans="1:66" x14ac:dyDescent="0.3">
      <c r="A1309" s="2"/>
      <c r="C1309" s="14" t="str">
        <f t="shared" si="21"/>
        <v>20211</v>
      </c>
      <c r="D1309" s="3">
        <v>44200</v>
      </c>
      <c r="E1309" s="21">
        <v>2820.15</v>
      </c>
      <c r="F1309" s="21">
        <v>2806.62</v>
      </c>
      <c r="G1309" s="21">
        <v>2999.45</v>
      </c>
      <c r="H1309" s="21"/>
      <c r="I1309" s="21">
        <v>2541.0300000000002</v>
      </c>
      <c r="J1309" s="21">
        <v>2563.37</v>
      </c>
      <c r="K1309" s="21">
        <v>2591.0300000000002</v>
      </c>
      <c r="L1309" s="21">
        <v>2537.17</v>
      </c>
      <c r="M1309" s="21"/>
      <c r="N1309" s="21">
        <v>2527.36</v>
      </c>
      <c r="O1309" s="21">
        <v>2518.58</v>
      </c>
      <c r="P1309" s="21">
        <v>2575.09</v>
      </c>
      <c r="Q1309" s="21">
        <v>6056.93</v>
      </c>
      <c r="R1309" s="20"/>
      <c r="S1309" s="20"/>
      <c r="T1309" s="21">
        <v>136.88999999999999</v>
      </c>
      <c r="V1309" s="1">
        <v>136.63999999999999</v>
      </c>
      <c r="W1309" s="1">
        <v>138.31</v>
      </c>
      <c r="X1309" s="1">
        <v>139.81</v>
      </c>
      <c r="Y1309" s="1">
        <v>140.78</v>
      </c>
      <c r="Z1309" s="1">
        <v>140.66999999999999</v>
      </c>
      <c r="AA1309" s="1">
        <v>126.66</v>
      </c>
      <c r="AB1309" s="1">
        <v>140.19999999999999</v>
      </c>
      <c r="AC1309" s="1">
        <v>128.47</v>
      </c>
      <c r="AE1309" s="1">
        <v>149.06</v>
      </c>
      <c r="AG1309" s="1">
        <v>150.47</v>
      </c>
      <c r="BA1309" s="1">
        <v>151.08000000000001</v>
      </c>
      <c r="BB1309" s="1">
        <v>151.21</v>
      </c>
      <c r="BC1309" s="1">
        <v>146.19999999999999</v>
      </c>
      <c r="BD1309" s="1">
        <v>142.75</v>
      </c>
      <c r="BE1309" s="1">
        <v>151.6</v>
      </c>
      <c r="BF1309" s="1">
        <v>153.44</v>
      </c>
      <c r="BG1309" s="1">
        <v>148.91</v>
      </c>
      <c r="BH1309" s="1">
        <v>140.16</v>
      </c>
      <c r="BI1309" s="1">
        <v>139.41999999999999</v>
      </c>
      <c r="BJ1309" s="1">
        <v>151.6</v>
      </c>
      <c r="BL1309" s="1">
        <v>134.93</v>
      </c>
      <c r="BN1309" s="1">
        <v>136.47999999999999</v>
      </c>
    </row>
    <row r="1310" spans="1:66" x14ac:dyDescent="0.3">
      <c r="A1310" s="2"/>
      <c r="C1310" s="14" t="str">
        <f t="shared" si="21"/>
        <v>202012</v>
      </c>
      <c r="D1310" s="3">
        <v>44195</v>
      </c>
      <c r="E1310" s="21">
        <v>2759.02</v>
      </c>
      <c r="F1310" s="21">
        <v>2758.46</v>
      </c>
      <c r="G1310" s="21">
        <v>2888.57</v>
      </c>
      <c r="H1310" s="21">
        <v>2471.04</v>
      </c>
      <c r="I1310" s="21">
        <v>2500.7199999999998</v>
      </c>
      <c r="J1310" s="21">
        <v>2520.12</v>
      </c>
      <c r="K1310" s="21">
        <v>2421.2199999999998</v>
      </c>
      <c r="L1310" s="21">
        <v>2496.33</v>
      </c>
      <c r="M1310" s="21"/>
      <c r="N1310" s="21">
        <v>2376.77</v>
      </c>
      <c r="O1310" s="21">
        <v>2541.63</v>
      </c>
      <c r="P1310" s="21">
        <v>2374.2399999999998</v>
      </c>
      <c r="Q1310" s="21">
        <v>5917.38</v>
      </c>
      <c r="R1310" s="20"/>
      <c r="S1310" s="20"/>
      <c r="T1310" s="21">
        <v>134.84</v>
      </c>
      <c r="V1310" s="1">
        <v>128.47</v>
      </c>
      <c r="W1310" s="1">
        <v>133.99</v>
      </c>
      <c r="X1310" s="1">
        <v>132.72999999999999</v>
      </c>
      <c r="Y1310" s="1">
        <v>134.34</v>
      </c>
      <c r="Z1310" s="1">
        <v>136.07</v>
      </c>
      <c r="AA1310" s="1">
        <v>129.74</v>
      </c>
      <c r="AB1310" s="1">
        <v>131.69999999999999</v>
      </c>
      <c r="AC1310" s="1">
        <v>122.97</v>
      </c>
      <c r="AE1310" s="1">
        <v>138.54</v>
      </c>
      <c r="AG1310" s="1">
        <v>145.22</v>
      </c>
      <c r="BA1310" s="1">
        <v>148.83000000000001</v>
      </c>
      <c r="BB1310" s="1">
        <v>143.96</v>
      </c>
      <c r="BC1310" s="1">
        <v>144.41999999999999</v>
      </c>
      <c r="BD1310" s="1">
        <v>141.66</v>
      </c>
      <c r="BE1310" s="1">
        <v>144.91999999999999</v>
      </c>
      <c r="BF1310" s="1">
        <v>147.44</v>
      </c>
      <c r="BG1310" s="1">
        <v>139.38999999999999</v>
      </c>
      <c r="BH1310" s="1">
        <v>140.35</v>
      </c>
      <c r="BI1310" s="1">
        <v>132.11000000000001</v>
      </c>
      <c r="BJ1310" s="1">
        <v>141.78</v>
      </c>
      <c r="BL1310" s="1">
        <v>132.19999999999999</v>
      </c>
      <c r="BN1310" s="1">
        <v>133.37</v>
      </c>
    </row>
    <row r="1311" spans="1:66" x14ac:dyDescent="0.3">
      <c r="A1311" s="2"/>
      <c r="C1311" s="14" t="str">
        <f t="shared" si="21"/>
        <v>202012</v>
      </c>
      <c r="D1311" s="3">
        <v>44194</v>
      </c>
      <c r="E1311" s="21">
        <v>2729.07</v>
      </c>
      <c r="F1311" s="21">
        <v>2690.4</v>
      </c>
      <c r="G1311" s="21">
        <v>2871.77</v>
      </c>
      <c r="H1311" s="21">
        <v>2477.7800000000002</v>
      </c>
      <c r="I1311" s="21">
        <v>2500.7199999999998</v>
      </c>
      <c r="J1311" s="21">
        <v>2528.08</v>
      </c>
      <c r="K1311" s="21">
        <v>2484.63</v>
      </c>
      <c r="L1311" s="21">
        <v>2496.33</v>
      </c>
      <c r="M1311" s="21"/>
      <c r="N1311" s="21">
        <v>2376.77</v>
      </c>
      <c r="O1311" s="21">
        <v>2541.63</v>
      </c>
      <c r="P1311" s="21">
        <v>2374.2399999999998</v>
      </c>
      <c r="Q1311" s="21">
        <v>5917.38</v>
      </c>
      <c r="R1311" s="20"/>
      <c r="S1311" s="20"/>
      <c r="T1311" s="21">
        <v>134.86000000000001</v>
      </c>
      <c r="V1311" s="1">
        <v>128.47</v>
      </c>
      <c r="W1311" s="1">
        <v>132.99</v>
      </c>
      <c r="X1311" s="1">
        <v>132.72999999999999</v>
      </c>
      <c r="Y1311" s="1">
        <v>134.25</v>
      </c>
      <c r="Z1311" s="1">
        <v>134.93</v>
      </c>
      <c r="AA1311" s="1">
        <v>129.74</v>
      </c>
      <c r="AB1311" s="1">
        <v>131.69999999999999</v>
      </c>
      <c r="AC1311" s="1">
        <v>122.97</v>
      </c>
      <c r="AE1311" s="1">
        <v>138.54</v>
      </c>
      <c r="AG1311" s="1">
        <v>145.22</v>
      </c>
      <c r="BA1311" s="1">
        <v>148.83000000000001</v>
      </c>
      <c r="BB1311" s="1">
        <v>144.97</v>
      </c>
      <c r="BC1311" s="1">
        <v>143.38</v>
      </c>
      <c r="BD1311" s="1">
        <v>142.26</v>
      </c>
      <c r="BE1311" s="1">
        <v>144.91999999999999</v>
      </c>
      <c r="BF1311" s="1">
        <v>147.44</v>
      </c>
      <c r="BG1311" s="1">
        <v>139.38999999999999</v>
      </c>
      <c r="BH1311" s="1">
        <v>140.35</v>
      </c>
      <c r="BI1311" s="1">
        <v>132.11000000000001</v>
      </c>
      <c r="BJ1311" s="1">
        <v>141.78</v>
      </c>
      <c r="BL1311" s="1">
        <v>134.13</v>
      </c>
      <c r="BN1311" s="1">
        <v>133.37</v>
      </c>
    </row>
    <row r="1312" spans="1:66" x14ac:dyDescent="0.3">
      <c r="A1312" s="2"/>
      <c r="C1312" s="14" t="str">
        <f t="shared" si="21"/>
        <v>202012</v>
      </c>
      <c r="D1312" s="3">
        <v>44193</v>
      </c>
      <c r="E1312" s="21">
        <v>2729.07</v>
      </c>
      <c r="F1312" s="21">
        <v>2694.97</v>
      </c>
      <c r="G1312" s="21">
        <v>2871.77</v>
      </c>
      <c r="H1312" s="21">
        <v>2415.33</v>
      </c>
      <c r="I1312" s="21">
        <v>2500.7199999999998</v>
      </c>
      <c r="J1312" s="21">
        <v>2528.08</v>
      </c>
      <c r="K1312" s="21">
        <v>2421.2199999999998</v>
      </c>
      <c r="L1312" s="21">
        <v>2488.69</v>
      </c>
      <c r="M1312" s="21"/>
      <c r="N1312" s="21">
        <v>2370.7800000000002</v>
      </c>
      <c r="O1312" s="21">
        <v>2554.9699999999998</v>
      </c>
      <c r="P1312" s="21">
        <v>2374.2399999999998</v>
      </c>
      <c r="Q1312" s="21">
        <v>5843.9</v>
      </c>
      <c r="R1312" s="20"/>
      <c r="S1312" s="20"/>
      <c r="T1312" s="21">
        <v>134.47999999999999</v>
      </c>
      <c r="V1312" s="1">
        <v>128.47</v>
      </c>
      <c r="W1312" s="1">
        <v>132.65</v>
      </c>
      <c r="X1312" s="1">
        <v>132.72999999999999</v>
      </c>
      <c r="Y1312" s="1">
        <v>134.16</v>
      </c>
      <c r="Z1312" s="1">
        <v>134.93</v>
      </c>
      <c r="AA1312" s="1">
        <v>124.81</v>
      </c>
      <c r="AB1312" s="1">
        <v>131.69999999999999</v>
      </c>
      <c r="AC1312" s="1">
        <v>122.97</v>
      </c>
      <c r="AE1312" s="1">
        <v>138.54</v>
      </c>
      <c r="AG1312" s="1">
        <v>145.22</v>
      </c>
      <c r="BA1312" s="1">
        <v>148.03</v>
      </c>
      <c r="BB1312" s="1">
        <v>141.61000000000001</v>
      </c>
      <c r="BC1312" s="1">
        <v>143.52000000000001</v>
      </c>
      <c r="BD1312" s="1">
        <v>137.1</v>
      </c>
      <c r="BE1312" s="1">
        <v>144.91999999999999</v>
      </c>
      <c r="BF1312" s="1">
        <v>147.44</v>
      </c>
      <c r="BG1312" s="1">
        <v>139.38999999999999</v>
      </c>
      <c r="BH1312" s="1">
        <v>140.35</v>
      </c>
      <c r="BI1312" s="1">
        <v>132.11000000000001</v>
      </c>
      <c r="BJ1312" s="1">
        <v>141.78</v>
      </c>
      <c r="BL1312" s="1">
        <v>130.87</v>
      </c>
      <c r="BN1312" s="1">
        <v>132.03</v>
      </c>
    </row>
    <row r="1313" spans="1:66" x14ac:dyDescent="0.3">
      <c r="A1313" s="2"/>
      <c r="C1313" s="14" t="str">
        <f t="shared" si="21"/>
        <v>202012</v>
      </c>
      <c r="D1313" s="3">
        <v>44188</v>
      </c>
      <c r="E1313" s="21">
        <v>2709.11</v>
      </c>
      <c r="F1313" s="21">
        <v>2645.09</v>
      </c>
      <c r="G1313" s="21">
        <v>2818.67</v>
      </c>
      <c r="H1313" s="21">
        <v>2415.33</v>
      </c>
      <c r="I1313" s="21">
        <v>2525.6799999999998</v>
      </c>
      <c r="J1313" s="21">
        <v>2563.8000000000002</v>
      </c>
      <c r="K1313" s="21">
        <v>2404.56</v>
      </c>
      <c r="L1313" s="21">
        <v>2488.69</v>
      </c>
      <c r="M1313" s="21"/>
      <c r="N1313" s="21">
        <v>2294.5700000000002</v>
      </c>
      <c r="O1313" s="21">
        <v>2588</v>
      </c>
      <c r="P1313" s="21">
        <v>2374.2399999999998</v>
      </c>
      <c r="Q1313" s="21">
        <v>5807.44</v>
      </c>
      <c r="R1313" s="20"/>
      <c r="S1313" s="20"/>
      <c r="T1313" s="21">
        <v>133.4</v>
      </c>
      <c r="V1313" s="1">
        <v>125.97</v>
      </c>
      <c r="W1313" s="1">
        <v>132.65</v>
      </c>
      <c r="X1313" s="1">
        <v>131.22999999999999</v>
      </c>
      <c r="Y1313" s="1">
        <v>132.97</v>
      </c>
      <c r="Z1313" s="1">
        <v>133</v>
      </c>
      <c r="AA1313" s="1">
        <v>124.81</v>
      </c>
      <c r="AB1313" s="1">
        <v>131.69999999999999</v>
      </c>
      <c r="AC1313" s="1">
        <v>122.97</v>
      </c>
      <c r="AE1313" s="1">
        <v>137.91999999999999</v>
      </c>
      <c r="AG1313" s="1">
        <v>145.22</v>
      </c>
      <c r="AW1313" s="1">
        <v>3320.7</v>
      </c>
      <c r="BA1313" s="1">
        <v>145.03</v>
      </c>
      <c r="BB1313" s="1">
        <v>142.41999999999999</v>
      </c>
      <c r="BC1313" s="1">
        <v>143.28</v>
      </c>
      <c r="BD1313" s="1">
        <v>137.09</v>
      </c>
      <c r="BE1313" s="1">
        <v>144.91999999999999</v>
      </c>
      <c r="BF1313" s="1">
        <v>147.44</v>
      </c>
      <c r="BG1313" s="1">
        <v>138.94</v>
      </c>
      <c r="BH1313" s="1">
        <v>140.35</v>
      </c>
      <c r="BI1313" s="1">
        <v>132.11000000000001</v>
      </c>
      <c r="BJ1313" s="1">
        <v>141.78</v>
      </c>
      <c r="BL1313" s="1">
        <v>129.30000000000001</v>
      </c>
      <c r="BN1313" s="1">
        <v>129.22999999999999</v>
      </c>
    </row>
    <row r="1314" spans="1:66" x14ac:dyDescent="0.3">
      <c r="A1314" s="2"/>
      <c r="C1314" s="14" t="str">
        <f t="shared" si="21"/>
        <v>202012</v>
      </c>
      <c r="D1314" s="3">
        <v>44187</v>
      </c>
      <c r="E1314" s="21">
        <v>2709.11</v>
      </c>
      <c r="F1314" s="21">
        <v>2645.09</v>
      </c>
      <c r="G1314" s="21">
        <v>2818.67</v>
      </c>
      <c r="H1314" s="21">
        <v>2415.33</v>
      </c>
      <c r="I1314" s="21">
        <v>2525.6799999999998</v>
      </c>
      <c r="J1314" s="21">
        <v>2550.4699999999998</v>
      </c>
      <c r="K1314" s="21">
        <v>2404.56</v>
      </c>
      <c r="L1314" s="21">
        <v>2488.69</v>
      </c>
      <c r="M1314" s="21"/>
      <c r="N1314" s="21">
        <v>2290.25</v>
      </c>
      <c r="O1314" s="21">
        <v>2566</v>
      </c>
      <c r="P1314" s="21">
        <v>2374.2399999999998</v>
      </c>
      <c r="Q1314" s="21">
        <v>5807.44</v>
      </c>
      <c r="R1314" s="20"/>
      <c r="S1314" s="20"/>
      <c r="T1314" s="21">
        <v>133.4</v>
      </c>
      <c r="V1314" s="1">
        <v>125.97</v>
      </c>
      <c r="W1314" s="1">
        <v>132.65</v>
      </c>
      <c r="X1314" s="1">
        <v>131.22999999999999</v>
      </c>
      <c r="Y1314" s="1">
        <v>133.32</v>
      </c>
      <c r="Z1314" s="1">
        <v>133</v>
      </c>
      <c r="AA1314" s="1">
        <v>125.06</v>
      </c>
      <c r="AB1314" s="1">
        <v>131.69999999999999</v>
      </c>
      <c r="AC1314" s="1">
        <v>122.97</v>
      </c>
      <c r="AE1314" s="1">
        <v>137.91999999999999</v>
      </c>
      <c r="AG1314" s="1">
        <v>145.22</v>
      </c>
      <c r="AW1314" s="1">
        <v>3320.7</v>
      </c>
      <c r="BA1314" s="1">
        <v>145.03</v>
      </c>
      <c r="BB1314" s="1">
        <v>140.11000000000001</v>
      </c>
      <c r="BC1314" s="1">
        <v>143.36000000000001</v>
      </c>
      <c r="BD1314" s="1">
        <v>136.54</v>
      </c>
      <c r="BE1314" s="1">
        <v>144.91999999999999</v>
      </c>
      <c r="BF1314" s="1">
        <v>147.44</v>
      </c>
      <c r="BG1314" s="1">
        <v>138.94</v>
      </c>
      <c r="BH1314" s="1">
        <v>140.35</v>
      </c>
      <c r="BI1314" s="1">
        <v>132.11000000000001</v>
      </c>
      <c r="BJ1314" s="1">
        <v>141.78</v>
      </c>
      <c r="BL1314" s="1">
        <v>129.80000000000001</v>
      </c>
      <c r="BN1314" s="1">
        <v>130.22999999999999</v>
      </c>
    </row>
    <row r="1315" spans="1:66" x14ac:dyDescent="0.3">
      <c r="A1315" s="2"/>
      <c r="C1315" s="14" t="str">
        <f t="shared" si="21"/>
        <v>202012</v>
      </c>
      <c r="D1315" s="3">
        <v>44186</v>
      </c>
      <c r="E1315" s="21">
        <v>2709.11</v>
      </c>
      <c r="F1315" s="21">
        <v>2645.09</v>
      </c>
      <c r="G1315" s="21">
        <v>2818.67</v>
      </c>
      <c r="H1315" s="21">
        <v>2415.33</v>
      </c>
      <c r="I1315" s="21">
        <v>2525.6799999999998</v>
      </c>
      <c r="J1315" s="21">
        <v>2528.08</v>
      </c>
      <c r="K1315" s="21">
        <v>2404.56</v>
      </c>
      <c r="L1315" s="21">
        <v>2488.69</v>
      </c>
      <c r="M1315" s="21"/>
      <c r="N1315" s="21">
        <v>2271.2600000000002</v>
      </c>
      <c r="O1315" s="21">
        <v>2588</v>
      </c>
      <c r="P1315" s="21">
        <v>2374.2399999999998</v>
      </c>
      <c r="Q1315" s="21">
        <v>5807.44</v>
      </c>
      <c r="R1315" s="20"/>
      <c r="S1315" s="20"/>
      <c r="T1315" s="21">
        <v>133.65</v>
      </c>
      <c r="V1315" s="1">
        <v>125.97</v>
      </c>
      <c r="W1315" s="1">
        <v>132.65</v>
      </c>
      <c r="X1315" s="1">
        <v>131.22999999999999</v>
      </c>
      <c r="Y1315" s="1">
        <v>132.99</v>
      </c>
      <c r="Z1315" s="1">
        <v>133</v>
      </c>
      <c r="AA1315" s="1">
        <v>124.81</v>
      </c>
      <c r="AB1315" s="1">
        <v>131.69999999999999</v>
      </c>
      <c r="AC1315" s="1">
        <v>122.97</v>
      </c>
      <c r="AE1315" s="1">
        <v>137.91999999999999</v>
      </c>
      <c r="AG1315" s="1">
        <v>145.22</v>
      </c>
      <c r="AW1315" s="1">
        <v>3320.7</v>
      </c>
      <c r="BA1315" s="1">
        <v>145.03</v>
      </c>
      <c r="BB1315" s="1">
        <v>140.27000000000001</v>
      </c>
      <c r="BC1315" s="1">
        <v>143.46</v>
      </c>
      <c r="BD1315" s="1">
        <v>136.54</v>
      </c>
      <c r="BE1315" s="1">
        <v>144.91999999999999</v>
      </c>
      <c r="BF1315" s="1">
        <v>147.44</v>
      </c>
      <c r="BG1315" s="1">
        <v>138.94</v>
      </c>
      <c r="BH1315" s="1">
        <v>140.35</v>
      </c>
      <c r="BI1315" s="1">
        <v>132.11000000000001</v>
      </c>
      <c r="BJ1315" s="1">
        <v>141.78</v>
      </c>
      <c r="BL1315" s="1">
        <v>129.30000000000001</v>
      </c>
      <c r="BN1315" s="1">
        <v>129.22999999999999</v>
      </c>
    </row>
    <row r="1316" spans="1:66" x14ac:dyDescent="0.3">
      <c r="A1316" s="2"/>
      <c r="C1316" s="14" t="str">
        <f t="shared" si="21"/>
        <v>202012</v>
      </c>
      <c r="D1316" s="3">
        <v>44183</v>
      </c>
      <c r="E1316" s="21">
        <v>2709.11</v>
      </c>
      <c r="F1316" s="21">
        <v>2645.09</v>
      </c>
      <c r="G1316" s="21">
        <v>2818.67</v>
      </c>
      <c r="H1316" s="21">
        <v>2415.33</v>
      </c>
      <c r="I1316" s="21">
        <v>2525.6799999999998</v>
      </c>
      <c r="J1316" s="21">
        <v>2528.08</v>
      </c>
      <c r="K1316" s="21">
        <v>2404.56</v>
      </c>
      <c r="L1316" s="21">
        <v>2488.69</v>
      </c>
      <c r="M1316" s="21"/>
      <c r="N1316" s="21">
        <v>2290.25</v>
      </c>
      <c r="O1316" s="21">
        <v>2588</v>
      </c>
      <c r="P1316" s="21">
        <v>2374.2399999999998</v>
      </c>
      <c r="Q1316" s="21">
        <v>5807.44</v>
      </c>
      <c r="R1316" s="20"/>
      <c r="S1316" s="20"/>
      <c r="T1316" s="21">
        <v>133.4</v>
      </c>
      <c r="V1316" s="1">
        <v>125.97</v>
      </c>
      <c r="W1316" s="1">
        <v>132.65</v>
      </c>
      <c r="X1316" s="1">
        <v>131.22999999999999</v>
      </c>
      <c r="Y1316" s="1">
        <v>132.97</v>
      </c>
      <c r="Z1316" s="1">
        <v>133</v>
      </c>
      <c r="AA1316" s="1">
        <v>124.81</v>
      </c>
      <c r="AB1316" s="1">
        <v>131.69999999999999</v>
      </c>
      <c r="AC1316" s="1">
        <v>122.97</v>
      </c>
      <c r="AE1316" s="1">
        <v>137.91999999999999</v>
      </c>
      <c r="AF1316" s="1">
        <v>139.37</v>
      </c>
      <c r="AG1316" s="1">
        <v>145.22</v>
      </c>
      <c r="BA1316" s="1">
        <v>145.03</v>
      </c>
      <c r="BB1316" s="1">
        <v>139.26</v>
      </c>
      <c r="BC1316" s="1">
        <v>141.87</v>
      </c>
      <c r="BD1316" s="1">
        <v>136.66999999999999</v>
      </c>
      <c r="BE1316" s="1">
        <v>144.91999999999999</v>
      </c>
      <c r="BF1316" s="1">
        <v>147.44</v>
      </c>
      <c r="BG1316" s="1">
        <v>138.94</v>
      </c>
      <c r="BH1316" s="1">
        <v>140.35</v>
      </c>
      <c r="BI1316" s="1">
        <v>132.11000000000001</v>
      </c>
      <c r="BJ1316" s="1">
        <v>141.78</v>
      </c>
      <c r="BL1316" s="1">
        <v>129.30000000000001</v>
      </c>
      <c r="BN1316" s="1">
        <v>129.22999999999999</v>
      </c>
    </row>
    <row r="1317" spans="1:66" x14ac:dyDescent="0.3">
      <c r="A1317" s="2"/>
      <c r="C1317" s="14" t="str">
        <f t="shared" si="21"/>
        <v>202012</v>
      </c>
      <c r="D1317" s="3">
        <v>44182</v>
      </c>
      <c r="E1317" s="21">
        <v>2661.17</v>
      </c>
      <c r="F1317" s="21">
        <v>2622.05</v>
      </c>
      <c r="G1317" s="21">
        <v>2808.69</v>
      </c>
      <c r="H1317" s="21">
        <v>2417.27</v>
      </c>
      <c r="I1317" s="21">
        <v>2543.15</v>
      </c>
      <c r="J1317" s="21">
        <v>2517.63</v>
      </c>
      <c r="K1317" s="21">
        <v>2404.56</v>
      </c>
      <c r="L1317" s="21">
        <v>2473.0100000000002</v>
      </c>
      <c r="M1317" s="21"/>
      <c r="N1317" s="21">
        <v>2208.0700000000002</v>
      </c>
      <c r="O1317" s="21">
        <v>2554.9699999999998</v>
      </c>
      <c r="P1317" s="21">
        <v>2380.23</v>
      </c>
      <c r="Q1317" s="21">
        <v>5496.73</v>
      </c>
      <c r="R1317" s="20"/>
      <c r="S1317" s="20"/>
      <c r="T1317" s="21">
        <v>133.63999999999999</v>
      </c>
      <c r="V1317" s="1">
        <v>124.63</v>
      </c>
      <c r="W1317" s="1">
        <v>134.32</v>
      </c>
      <c r="X1317" s="1">
        <v>130.53</v>
      </c>
      <c r="Y1317" s="1">
        <v>132</v>
      </c>
      <c r="Z1317" s="1">
        <v>132.57</v>
      </c>
      <c r="AA1317" s="1">
        <v>124.81</v>
      </c>
      <c r="AB1317" s="1">
        <v>129.28</v>
      </c>
      <c r="AC1317" s="1">
        <v>121.64</v>
      </c>
      <c r="AE1317" s="1">
        <v>138.53</v>
      </c>
      <c r="AF1317" s="1">
        <v>141.79</v>
      </c>
      <c r="AW1317" s="1">
        <v>2173.73</v>
      </c>
      <c r="BB1317" s="1">
        <v>140.84</v>
      </c>
      <c r="BC1317" s="1">
        <v>141.5</v>
      </c>
      <c r="BD1317" s="1">
        <v>138.76</v>
      </c>
      <c r="BE1317" s="1">
        <v>144.91999999999999</v>
      </c>
      <c r="BF1317" s="1">
        <v>147.1</v>
      </c>
      <c r="BG1317" s="1">
        <v>139.07</v>
      </c>
      <c r="BH1317" s="1">
        <v>140.97999999999999</v>
      </c>
      <c r="BI1317" s="1">
        <v>131.85</v>
      </c>
      <c r="BJ1317" s="1">
        <v>141.27000000000001</v>
      </c>
      <c r="BL1317" s="1">
        <v>128.63</v>
      </c>
      <c r="BN1317" s="1">
        <v>128.57</v>
      </c>
    </row>
    <row r="1318" spans="1:66" x14ac:dyDescent="0.3">
      <c r="A1318" s="2"/>
      <c r="C1318" s="14" t="str">
        <f t="shared" si="21"/>
        <v>202012</v>
      </c>
      <c r="D1318" s="3">
        <v>44181</v>
      </c>
      <c r="E1318" s="21">
        <v>2578.96</v>
      </c>
      <c r="F1318" s="21">
        <v>2628.39</v>
      </c>
      <c r="G1318" s="21">
        <v>2825.8</v>
      </c>
      <c r="H1318" s="21">
        <v>2417.27</v>
      </c>
      <c r="I1318" s="21">
        <v>2515.6999999999998</v>
      </c>
      <c r="J1318" s="21">
        <v>2514.7800000000002</v>
      </c>
      <c r="K1318" s="21">
        <v>2498.9</v>
      </c>
      <c r="L1318" s="21">
        <v>2441.2399999999998</v>
      </c>
      <c r="M1318" s="21"/>
      <c r="N1318" s="21">
        <v>2249.06</v>
      </c>
      <c r="O1318" s="21">
        <v>2549.96</v>
      </c>
      <c r="P1318" s="21">
        <v>2414.1999999999998</v>
      </c>
      <c r="Q1318" s="21">
        <v>5375</v>
      </c>
      <c r="R1318" s="20"/>
      <c r="S1318" s="20"/>
      <c r="T1318" s="21">
        <v>134.32</v>
      </c>
      <c r="V1318" s="1">
        <v>124.96</v>
      </c>
      <c r="W1318" s="1">
        <v>135.5</v>
      </c>
      <c r="X1318" s="1">
        <v>130.68</v>
      </c>
      <c r="Y1318" s="1">
        <v>132.99</v>
      </c>
      <c r="Z1318" s="1">
        <v>133</v>
      </c>
      <c r="AA1318" s="1">
        <v>124.81</v>
      </c>
      <c r="AB1318" s="1">
        <v>131.19999999999999</v>
      </c>
      <c r="AC1318" s="1">
        <v>122.19</v>
      </c>
      <c r="AE1318" s="1">
        <v>138.31</v>
      </c>
      <c r="AF1318" s="1">
        <v>141.91</v>
      </c>
      <c r="AW1318" s="1">
        <v>2173.73</v>
      </c>
      <c r="BB1318" s="1">
        <v>140.62</v>
      </c>
      <c r="BC1318" s="1">
        <v>140.6</v>
      </c>
      <c r="BD1318" s="1">
        <v>138.87</v>
      </c>
      <c r="BE1318" s="1">
        <v>144.91</v>
      </c>
      <c r="BF1318" s="1">
        <v>148.22</v>
      </c>
      <c r="BG1318" s="1">
        <v>138.47999999999999</v>
      </c>
      <c r="BH1318" s="1">
        <v>135.79</v>
      </c>
      <c r="BI1318" s="1">
        <v>131.85</v>
      </c>
      <c r="BJ1318" s="1">
        <v>141.59</v>
      </c>
      <c r="BL1318" s="1">
        <v>129.30000000000001</v>
      </c>
      <c r="BN1318" s="1">
        <v>129.22999999999999</v>
      </c>
    </row>
    <row r="1319" spans="1:66" x14ac:dyDescent="0.3">
      <c r="A1319" s="2"/>
      <c r="C1319" s="14" t="str">
        <f t="shared" si="21"/>
        <v>202012</v>
      </c>
      <c r="D1319" s="3">
        <v>44180</v>
      </c>
      <c r="E1319" s="21">
        <v>2578.96</v>
      </c>
      <c r="F1319" s="21">
        <v>2644.64</v>
      </c>
      <c r="G1319" s="21">
        <v>2838.29</v>
      </c>
      <c r="H1319" s="21">
        <v>2413.37</v>
      </c>
      <c r="I1319" s="21">
        <v>2543.15</v>
      </c>
      <c r="J1319" s="21">
        <v>2640</v>
      </c>
      <c r="K1319" s="21">
        <v>2556.04</v>
      </c>
      <c r="L1319" s="21"/>
      <c r="M1319" s="21"/>
      <c r="N1319" s="21">
        <v>2293.3000000000002</v>
      </c>
      <c r="O1319" s="21">
        <v>2579.9699999999998</v>
      </c>
      <c r="P1319" s="21">
        <v>2478.75</v>
      </c>
      <c r="Q1319" s="21">
        <v>5860</v>
      </c>
      <c r="R1319" s="20"/>
      <c r="S1319" s="20"/>
      <c r="T1319" s="21">
        <v>134.91</v>
      </c>
      <c r="V1319" s="1">
        <v>124.3</v>
      </c>
      <c r="W1319" s="1">
        <v>134.38999999999999</v>
      </c>
      <c r="X1319" s="1">
        <v>132.06</v>
      </c>
      <c r="Y1319" s="1">
        <v>132.99</v>
      </c>
      <c r="Z1319" s="1">
        <v>133</v>
      </c>
      <c r="AA1319" s="1">
        <v>124.81</v>
      </c>
      <c r="AB1319" s="1">
        <v>132.62</v>
      </c>
      <c r="AC1319" s="1">
        <v>121.64</v>
      </c>
      <c r="AE1319" s="1">
        <v>138.30000000000001</v>
      </c>
      <c r="AF1319" s="1">
        <v>141.38</v>
      </c>
      <c r="AW1319" s="1">
        <v>2173.73</v>
      </c>
      <c r="BB1319" s="1">
        <v>140.63999999999999</v>
      </c>
      <c r="BC1319" s="1">
        <v>140.33000000000001</v>
      </c>
      <c r="BD1319" s="1">
        <v>138.32</v>
      </c>
      <c r="BE1319" s="1">
        <v>138.18</v>
      </c>
      <c r="BF1319" s="1">
        <v>148.22</v>
      </c>
      <c r="BG1319" s="1">
        <v>139.32</v>
      </c>
      <c r="BH1319" s="1">
        <v>141.63</v>
      </c>
      <c r="BI1319" s="1">
        <v>133.44999999999999</v>
      </c>
      <c r="BJ1319" s="1">
        <v>142.78</v>
      </c>
      <c r="BL1319" s="1">
        <v>129.30000000000001</v>
      </c>
      <c r="BN1319" s="1">
        <v>129.22999999999999</v>
      </c>
    </row>
    <row r="1320" spans="1:66" x14ac:dyDescent="0.3">
      <c r="A1320" s="2"/>
      <c r="C1320" s="14" t="str">
        <f t="shared" si="21"/>
        <v>202012</v>
      </c>
      <c r="D1320" s="3">
        <v>44179</v>
      </c>
      <c r="E1320" s="21">
        <v>2578.96</v>
      </c>
      <c r="F1320" s="21">
        <v>2644.64</v>
      </c>
      <c r="G1320" s="21">
        <v>2875.74</v>
      </c>
      <c r="H1320" s="21">
        <v>2394</v>
      </c>
      <c r="I1320" s="21">
        <v>2560.62</v>
      </c>
      <c r="J1320" s="21">
        <v>2673.33</v>
      </c>
      <c r="K1320" s="21">
        <v>2531.89</v>
      </c>
      <c r="L1320" s="21"/>
      <c r="M1320" s="21"/>
      <c r="N1320" s="21">
        <v>2319.77</v>
      </c>
      <c r="O1320" s="21">
        <v>2576.35</v>
      </c>
      <c r="P1320" s="21">
        <v>2478.9299999999998</v>
      </c>
      <c r="Q1320" s="21">
        <v>5863.19</v>
      </c>
      <c r="R1320" s="20">
        <v>110.21</v>
      </c>
      <c r="S1320" s="20"/>
      <c r="T1320" s="21">
        <v>134.91</v>
      </c>
      <c r="V1320" s="1">
        <v>125.47</v>
      </c>
      <c r="W1320" s="1">
        <v>134.38999999999999</v>
      </c>
      <c r="X1320" s="1">
        <v>132.06</v>
      </c>
      <c r="Y1320" s="1">
        <v>132.99</v>
      </c>
      <c r="Z1320" s="1">
        <v>133</v>
      </c>
      <c r="AA1320" s="1">
        <v>124.76</v>
      </c>
      <c r="AB1320" s="1">
        <v>132.72999999999999</v>
      </c>
      <c r="AC1320" s="1">
        <v>121.64</v>
      </c>
      <c r="AE1320" s="1">
        <v>138.1</v>
      </c>
      <c r="AF1320" s="1">
        <v>140.38</v>
      </c>
      <c r="AW1320" s="1">
        <v>2173.73</v>
      </c>
      <c r="BB1320" s="1">
        <v>140.5</v>
      </c>
      <c r="BC1320" s="1">
        <v>140.28</v>
      </c>
      <c r="BD1320" s="1">
        <v>138.59</v>
      </c>
      <c r="BE1320" s="1">
        <v>144.9</v>
      </c>
      <c r="BF1320" s="1">
        <v>147.18</v>
      </c>
      <c r="BG1320" s="1">
        <v>138.88</v>
      </c>
      <c r="BH1320" s="1">
        <v>144.97999999999999</v>
      </c>
      <c r="BI1320" s="1">
        <v>133.44999999999999</v>
      </c>
      <c r="BJ1320" s="1">
        <v>142.78</v>
      </c>
      <c r="BL1320" s="1">
        <v>129.30000000000001</v>
      </c>
      <c r="BN1320" s="1">
        <v>129.41999999999999</v>
      </c>
    </row>
    <row r="1321" spans="1:66" x14ac:dyDescent="0.3">
      <c r="A1321" s="2"/>
      <c r="C1321" s="14" t="str">
        <f t="shared" si="21"/>
        <v>202012</v>
      </c>
      <c r="D1321" s="3">
        <v>44176</v>
      </c>
      <c r="E1321" s="21">
        <v>2605.15</v>
      </c>
      <c r="F1321" s="21">
        <v>2689.56</v>
      </c>
      <c r="G1321" s="21">
        <v>2750.73</v>
      </c>
      <c r="H1321" s="21">
        <v>2493.4899999999998</v>
      </c>
      <c r="I1321" s="21">
        <v>2550.64</v>
      </c>
      <c r="J1321" s="21">
        <v>2673.33</v>
      </c>
      <c r="K1321" s="21">
        <v>2607.23</v>
      </c>
      <c r="L1321" s="21"/>
      <c r="M1321" s="21"/>
      <c r="N1321" s="21">
        <v>2362.04</v>
      </c>
      <c r="O1321" s="21">
        <v>2594.69</v>
      </c>
      <c r="P1321" s="21">
        <v>2538.3000000000002</v>
      </c>
      <c r="Q1321" s="21">
        <v>5777.92</v>
      </c>
      <c r="R1321" s="20">
        <v>110.63</v>
      </c>
      <c r="S1321" s="20"/>
      <c r="T1321" s="21">
        <v>135.22</v>
      </c>
      <c r="V1321" s="1">
        <v>126.22</v>
      </c>
      <c r="W1321" s="1">
        <v>137.24</v>
      </c>
      <c r="X1321" s="1">
        <v>132.88999999999999</v>
      </c>
      <c r="Y1321" s="1">
        <v>133.18</v>
      </c>
      <c r="Z1321" s="1">
        <v>133.12</v>
      </c>
      <c r="AA1321" s="1">
        <v>124.81</v>
      </c>
      <c r="AB1321" s="1">
        <v>133.6</v>
      </c>
      <c r="AC1321" s="1">
        <v>124.97</v>
      </c>
      <c r="AE1321" s="1">
        <v>138.81</v>
      </c>
      <c r="AF1321" s="1">
        <v>141.85</v>
      </c>
      <c r="AW1321" s="1">
        <v>2173.73</v>
      </c>
      <c r="BB1321" s="1">
        <v>140.79</v>
      </c>
      <c r="BC1321" s="1">
        <v>140.77000000000001</v>
      </c>
      <c r="BD1321" s="1">
        <v>138.41999999999999</v>
      </c>
      <c r="BE1321" s="1">
        <v>144.88</v>
      </c>
      <c r="BF1321" s="1">
        <v>150.41999999999999</v>
      </c>
      <c r="BG1321" s="1">
        <v>140.87</v>
      </c>
      <c r="BH1321" s="1">
        <v>147.97999999999999</v>
      </c>
      <c r="BI1321" s="1">
        <v>135.05000000000001</v>
      </c>
      <c r="BJ1321" s="1">
        <v>143.38999999999999</v>
      </c>
      <c r="BL1321" s="1">
        <v>129.30000000000001</v>
      </c>
      <c r="BN1321" s="1">
        <v>129.41999999999999</v>
      </c>
    </row>
    <row r="1322" spans="1:66" x14ac:dyDescent="0.3">
      <c r="A1322" s="2"/>
      <c r="C1322" s="14" t="str">
        <f t="shared" si="21"/>
        <v>202012</v>
      </c>
      <c r="D1322" s="3">
        <v>44175</v>
      </c>
      <c r="E1322" s="21">
        <v>2566.8000000000002</v>
      </c>
      <c r="F1322" s="21">
        <v>2770.26</v>
      </c>
      <c r="G1322" s="21">
        <v>2935.64</v>
      </c>
      <c r="H1322" s="21">
        <v>2487.12</v>
      </c>
      <c r="I1322" s="21">
        <v>2550.64</v>
      </c>
      <c r="J1322" s="21">
        <v>2611.67</v>
      </c>
      <c r="K1322" s="21">
        <v>2620.52</v>
      </c>
      <c r="L1322" s="21"/>
      <c r="M1322" s="21"/>
      <c r="N1322" s="21">
        <v>2317.59</v>
      </c>
      <c r="O1322" s="21">
        <v>2560.08</v>
      </c>
      <c r="P1322" s="21">
        <v>2540.11</v>
      </c>
      <c r="Q1322" s="21">
        <v>5777.92</v>
      </c>
      <c r="R1322" s="20">
        <v>111.88</v>
      </c>
      <c r="S1322" s="20"/>
      <c r="T1322" s="21">
        <v>137.21</v>
      </c>
      <c r="V1322" s="1">
        <v>128.72</v>
      </c>
      <c r="W1322" s="1">
        <v>137.94999999999999</v>
      </c>
      <c r="X1322" s="1">
        <v>134.63999999999999</v>
      </c>
      <c r="Y1322" s="1">
        <v>135.66999999999999</v>
      </c>
      <c r="Z1322" s="1">
        <v>135.37</v>
      </c>
      <c r="AA1322" s="1">
        <v>124.81</v>
      </c>
      <c r="AB1322" s="1">
        <v>134.22999999999999</v>
      </c>
      <c r="AC1322" s="1">
        <v>122.31</v>
      </c>
      <c r="AE1322" s="1">
        <v>140.41</v>
      </c>
      <c r="AF1322" s="1">
        <v>142.19999999999999</v>
      </c>
      <c r="BB1322" s="1">
        <v>143.21</v>
      </c>
      <c r="BC1322" s="1">
        <v>143.08000000000001</v>
      </c>
      <c r="BD1322" s="1">
        <v>140.85</v>
      </c>
      <c r="BE1322" s="1">
        <v>144.96</v>
      </c>
      <c r="BF1322" s="1">
        <v>152.30000000000001</v>
      </c>
      <c r="BG1322" s="1">
        <v>140.01</v>
      </c>
      <c r="BH1322" s="1">
        <v>144.97999999999999</v>
      </c>
      <c r="BI1322" s="1">
        <v>135.03</v>
      </c>
      <c r="BJ1322" s="1">
        <v>148.52000000000001</v>
      </c>
      <c r="BL1322" s="1">
        <v>131.80000000000001</v>
      </c>
      <c r="BN1322" s="1">
        <v>131.66999999999999</v>
      </c>
    </row>
    <row r="1323" spans="1:66" x14ac:dyDescent="0.3">
      <c r="A1323" s="2"/>
      <c r="C1323" s="14" t="str">
        <f t="shared" si="21"/>
        <v>202012</v>
      </c>
      <c r="D1323" s="3">
        <v>44174</v>
      </c>
      <c r="E1323" s="21">
        <v>2566.8000000000002</v>
      </c>
      <c r="F1323" s="21">
        <v>2770.26</v>
      </c>
      <c r="G1323" s="21">
        <v>2949.45</v>
      </c>
      <c r="H1323" s="21">
        <v>2487.12</v>
      </c>
      <c r="I1323" s="21">
        <v>2588.0700000000002</v>
      </c>
      <c r="J1323" s="21">
        <v>2611.67</v>
      </c>
      <c r="K1323" s="21">
        <v>2620.52</v>
      </c>
      <c r="L1323" s="21"/>
      <c r="M1323" s="21"/>
      <c r="N1323" s="21">
        <v>2297.02</v>
      </c>
      <c r="O1323" s="21">
        <v>2580.0700000000002</v>
      </c>
      <c r="P1323" s="21">
        <v>2540.11</v>
      </c>
      <c r="Q1323" s="21">
        <v>5945.58</v>
      </c>
      <c r="R1323" s="20">
        <v>115.65</v>
      </c>
      <c r="S1323" s="20"/>
      <c r="T1323" s="21">
        <v>137.21</v>
      </c>
      <c r="V1323" s="1">
        <v>128.72</v>
      </c>
      <c r="W1323" s="1">
        <v>137.63999999999999</v>
      </c>
      <c r="X1323" s="1">
        <v>135.38999999999999</v>
      </c>
      <c r="Y1323" s="1">
        <v>136.43</v>
      </c>
      <c r="Z1323" s="1">
        <v>136.5</v>
      </c>
      <c r="AA1323" s="1">
        <v>124.81</v>
      </c>
      <c r="AB1323" s="1">
        <v>136.19999999999999</v>
      </c>
      <c r="AC1323" s="1">
        <v>122.31</v>
      </c>
      <c r="AE1323" s="1">
        <v>140.44999999999999</v>
      </c>
      <c r="AF1323" s="1">
        <v>144.16</v>
      </c>
      <c r="AG1323" s="1">
        <v>144.81</v>
      </c>
      <c r="BB1323" s="1">
        <v>143.66999999999999</v>
      </c>
      <c r="BC1323" s="1">
        <v>142.36000000000001</v>
      </c>
      <c r="BD1323" s="1">
        <v>141.43</v>
      </c>
      <c r="BE1323" s="1">
        <v>145.29</v>
      </c>
      <c r="BF1323" s="1">
        <v>151.63</v>
      </c>
      <c r="BG1323" s="1">
        <v>141.24</v>
      </c>
      <c r="BH1323" s="1">
        <v>144.97999999999999</v>
      </c>
      <c r="BI1323" s="1">
        <v>135.44999999999999</v>
      </c>
      <c r="BJ1323" s="1">
        <v>148.52000000000001</v>
      </c>
      <c r="BL1323" s="1">
        <v>132.80000000000001</v>
      </c>
      <c r="BN1323" s="1">
        <v>132.04</v>
      </c>
    </row>
    <row r="1324" spans="1:66" x14ac:dyDescent="0.3">
      <c r="A1324" s="2"/>
      <c r="C1324" s="14" t="str">
        <f t="shared" si="21"/>
        <v>202012</v>
      </c>
      <c r="D1324" s="3">
        <v>44173</v>
      </c>
      <c r="E1324" s="21">
        <v>2524.0700000000002</v>
      </c>
      <c r="F1324" s="21">
        <v>2740.77</v>
      </c>
      <c r="G1324" s="21">
        <v>2978.07</v>
      </c>
      <c r="H1324" s="21">
        <v>2510.9</v>
      </c>
      <c r="I1324" s="21">
        <v>2598.0500000000002</v>
      </c>
      <c r="J1324" s="21">
        <v>2659.99</v>
      </c>
      <c r="K1324" s="21">
        <v>2611.66</v>
      </c>
      <c r="L1324" s="21"/>
      <c r="M1324" s="21">
        <v>2295.85</v>
      </c>
      <c r="N1324" s="21">
        <v>2304.4899999999998</v>
      </c>
      <c r="O1324" s="21">
        <v>2537.33</v>
      </c>
      <c r="P1324" s="21">
        <v>2558.1</v>
      </c>
      <c r="Q1324" s="21">
        <v>5987.5</v>
      </c>
      <c r="R1324" s="20">
        <v>110.96</v>
      </c>
      <c r="S1324" s="20"/>
      <c r="T1324" s="21">
        <v>138.72</v>
      </c>
      <c r="V1324" s="1">
        <v>128.97</v>
      </c>
      <c r="W1324" s="1">
        <v>137.6</v>
      </c>
      <c r="X1324" s="1">
        <v>135.72999999999999</v>
      </c>
      <c r="Y1324" s="1">
        <v>136.99</v>
      </c>
      <c r="Z1324" s="1">
        <v>136.63999999999999</v>
      </c>
      <c r="AA1324" s="1">
        <v>124.04</v>
      </c>
      <c r="AB1324" s="1">
        <v>135.94999999999999</v>
      </c>
      <c r="AC1324" s="1">
        <v>125.3</v>
      </c>
      <c r="AE1324" s="1">
        <v>142.32</v>
      </c>
      <c r="AF1324" s="1">
        <v>147.83000000000001</v>
      </c>
      <c r="AG1324" s="1">
        <v>144.5</v>
      </c>
      <c r="AO1324" s="1">
        <v>7</v>
      </c>
      <c r="AT1324" s="1">
        <v>3965.22</v>
      </c>
      <c r="BB1324" s="1">
        <v>144.72999999999999</v>
      </c>
      <c r="BC1324" s="1">
        <v>144.22</v>
      </c>
      <c r="BD1324" s="1">
        <v>144.34</v>
      </c>
      <c r="BE1324" s="1">
        <v>151.94999999999999</v>
      </c>
      <c r="BF1324" s="1">
        <v>152.1</v>
      </c>
      <c r="BG1324" s="1">
        <v>144.49</v>
      </c>
      <c r="BH1324" s="1">
        <v>147.69999999999999</v>
      </c>
      <c r="BI1324" s="1">
        <v>135.61000000000001</v>
      </c>
      <c r="BJ1324" s="1">
        <v>149.77000000000001</v>
      </c>
      <c r="BL1324" s="1">
        <v>132.80000000000001</v>
      </c>
      <c r="BN1324" s="1">
        <v>132.04</v>
      </c>
    </row>
    <row r="1325" spans="1:66" x14ac:dyDescent="0.3">
      <c r="A1325" s="2"/>
      <c r="C1325" s="14" t="str">
        <f t="shared" si="21"/>
        <v>202012</v>
      </c>
      <c r="D1325" s="3">
        <v>44172</v>
      </c>
      <c r="E1325" s="21">
        <v>2725.34</v>
      </c>
      <c r="F1325" s="21">
        <v>2795.22</v>
      </c>
      <c r="G1325" s="21">
        <v>3004.31</v>
      </c>
      <c r="H1325" s="21">
        <v>2537.08</v>
      </c>
      <c r="I1325" s="21">
        <v>2615.52</v>
      </c>
      <c r="J1325" s="21">
        <v>2637.49</v>
      </c>
      <c r="K1325" s="21">
        <v>2637.17</v>
      </c>
      <c r="L1325" s="21"/>
      <c r="M1325" s="21">
        <v>2280.08</v>
      </c>
      <c r="N1325" s="21">
        <v>2341.98</v>
      </c>
      <c r="O1325" s="21">
        <v>2598.25</v>
      </c>
      <c r="P1325" s="21">
        <v>2570.09</v>
      </c>
      <c r="Q1325" s="21">
        <v>6064.86</v>
      </c>
      <c r="R1325" s="20">
        <v>112.88</v>
      </c>
      <c r="S1325" s="20"/>
      <c r="T1325" s="21">
        <v>138.71</v>
      </c>
      <c r="V1325" s="1">
        <v>132.72</v>
      </c>
      <c r="W1325" s="1">
        <v>139.19999999999999</v>
      </c>
      <c r="X1325" s="1">
        <v>136.47999999999999</v>
      </c>
      <c r="Y1325" s="1">
        <v>138.53</v>
      </c>
      <c r="Z1325" s="1">
        <v>138.13999999999999</v>
      </c>
      <c r="AA1325" s="1">
        <v>124.81</v>
      </c>
      <c r="AB1325" s="1">
        <v>136.32</v>
      </c>
      <c r="AC1325" s="1">
        <v>125.3</v>
      </c>
      <c r="AE1325" s="1">
        <v>143.72999999999999</v>
      </c>
      <c r="AF1325" s="1">
        <v>148.16999999999999</v>
      </c>
      <c r="AG1325" s="1">
        <v>143.59</v>
      </c>
      <c r="AO1325" s="1">
        <v>7</v>
      </c>
      <c r="AT1325" s="1">
        <v>3965.22</v>
      </c>
      <c r="AZ1325" s="1">
        <v>3506.02</v>
      </c>
      <c r="BB1325" s="1">
        <v>145.04</v>
      </c>
      <c r="BC1325" s="1">
        <v>143.52000000000001</v>
      </c>
      <c r="BD1325" s="1">
        <v>145.47999999999999</v>
      </c>
      <c r="BE1325" s="1">
        <v>147.83000000000001</v>
      </c>
      <c r="BF1325" s="1">
        <v>141.61000000000001</v>
      </c>
      <c r="BG1325" s="1">
        <v>145.71</v>
      </c>
      <c r="BH1325" s="1">
        <v>147.69999999999999</v>
      </c>
      <c r="BI1325" s="1">
        <v>135.94999999999999</v>
      </c>
      <c r="BJ1325" s="1">
        <v>149.76</v>
      </c>
      <c r="BL1325" s="1">
        <v>134.97</v>
      </c>
      <c r="BN1325" s="1">
        <v>134.16999999999999</v>
      </c>
    </row>
    <row r="1326" spans="1:66" x14ac:dyDescent="0.3">
      <c r="A1326" s="2"/>
      <c r="C1326" s="14" t="str">
        <f t="shared" si="21"/>
        <v>202012</v>
      </c>
      <c r="D1326" s="3">
        <v>44169</v>
      </c>
      <c r="E1326" s="21">
        <v>2741.98</v>
      </c>
      <c r="F1326" s="21">
        <v>2877.58</v>
      </c>
      <c r="G1326" s="21">
        <v>3010.51</v>
      </c>
      <c r="H1326" s="21">
        <v>2550.08</v>
      </c>
      <c r="I1326" s="21">
        <v>2630.5</v>
      </c>
      <c r="J1326" s="21">
        <v>2736.67</v>
      </c>
      <c r="K1326" s="21">
        <v>2620.52</v>
      </c>
      <c r="L1326" s="21">
        <v>2462.98</v>
      </c>
      <c r="M1326" s="21">
        <v>2287.14</v>
      </c>
      <c r="N1326" s="21">
        <v>2360.27</v>
      </c>
      <c r="O1326" s="21">
        <v>2589.9</v>
      </c>
      <c r="P1326" s="21">
        <v>2528.5500000000002</v>
      </c>
      <c r="Q1326" s="21">
        <v>6087.33</v>
      </c>
      <c r="R1326" s="20">
        <v>118.65</v>
      </c>
      <c r="S1326" s="20"/>
      <c r="T1326" s="21">
        <v>139.94999999999999</v>
      </c>
      <c r="V1326" s="1">
        <v>140.77000000000001</v>
      </c>
      <c r="W1326" s="1">
        <v>140.1</v>
      </c>
      <c r="X1326" s="1">
        <v>137.61000000000001</v>
      </c>
      <c r="Y1326" s="1">
        <v>139.99</v>
      </c>
      <c r="Z1326" s="1">
        <v>140</v>
      </c>
      <c r="AA1326" s="1">
        <v>126.06</v>
      </c>
      <c r="AB1326" s="1">
        <v>138.07</v>
      </c>
      <c r="AC1326" s="1">
        <v>126.3</v>
      </c>
      <c r="AE1326" s="1">
        <v>144.97999999999999</v>
      </c>
      <c r="AF1326" s="1">
        <v>146.84</v>
      </c>
      <c r="AG1326" s="1">
        <v>150.85</v>
      </c>
      <c r="AO1326" s="1">
        <v>7</v>
      </c>
      <c r="AT1326" s="1">
        <v>3965.22</v>
      </c>
      <c r="AZ1326" s="1">
        <v>3506.02</v>
      </c>
      <c r="BB1326" s="1">
        <v>148.61000000000001</v>
      </c>
      <c r="BC1326" s="1">
        <v>145.91</v>
      </c>
      <c r="BD1326" s="1">
        <v>147.94999999999999</v>
      </c>
      <c r="BE1326" s="1">
        <v>155</v>
      </c>
      <c r="BF1326" s="1">
        <v>165.61</v>
      </c>
      <c r="BG1326" s="1">
        <v>146.05000000000001</v>
      </c>
      <c r="BH1326" s="1">
        <v>153.28</v>
      </c>
      <c r="BI1326" s="1">
        <v>138.25</v>
      </c>
      <c r="BJ1326" s="1">
        <v>149.74</v>
      </c>
      <c r="BL1326" s="1">
        <v>136.30000000000001</v>
      </c>
      <c r="BN1326" s="1">
        <v>136.22999999999999</v>
      </c>
    </row>
    <row r="1327" spans="1:66" x14ac:dyDescent="0.3">
      <c r="A1327" s="2"/>
      <c r="C1327" s="14" t="str">
        <f t="shared" si="21"/>
        <v>202012</v>
      </c>
      <c r="D1327" s="3">
        <v>44168</v>
      </c>
      <c r="E1327" s="21">
        <v>2640.26</v>
      </c>
      <c r="F1327" s="21">
        <v>2877.58</v>
      </c>
      <c r="G1327" s="21">
        <v>3010.51</v>
      </c>
      <c r="H1327" s="21">
        <v>2564.33</v>
      </c>
      <c r="I1327" s="21">
        <v>2647.97</v>
      </c>
      <c r="J1327" s="21">
        <v>2667.36</v>
      </c>
      <c r="K1327" s="21">
        <v>2657.19</v>
      </c>
      <c r="L1327" s="21">
        <v>2394.2199999999998</v>
      </c>
      <c r="M1327" s="21"/>
      <c r="N1327" s="21">
        <v>2355.92</v>
      </c>
      <c r="O1327" s="21">
        <v>2667.66</v>
      </c>
      <c r="P1327" s="21">
        <v>2570.09</v>
      </c>
      <c r="Q1327" s="21">
        <v>6131.19</v>
      </c>
      <c r="R1327" s="20">
        <v>118.65</v>
      </c>
      <c r="S1327" s="20"/>
      <c r="T1327" s="21">
        <v>139.94999999999999</v>
      </c>
      <c r="V1327" s="1">
        <v>144.57</v>
      </c>
      <c r="W1327" s="1">
        <v>141.44</v>
      </c>
      <c r="X1327" s="1">
        <v>138.63999999999999</v>
      </c>
      <c r="Y1327" s="1">
        <v>141.18</v>
      </c>
      <c r="Z1327" s="1">
        <v>140.5</v>
      </c>
      <c r="AA1327" s="1">
        <v>126.06</v>
      </c>
      <c r="AB1327" s="1">
        <v>138.94999999999999</v>
      </c>
      <c r="AC1327" s="1">
        <v>129.63999999999999</v>
      </c>
      <c r="AE1327" s="1">
        <v>145.32</v>
      </c>
      <c r="AF1327" s="1">
        <v>153.54</v>
      </c>
      <c r="AG1327" s="1">
        <v>150.85</v>
      </c>
      <c r="AO1327" s="1">
        <v>7</v>
      </c>
      <c r="AT1327" s="1">
        <v>3965.22</v>
      </c>
      <c r="AZ1327" s="1">
        <v>3506.02</v>
      </c>
      <c r="BB1327" s="1">
        <v>150.06</v>
      </c>
      <c r="BC1327" s="1">
        <v>145.63999999999999</v>
      </c>
      <c r="BD1327" s="1">
        <v>154.61000000000001</v>
      </c>
      <c r="BE1327" s="1">
        <v>161.91</v>
      </c>
      <c r="BF1327" s="1">
        <v>167.6</v>
      </c>
      <c r="BG1327" s="1">
        <v>146.44</v>
      </c>
      <c r="BH1327" s="1">
        <v>156.62</v>
      </c>
      <c r="BI1327" s="1">
        <v>139.85</v>
      </c>
      <c r="BJ1327" s="1">
        <v>149.74</v>
      </c>
      <c r="BL1327" s="1">
        <v>137.19999999999999</v>
      </c>
      <c r="BN1327" s="1">
        <v>138.22999999999999</v>
      </c>
    </row>
    <row r="1328" spans="1:66" x14ac:dyDescent="0.3">
      <c r="A1328" s="2"/>
      <c r="C1328" s="14" t="str">
        <f t="shared" si="21"/>
        <v>202012</v>
      </c>
      <c r="D1328" s="3">
        <v>44167</v>
      </c>
      <c r="E1328" s="21">
        <v>2691.74</v>
      </c>
      <c r="F1328" s="21">
        <v>2895.05</v>
      </c>
      <c r="G1328" s="21">
        <v>3010.51</v>
      </c>
      <c r="H1328" s="21">
        <v>2526.2800000000002</v>
      </c>
      <c r="I1328" s="21">
        <v>2652.96</v>
      </c>
      <c r="J1328" s="21">
        <v>2663.79</v>
      </c>
      <c r="K1328" s="21">
        <v>2611.65</v>
      </c>
      <c r="L1328" s="21">
        <v>2459.4499999999998</v>
      </c>
      <c r="M1328" s="21">
        <v>2270.54</v>
      </c>
      <c r="N1328" s="21">
        <v>2379.61</v>
      </c>
      <c r="O1328" s="21">
        <v>2624.84</v>
      </c>
      <c r="P1328" s="21">
        <v>2570.09</v>
      </c>
      <c r="Q1328" s="21">
        <v>6243.49</v>
      </c>
      <c r="R1328" s="20">
        <v>119.32</v>
      </c>
      <c r="S1328" s="20"/>
      <c r="T1328" s="21">
        <v>150.16</v>
      </c>
      <c r="V1328" s="1">
        <v>146.57</v>
      </c>
      <c r="W1328" s="1">
        <v>144.81</v>
      </c>
      <c r="X1328" s="1">
        <v>139.97</v>
      </c>
      <c r="Y1328" s="1">
        <v>143.4</v>
      </c>
      <c r="Z1328" s="1">
        <v>143.5</v>
      </c>
      <c r="AA1328" s="1">
        <v>126.71</v>
      </c>
      <c r="AB1328" s="1">
        <v>139.44</v>
      </c>
      <c r="AC1328" s="1">
        <v>129.63999999999999</v>
      </c>
      <c r="AE1328" s="1">
        <v>146.99</v>
      </c>
      <c r="AF1328" s="1">
        <v>164.72</v>
      </c>
      <c r="AG1328" s="1">
        <v>150.85</v>
      </c>
      <c r="AO1328" s="1">
        <v>7</v>
      </c>
      <c r="AT1328" s="1">
        <v>3965.22</v>
      </c>
      <c r="AX1328" s="1">
        <v>164.17</v>
      </c>
      <c r="AZ1328" s="1">
        <v>3405.85</v>
      </c>
      <c r="BB1328" s="1">
        <v>153.99</v>
      </c>
      <c r="BC1328" s="1">
        <v>153.37</v>
      </c>
      <c r="BD1328" s="1">
        <v>156.13</v>
      </c>
      <c r="BE1328" s="1">
        <v>161.9</v>
      </c>
      <c r="BF1328" s="1">
        <v>165.85</v>
      </c>
      <c r="BG1328" s="1">
        <v>147.16</v>
      </c>
      <c r="BH1328" s="1">
        <v>156.31</v>
      </c>
      <c r="BI1328" s="1">
        <v>139.85</v>
      </c>
      <c r="BJ1328" s="1">
        <v>149.74</v>
      </c>
      <c r="BL1328" s="1">
        <v>140.30000000000001</v>
      </c>
      <c r="BN1328" s="1">
        <v>140.22999999999999</v>
      </c>
    </row>
    <row r="1329" spans="1:66" x14ac:dyDescent="0.3">
      <c r="A1329" s="2"/>
      <c r="C1329" s="14" t="str">
        <f t="shared" si="21"/>
        <v>202012</v>
      </c>
      <c r="D1329" s="3">
        <v>44166</v>
      </c>
      <c r="E1329" s="21">
        <v>2653.07</v>
      </c>
      <c r="F1329" s="21">
        <v>2969.92</v>
      </c>
      <c r="G1329" s="21">
        <v>3065.42</v>
      </c>
      <c r="H1329" s="21">
        <v>2586.5500000000002</v>
      </c>
      <c r="I1329" s="21">
        <v>2657.95</v>
      </c>
      <c r="J1329" s="21">
        <v>2663.18</v>
      </c>
      <c r="K1329" s="21">
        <v>2637.71</v>
      </c>
      <c r="L1329" s="21">
        <v>2442.81</v>
      </c>
      <c r="M1329" s="21"/>
      <c r="N1329" s="21">
        <v>2409.19</v>
      </c>
      <c r="O1329" s="21">
        <v>2656.28</v>
      </c>
      <c r="P1329" s="21">
        <v>2620.0500000000002</v>
      </c>
      <c r="Q1329" s="21">
        <v>6269.78</v>
      </c>
      <c r="R1329" s="20">
        <v>119.32</v>
      </c>
      <c r="S1329" s="20"/>
      <c r="T1329" s="21">
        <v>152.16</v>
      </c>
      <c r="V1329" s="1">
        <v>151.16999999999999</v>
      </c>
      <c r="W1329" s="1">
        <v>148.38999999999999</v>
      </c>
      <c r="X1329" s="1">
        <v>142.16999999999999</v>
      </c>
      <c r="Y1329" s="1">
        <v>146.57</v>
      </c>
      <c r="Z1329" s="1">
        <v>146.28</v>
      </c>
      <c r="AA1329" s="1">
        <v>126.06</v>
      </c>
      <c r="AB1329" s="1">
        <v>141.61000000000001</v>
      </c>
      <c r="AC1329" s="1">
        <v>127.97</v>
      </c>
      <c r="AE1329" s="1">
        <v>148.59</v>
      </c>
      <c r="AF1329" s="1">
        <v>164.72</v>
      </c>
      <c r="AX1329" s="1">
        <v>168.61</v>
      </c>
      <c r="AZ1329" s="1">
        <v>3405.85</v>
      </c>
      <c r="BB1329" s="1">
        <v>156.78</v>
      </c>
      <c r="BC1329" s="1">
        <v>156.85</v>
      </c>
      <c r="BD1329" s="1">
        <v>160.61000000000001</v>
      </c>
      <c r="BE1329" s="1">
        <v>161.9</v>
      </c>
      <c r="BF1329" s="1">
        <v>165.6</v>
      </c>
      <c r="BG1329" s="1">
        <v>149.44999999999999</v>
      </c>
      <c r="BH1329" s="1">
        <v>157.13999999999999</v>
      </c>
      <c r="BI1329" s="1">
        <v>144.44999999999999</v>
      </c>
      <c r="BJ1329" s="1">
        <v>154.76</v>
      </c>
      <c r="BL1329" s="1">
        <v>142.30000000000001</v>
      </c>
      <c r="BN1329" s="1">
        <v>141.66999999999999</v>
      </c>
    </row>
    <row r="1330" spans="1:66" x14ac:dyDescent="0.3">
      <c r="A1330" s="2"/>
      <c r="C1330" s="14" t="str">
        <f t="shared" si="21"/>
        <v>202011</v>
      </c>
      <c r="D1330" s="3">
        <v>44165</v>
      </c>
      <c r="E1330" s="21"/>
      <c r="F1330" s="21">
        <v>3005.89</v>
      </c>
      <c r="G1330" s="21">
        <v>3056.55</v>
      </c>
      <c r="H1330" s="21">
        <v>2658.21</v>
      </c>
      <c r="I1330" s="21">
        <v>2697.82</v>
      </c>
      <c r="J1330" s="21">
        <v>2723.38</v>
      </c>
      <c r="K1330" s="21">
        <v>2639.11</v>
      </c>
      <c r="L1330" s="21">
        <v>2282.63</v>
      </c>
      <c r="M1330" s="21"/>
      <c r="N1330" s="21">
        <v>2408.04</v>
      </c>
      <c r="O1330" s="21">
        <v>2721.33</v>
      </c>
      <c r="P1330" s="21">
        <v>2623.06</v>
      </c>
      <c r="Q1330" s="21">
        <v>6303.95</v>
      </c>
      <c r="R1330" s="20">
        <v>122.2</v>
      </c>
      <c r="S1330" s="20"/>
      <c r="T1330" s="21">
        <v>154.71</v>
      </c>
      <c r="V1330" s="1">
        <v>154.69</v>
      </c>
      <c r="W1330" s="1">
        <v>146.44</v>
      </c>
      <c r="X1330" s="1">
        <v>142.71</v>
      </c>
      <c r="Y1330" s="1">
        <v>148.47999999999999</v>
      </c>
      <c r="Z1330" s="1">
        <v>148.5</v>
      </c>
      <c r="AA1330" s="1">
        <v>127.06</v>
      </c>
      <c r="AB1330" s="1">
        <v>142.04</v>
      </c>
      <c r="AC1330" s="1">
        <v>129.47</v>
      </c>
      <c r="AE1330" s="1">
        <v>148.97</v>
      </c>
      <c r="AF1330" s="1">
        <v>165.82</v>
      </c>
      <c r="AW1330" s="1">
        <v>3305.18</v>
      </c>
      <c r="AX1330" s="1">
        <v>169.51</v>
      </c>
      <c r="AZ1330" s="1">
        <v>3305.18</v>
      </c>
      <c r="BB1330" s="1">
        <v>159.66999999999999</v>
      </c>
      <c r="BC1330" s="1">
        <v>159.63999999999999</v>
      </c>
      <c r="BD1330" s="1">
        <v>160.74</v>
      </c>
      <c r="BE1330" s="1">
        <v>169.61</v>
      </c>
      <c r="BF1330" s="1">
        <v>166.85</v>
      </c>
      <c r="BG1330" s="1">
        <v>149.31</v>
      </c>
      <c r="BH1330" s="1">
        <v>157.94999999999999</v>
      </c>
      <c r="BI1330" s="1">
        <v>144.51</v>
      </c>
      <c r="BJ1330" s="1">
        <v>159.22</v>
      </c>
      <c r="BL1330" s="1">
        <v>146</v>
      </c>
      <c r="BN1330" s="1">
        <v>142.97</v>
      </c>
    </row>
    <row r="1331" spans="1:66" x14ac:dyDescent="0.3">
      <c r="A1331" s="2"/>
      <c r="C1331" s="14" t="str">
        <f t="shared" si="21"/>
        <v>202011</v>
      </c>
      <c r="D1331" s="3">
        <v>44162</v>
      </c>
      <c r="E1331" s="21"/>
      <c r="F1331" s="21">
        <v>3032.81</v>
      </c>
      <c r="G1331" s="21">
        <v>3059.72</v>
      </c>
      <c r="H1331" s="21">
        <v>2686.29</v>
      </c>
      <c r="I1331" s="21">
        <v>2645.18</v>
      </c>
      <c r="J1331" s="21">
        <v>2723.38</v>
      </c>
      <c r="K1331" s="21">
        <v>2625.91</v>
      </c>
      <c r="L1331" s="21">
        <v>2317.5100000000002</v>
      </c>
      <c r="M1331" s="21"/>
      <c r="N1331" s="21">
        <v>2405.41</v>
      </c>
      <c r="O1331" s="21">
        <v>2734.16</v>
      </c>
      <c r="P1331" s="21">
        <v>2629.05</v>
      </c>
      <c r="Q1331" s="21">
        <v>6434.35</v>
      </c>
      <c r="R1331" s="20">
        <v>125.87</v>
      </c>
      <c r="S1331" s="20"/>
      <c r="T1331" s="21">
        <v>155.36000000000001</v>
      </c>
      <c r="V1331" s="1">
        <v>155.02000000000001</v>
      </c>
      <c r="W1331" s="1">
        <v>146.51</v>
      </c>
      <c r="X1331" s="1">
        <v>144.33000000000001</v>
      </c>
      <c r="Y1331" s="1">
        <v>148.36000000000001</v>
      </c>
      <c r="Z1331" s="1">
        <v>148.5</v>
      </c>
      <c r="AA1331" s="1">
        <v>128.06</v>
      </c>
      <c r="AB1331" s="1">
        <v>146.06</v>
      </c>
      <c r="AC1331" s="1">
        <v>130.1</v>
      </c>
      <c r="AE1331" s="1">
        <v>152.07</v>
      </c>
      <c r="AF1331" s="1">
        <v>165.45</v>
      </c>
      <c r="AW1331" s="1">
        <v>3305.18</v>
      </c>
      <c r="AX1331" s="1">
        <v>172.7</v>
      </c>
      <c r="AZ1331" s="1">
        <v>3305.18</v>
      </c>
      <c r="BB1331" s="1">
        <v>161.93</v>
      </c>
      <c r="BC1331" s="1">
        <v>160.97999999999999</v>
      </c>
      <c r="BD1331" s="1">
        <v>161.24</v>
      </c>
      <c r="BE1331" s="1">
        <v>168.65</v>
      </c>
      <c r="BF1331" s="1">
        <v>172.12</v>
      </c>
      <c r="BG1331" s="1">
        <v>151.63</v>
      </c>
      <c r="BH1331" s="1">
        <v>161.27000000000001</v>
      </c>
      <c r="BI1331" s="1">
        <v>144.51</v>
      </c>
      <c r="BJ1331" s="1">
        <v>159.22</v>
      </c>
      <c r="BL1331" s="1">
        <v>144.69</v>
      </c>
      <c r="BN1331" s="1">
        <v>144.5</v>
      </c>
    </row>
    <row r="1332" spans="1:66" x14ac:dyDescent="0.3">
      <c r="A1332" s="2"/>
      <c r="C1332" s="14" t="str">
        <f t="shared" si="21"/>
        <v>202011</v>
      </c>
      <c r="D1332" s="3">
        <v>44161</v>
      </c>
      <c r="E1332" s="21">
        <v>3153.49</v>
      </c>
      <c r="F1332" s="21">
        <v>3036.35</v>
      </c>
      <c r="G1332" s="21">
        <v>3106.61</v>
      </c>
      <c r="H1332" s="21">
        <v>2740.86</v>
      </c>
      <c r="I1332" s="21">
        <v>2645.18</v>
      </c>
      <c r="J1332" s="21">
        <v>2708.26</v>
      </c>
      <c r="K1332" s="21">
        <v>2686.39</v>
      </c>
      <c r="L1332" s="21">
        <v>2422.17</v>
      </c>
      <c r="M1332" s="21"/>
      <c r="N1332" s="21">
        <v>2408.2399999999998</v>
      </c>
      <c r="O1332" s="21">
        <v>2719.52</v>
      </c>
      <c r="P1332" s="21">
        <v>2620.02</v>
      </c>
      <c r="Q1332" s="21">
        <v>6369.38</v>
      </c>
      <c r="R1332" s="20">
        <v>125.87</v>
      </c>
      <c r="S1332" s="20"/>
      <c r="T1332" s="21">
        <v>155.72</v>
      </c>
      <c r="V1332" s="1">
        <v>155.02000000000001</v>
      </c>
      <c r="W1332" s="1">
        <v>148.36000000000001</v>
      </c>
      <c r="X1332" s="1">
        <v>142.91</v>
      </c>
      <c r="Y1332" s="1">
        <v>148.04</v>
      </c>
      <c r="Z1332" s="1">
        <v>148</v>
      </c>
      <c r="AA1332" s="1">
        <v>128.06</v>
      </c>
      <c r="AB1332" s="1">
        <v>146.08000000000001</v>
      </c>
      <c r="AE1332" s="1">
        <v>151.61000000000001</v>
      </c>
      <c r="AF1332" s="1">
        <v>166.11</v>
      </c>
      <c r="AW1332" s="1">
        <v>3205.02</v>
      </c>
      <c r="AX1332" s="1">
        <v>177</v>
      </c>
      <c r="AZ1332" s="1">
        <v>3305.18</v>
      </c>
      <c r="BB1332" s="1">
        <v>162.51</v>
      </c>
      <c r="BC1332" s="1">
        <v>160.03</v>
      </c>
      <c r="BD1332" s="1">
        <v>161.1</v>
      </c>
      <c r="BE1332" s="1">
        <v>168.76</v>
      </c>
      <c r="BF1332" s="1">
        <v>174.73</v>
      </c>
      <c r="BG1332" s="1">
        <v>152.63</v>
      </c>
      <c r="BH1332" s="1">
        <v>162.93</v>
      </c>
      <c r="BI1332" s="1">
        <v>144.51</v>
      </c>
      <c r="BJ1332" s="1">
        <v>160.51</v>
      </c>
      <c r="BL1332" s="1">
        <v>144.47</v>
      </c>
      <c r="BN1332" s="1">
        <v>144.4</v>
      </c>
    </row>
    <row r="1333" spans="1:66" x14ac:dyDescent="0.3">
      <c r="A1333" s="2"/>
      <c r="C1333" s="14" t="str">
        <f t="shared" si="21"/>
        <v>202011</v>
      </c>
      <c r="D1333" s="3">
        <v>44160</v>
      </c>
      <c r="E1333" s="21">
        <v>3169.82</v>
      </c>
      <c r="F1333" s="21">
        <v>3180.36</v>
      </c>
      <c r="G1333" s="21">
        <v>3154.31</v>
      </c>
      <c r="H1333" s="21">
        <v>2733.46</v>
      </c>
      <c r="I1333" s="21">
        <v>2625.44</v>
      </c>
      <c r="J1333" s="21">
        <v>2660.98</v>
      </c>
      <c r="K1333" s="21">
        <v>2688.42</v>
      </c>
      <c r="L1333" s="21">
        <v>2404.1999999999998</v>
      </c>
      <c r="M1333" s="21"/>
      <c r="N1333" s="21">
        <v>2370.13</v>
      </c>
      <c r="O1333" s="21">
        <v>2721.52</v>
      </c>
      <c r="P1333" s="21">
        <v>2620.02</v>
      </c>
      <c r="Q1333" s="21">
        <v>6460.58</v>
      </c>
      <c r="R1333" s="20">
        <v>129.11000000000001</v>
      </c>
      <c r="S1333" s="20"/>
      <c r="T1333" s="21">
        <v>157.51</v>
      </c>
      <c r="V1333" s="1">
        <v>155.02000000000001</v>
      </c>
      <c r="W1333" s="1">
        <v>149.94</v>
      </c>
      <c r="X1333" s="1">
        <v>146.05000000000001</v>
      </c>
      <c r="Y1333" s="1">
        <v>148.33000000000001</v>
      </c>
      <c r="Z1333" s="1">
        <v>148.12</v>
      </c>
      <c r="AA1333" s="1">
        <v>127.85</v>
      </c>
      <c r="AB1333" s="1">
        <v>147.08000000000001</v>
      </c>
      <c r="AE1333" s="1">
        <v>150.41999999999999</v>
      </c>
      <c r="AF1333" s="1">
        <v>166.24</v>
      </c>
      <c r="AW1333" s="1">
        <v>3192.5</v>
      </c>
      <c r="AX1333" s="1">
        <v>169.65</v>
      </c>
      <c r="BB1333" s="1">
        <v>162.69999999999999</v>
      </c>
      <c r="BC1333" s="1">
        <v>163.44999999999999</v>
      </c>
      <c r="BD1333" s="1">
        <v>162.47999999999999</v>
      </c>
      <c r="BE1333" s="1">
        <v>167.69</v>
      </c>
      <c r="BF1333" s="1">
        <v>174.7</v>
      </c>
      <c r="BG1333" s="1">
        <v>153.18</v>
      </c>
      <c r="BI1333" s="1">
        <v>151.04</v>
      </c>
      <c r="BJ1333" s="1">
        <v>163.09</v>
      </c>
      <c r="BL1333" s="1">
        <v>144.63</v>
      </c>
      <c r="BN1333" s="1">
        <v>144.4</v>
      </c>
    </row>
    <row r="1334" spans="1:66" x14ac:dyDescent="0.3">
      <c r="A1334" s="2"/>
      <c r="C1334" s="14" t="str">
        <f t="shared" si="21"/>
        <v>202011</v>
      </c>
      <c r="D1334" s="3">
        <v>44159</v>
      </c>
      <c r="E1334" s="21">
        <v>3011.68</v>
      </c>
      <c r="F1334" s="21">
        <v>3191.33</v>
      </c>
      <c r="G1334" s="21">
        <v>3143.62</v>
      </c>
      <c r="H1334" s="21">
        <v>2792.99</v>
      </c>
      <c r="I1334" s="21">
        <v>2625.44</v>
      </c>
      <c r="J1334" s="21">
        <v>2699.21</v>
      </c>
      <c r="K1334" s="21">
        <v>2669.57</v>
      </c>
      <c r="L1334" s="21">
        <v>2409.85</v>
      </c>
      <c r="M1334" s="21"/>
      <c r="N1334" s="21">
        <v>2355.86</v>
      </c>
      <c r="O1334" s="21">
        <v>2721.27</v>
      </c>
      <c r="P1334" s="21">
        <v>2659.76</v>
      </c>
      <c r="Q1334" s="21">
        <v>7050.28</v>
      </c>
      <c r="R1334" s="20">
        <v>125.87</v>
      </c>
      <c r="S1334" s="20"/>
      <c r="T1334" s="21">
        <v>157.13999999999999</v>
      </c>
      <c r="V1334" s="1">
        <v>155.68</v>
      </c>
      <c r="W1334" s="1">
        <v>148.13999999999999</v>
      </c>
      <c r="X1334" s="1">
        <v>146.79</v>
      </c>
      <c r="Y1334" s="1">
        <v>148.77000000000001</v>
      </c>
      <c r="Z1334" s="1">
        <v>148.66999999999999</v>
      </c>
      <c r="AA1334" s="1">
        <v>127.85</v>
      </c>
      <c r="AB1334" s="1">
        <v>148.69</v>
      </c>
      <c r="AC1334" s="1">
        <v>134.32</v>
      </c>
      <c r="AE1334" s="1">
        <v>153.37</v>
      </c>
      <c r="AF1334" s="1">
        <v>166.36</v>
      </c>
      <c r="AW1334" s="1">
        <v>3114.88</v>
      </c>
      <c r="AX1334" s="1">
        <v>173.48</v>
      </c>
      <c r="BB1334" s="1">
        <v>163.68</v>
      </c>
      <c r="BC1334" s="1">
        <v>162.86000000000001</v>
      </c>
      <c r="BD1334" s="1">
        <v>161.88999999999999</v>
      </c>
      <c r="BE1334" s="1">
        <v>168.07</v>
      </c>
      <c r="BF1334" s="1">
        <v>173.66</v>
      </c>
      <c r="BG1334" s="1">
        <v>156.55000000000001</v>
      </c>
      <c r="BI1334" s="1">
        <v>150.29</v>
      </c>
      <c r="BJ1334" s="1">
        <v>163.30000000000001</v>
      </c>
      <c r="BL1334" s="1">
        <v>144.97</v>
      </c>
      <c r="BN1334" s="1">
        <v>145.07</v>
      </c>
    </row>
    <row r="1335" spans="1:66" x14ac:dyDescent="0.3">
      <c r="A1335" s="2"/>
      <c r="C1335" s="14" t="str">
        <f t="shared" si="21"/>
        <v>202011</v>
      </c>
      <c r="D1335" s="3">
        <v>44158</v>
      </c>
      <c r="E1335" s="21">
        <v>3028.13</v>
      </c>
      <c r="F1335" s="21">
        <v>3178.41</v>
      </c>
      <c r="G1335" s="21">
        <v>3155.96</v>
      </c>
      <c r="H1335" s="21">
        <v>2819.92</v>
      </c>
      <c r="I1335" s="21">
        <v>2632.02</v>
      </c>
      <c r="J1335" s="21">
        <v>2733.09</v>
      </c>
      <c r="K1335" s="21">
        <v>2671.12</v>
      </c>
      <c r="L1335" s="21"/>
      <c r="M1335" s="21"/>
      <c r="N1335" s="21">
        <v>2429.0300000000002</v>
      </c>
      <c r="O1335" s="21">
        <v>2735.3</v>
      </c>
      <c r="P1335" s="21">
        <v>2666.41</v>
      </c>
      <c r="Q1335" s="21">
        <v>6756.01</v>
      </c>
      <c r="R1335" s="20">
        <v>125.87</v>
      </c>
      <c r="S1335" s="20"/>
      <c r="T1335" s="21">
        <v>157.88</v>
      </c>
      <c r="V1335" s="1">
        <v>155.68</v>
      </c>
      <c r="W1335" s="1">
        <v>149.27000000000001</v>
      </c>
      <c r="X1335" s="1">
        <v>149.97999999999999</v>
      </c>
      <c r="Y1335" s="1">
        <v>148.86000000000001</v>
      </c>
      <c r="Z1335" s="1">
        <v>148.72999999999999</v>
      </c>
      <c r="AA1335" s="1">
        <v>128.06</v>
      </c>
      <c r="AB1335" s="1">
        <v>150.81</v>
      </c>
      <c r="AC1335" s="1">
        <v>133.66</v>
      </c>
      <c r="AE1335" s="1">
        <v>155.5</v>
      </c>
      <c r="AF1335" s="1">
        <v>168.44</v>
      </c>
      <c r="AG1335" s="1">
        <v>165.89</v>
      </c>
      <c r="AW1335" s="1">
        <v>2988.02</v>
      </c>
      <c r="AX1335" s="1">
        <v>174.03</v>
      </c>
      <c r="AZ1335" s="1">
        <v>3705.81</v>
      </c>
      <c r="BB1335" s="1">
        <v>162.16999999999999</v>
      </c>
      <c r="BC1335" s="1">
        <v>164.39</v>
      </c>
      <c r="BD1335" s="1">
        <v>164.74</v>
      </c>
      <c r="BE1335" s="1">
        <v>166.8</v>
      </c>
      <c r="BF1335" s="1">
        <v>173.62</v>
      </c>
      <c r="BG1335" s="1">
        <v>156.09</v>
      </c>
      <c r="BI1335" s="1">
        <v>150.47999999999999</v>
      </c>
      <c r="BJ1335" s="1">
        <v>163.30000000000001</v>
      </c>
      <c r="BL1335" s="1">
        <v>144.03</v>
      </c>
      <c r="BN1335" s="1">
        <v>144.57</v>
      </c>
    </row>
    <row r="1336" spans="1:66" x14ac:dyDescent="0.3">
      <c r="A1336" s="2"/>
      <c r="C1336" s="14" t="str">
        <f t="shared" si="21"/>
        <v>202011</v>
      </c>
      <c r="D1336" s="3">
        <v>44155</v>
      </c>
      <c r="E1336" s="21">
        <v>3207.78</v>
      </c>
      <c r="F1336" s="21">
        <v>3191.33</v>
      </c>
      <c r="G1336" s="21">
        <v>3131.28</v>
      </c>
      <c r="H1336" s="21">
        <v>2839.75</v>
      </c>
      <c r="I1336" s="21">
        <v>2632.02</v>
      </c>
      <c r="J1336" s="21">
        <v>2730.9</v>
      </c>
      <c r="K1336" s="21">
        <v>2674.44</v>
      </c>
      <c r="L1336" s="21"/>
      <c r="M1336" s="21"/>
      <c r="N1336" s="21">
        <v>2456.62</v>
      </c>
      <c r="O1336" s="21">
        <v>2735.3</v>
      </c>
      <c r="P1336" s="21">
        <v>2668.08</v>
      </c>
      <c r="Q1336" s="21">
        <v>6756.01</v>
      </c>
      <c r="R1336" s="20">
        <v>123.74</v>
      </c>
      <c r="S1336" s="20"/>
      <c r="T1336" s="21">
        <v>159.84</v>
      </c>
      <c r="V1336" s="1">
        <v>154</v>
      </c>
      <c r="W1336" s="1">
        <v>148.71</v>
      </c>
      <c r="X1336" s="1">
        <v>155.4</v>
      </c>
      <c r="Y1336" s="1">
        <v>148.38999999999999</v>
      </c>
      <c r="Z1336" s="1">
        <v>148.5</v>
      </c>
      <c r="AA1336" s="1">
        <v>126.55</v>
      </c>
      <c r="AB1336" s="1">
        <v>157.77000000000001</v>
      </c>
      <c r="AC1336" s="1">
        <v>131.69</v>
      </c>
      <c r="AE1336" s="1">
        <v>159.87</v>
      </c>
      <c r="AG1336" s="1">
        <v>169.65</v>
      </c>
      <c r="AW1336" s="1">
        <v>2988.02</v>
      </c>
      <c r="AX1336" s="1">
        <v>169.44</v>
      </c>
      <c r="AZ1336" s="1">
        <v>3705.81</v>
      </c>
      <c r="BB1336" s="1">
        <v>163.56</v>
      </c>
      <c r="BC1336" s="1">
        <v>165.17</v>
      </c>
      <c r="BD1336" s="1">
        <v>164.86</v>
      </c>
      <c r="BE1336" s="1">
        <v>165.95</v>
      </c>
      <c r="BF1336" s="1">
        <v>175.36</v>
      </c>
      <c r="BG1336" s="1">
        <v>163.43</v>
      </c>
      <c r="BH1336" s="1">
        <v>155.34</v>
      </c>
      <c r="BI1336" s="1">
        <v>158.07</v>
      </c>
      <c r="BJ1336" s="1">
        <v>171.15</v>
      </c>
      <c r="BL1336" s="1">
        <v>144.13</v>
      </c>
      <c r="BN1336" s="1">
        <v>144.22999999999999</v>
      </c>
    </row>
    <row r="1337" spans="1:66" x14ac:dyDescent="0.3">
      <c r="A1337" s="2"/>
      <c r="C1337" s="14" t="str">
        <f t="shared" si="21"/>
        <v>202011</v>
      </c>
      <c r="D1337" s="3">
        <v>44154</v>
      </c>
      <c r="E1337" s="21">
        <v>3217.65</v>
      </c>
      <c r="F1337" s="21">
        <v>3163.36</v>
      </c>
      <c r="G1337" s="21">
        <v>3158.49</v>
      </c>
      <c r="H1337" s="21">
        <v>2812.54</v>
      </c>
      <c r="I1337" s="21">
        <v>2632.02</v>
      </c>
      <c r="J1337" s="21">
        <v>2730.9</v>
      </c>
      <c r="K1337" s="21">
        <v>2685.86</v>
      </c>
      <c r="L1337" s="21"/>
      <c r="M1337" s="21"/>
      <c r="N1337" s="21">
        <v>2449.54</v>
      </c>
      <c r="O1337" s="21">
        <v>2735.3</v>
      </c>
      <c r="P1337" s="21">
        <v>2666.41</v>
      </c>
      <c r="Q1337" s="21">
        <v>6768.35</v>
      </c>
      <c r="R1337" s="20">
        <v>123.21</v>
      </c>
      <c r="S1337" s="20"/>
      <c r="T1337" s="21">
        <v>161</v>
      </c>
      <c r="V1337" s="1">
        <v>155.68</v>
      </c>
      <c r="W1337" s="1">
        <v>147.72999999999999</v>
      </c>
      <c r="X1337" s="1">
        <v>159.44999999999999</v>
      </c>
      <c r="Y1337" s="1">
        <v>148.04</v>
      </c>
      <c r="Z1337" s="1">
        <v>148</v>
      </c>
      <c r="AA1337" s="1">
        <v>126.41</v>
      </c>
      <c r="AB1337" s="1">
        <v>160.62</v>
      </c>
      <c r="AC1337" s="1">
        <v>130.77000000000001</v>
      </c>
      <c r="AE1337" s="1">
        <v>164.08</v>
      </c>
      <c r="AG1337" s="1">
        <v>169.72</v>
      </c>
      <c r="AW1337" s="1">
        <v>2979.67</v>
      </c>
      <c r="AX1337" s="1">
        <v>166.96</v>
      </c>
      <c r="AZ1337" s="1">
        <v>3705.81</v>
      </c>
      <c r="BB1337" s="1">
        <v>162.75</v>
      </c>
      <c r="BC1337" s="1">
        <v>165.29</v>
      </c>
      <c r="BD1337" s="1">
        <v>165.28</v>
      </c>
      <c r="BE1337" s="1">
        <v>178.14</v>
      </c>
      <c r="BF1337" s="1">
        <v>175.33</v>
      </c>
      <c r="BG1337" s="1">
        <v>163.69</v>
      </c>
      <c r="BH1337" s="1">
        <v>156.83000000000001</v>
      </c>
      <c r="BI1337" s="1">
        <v>158.46</v>
      </c>
      <c r="BJ1337" s="1">
        <v>171.74</v>
      </c>
      <c r="BL1337" s="1">
        <v>143.97</v>
      </c>
      <c r="BN1337" s="1">
        <v>143.9</v>
      </c>
    </row>
    <row r="1338" spans="1:66" x14ac:dyDescent="0.3">
      <c r="A1338" s="2"/>
      <c r="C1338" s="14" t="str">
        <f t="shared" si="21"/>
        <v>202011</v>
      </c>
      <c r="D1338" s="3">
        <v>44153</v>
      </c>
      <c r="E1338" s="21">
        <v>3184.75</v>
      </c>
      <c r="F1338" s="21">
        <v>3090.09</v>
      </c>
      <c r="G1338" s="21">
        <v>3122.89</v>
      </c>
      <c r="H1338" s="21">
        <v>2861.99</v>
      </c>
      <c r="I1338" s="21">
        <v>2632.02</v>
      </c>
      <c r="J1338" s="21">
        <v>2710.74</v>
      </c>
      <c r="K1338" s="21">
        <v>2689.84</v>
      </c>
      <c r="L1338" s="21">
        <v>2567.2800000000002</v>
      </c>
      <c r="M1338" s="21">
        <v>2552.58</v>
      </c>
      <c r="N1338" s="21">
        <v>2499.92</v>
      </c>
      <c r="O1338" s="21">
        <v>2718.4</v>
      </c>
      <c r="P1338" s="21">
        <v>2674.7</v>
      </c>
      <c r="Q1338" s="21">
        <v>6681.99</v>
      </c>
      <c r="R1338" s="20">
        <v>128.54</v>
      </c>
      <c r="S1338" s="20"/>
      <c r="T1338" s="21">
        <v>162.22999999999999</v>
      </c>
      <c r="V1338" s="1">
        <v>155.62</v>
      </c>
      <c r="W1338" s="1">
        <v>148.13999999999999</v>
      </c>
      <c r="X1338" s="1">
        <v>160.99</v>
      </c>
      <c r="Y1338" s="1">
        <v>148.13</v>
      </c>
      <c r="Z1338" s="1">
        <v>148</v>
      </c>
      <c r="AA1338" s="1">
        <v>128.55000000000001</v>
      </c>
      <c r="AB1338" s="1">
        <v>161.76</v>
      </c>
      <c r="AC1338" s="1">
        <v>136.66</v>
      </c>
      <c r="AE1338" s="1">
        <v>165.38</v>
      </c>
      <c r="AG1338" s="1">
        <v>169.98</v>
      </c>
      <c r="AW1338" s="1">
        <v>2804.4</v>
      </c>
      <c r="AX1338" s="1">
        <v>166.12</v>
      </c>
      <c r="AZ1338" s="1">
        <v>3705.81</v>
      </c>
      <c r="BB1338" s="1">
        <v>162.13999999999999</v>
      </c>
      <c r="BC1338" s="1">
        <v>167.18</v>
      </c>
      <c r="BD1338" s="1">
        <v>164.75</v>
      </c>
      <c r="BE1338" s="1">
        <v>180.68</v>
      </c>
      <c r="BF1338" s="1">
        <v>175.69</v>
      </c>
      <c r="BG1338" s="1">
        <v>165.81</v>
      </c>
      <c r="BH1338" s="1">
        <v>161.28</v>
      </c>
      <c r="BI1338" s="1">
        <v>159.47</v>
      </c>
      <c r="BJ1338" s="1">
        <v>168.47</v>
      </c>
      <c r="BL1338" s="1">
        <v>144.47</v>
      </c>
      <c r="BN1338" s="1">
        <v>144.28</v>
      </c>
    </row>
    <row r="1339" spans="1:66" x14ac:dyDescent="0.3">
      <c r="A1339" s="2"/>
      <c r="C1339" s="14" t="str">
        <f t="shared" si="21"/>
        <v>202011</v>
      </c>
      <c r="D1339" s="3">
        <v>44152</v>
      </c>
      <c r="E1339" s="21">
        <v>3033.39</v>
      </c>
      <c r="F1339" s="21">
        <v>3068.7</v>
      </c>
      <c r="G1339" s="21">
        <v>3062.19</v>
      </c>
      <c r="H1339" s="21">
        <v>2904.35</v>
      </c>
      <c r="I1339" s="21">
        <v>2730.72</v>
      </c>
      <c r="J1339" s="21">
        <v>2701.98</v>
      </c>
      <c r="K1339" s="21">
        <v>2681.87</v>
      </c>
      <c r="L1339" s="21">
        <v>2503.85</v>
      </c>
      <c r="M1339" s="21">
        <v>2540.52</v>
      </c>
      <c r="N1339" s="21">
        <v>2480.14</v>
      </c>
      <c r="O1339" s="21">
        <v>2686.53</v>
      </c>
      <c r="P1339" s="21">
        <v>2674.7</v>
      </c>
      <c r="Q1339" s="21">
        <v>6878.48</v>
      </c>
      <c r="R1339" s="20">
        <v>128.54</v>
      </c>
      <c r="S1339" s="20"/>
      <c r="T1339" s="21">
        <v>157.88999999999999</v>
      </c>
      <c r="V1339" s="1">
        <v>155.68</v>
      </c>
      <c r="W1339" s="1">
        <v>147.63999999999999</v>
      </c>
      <c r="X1339" s="1">
        <v>161.13999999999999</v>
      </c>
      <c r="Y1339" s="1">
        <v>148.41</v>
      </c>
      <c r="Z1339" s="1">
        <v>148.5</v>
      </c>
      <c r="AA1339" s="1">
        <v>129.05000000000001</v>
      </c>
      <c r="AB1339" s="1">
        <v>161.9</v>
      </c>
      <c r="AC1339" s="1">
        <v>137.41999999999999</v>
      </c>
      <c r="AE1339" s="1">
        <v>168</v>
      </c>
      <c r="AG1339" s="1">
        <v>171.11</v>
      </c>
      <c r="AX1339" s="1">
        <v>169.39</v>
      </c>
      <c r="AZ1339" s="1">
        <v>3705.81</v>
      </c>
      <c r="BB1339" s="1">
        <v>160.72999999999999</v>
      </c>
      <c r="BC1339" s="1">
        <v>168.21</v>
      </c>
      <c r="BD1339" s="1">
        <v>165.12</v>
      </c>
      <c r="BE1339" s="1">
        <v>180.04</v>
      </c>
      <c r="BF1339" s="1">
        <v>175.67</v>
      </c>
      <c r="BG1339" s="1">
        <v>169.74</v>
      </c>
      <c r="BH1339" s="1">
        <v>164.68</v>
      </c>
      <c r="BI1339" s="1">
        <v>159.47</v>
      </c>
      <c r="BJ1339" s="1">
        <v>169.95</v>
      </c>
      <c r="BL1339" s="1">
        <v>144.30000000000001</v>
      </c>
      <c r="BN1339" s="1">
        <v>144.22999999999999</v>
      </c>
    </row>
    <row r="1340" spans="1:66" x14ac:dyDescent="0.3">
      <c r="A1340" s="2"/>
      <c r="C1340" s="14" t="str">
        <f t="shared" si="21"/>
        <v>202011</v>
      </c>
      <c r="D1340" s="3">
        <v>44151</v>
      </c>
      <c r="E1340" s="21">
        <v>2891.88</v>
      </c>
      <c r="F1340" s="21">
        <v>3051.5</v>
      </c>
      <c r="G1340" s="21">
        <v>3044.92</v>
      </c>
      <c r="H1340" s="21">
        <v>2836.73</v>
      </c>
      <c r="I1340" s="21">
        <v>2730.72</v>
      </c>
      <c r="J1340" s="21">
        <v>2690.52</v>
      </c>
      <c r="K1340" s="21">
        <v>2681.87</v>
      </c>
      <c r="L1340" s="21">
        <v>2313.5700000000002</v>
      </c>
      <c r="M1340" s="21">
        <v>2504.36</v>
      </c>
      <c r="N1340" s="21">
        <v>2395.8200000000002</v>
      </c>
      <c r="O1340" s="21">
        <v>2676.22</v>
      </c>
      <c r="P1340" s="21"/>
      <c r="Q1340" s="21">
        <v>7143.56</v>
      </c>
      <c r="R1340" s="20">
        <v>127.88</v>
      </c>
      <c r="S1340" s="20"/>
      <c r="T1340" s="21">
        <v>156.87</v>
      </c>
      <c r="V1340" s="1">
        <v>155.71</v>
      </c>
      <c r="W1340" s="1">
        <v>148.16999999999999</v>
      </c>
      <c r="X1340" s="1">
        <v>162.44</v>
      </c>
      <c r="Y1340" s="1">
        <v>148.38999999999999</v>
      </c>
      <c r="Z1340" s="1">
        <v>148.47999999999999</v>
      </c>
      <c r="AA1340" s="1">
        <v>128.41</v>
      </c>
      <c r="AB1340" s="1">
        <v>162.76</v>
      </c>
      <c r="AE1340" s="1">
        <v>170.27</v>
      </c>
      <c r="AF1340" s="1">
        <v>166.79</v>
      </c>
      <c r="AG1340" s="1">
        <v>170.09</v>
      </c>
      <c r="AN1340" s="1">
        <v>3856.04</v>
      </c>
      <c r="AW1340" s="1">
        <v>2433.81</v>
      </c>
      <c r="AX1340" s="1">
        <v>170.31</v>
      </c>
      <c r="BB1340" s="1">
        <v>164.06</v>
      </c>
      <c r="BC1340" s="1">
        <v>170.19</v>
      </c>
      <c r="BD1340" s="1">
        <v>165.5</v>
      </c>
      <c r="BE1340" s="1">
        <v>178.29</v>
      </c>
      <c r="BF1340" s="1">
        <v>175.65</v>
      </c>
      <c r="BG1340" s="1">
        <v>172.44</v>
      </c>
      <c r="BI1340" s="1">
        <v>159.47</v>
      </c>
      <c r="BJ1340" s="1">
        <v>169.52</v>
      </c>
      <c r="BL1340" s="1">
        <v>144.30000000000001</v>
      </c>
      <c r="BN1340" s="1">
        <v>144.22999999999999</v>
      </c>
    </row>
    <row r="1341" spans="1:66" x14ac:dyDescent="0.3">
      <c r="A1341" s="2"/>
      <c r="C1341" s="14" t="str">
        <f t="shared" si="21"/>
        <v>202011</v>
      </c>
      <c r="D1341" s="3">
        <v>44148</v>
      </c>
      <c r="E1341" s="21">
        <v>2903.74</v>
      </c>
      <c r="F1341" s="21">
        <v>3002.78</v>
      </c>
      <c r="G1341" s="21">
        <v>2994.58</v>
      </c>
      <c r="H1341" s="21">
        <v>2793</v>
      </c>
      <c r="I1341" s="21">
        <v>2730.72</v>
      </c>
      <c r="J1341" s="21">
        <v>2660.48</v>
      </c>
      <c r="K1341" s="21">
        <v>2684.81</v>
      </c>
      <c r="L1341" s="21">
        <v>2479.4299999999998</v>
      </c>
      <c r="M1341" s="21">
        <v>2504.36</v>
      </c>
      <c r="N1341" s="21">
        <v>2379.12</v>
      </c>
      <c r="O1341" s="21">
        <v>2725.55</v>
      </c>
      <c r="P1341" s="21"/>
      <c r="Q1341" s="21">
        <v>6739.64</v>
      </c>
      <c r="R1341" s="20">
        <v>127.88</v>
      </c>
      <c r="S1341" s="20">
        <v>148.49</v>
      </c>
      <c r="T1341" s="21">
        <v>161.75</v>
      </c>
      <c r="V1341" s="1">
        <v>155.21</v>
      </c>
      <c r="W1341" s="1">
        <v>146.54</v>
      </c>
      <c r="X1341" s="1">
        <v>162.31</v>
      </c>
      <c r="Y1341" s="1">
        <v>147.63</v>
      </c>
      <c r="Z1341" s="1">
        <v>147.80000000000001</v>
      </c>
      <c r="AA1341" s="1">
        <v>127.79</v>
      </c>
      <c r="AB1341" s="1">
        <v>162.9</v>
      </c>
      <c r="AE1341" s="1">
        <v>169.4</v>
      </c>
      <c r="AF1341" s="1">
        <v>166.73</v>
      </c>
      <c r="AG1341" s="1">
        <v>170</v>
      </c>
      <c r="AN1341" s="1">
        <v>3856.04</v>
      </c>
      <c r="AW1341" s="1">
        <v>2433.81</v>
      </c>
      <c r="AX1341" s="1">
        <v>170.31</v>
      </c>
      <c r="AZ1341" s="1">
        <v>3205.02</v>
      </c>
      <c r="BA1341" s="1">
        <v>181.54</v>
      </c>
      <c r="BB1341" s="1">
        <v>164.82</v>
      </c>
      <c r="BC1341" s="1">
        <v>168.34</v>
      </c>
      <c r="BD1341" s="1">
        <v>165.32</v>
      </c>
      <c r="BE1341" s="1">
        <v>179.82</v>
      </c>
      <c r="BF1341" s="1">
        <v>174.2</v>
      </c>
      <c r="BG1341" s="1">
        <v>169.72</v>
      </c>
      <c r="BI1341" s="1">
        <v>159.47</v>
      </c>
      <c r="BJ1341" s="1">
        <v>169.95</v>
      </c>
      <c r="BL1341" s="1">
        <v>143.63</v>
      </c>
      <c r="BN1341" s="1">
        <v>143.9</v>
      </c>
    </row>
    <row r="1342" spans="1:66" x14ac:dyDescent="0.3">
      <c r="A1342" s="2"/>
      <c r="C1342" s="14" t="str">
        <f t="shared" si="21"/>
        <v>202011</v>
      </c>
      <c r="D1342" s="3">
        <v>44147</v>
      </c>
      <c r="E1342" s="21">
        <v>2892.85</v>
      </c>
      <c r="F1342" s="21">
        <v>2961.02</v>
      </c>
      <c r="G1342" s="21">
        <v>2978.79</v>
      </c>
      <c r="H1342" s="21">
        <v>2704.13</v>
      </c>
      <c r="I1342" s="21">
        <v>2664.92</v>
      </c>
      <c r="J1342" s="21">
        <v>2677.09</v>
      </c>
      <c r="K1342" s="21">
        <v>2681.87</v>
      </c>
      <c r="L1342" s="21">
        <v>2479.4299999999998</v>
      </c>
      <c r="M1342" s="21">
        <v>2470.91</v>
      </c>
      <c r="N1342" s="21">
        <v>2366.15</v>
      </c>
      <c r="O1342" s="21">
        <v>2725.55</v>
      </c>
      <c r="P1342" s="21">
        <v>2667.59</v>
      </c>
      <c r="Q1342" s="21">
        <v>6996.37</v>
      </c>
      <c r="R1342" s="20">
        <v>127.88</v>
      </c>
      <c r="S1342" s="20">
        <v>154.97</v>
      </c>
      <c r="T1342" s="21">
        <v>162.52000000000001</v>
      </c>
      <c r="V1342" s="1">
        <v>155.71</v>
      </c>
      <c r="W1342" s="1">
        <v>144.79</v>
      </c>
      <c r="X1342" s="1">
        <v>162.31</v>
      </c>
      <c r="Y1342" s="1">
        <v>146.91999999999999</v>
      </c>
      <c r="Z1342" s="1">
        <v>147</v>
      </c>
      <c r="AA1342" s="1">
        <v>127.16</v>
      </c>
      <c r="AB1342" s="1">
        <v>162.77000000000001</v>
      </c>
      <c r="AC1342" s="1">
        <v>135.33000000000001</v>
      </c>
      <c r="AE1342" s="1">
        <v>169.85</v>
      </c>
      <c r="AF1342" s="1">
        <v>166.45</v>
      </c>
      <c r="AG1342" s="1">
        <v>171.11</v>
      </c>
      <c r="AN1342" s="1">
        <v>3856.04</v>
      </c>
      <c r="AW1342" s="1">
        <v>2433.81</v>
      </c>
      <c r="AX1342" s="1">
        <v>169.21</v>
      </c>
      <c r="AZ1342" s="1">
        <v>3205.02</v>
      </c>
      <c r="BA1342" s="1">
        <v>178.49</v>
      </c>
      <c r="BB1342" s="1">
        <v>162.85</v>
      </c>
      <c r="BC1342" s="1">
        <v>170.54</v>
      </c>
      <c r="BD1342" s="1">
        <v>165.27</v>
      </c>
      <c r="BE1342" s="1">
        <v>179.48</v>
      </c>
      <c r="BF1342" s="1">
        <v>177.38</v>
      </c>
      <c r="BG1342" s="1">
        <v>171</v>
      </c>
      <c r="BI1342" s="1">
        <v>159.07</v>
      </c>
      <c r="BJ1342" s="1">
        <v>169.95</v>
      </c>
      <c r="BL1342" s="1">
        <v>143.30000000000001</v>
      </c>
      <c r="BN1342" s="1">
        <v>144.22999999999999</v>
      </c>
    </row>
    <row r="1343" spans="1:66" x14ac:dyDescent="0.3">
      <c r="A1343" s="2"/>
      <c r="C1343" s="14" t="str">
        <f t="shared" si="21"/>
        <v>202011</v>
      </c>
      <c r="D1343" s="3">
        <v>44146</v>
      </c>
      <c r="E1343" s="21"/>
      <c r="F1343" s="21">
        <v>2961.02</v>
      </c>
      <c r="G1343" s="21">
        <v>2961.02</v>
      </c>
      <c r="H1343" s="21">
        <v>2793.01</v>
      </c>
      <c r="I1343" s="21">
        <v>2647.65</v>
      </c>
      <c r="J1343" s="21">
        <v>2706.67</v>
      </c>
      <c r="K1343" s="21">
        <v>2681.87</v>
      </c>
      <c r="L1343" s="21">
        <v>2509.21</v>
      </c>
      <c r="M1343" s="21"/>
      <c r="N1343" s="21">
        <v>2365.5100000000002</v>
      </c>
      <c r="O1343" s="21">
        <v>2702.61</v>
      </c>
      <c r="P1343" s="21">
        <v>2647.84</v>
      </c>
      <c r="Q1343" s="21">
        <v>6959.64</v>
      </c>
      <c r="R1343" s="20">
        <v>127.88</v>
      </c>
      <c r="S1343" s="20">
        <v>155.11000000000001</v>
      </c>
      <c r="T1343" s="21">
        <v>161.84</v>
      </c>
      <c r="V1343" s="1">
        <v>155.46</v>
      </c>
      <c r="W1343" s="1">
        <v>145.27000000000001</v>
      </c>
      <c r="X1343" s="1">
        <v>162.26</v>
      </c>
      <c r="Y1343" s="1">
        <v>146.91999999999999</v>
      </c>
      <c r="Z1343" s="1">
        <v>147</v>
      </c>
      <c r="AA1343" s="1">
        <v>127.15</v>
      </c>
      <c r="AB1343" s="1">
        <v>163.06</v>
      </c>
      <c r="AC1343" s="1">
        <v>133.46</v>
      </c>
      <c r="AE1343" s="1">
        <v>169.99</v>
      </c>
      <c r="AF1343" s="1">
        <v>165.03</v>
      </c>
      <c r="AG1343" s="1">
        <v>174.46</v>
      </c>
      <c r="AN1343" s="1">
        <v>3856.04</v>
      </c>
      <c r="AW1343" s="1">
        <v>2433.81</v>
      </c>
      <c r="AX1343" s="1">
        <v>167.01</v>
      </c>
      <c r="AZ1343" s="1">
        <v>3205.02</v>
      </c>
      <c r="BA1343" s="1">
        <v>175.97</v>
      </c>
      <c r="BB1343" s="1">
        <v>163.34</v>
      </c>
      <c r="BC1343" s="1">
        <v>170.56</v>
      </c>
      <c r="BD1343" s="1">
        <v>164.72</v>
      </c>
      <c r="BE1343" s="1">
        <v>179.07</v>
      </c>
      <c r="BF1343" s="1">
        <v>179.49</v>
      </c>
      <c r="BG1343" s="1">
        <v>170.68</v>
      </c>
      <c r="BH1343" s="1">
        <v>141.97</v>
      </c>
      <c r="BI1343" s="1">
        <v>160.27000000000001</v>
      </c>
      <c r="BJ1343" s="1">
        <v>169.95</v>
      </c>
      <c r="BL1343" s="1">
        <v>143.30000000000001</v>
      </c>
      <c r="BN1343" s="1">
        <v>143.22999999999999</v>
      </c>
    </row>
    <row r="1344" spans="1:66" x14ac:dyDescent="0.3">
      <c r="A1344" s="2"/>
      <c r="C1344" s="14" t="str">
        <f t="shared" si="21"/>
        <v>202011</v>
      </c>
      <c r="D1344" s="3">
        <v>44145</v>
      </c>
      <c r="E1344" s="21"/>
      <c r="F1344" s="21">
        <v>2961.02</v>
      </c>
      <c r="G1344" s="21">
        <v>2961.02</v>
      </c>
      <c r="H1344" s="21">
        <v>2761.24</v>
      </c>
      <c r="I1344" s="21">
        <v>2642.71</v>
      </c>
      <c r="J1344" s="21">
        <v>2743.33</v>
      </c>
      <c r="K1344" s="21">
        <v>2596.65</v>
      </c>
      <c r="L1344" s="21">
        <v>2462.91</v>
      </c>
      <c r="M1344" s="21"/>
      <c r="N1344" s="21">
        <v>2393.31</v>
      </c>
      <c r="O1344" s="21">
        <v>2755</v>
      </c>
      <c r="P1344" s="21">
        <v>2588.6</v>
      </c>
      <c r="Q1344" s="21">
        <v>6979.38</v>
      </c>
      <c r="R1344" s="20">
        <v>127.55</v>
      </c>
      <c r="S1344" s="20">
        <v>155.54</v>
      </c>
      <c r="T1344" s="21">
        <v>158.65</v>
      </c>
      <c r="V1344" s="1">
        <v>153.72</v>
      </c>
      <c r="W1344" s="1">
        <v>144.33000000000001</v>
      </c>
      <c r="X1344" s="1">
        <v>161.41</v>
      </c>
      <c r="Y1344" s="1">
        <v>146.04</v>
      </c>
      <c r="Z1344" s="1">
        <v>146</v>
      </c>
      <c r="AA1344" s="1">
        <v>125.26</v>
      </c>
      <c r="AB1344" s="1">
        <v>162.27000000000001</v>
      </c>
      <c r="AC1344" s="1">
        <v>133.91</v>
      </c>
      <c r="AE1344" s="1">
        <v>169.48</v>
      </c>
      <c r="AF1344" s="1">
        <v>168.25</v>
      </c>
      <c r="AG1344" s="1">
        <v>172.3</v>
      </c>
      <c r="AN1344" s="1">
        <v>3856.04</v>
      </c>
      <c r="AW1344" s="1">
        <v>2433.81</v>
      </c>
      <c r="AX1344" s="1">
        <v>167.39</v>
      </c>
      <c r="AZ1344" s="1">
        <v>3205.02</v>
      </c>
      <c r="BA1344" s="1">
        <v>171.73</v>
      </c>
      <c r="BB1344" s="1">
        <v>159.78</v>
      </c>
      <c r="BC1344" s="1">
        <v>176.17</v>
      </c>
      <c r="BD1344" s="1">
        <v>164.51</v>
      </c>
      <c r="BE1344" s="1">
        <v>177.95</v>
      </c>
      <c r="BF1344" s="1">
        <v>179.18</v>
      </c>
      <c r="BG1344" s="1">
        <v>170.41</v>
      </c>
      <c r="BH1344" s="1">
        <v>150.29</v>
      </c>
      <c r="BI1344" s="1">
        <v>157.87</v>
      </c>
      <c r="BJ1344" s="1">
        <v>172.17</v>
      </c>
      <c r="BL1344" s="1">
        <v>142.30000000000001</v>
      </c>
      <c r="BN1344" s="1">
        <v>142.22999999999999</v>
      </c>
    </row>
    <row r="1345" spans="1:66" x14ac:dyDescent="0.3">
      <c r="A1345" s="2"/>
      <c r="C1345" s="14" t="str">
        <f t="shared" si="21"/>
        <v>202011</v>
      </c>
      <c r="D1345" s="3">
        <v>44144</v>
      </c>
      <c r="E1345" s="21">
        <v>2993.92</v>
      </c>
      <c r="F1345" s="21">
        <v>2958.56</v>
      </c>
      <c r="G1345" s="21">
        <v>2980.76</v>
      </c>
      <c r="H1345" s="21">
        <v>2922.06</v>
      </c>
      <c r="I1345" s="21">
        <v>2642.71</v>
      </c>
      <c r="J1345" s="21">
        <v>2649.76</v>
      </c>
      <c r="K1345" s="21">
        <v>2596.65</v>
      </c>
      <c r="L1345" s="21">
        <v>2462.91</v>
      </c>
      <c r="M1345" s="21"/>
      <c r="N1345" s="21">
        <v>2313.65</v>
      </c>
      <c r="O1345" s="21">
        <v>2675.62</v>
      </c>
      <c r="P1345" s="21">
        <v>2585.27</v>
      </c>
      <c r="Q1345" s="21">
        <v>6979.38</v>
      </c>
      <c r="R1345" s="20">
        <v>127.55</v>
      </c>
      <c r="S1345" s="20">
        <v>155.54</v>
      </c>
      <c r="T1345" s="21">
        <v>156.28</v>
      </c>
      <c r="V1345" s="1">
        <v>153.72999999999999</v>
      </c>
      <c r="W1345" s="1">
        <v>147</v>
      </c>
      <c r="X1345" s="1">
        <v>161.51</v>
      </c>
      <c r="Y1345" s="1">
        <v>146.32</v>
      </c>
      <c r="Z1345" s="1">
        <v>146.27000000000001</v>
      </c>
      <c r="AA1345" s="1">
        <v>124.63</v>
      </c>
      <c r="AB1345" s="1">
        <v>162.27000000000001</v>
      </c>
      <c r="AC1345" s="1">
        <v>133.43</v>
      </c>
      <c r="AE1345" s="1">
        <v>169.52</v>
      </c>
      <c r="AF1345" s="1">
        <v>159.65</v>
      </c>
      <c r="AG1345" s="1">
        <v>169.96</v>
      </c>
      <c r="AX1345" s="1">
        <v>164.59</v>
      </c>
      <c r="AZ1345" s="1">
        <v>3205.02</v>
      </c>
      <c r="BA1345" s="1">
        <v>169.8</v>
      </c>
      <c r="BB1345" s="1">
        <v>158.38999999999999</v>
      </c>
      <c r="BC1345" s="1">
        <v>175.49</v>
      </c>
      <c r="BD1345" s="1">
        <v>164.99</v>
      </c>
      <c r="BE1345" s="1">
        <v>174.63</v>
      </c>
      <c r="BF1345" s="1">
        <v>179.07</v>
      </c>
      <c r="BG1345" s="1">
        <v>169.63</v>
      </c>
      <c r="BH1345" s="1">
        <v>151.71</v>
      </c>
      <c r="BI1345" s="1">
        <v>159.47</v>
      </c>
      <c r="BJ1345" s="1">
        <v>168.47</v>
      </c>
      <c r="BL1345" s="1">
        <v>142.30000000000001</v>
      </c>
      <c r="BN1345" s="1">
        <v>142.22999999999999</v>
      </c>
    </row>
    <row r="1346" spans="1:66" x14ac:dyDescent="0.3">
      <c r="A1346" s="2"/>
      <c r="C1346" s="14" t="str">
        <f t="shared" si="21"/>
        <v>202011</v>
      </c>
      <c r="D1346" s="3">
        <v>44141</v>
      </c>
      <c r="E1346" s="21">
        <v>3007.09</v>
      </c>
      <c r="F1346" s="21">
        <v>2958.56</v>
      </c>
      <c r="G1346" s="21">
        <v>2980.76</v>
      </c>
      <c r="H1346" s="21">
        <v>2893.75</v>
      </c>
      <c r="I1346" s="21">
        <v>2637.78</v>
      </c>
      <c r="J1346" s="21">
        <v>2649.76</v>
      </c>
      <c r="K1346" s="21">
        <v>2600.62</v>
      </c>
      <c r="L1346" s="21">
        <v>2482.75</v>
      </c>
      <c r="M1346" s="21"/>
      <c r="N1346" s="21">
        <v>2396.5300000000002</v>
      </c>
      <c r="O1346" s="21">
        <v>2663.22</v>
      </c>
      <c r="P1346" s="21">
        <v>2595.2199999999998</v>
      </c>
      <c r="Q1346" s="21">
        <v>7009.7</v>
      </c>
      <c r="R1346" s="20">
        <v>127.55</v>
      </c>
      <c r="S1346" s="20"/>
      <c r="T1346" s="21">
        <v>150.72</v>
      </c>
      <c r="V1346" s="1">
        <v>149.13999999999999</v>
      </c>
      <c r="W1346" s="1">
        <v>146.18</v>
      </c>
      <c r="X1346" s="1">
        <v>161.38999999999999</v>
      </c>
      <c r="Y1346" s="1">
        <v>147.91</v>
      </c>
      <c r="Z1346" s="1">
        <v>148</v>
      </c>
      <c r="AA1346" s="1">
        <v>124.02</v>
      </c>
      <c r="AB1346" s="1">
        <v>160.9</v>
      </c>
      <c r="AE1346" s="1">
        <v>170.34</v>
      </c>
      <c r="AF1346" s="1">
        <v>162.61000000000001</v>
      </c>
      <c r="AX1346" s="1">
        <v>168.12</v>
      </c>
      <c r="BA1346" s="1">
        <v>172.62</v>
      </c>
      <c r="BB1346" s="1">
        <v>164.18</v>
      </c>
      <c r="BC1346" s="1">
        <v>177</v>
      </c>
      <c r="BD1346" s="1">
        <v>167.56</v>
      </c>
      <c r="BE1346" s="1">
        <v>174.8</v>
      </c>
      <c r="BF1346" s="1">
        <v>179.01</v>
      </c>
      <c r="BG1346" s="1">
        <v>170.13</v>
      </c>
      <c r="BH1346" s="1">
        <v>150.94</v>
      </c>
      <c r="BI1346" s="1">
        <v>159.47</v>
      </c>
      <c r="BJ1346" s="1">
        <v>169.32</v>
      </c>
      <c r="BL1346" s="1">
        <v>144.30000000000001</v>
      </c>
      <c r="BN1346" s="1">
        <v>144.22999999999999</v>
      </c>
    </row>
    <row r="1347" spans="1:66" x14ac:dyDescent="0.3">
      <c r="A1347" s="2"/>
      <c r="C1347" s="14" t="str">
        <f t="shared" si="21"/>
        <v>202011</v>
      </c>
      <c r="D1347" s="3">
        <v>44140</v>
      </c>
      <c r="E1347" s="21">
        <v>2943.14</v>
      </c>
      <c r="F1347" s="21">
        <v>2961.02</v>
      </c>
      <c r="G1347" s="21">
        <v>2965.96</v>
      </c>
      <c r="H1347" s="21">
        <v>2858.01</v>
      </c>
      <c r="I1347" s="21">
        <v>2635.31</v>
      </c>
      <c r="J1347" s="21">
        <v>2659.59</v>
      </c>
      <c r="K1347" s="21">
        <v>2598.63</v>
      </c>
      <c r="L1347" s="21">
        <v>2482.75</v>
      </c>
      <c r="M1347" s="21"/>
      <c r="N1347" s="21">
        <v>2400.2199999999998</v>
      </c>
      <c r="O1347" s="21">
        <v>2719.55</v>
      </c>
      <c r="P1347" s="21">
        <v>2579.4</v>
      </c>
      <c r="Q1347" s="21">
        <v>7013.66</v>
      </c>
      <c r="R1347" s="20">
        <v>122.88</v>
      </c>
      <c r="S1347" s="20">
        <v>161.51</v>
      </c>
      <c r="T1347" s="21">
        <v>149.87</v>
      </c>
      <c r="V1347" s="1">
        <v>155.33000000000001</v>
      </c>
      <c r="W1347" s="1">
        <v>145.08000000000001</v>
      </c>
      <c r="X1347" s="1">
        <v>160.11000000000001</v>
      </c>
      <c r="Y1347" s="1">
        <v>147.91999999999999</v>
      </c>
      <c r="Z1347" s="1">
        <v>148</v>
      </c>
      <c r="AA1347" s="1">
        <v>123.51</v>
      </c>
      <c r="AB1347" s="1">
        <v>160.16</v>
      </c>
      <c r="AC1347" s="1">
        <v>138.09</v>
      </c>
      <c r="AE1347" s="1">
        <v>169.07</v>
      </c>
      <c r="AF1347" s="1">
        <v>163.77000000000001</v>
      </c>
      <c r="AP1347" s="1">
        <v>3480</v>
      </c>
      <c r="AW1347" s="1">
        <v>2979.67</v>
      </c>
      <c r="AX1347" s="1">
        <v>168.19</v>
      </c>
      <c r="BA1347" s="1">
        <v>176.1</v>
      </c>
      <c r="BB1347" s="1">
        <v>164.86</v>
      </c>
      <c r="BC1347" s="1">
        <v>176.94</v>
      </c>
      <c r="BD1347" s="1">
        <v>167.5</v>
      </c>
      <c r="BE1347" s="1">
        <v>174.62</v>
      </c>
      <c r="BF1347" s="1">
        <v>179.77</v>
      </c>
      <c r="BG1347" s="1">
        <v>169.27</v>
      </c>
      <c r="BH1347" s="1">
        <v>151</v>
      </c>
      <c r="BI1347" s="1">
        <v>159.47</v>
      </c>
      <c r="BJ1347" s="1">
        <v>168.47</v>
      </c>
      <c r="BL1347" s="1">
        <v>144.30000000000001</v>
      </c>
      <c r="BN1347" s="1">
        <v>144.22999999999999</v>
      </c>
    </row>
    <row r="1348" spans="1:66" x14ac:dyDescent="0.3">
      <c r="A1348" s="2"/>
      <c r="C1348" s="14" t="str">
        <f t="shared" si="21"/>
        <v>202011</v>
      </c>
      <c r="D1348" s="3">
        <v>44139</v>
      </c>
      <c r="E1348" s="21">
        <v>2885.77</v>
      </c>
      <c r="F1348" s="21">
        <v>2961.02</v>
      </c>
      <c r="G1348" s="21">
        <v>2961.02</v>
      </c>
      <c r="H1348" s="21">
        <v>2894.64</v>
      </c>
      <c r="I1348" s="21">
        <v>2613.1</v>
      </c>
      <c r="J1348" s="21">
        <v>2659.59</v>
      </c>
      <c r="K1348" s="21">
        <v>2598.63</v>
      </c>
      <c r="L1348" s="21">
        <v>2489.37</v>
      </c>
      <c r="M1348" s="21"/>
      <c r="N1348" s="21">
        <v>2402.29</v>
      </c>
      <c r="O1348" s="21">
        <v>2699.43</v>
      </c>
      <c r="P1348" s="21">
        <v>2601.84</v>
      </c>
      <c r="Q1348" s="21">
        <v>7024.45</v>
      </c>
      <c r="R1348" s="20">
        <v>116.88</v>
      </c>
      <c r="S1348" s="20">
        <v>160.87</v>
      </c>
      <c r="T1348" s="21">
        <v>150.87</v>
      </c>
      <c r="V1348" s="1">
        <v>155.53</v>
      </c>
      <c r="W1348" s="1">
        <v>145.07</v>
      </c>
      <c r="X1348" s="1">
        <v>159.69999999999999</v>
      </c>
      <c r="Y1348" s="1">
        <v>147.91999999999999</v>
      </c>
      <c r="Z1348" s="1">
        <v>148</v>
      </c>
      <c r="AA1348" s="1">
        <v>121.26</v>
      </c>
      <c r="AB1348" s="1">
        <v>159.66</v>
      </c>
      <c r="AC1348" s="1">
        <v>131.38</v>
      </c>
      <c r="AE1348" s="1">
        <v>168.57</v>
      </c>
      <c r="AF1348" s="1">
        <v>161.13</v>
      </c>
      <c r="AG1348" s="1">
        <v>171.57</v>
      </c>
      <c r="AN1348" s="1">
        <v>3805.96</v>
      </c>
      <c r="AP1348" s="1">
        <v>3480</v>
      </c>
      <c r="AU1348" s="1">
        <v>3515.51</v>
      </c>
      <c r="AW1348" s="1">
        <v>2979.67</v>
      </c>
      <c r="AX1348" s="1">
        <v>167.18</v>
      </c>
      <c r="BA1348" s="1">
        <v>177.13</v>
      </c>
      <c r="BB1348" s="1">
        <v>165.44</v>
      </c>
      <c r="BC1348" s="1">
        <v>175.26</v>
      </c>
      <c r="BD1348" s="1">
        <v>166.67</v>
      </c>
      <c r="BE1348" s="1">
        <v>174.62</v>
      </c>
      <c r="BF1348" s="1">
        <v>176.51</v>
      </c>
      <c r="BG1348" s="1">
        <v>169.25</v>
      </c>
      <c r="BH1348" s="1">
        <v>154.5</v>
      </c>
      <c r="BI1348" s="1">
        <v>159.47</v>
      </c>
      <c r="BJ1348" s="1">
        <v>169.67</v>
      </c>
      <c r="BL1348" s="1">
        <v>144.30000000000001</v>
      </c>
      <c r="BN1348" s="1">
        <v>144.22999999999999</v>
      </c>
    </row>
    <row r="1349" spans="1:66" x14ac:dyDescent="0.3">
      <c r="A1349" s="2"/>
      <c r="C1349" s="14" t="str">
        <f t="shared" si="21"/>
        <v>202011</v>
      </c>
      <c r="D1349" s="3">
        <v>44138</v>
      </c>
      <c r="E1349" s="21">
        <v>2695.79</v>
      </c>
      <c r="F1349" s="21">
        <v>2961.02</v>
      </c>
      <c r="G1349" s="21">
        <v>2961.02</v>
      </c>
      <c r="H1349" s="21">
        <v>2901.71</v>
      </c>
      <c r="I1349" s="21">
        <v>2613.1</v>
      </c>
      <c r="J1349" s="21">
        <v>2577.5</v>
      </c>
      <c r="K1349" s="21">
        <v>2549.09</v>
      </c>
      <c r="L1349" s="21">
        <v>2479.46</v>
      </c>
      <c r="M1349" s="21"/>
      <c r="N1349" s="21">
        <v>2400.34</v>
      </c>
      <c r="O1349" s="21">
        <v>2705.68</v>
      </c>
      <c r="P1349" s="21">
        <v>2601.84</v>
      </c>
      <c r="Q1349" s="21">
        <v>7012.04</v>
      </c>
      <c r="R1349" s="20">
        <v>116.88</v>
      </c>
      <c r="S1349" s="20">
        <v>159.66999999999999</v>
      </c>
      <c r="T1349" s="21">
        <v>149.19999999999999</v>
      </c>
      <c r="V1349" s="1">
        <v>151.33000000000001</v>
      </c>
      <c r="W1349" s="1">
        <v>144.91999999999999</v>
      </c>
      <c r="X1349" s="1">
        <v>159.21</v>
      </c>
      <c r="Y1349" s="1">
        <v>147.91999999999999</v>
      </c>
      <c r="Z1349" s="1">
        <v>147.72999999999999</v>
      </c>
      <c r="AA1349" s="1">
        <v>121.17</v>
      </c>
      <c r="AB1349" s="1">
        <v>159.66</v>
      </c>
      <c r="AC1349" s="1">
        <v>132.43</v>
      </c>
      <c r="AE1349" s="1">
        <v>168.34</v>
      </c>
      <c r="AF1349" s="1">
        <v>157.69</v>
      </c>
      <c r="AG1349" s="1">
        <v>170.87</v>
      </c>
      <c r="AN1349" s="1">
        <v>3805.96</v>
      </c>
      <c r="AP1349" s="1">
        <v>3480</v>
      </c>
      <c r="AU1349" s="1">
        <v>3515.51</v>
      </c>
      <c r="AW1349" s="1">
        <v>2979.67</v>
      </c>
      <c r="AX1349" s="1">
        <v>168.3</v>
      </c>
      <c r="BA1349" s="1">
        <v>178.27</v>
      </c>
      <c r="BB1349" s="1">
        <v>164.92</v>
      </c>
      <c r="BC1349" s="1">
        <v>173.3</v>
      </c>
      <c r="BD1349" s="1">
        <v>168.12</v>
      </c>
      <c r="BE1349" s="1">
        <v>174.57</v>
      </c>
      <c r="BF1349" s="1">
        <v>176.49</v>
      </c>
      <c r="BG1349" s="1">
        <v>168.95</v>
      </c>
      <c r="BH1349" s="1">
        <v>154</v>
      </c>
      <c r="BI1349" s="1">
        <v>158.87</v>
      </c>
      <c r="BJ1349" s="1">
        <v>167.15</v>
      </c>
      <c r="BL1349" s="1">
        <v>143.53</v>
      </c>
      <c r="BN1349" s="1">
        <v>143.47</v>
      </c>
    </row>
    <row r="1350" spans="1:66" x14ac:dyDescent="0.3">
      <c r="A1350" s="2"/>
      <c r="C1350" s="14" t="str">
        <f t="shared" ref="C1350:C1413" si="22">YEAR(D1350)&amp;MONTH(D1350)</f>
        <v>202010</v>
      </c>
      <c r="D1350" s="3">
        <v>44134</v>
      </c>
      <c r="E1350" s="21">
        <v>2695.79</v>
      </c>
      <c r="F1350" s="21">
        <v>2961.02</v>
      </c>
      <c r="G1350" s="21">
        <v>2946.22</v>
      </c>
      <c r="H1350" s="21">
        <v>2881.63</v>
      </c>
      <c r="I1350" s="21">
        <v>2615.5700000000002</v>
      </c>
      <c r="J1350" s="21">
        <v>2611.02</v>
      </c>
      <c r="K1350" s="21">
        <v>2553.0700000000002</v>
      </c>
      <c r="L1350" s="21">
        <v>2472.85</v>
      </c>
      <c r="M1350" s="21"/>
      <c r="N1350" s="21">
        <v>2374.6999999999998</v>
      </c>
      <c r="O1350" s="21">
        <v>2700</v>
      </c>
      <c r="P1350" s="21">
        <v>2576.87</v>
      </c>
      <c r="Q1350" s="21">
        <v>7033.2</v>
      </c>
      <c r="R1350" s="20">
        <v>116.21</v>
      </c>
      <c r="S1350" s="20">
        <v>156.36000000000001</v>
      </c>
      <c r="T1350" s="21">
        <v>148.06</v>
      </c>
      <c r="V1350" s="1">
        <v>151.33000000000001</v>
      </c>
      <c r="W1350" s="1">
        <v>144.94999999999999</v>
      </c>
      <c r="X1350" s="1">
        <v>158.01</v>
      </c>
      <c r="Y1350" s="1">
        <v>146.91999999999999</v>
      </c>
      <c r="Z1350" s="1">
        <v>147</v>
      </c>
      <c r="AA1350" s="1">
        <v>120.02</v>
      </c>
      <c r="AB1350" s="1">
        <v>158.47999999999999</v>
      </c>
      <c r="AC1350" s="1">
        <v>138.56</v>
      </c>
      <c r="AE1350" s="1">
        <v>168.02</v>
      </c>
      <c r="AF1350" s="1">
        <v>158.97</v>
      </c>
      <c r="AG1350" s="1">
        <v>168.87</v>
      </c>
      <c r="AN1350" s="1">
        <v>3806.25</v>
      </c>
      <c r="AP1350" s="1">
        <v>3480</v>
      </c>
      <c r="AU1350" s="1">
        <v>3515.77</v>
      </c>
      <c r="AW1350" s="1">
        <v>2742</v>
      </c>
      <c r="AX1350" s="1">
        <v>168.13</v>
      </c>
      <c r="BA1350" s="1">
        <v>174.22</v>
      </c>
      <c r="BB1350" s="1">
        <v>166.56</v>
      </c>
      <c r="BC1350" s="1">
        <v>171.5</v>
      </c>
      <c r="BD1350" s="1">
        <v>165.28</v>
      </c>
      <c r="BE1350" s="1">
        <v>176.02</v>
      </c>
      <c r="BF1350" s="1">
        <v>175.84</v>
      </c>
      <c r="BG1350" s="1">
        <v>168.73</v>
      </c>
      <c r="BH1350" s="1">
        <v>154</v>
      </c>
      <c r="BI1350" s="1">
        <v>154.88</v>
      </c>
      <c r="BJ1350" s="1">
        <v>163</v>
      </c>
      <c r="BL1350" s="1">
        <v>142.87</v>
      </c>
      <c r="BN1350" s="1">
        <v>142.80000000000001</v>
      </c>
    </row>
    <row r="1351" spans="1:66" x14ac:dyDescent="0.3">
      <c r="A1351" s="2"/>
      <c r="C1351" s="14" t="str">
        <f t="shared" si="22"/>
        <v>202010</v>
      </c>
      <c r="D1351" s="3">
        <v>44133</v>
      </c>
      <c r="E1351" s="21">
        <v>2771.97</v>
      </c>
      <c r="F1351" s="21">
        <v>2961.02</v>
      </c>
      <c r="G1351" s="21">
        <v>2946.22</v>
      </c>
      <c r="H1351" s="21">
        <v>2886.99</v>
      </c>
      <c r="I1351" s="21">
        <v>2615.5700000000002</v>
      </c>
      <c r="J1351" s="21">
        <v>2611.02</v>
      </c>
      <c r="K1351" s="21">
        <v>2543.1</v>
      </c>
      <c r="L1351" s="21">
        <v>2472.85</v>
      </c>
      <c r="M1351" s="21"/>
      <c r="N1351" s="21">
        <v>2390.48</v>
      </c>
      <c r="O1351" s="21">
        <v>2662</v>
      </c>
      <c r="P1351" s="21">
        <v>2582.09</v>
      </c>
      <c r="Q1351" s="21">
        <v>7054.35</v>
      </c>
      <c r="R1351" s="20">
        <v>116.21</v>
      </c>
      <c r="S1351" s="20">
        <v>149.38</v>
      </c>
      <c r="T1351" s="21">
        <v>147.46</v>
      </c>
      <c r="V1351" s="1">
        <v>148.94</v>
      </c>
      <c r="W1351" s="1">
        <v>145.06</v>
      </c>
      <c r="X1351" s="1">
        <v>157.24</v>
      </c>
      <c r="Y1351" s="1">
        <v>145.91999999999999</v>
      </c>
      <c r="Z1351" s="1">
        <v>146</v>
      </c>
      <c r="AA1351" s="1">
        <v>118.74</v>
      </c>
      <c r="AB1351" s="1">
        <v>157.54</v>
      </c>
      <c r="AC1351" s="1">
        <v>136.43</v>
      </c>
      <c r="AE1351" s="1">
        <v>168.08</v>
      </c>
      <c r="AF1351" s="1">
        <v>158.18</v>
      </c>
      <c r="AG1351" s="1">
        <v>169.31</v>
      </c>
      <c r="AN1351" s="1">
        <v>3806.25</v>
      </c>
      <c r="AP1351" s="1">
        <v>3240</v>
      </c>
      <c r="AQ1351" s="1">
        <v>3786.22</v>
      </c>
      <c r="AU1351" s="1">
        <v>3515.77</v>
      </c>
      <c r="AW1351" s="1">
        <v>2504.11</v>
      </c>
      <c r="AX1351" s="1">
        <v>165.85</v>
      </c>
      <c r="AZ1351" s="1">
        <v>3205.26</v>
      </c>
      <c r="BA1351" s="1">
        <v>174.17</v>
      </c>
      <c r="BB1351" s="1">
        <v>166.93</v>
      </c>
      <c r="BC1351" s="1">
        <v>171.64</v>
      </c>
      <c r="BD1351" s="1">
        <v>163.34</v>
      </c>
      <c r="BE1351" s="1">
        <v>175.95</v>
      </c>
      <c r="BF1351" s="1">
        <v>174.76</v>
      </c>
      <c r="BG1351" s="1">
        <v>167.39</v>
      </c>
      <c r="BH1351" s="1">
        <v>153</v>
      </c>
      <c r="BI1351" s="1">
        <v>154.88</v>
      </c>
      <c r="BJ1351" s="1">
        <v>163</v>
      </c>
      <c r="BL1351" s="1">
        <v>142.19999999999999</v>
      </c>
      <c r="BN1351" s="1">
        <v>142.13</v>
      </c>
    </row>
    <row r="1352" spans="1:66" x14ac:dyDescent="0.3">
      <c r="A1352" s="2"/>
      <c r="C1352" s="14" t="str">
        <f t="shared" si="22"/>
        <v>202010</v>
      </c>
      <c r="D1352" s="3">
        <v>44132</v>
      </c>
      <c r="E1352" s="21">
        <v>2859.9</v>
      </c>
      <c r="F1352" s="21">
        <v>2928.12</v>
      </c>
      <c r="G1352" s="21">
        <v>2938.82</v>
      </c>
      <c r="H1352" s="21">
        <v>2762.61</v>
      </c>
      <c r="I1352" s="21">
        <v>2694.53</v>
      </c>
      <c r="J1352" s="21">
        <v>2604.35</v>
      </c>
      <c r="K1352" s="21">
        <v>2513.14</v>
      </c>
      <c r="L1352" s="21"/>
      <c r="M1352" s="21"/>
      <c r="N1352" s="21">
        <v>2382.86</v>
      </c>
      <c r="O1352" s="21">
        <v>2640</v>
      </c>
      <c r="P1352" s="21">
        <v>2570.19</v>
      </c>
      <c r="Q1352" s="21">
        <v>7044.35</v>
      </c>
      <c r="R1352" s="20">
        <v>111.88</v>
      </c>
      <c r="S1352" s="20">
        <v>152.83000000000001</v>
      </c>
      <c r="T1352" s="21">
        <v>148.24</v>
      </c>
      <c r="V1352" s="1">
        <v>145.94</v>
      </c>
      <c r="W1352" s="1">
        <v>147.31</v>
      </c>
      <c r="X1352" s="1">
        <v>157.24</v>
      </c>
      <c r="Y1352" s="1">
        <v>145.91999999999999</v>
      </c>
      <c r="Z1352" s="1">
        <v>146</v>
      </c>
      <c r="AA1352" s="1">
        <v>116.65</v>
      </c>
      <c r="AB1352" s="1">
        <v>157.54</v>
      </c>
      <c r="AC1352" s="1">
        <v>137.09</v>
      </c>
      <c r="AE1352" s="1">
        <v>168.08</v>
      </c>
      <c r="AF1352" s="1">
        <v>154</v>
      </c>
      <c r="AG1352" s="1">
        <v>168.7</v>
      </c>
      <c r="AP1352" s="1">
        <v>3240</v>
      </c>
      <c r="AQ1352" s="1">
        <v>3650.99</v>
      </c>
      <c r="AT1352" s="1">
        <v>2714.46</v>
      </c>
      <c r="AU1352" s="1">
        <v>3515.77</v>
      </c>
      <c r="AW1352" s="1">
        <v>2694.42</v>
      </c>
      <c r="AX1352" s="1">
        <v>165.85</v>
      </c>
      <c r="AY1352" s="1">
        <v>3946.48</v>
      </c>
      <c r="AZ1352" s="1">
        <v>3205.26</v>
      </c>
      <c r="BA1352" s="1">
        <v>170.83</v>
      </c>
      <c r="BB1352" s="1">
        <v>166.28</v>
      </c>
      <c r="BC1352" s="1">
        <v>170.75</v>
      </c>
      <c r="BD1352" s="1">
        <v>165.26</v>
      </c>
      <c r="BE1352" s="1">
        <v>173.56</v>
      </c>
      <c r="BF1352" s="1">
        <v>176.92</v>
      </c>
      <c r="BG1352" s="1">
        <v>167.39</v>
      </c>
      <c r="BH1352" s="1">
        <v>154.5</v>
      </c>
      <c r="BI1352" s="1">
        <v>156.08000000000001</v>
      </c>
      <c r="BJ1352" s="1">
        <v>163</v>
      </c>
      <c r="BL1352" s="1">
        <v>142.30000000000001</v>
      </c>
      <c r="BN1352" s="1">
        <v>142.22999999999999</v>
      </c>
    </row>
    <row r="1353" spans="1:66" x14ac:dyDescent="0.3">
      <c r="A1353" s="2"/>
      <c r="C1353" s="14" t="str">
        <f t="shared" si="22"/>
        <v>202010</v>
      </c>
      <c r="D1353" s="3">
        <v>44131</v>
      </c>
      <c r="E1353" s="21">
        <v>2872.3</v>
      </c>
      <c r="F1353" s="21">
        <v>2928.12</v>
      </c>
      <c r="G1353" s="21">
        <v>2921.54</v>
      </c>
      <c r="H1353" s="21">
        <v>2664.7</v>
      </c>
      <c r="I1353" s="21">
        <v>2694.53</v>
      </c>
      <c r="J1353" s="21">
        <v>2590.06</v>
      </c>
      <c r="K1353" s="21">
        <v>2543.1</v>
      </c>
      <c r="L1353" s="21">
        <v>2590.87</v>
      </c>
      <c r="M1353" s="21"/>
      <c r="N1353" s="21">
        <v>2365.86</v>
      </c>
      <c r="O1353" s="21">
        <v>2606.29</v>
      </c>
      <c r="P1353" s="21">
        <v>2570.19</v>
      </c>
      <c r="Q1353" s="21">
        <v>7042.08</v>
      </c>
      <c r="R1353" s="20">
        <v>111.88</v>
      </c>
      <c r="S1353" s="20"/>
      <c r="T1353" s="21">
        <v>148.19</v>
      </c>
      <c r="V1353" s="1">
        <v>145.15</v>
      </c>
      <c r="W1353" s="1">
        <v>147.06</v>
      </c>
      <c r="X1353" s="1">
        <v>156.46</v>
      </c>
      <c r="Y1353" s="1">
        <v>145.91999999999999</v>
      </c>
      <c r="Z1353" s="1">
        <v>146</v>
      </c>
      <c r="AA1353" s="1">
        <v>116.62</v>
      </c>
      <c r="AB1353" s="1">
        <v>156.41999999999999</v>
      </c>
      <c r="AC1353" s="1">
        <v>138</v>
      </c>
      <c r="AE1353" s="1">
        <v>165.78</v>
      </c>
      <c r="AF1353" s="1">
        <v>154.12</v>
      </c>
      <c r="AG1353" s="1">
        <v>164.93</v>
      </c>
      <c r="AP1353" s="1">
        <v>3240</v>
      </c>
      <c r="AQ1353" s="1">
        <v>3650.99</v>
      </c>
      <c r="AT1353" s="1">
        <v>2714.46</v>
      </c>
      <c r="AW1353" s="1">
        <v>2694.42</v>
      </c>
      <c r="AX1353" s="1">
        <v>165.3</v>
      </c>
      <c r="AY1353" s="1">
        <v>3946.48</v>
      </c>
      <c r="AZ1353" s="1">
        <v>3205.26</v>
      </c>
      <c r="BA1353" s="1">
        <v>172.07</v>
      </c>
      <c r="BB1353" s="1">
        <v>166.16</v>
      </c>
      <c r="BC1353" s="1">
        <v>169.92</v>
      </c>
      <c r="BD1353" s="1">
        <v>162.51</v>
      </c>
      <c r="BE1353" s="1">
        <v>171.91</v>
      </c>
      <c r="BF1353" s="1">
        <v>174.6</v>
      </c>
      <c r="BG1353" s="1">
        <v>166.07</v>
      </c>
      <c r="BH1353" s="1">
        <v>152</v>
      </c>
      <c r="BI1353" s="1">
        <v>155.68</v>
      </c>
      <c r="BJ1353" s="1">
        <v>163</v>
      </c>
      <c r="BL1353" s="1">
        <v>141.59</v>
      </c>
      <c r="BN1353" s="1">
        <v>142.22999999999999</v>
      </c>
    </row>
    <row r="1354" spans="1:66" x14ac:dyDescent="0.3">
      <c r="A1354" s="2"/>
      <c r="C1354" s="14" t="str">
        <f t="shared" si="22"/>
        <v>202010</v>
      </c>
      <c r="D1354" s="3">
        <v>44130</v>
      </c>
      <c r="E1354" s="21">
        <v>2940.48</v>
      </c>
      <c r="F1354" s="21">
        <v>2928.12</v>
      </c>
      <c r="G1354" s="21">
        <v>2913.82</v>
      </c>
      <c r="H1354" s="21">
        <v>2664.7</v>
      </c>
      <c r="I1354" s="21">
        <v>2605.6999999999998</v>
      </c>
      <c r="J1354" s="21">
        <v>2572.5500000000002</v>
      </c>
      <c r="K1354" s="21">
        <v>2566.2800000000002</v>
      </c>
      <c r="L1354" s="21">
        <v>2590.87</v>
      </c>
      <c r="M1354" s="21"/>
      <c r="N1354" s="21">
        <v>2345.33</v>
      </c>
      <c r="O1354" s="21">
        <v>2649.93</v>
      </c>
      <c r="P1354" s="21">
        <v>2565.36</v>
      </c>
      <c r="Q1354" s="21">
        <v>7058.45</v>
      </c>
      <c r="R1354" s="20">
        <v>111.88</v>
      </c>
      <c r="S1354" s="20"/>
      <c r="T1354" s="21">
        <v>146.71</v>
      </c>
      <c r="V1354" s="1">
        <v>142.15</v>
      </c>
      <c r="W1354" s="1">
        <v>144.6</v>
      </c>
      <c r="X1354" s="1">
        <v>156.54</v>
      </c>
      <c r="Y1354" s="1">
        <v>145.91999999999999</v>
      </c>
      <c r="Z1354" s="1">
        <v>146</v>
      </c>
      <c r="AA1354" s="1">
        <v>115.37</v>
      </c>
      <c r="AB1354" s="1">
        <v>156.41999999999999</v>
      </c>
      <c r="AC1354" s="1">
        <v>135.75</v>
      </c>
      <c r="AE1354" s="1">
        <v>165.35</v>
      </c>
      <c r="AF1354" s="1">
        <v>154.71</v>
      </c>
      <c r="AG1354" s="1">
        <v>166.3</v>
      </c>
      <c r="AP1354" s="1">
        <v>3240</v>
      </c>
      <c r="AQ1354" s="1">
        <v>3650.99</v>
      </c>
      <c r="AT1354" s="1">
        <v>2714.46</v>
      </c>
      <c r="AW1354" s="1">
        <v>2694.42</v>
      </c>
      <c r="AX1354" s="1">
        <v>162.54</v>
      </c>
      <c r="AY1354" s="1">
        <v>3946.48</v>
      </c>
      <c r="AZ1354" s="1">
        <v>3205.26</v>
      </c>
      <c r="BA1354" s="1">
        <v>169.69</v>
      </c>
      <c r="BB1354" s="1">
        <v>165.56</v>
      </c>
      <c r="BC1354" s="1">
        <v>169.01</v>
      </c>
      <c r="BD1354" s="1">
        <v>161.65</v>
      </c>
      <c r="BE1354" s="1">
        <v>180.59</v>
      </c>
      <c r="BF1354" s="1">
        <v>171.57</v>
      </c>
      <c r="BG1354" s="1">
        <v>165.79</v>
      </c>
      <c r="BH1354" s="1">
        <v>148.5</v>
      </c>
      <c r="BI1354" s="1">
        <v>154.47999999999999</v>
      </c>
      <c r="BJ1354" s="1">
        <v>167.94</v>
      </c>
      <c r="BL1354" s="1">
        <v>142.30000000000001</v>
      </c>
      <c r="BN1354" s="1">
        <v>142.22999999999999</v>
      </c>
    </row>
    <row r="1355" spans="1:66" x14ac:dyDescent="0.3">
      <c r="A1355" s="2"/>
      <c r="C1355" s="14" t="str">
        <f t="shared" si="22"/>
        <v>202010</v>
      </c>
      <c r="D1355" s="3">
        <v>44127</v>
      </c>
      <c r="E1355" s="21">
        <v>2859.9</v>
      </c>
      <c r="F1355" s="21">
        <v>2887</v>
      </c>
      <c r="G1355" s="21">
        <v>2912.28</v>
      </c>
      <c r="H1355" s="21"/>
      <c r="I1355" s="21">
        <v>2563.75</v>
      </c>
      <c r="J1355" s="21">
        <v>2538.64</v>
      </c>
      <c r="K1355" s="21">
        <v>2528.92</v>
      </c>
      <c r="L1355" s="21">
        <v>2518.83</v>
      </c>
      <c r="M1355" s="21"/>
      <c r="N1355" s="21">
        <v>2277.5300000000002</v>
      </c>
      <c r="O1355" s="21">
        <v>2600</v>
      </c>
      <c r="P1355" s="21">
        <v>2557.41</v>
      </c>
      <c r="Q1355" s="21">
        <v>7207.5</v>
      </c>
      <c r="R1355" s="20">
        <v>111.88</v>
      </c>
      <c r="S1355" s="20"/>
      <c r="T1355" s="21">
        <v>146.1</v>
      </c>
      <c r="V1355" s="1">
        <v>140.24</v>
      </c>
      <c r="W1355" s="1">
        <v>145.22</v>
      </c>
      <c r="X1355" s="1">
        <v>154.36000000000001</v>
      </c>
      <c r="Y1355" s="1">
        <v>145.91999999999999</v>
      </c>
      <c r="Z1355" s="1">
        <v>146</v>
      </c>
      <c r="AA1355" s="1">
        <v>115.37</v>
      </c>
      <c r="AB1355" s="1">
        <v>154.16999999999999</v>
      </c>
      <c r="AC1355" s="1">
        <v>135.75</v>
      </c>
      <c r="AE1355" s="1">
        <v>163.79</v>
      </c>
      <c r="AF1355" s="1">
        <v>154.71</v>
      </c>
      <c r="AG1355" s="1">
        <v>158.34</v>
      </c>
      <c r="AP1355" s="1">
        <v>3240</v>
      </c>
      <c r="AQ1355" s="1">
        <v>3650.99</v>
      </c>
      <c r="AT1355" s="1">
        <v>2714.46</v>
      </c>
      <c r="AU1355" s="1">
        <v>3696.07</v>
      </c>
      <c r="AW1355" s="1">
        <v>2884.74</v>
      </c>
      <c r="AX1355" s="1">
        <v>162.55000000000001</v>
      </c>
      <c r="AY1355" s="1">
        <v>3946.48</v>
      </c>
      <c r="AZ1355" s="1">
        <v>3205.26</v>
      </c>
      <c r="BB1355" s="1">
        <v>164.5</v>
      </c>
      <c r="BC1355" s="1">
        <v>168.9</v>
      </c>
      <c r="BD1355" s="1">
        <v>162.87</v>
      </c>
      <c r="BE1355" s="1">
        <v>179.99</v>
      </c>
      <c r="BF1355" s="1">
        <v>167.58</v>
      </c>
      <c r="BG1355" s="1">
        <v>164.19</v>
      </c>
      <c r="BH1355" s="1">
        <v>149.09</v>
      </c>
      <c r="BI1355" s="1">
        <v>154.47999999999999</v>
      </c>
      <c r="BJ1355" s="1">
        <v>170.5</v>
      </c>
      <c r="BL1355" s="1">
        <v>142.30000000000001</v>
      </c>
      <c r="BN1355" s="1">
        <v>142.22999999999999</v>
      </c>
    </row>
    <row r="1356" spans="1:66" x14ac:dyDescent="0.3">
      <c r="A1356" s="2"/>
      <c r="C1356" s="14" t="str">
        <f t="shared" si="22"/>
        <v>202010</v>
      </c>
      <c r="D1356" s="3">
        <v>44126</v>
      </c>
      <c r="E1356" s="21">
        <v>2859.9</v>
      </c>
      <c r="F1356" s="21">
        <v>2872.9</v>
      </c>
      <c r="G1356" s="21">
        <v>2899.94</v>
      </c>
      <c r="H1356" s="21">
        <v>2555.46</v>
      </c>
      <c r="I1356" s="21">
        <v>2628.73</v>
      </c>
      <c r="J1356" s="21">
        <v>2463.2800000000002</v>
      </c>
      <c r="K1356" s="21">
        <v>2440.9299999999998</v>
      </c>
      <c r="L1356" s="21">
        <v>2390.27</v>
      </c>
      <c r="M1356" s="21"/>
      <c r="N1356" s="21">
        <v>2350.04</v>
      </c>
      <c r="O1356" s="21">
        <v>2620</v>
      </c>
      <c r="P1356" s="21">
        <v>2434.21</v>
      </c>
      <c r="Q1356" s="21">
        <v>7255.92</v>
      </c>
      <c r="R1356" s="20">
        <v>111.55</v>
      </c>
      <c r="S1356" s="20"/>
      <c r="T1356" s="21">
        <v>145.6</v>
      </c>
      <c r="V1356" s="1">
        <v>139.75</v>
      </c>
      <c r="W1356" s="1">
        <v>143.19999999999999</v>
      </c>
      <c r="X1356" s="1">
        <v>153.09</v>
      </c>
      <c r="Y1356" s="1">
        <v>145.91999999999999</v>
      </c>
      <c r="Z1356" s="1">
        <v>145.47999999999999</v>
      </c>
      <c r="AA1356" s="1">
        <v>114.75</v>
      </c>
      <c r="AB1356" s="1">
        <v>152.27000000000001</v>
      </c>
      <c r="AC1356" s="1">
        <v>126.96</v>
      </c>
      <c r="AE1356" s="1">
        <v>162.71</v>
      </c>
      <c r="AF1356" s="1">
        <v>153.13</v>
      </c>
      <c r="AG1356" s="1">
        <v>157.82</v>
      </c>
      <c r="AQ1356" s="1">
        <v>3515.77</v>
      </c>
      <c r="AT1356" s="1">
        <v>2714.46</v>
      </c>
      <c r="AU1356" s="1">
        <v>3696.07</v>
      </c>
      <c r="AW1356" s="1">
        <v>2799.1</v>
      </c>
      <c r="AX1356" s="1">
        <v>160.24</v>
      </c>
      <c r="AY1356" s="1">
        <v>3946.48</v>
      </c>
      <c r="AZ1356" s="1">
        <v>3105.1</v>
      </c>
      <c r="BB1356" s="1">
        <v>164.5</v>
      </c>
      <c r="BC1356" s="1">
        <v>168.79</v>
      </c>
      <c r="BD1356" s="1">
        <v>161.54</v>
      </c>
      <c r="BE1356" s="1">
        <v>180.1</v>
      </c>
      <c r="BF1356" s="1">
        <v>167.89</v>
      </c>
      <c r="BG1356" s="1">
        <v>163.19</v>
      </c>
      <c r="BH1356" s="1">
        <v>149.84</v>
      </c>
      <c r="BI1356" s="1">
        <v>152.49</v>
      </c>
      <c r="BJ1356" s="1">
        <v>164.58</v>
      </c>
      <c r="BL1356" s="1">
        <v>142.30000000000001</v>
      </c>
      <c r="BN1356" s="1">
        <v>142.22999999999999</v>
      </c>
    </row>
    <row r="1357" spans="1:66" x14ac:dyDescent="0.3">
      <c r="A1357" s="2"/>
      <c r="C1357" s="14" t="str">
        <f t="shared" si="22"/>
        <v>202010</v>
      </c>
      <c r="D1357" s="3">
        <v>44125</v>
      </c>
      <c r="E1357" s="21">
        <v>2821.24</v>
      </c>
      <c r="F1357" s="21">
        <v>2798.87</v>
      </c>
      <c r="G1357" s="21">
        <v>2815.04</v>
      </c>
      <c r="H1357" s="21">
        <v>2555.46</v>
      </c>
      <c r="I1357" s="21">
        <v>2589.25</v>
      </c>
      <c r="J1357" s="21">
        <v>2451.9499999999998</v>
      </c>
      <c r="K1357" s="21">
        <v>2422.46</v>
      </c>
      <c r="L1357" s="21">
        <v>2295.9499999999998</v>
      </c>
      <c r="M1357" s="21"/>
      <c r="N1357" s="21">
        <v>2341.2399999999998</v>
      </c>
      <c r="O1357" s="21">
        <v>2462.77</v>
      </c>
      <c r="P1357" s="21">
        <v>2390.4</v>
      </c>
      <c r="Q1357" s="21">
        <v>7255.92</v>
      </c>
      <c r="R1357" s="20">
        <v>111.55</v>
      </c>
      <c r="S1357" s="20"/>
      <c r="T1357" s="21">
        <v>144.79</v>
      </c>
      <c r="V1357" s="1">
        <v>138.81</v>
      </c>
      <c r="W1357" s="1">
        <v>143.80000000000001</v>
      </c>
      <c r="X1357" s="1">
        <v>152.59</v>
      </c>
      <c r="Y1357" s="1">
        <v>144.79</v>
      </c>
      <c r="Z1357" s="1">
        <v>145</v>
      </c>
      <c r="AA1357" s="1">
        <v>114.75</v>
      </c>
      <c r="AB1357" s="1">
        <v>152.18</v>
      </c>
      <c r="AC1357" s="1">
        <v>127.15</v>
      </c>
      <c r="AE1357" s="1">
        <v>161.56</v>
      </c>
      <c r="AF1357" s="1">
        <v>153.19</v>
      </c>
      <c r="AG1357" s="1">
        <v>157.82</v>
      </c>
      <c r="AP1357" s="1">
        <v>3120</v>
      </c>
      <c r="AU1357" s="1">
        <v>3696.07</v>
      </c>
      <c r="AW1357" s="1">
        <v>2713.46</v>
      </c>
      <c r="AX1357" s="1">
        <v>159.96</v>
      </c>
      <c r="AZ1357" s="1">
        <v>3071.71</v>
      </c>
      <c r="BB1357" s="1">
        <v>164.96</v>
      </c>
      <c r="BC1357" s="1">
        <v>168.37</v>
      </c>
      <c r="BD1357" s="1">
        <v>161.65</v>
      </c>
      <c r="BE1357" s="1">
        <v>169.56</v>
      </c>
      <c r="BF1357" s="1">
        <v>164.49</v>
      </c>
      <c r="BG1357" s="1">
        <v>162.88</v>
      </c>
      <c r="BH1357" s="1">
        <v>149.84</v>
      </c>
      <c r="BI1357" s="1">
        <v>149.5</v>
      </c>
      <c r="BJ1357" s="1">
        <v>160.57</v>
      </c>
      <c r="BL1357" s="1">
        <v>141.30000000000001</v>
      </c>
      <c r="BN1357" s="1">
        <v>141.22999999999999</v>
      </c>
    </row>
    <row r="1358" spans="1:66" x14ac:dyDescent="0.3">
      <c r="A1358" s="2"/>
      <c r="C1358" s="14" t="str">
        <f t="shared" si="22"/>
        <v>202010</v>
      </c>
      <c r="D1358" s="3">
        <v>44124</v>
      </c>
      <c r="E1358" s="21">
        <v>2798.28</v>
      </c>
      <c r="F1358" s="21">
        <v>2745.68</v>
      </c>
      <c r="G1358" s="21">
        <v>2802.7</v>
      </c>
      <c r="H1358" s="21">
        <v>2555.46</v>
      </c>
      <c r="I1358" s="21">
        <v>2482.33</v>
      </c>
      <c r="J1358" s="21">
        <v>2403.42</v>
      </c>
      <c r="K1358" s="21">
        <v>2418.16</v>
      </c>
      <c r="L1358" s="21">
        <v>2295.9499999999998</v>
      </c>
      <c r="M1358" s="21"/>
      <c r="N1358" s="21">
        <v>2328.86</v>
      </c>
      <c r="O1358" s="21">
        <v>2498.5100000000002</v>
      </c>
      <c r="P1358" s="21">
        <v>2406.29</v>
      </c>
      <c r="Q1358" s="21">
        <v>7150.81</v>
      </c>
      <c r="R1358" s="20">
        <v>113.54</v>
      </c>
      <c r="S1358" s="20"/>
      <c r="T1358" s="21">
        <v>143.38</v>
      </c>
      <c r="V1358" s="1">
        <v>137.16</v>
      </c>
      <c r="W1358" s="1">
        <v>142.65</v>
      </c>
      <c r="X1358" s="1">
        <v>151.05000000000001</v>
      </c>
      <c r="Y1358" s="1">
        <v>143.94</v>
      </c>
      <c r="Z1358" s="1">
        <v>144</v>
      </c>
      <c r="AA1358" s="1">
        <v>116.33</v>
      </c>
      <c r="AB1358" s="1">
        <v>149.5</v>
      </c>
      <c r="AC1358" s="1">
        <v>124.73</v>
      </c>
      <c r="AE1358" s="1">
        <v>159.32</v>
      </c>
      <c r="AF1358" s="1">
        <v>150.88</v>
      </c>
      <c r="AG1358" s="1">
        <v>157.80000000000001</v>
      </c>
      <c r="AP1358" s="1">
        <v>3120</v>
      </c>
      <c r="AU1358" s="1">
        <v>3696.07</v>
      </c>
      <c r="AW1358" s="1">
        <v>2750.85</v>
      </c>
      <c r="AX1358" s="1">
        <v>160.78</v>
      </c>
      <c r="AZ1358" s="1">
        <v>3055.02</v>
      </c>
      <c r="BB1358" s="1">
        <v>160.99</v>
      </c>
      <c r="BC1358" s="1">
        <v>164.58</v>
      </c>
      <c r="BD1358" s="1">
        <v>158.46</v>
      </c>
      <c r="BE1358" s="1">
        <v>152.31</v>
      </c>
      <c r="BF1358" s="1">
        <v>161.49</v>
      </c>
      <c r="BG1358" s="1">
        <v>160.22999999999999</v>
      </c>
      <c r="BH1358" s="1">
        <v>148.18</v>
      </c>
      <c r="BI1358" s="1">
        <v>149.5</v>
      </c>
      <c r="BJ1358" s="1">
        <v>160.19</v>
      </c>
      <c r="BL1358" s="1">
        <v>140.30000000000001</v>
      </c>
      <c r="BN1358" s="1">
        <v>140.22999999999999</v>
      </c>
    </row>
    <row r="1359" spans="1:66" x14ac:dyDescent="0.3">
      <c r="A1359" s="2"/>
      <c r="C1359" s="14" t="str">
        <f t="shared" si="22"/>
        <v>202010</v>
      </c>
      <c r="D1359" s="3">
        <v>44123</v>
      </c>
      <c r="E1359" s="21">
        <v>2748.93</v>
      </c>
      <c r="F1359" s="21">
        <v>2693.71</v>
      </c>
      <c r="G1359" s="21">
        <v>2728.59</v>
      </c>
      <c r="H1359" s="21">
        <v>2529.0100000000002</v>
      </c>
      <c r="I1359" s="21">
        <v>2460.12</v>
      </c>
      <c r="J1359" s="21">
        <v>2334.0700000000002</v>
      </c>
      <c r="K1359" s="21">
        <v>2379.86</v>
      </c>
      <c r="L1359" s="21">
        <v>2295.9499999999998</v>
      </c>
      <c r="M1359" s="21"/>
      <c r="N1359" s="21">
        <v>2228.9699999999998</v>
      </c>
      <c r="O1359" s="21">
        <v>2431.8200000000002</v>
      </c>
      <c r="P1359" s="21">
        <v>2406.29</v>
      </c>
      <c r="Q1359" s="21">
        <v>7137.69</v>
      </c>
      <c r="R1359" s="20">
        <v>112.43</v>
      </c>
      <c r="S1359" s="20"/>
      <c r="T1359" s="21">
        <v>143.41</v>
      </c>
      <c r="V1359" s="1">
        <v>135.1</v>
      </c>
      <c r="W1359" s="1">
        <v>143.24</v>
      </c>
      <c r="X1359" s="1">
        <v>150.30000000000001</v>
      </c>
      <c r="Y1359" s="1">
        <v>143.91999999999999</v>
      </c>
      <c r="Z1359" s="1">
        <v>144</v>
      </c>
      <c r="AA1359" s="1">
        <v>116.3</v>
      </c>
      <c r="AB1359" s="1">
        <v>148.94</v>
      </c>
      <c r="AC1359" s="1">
        <v>128.44</v>
      </c>
      <c r="AE1359" s="1">
        <v>159.05000000000001</v>
      </c>
      <c r="AF1359" s="1">
        <v>146.68</v>
      </c>
      <c r="AG1359" s="1">
        <v>154.79</v>
      </c>
      <c r="AP1359" s="1">
        <v>3120</v>
      </c>
      <c r="AU1359" s="1">
        <v>3696.07</v>
      </c>
      <c r="AW1359" s="1">
        <v>2750.85</v>
      </c>
      <c r="AX1359" s="1">
        <v>159.69999999999999</v>
      </c>
      <c r="AZ1359" s="1">
        <v>3004.93</v>
      </c>
      <c r="BB1359" s="1">
        <v>159.38</v>
      </c>
      <c r="BC1359" s="1">
        <v>164.29</v>
      </c>
      <c r="BD1359" s="1">
        <v>159.66</v>
      </c>
      <c r="BE1359" s="1">
        <v>152.91999999999999</v>
      </c>
      <c r="BF1359" s="1">
        <v>165.16</v>
      </c>
      <c r="BG1359" s="1">
        <v>160.13999999999999</v>
      </c>
      <c r="BH1359" s="1">
        <v>148.18</v>
      </c>
      <c r="BI1359" s="1">
        <v>146.5</v>
      </c>
      <c r="BJ1359" s="1">
        <v>157.35</v>
      </c>
      <c r="BL1359" s="1">
        <v>141</v>
      </c>
      <c r="BN1359" s="1">
        <v>140.94999999999999</v>
      </c>
    </row>
    <row r="1360" spans="1:66" x14ac:dyDescent="0.3">
      <c r="A1360" s="2"/>
      <c r="C1360" s="14" t="str">
        <f t="shared" si="22"/>
        <v>202010</v>
      </c>
      <c r="D1360" s="3">
        <v>44120</v>
      </c>
      <c r="E1360" s="21">
        <v>2725.24</v>
      </c>
      <c r="F1360" s="21">
        <v>2681.37</v>
      </c>
      <c r="G1360" s="21">
        <v>2716.17</v>
      </c>
      <c r="H1360" s="21">
        <v>2529.0100000000002</v>
      </c>
      <c r="I1360" s="21">
        <v>2413.23</v>
      </c>
      <c r="J1360" s="21">
        <v>2330.3000000000002</v>
      </c>
      <c r="K1360" s="21">
        <v>2379.86</v>
      </c>
      <c r="L1360" s="21">
        <v>2266.19</v>
      </c>
      <c r="M1360" s="21"/>
      <c r="N1360" s="21">
        <v>2274.92</v>
      </c>
      <c r="O1360" s="21">
        <v>2413.8200000000002</v>
      </c>
      <c r="P1360" s="21">
        <v>2417.27</v>
      </c>
      <c r="Q1360" s="21">
        <v>7107.3</v>
      </c>
      <c r="R1360" s="20">
        <v>110.22</v>
      </c>
      <c r="S1360" s="20"/>
      <c r="T1360" s="21">
        <v>144.08000000000001</v>
      </c>
      <c r="V1360" s="1">
        <v>138.16</v>
      </c>
      <c r="W1360" s="1">
        <v>144.03</v>
      </c>
      <c r="X1360" s="1">
        <v>149.91</v>
      </c>
      <c r="Y1360" s="1">
        <v>143.86000000000001</v>
      </c>
      <c r="Z1360" s="1">
        <v>143.97999999999999</v>
      </c>
      <c r="AA1360" s="1">
        <v>114.25</v>
      </c>
      <c r="AB1360" s="1">
        <v>148.56</v>
      </c>
      <c r="AC1360" s="1">
        <v>126.78</v>
      </c>
      <c r="AE1360" s="1">
        <v>157.61000000000001</v>
      </c>
      <c r="AF1360" s="1">
        <v>145.12</v>
      </c>
      <c r="AG1360" s="1">
        <v>155.22</v>
      </c>
      <c r="AP1360" s="1">
        <v>3120</v>
      </c>
      <c r="AW1360" s="1">
        <v>2750.85</v>
      </c>
      <c r="AX1360" s="1">
        <v>156.54</v>
      </c>
      <c r="AZ1360" s="1">
        <v>3004.93</v>
      </c>
      <c r="BB1360" s="1">
        <v>158.69999999999999</v>
      </c>
      <c r="BC1360" s="1">
        <v>162.01</v>
      </c>
      <c r="BD1360" s="1">
        <v>155.16</v>
      </c>
      <c r="BE1360" s="1">
        <v>154.97</v>
      </c>
      <c r="BF1360" s="1">
        <v>158.41</v>
      </c>
      <c r="BG1360" s="1">
        <v>158.47</v>
      </c>
      <c r="BH1360" s="1">
        <v>143.19</v>
      </c>
      <c r="BI1360" s="1">
        <v>146.5</v>
      </c>
      <c r="BJ1360" s="1">
        <v>157.35</v>
      </c>
      <c r="BL1360" s="1">
        <v>141</v>
      </c>
      <c r="BN1360" s="1">
        <v>140.94999999999999</v>
      </c>
    </row>
    <row r="1361" spans="1:66" x14ac:dyDescent="0.3">
      <c r="A1361" s="2"/>
      <c r="C1361" s="14" t="str">
        <f t="shared" si="22"/>
        <v>202010</v>
      </c>
      <c r="D1361" s="3">
        <v>44119</v>
      </c>
      <c r="E1361" s="21">
        <v>2707.69</v>
      </c>
      <c r="F1361" s="21">
        <v>2660.44</v>
      </c>
      <c r="G1361" s="21">
        <v>2615.02</v>
      </c>
      <c r="H1361" s="21">
        <v>2495.9499999999998</v>
      </c>
      <c r="I1361" s="21">
        <v>2326.87</v>
      </c>
      <c r="J1361" s="21">
        <v>2346.87</v>
      </c>
      <c r="K1361" s="21">
        <v>2369.91</v>
      </c>
      <c r="L1361" s="21">
        <v>2226.5100000000002</v>
      </c>
      <c r="M1361" s="21"/>
      <c r="N1361" s="21">
        <v>2257.11</v>
      </c>
      <c r="O1361" s="21">
        <v>2396.5500000000002</v>
      </c>
      <c r="P1361" s="21">
        <v>2396.33</v>
      </c>
      <c r="Q1361" s="21">
        <v>7078.56</v>
      </c>
      <c r="R1361" s="20">
        <v>110.22</v>
      </c>
      <c r="S1361" s="20"/>
      <c r="T1361" s="21">
        <v>143.30000000000001</v>
      </c>
      <c r="V1361" s="1">
        <v>138.16</v>
      </c>
      <c r="W1361" s="1">
        <v>139.47999999999999</v>
      </c>
      <c r="X1361" s="1">
        <v>149.24</v>
      </c>
      <c r="Y1361" s="1">
        <v>142.34</v>
      </c>
      <c r="Z1361" s="1">
        <v>142.47999999999999</v>
      </c>
      <c r="AA1361" s="1">
        <v>114.25</v>
      </c>
      <c r="AB1361" s="1">
        <v>148.44999999999999</v>
      </c>
      <c r="AC1361" s="1">
        <v>126.2</v>
      </c>
      <c r="AE1361" s="1">
        <v>154.59</v>
      </c>
      <c r="AF1361" s="1">
        <v>145.26</v>
      </c>
      <c r="AG1361" s="1">
        <v>157.44999999999999</v>
      </c>
      <c r="AP1361" s="1">
        <v>3410</v>
      </c>
      <c r="AW1361" s="1">
        <v>2769.55</v>
      </c>
      <c r="AX1361" s="1">
        <v>156.52000000000001</v>
      </c>
      <c r="AZ1361" s="1">
        <v>3004.93</v>
      </c>
      <c r="BB1361" s="1">
        <v>156.83000000000001</v>
      </c>
      <c r="BC1361" s="1">
        <v>162.30000000000001</v>
      </c>
      <c r="BD1361" s="1">
        <v>153.58000000000001</v>
      </c>
      <c r="BE1361" s="1">
        <v>152.71</v>
      </c>
      <c r="BF1361" s="1">
        <v>159.24</v>
      </c>
      <c r="BG1361" s="1">
        <v>157.05000000000001</v>
      </c>
      <c r="BH1361" s="1">
        <v>143.19</v>
      </c>
      <c r="BI1361" s="1">
        <v>146.5</v>
      </c>
      <c r="BJ1361" s="1">
        <v>157.35</v>
      </c>
      <c r="BL1361" s="1">
        <v>140.25</v>
      </c>
      <c r="BN1361" s="1">
        <v>140.19999999999999</v>
      </c>
    </row>
    <row r="1362" spans="1:66" x14ac:dyDescent="0.3">
      <c r="A1362" s="2"/>
      <c r="C1362" s="14" t="str">
        <f t="shared" si="22"/>
        <v>202010</v>
      </c>
      <c r="D1362" s="3">
        <v>44118</v>
      </c>
      <c r="E1362" s="21">
        <v>2587.61</v>
      </c>
      <c r="F1362" s="21">
        <v>2501.5700000000002</v>
      </c>
      <c r="G1362" s="21">
        <v>2590.34</v>
      </c>
      <c r="H1362" s="21">
        <v>2486.1799999999998</v>
      </c>
      <c r="I1362" s="21">
        <v>2346.61</v>
      </c>
      <c r="J1362" s="21">
        <v>2347.1799999999998</v>
      </c>
      <c r="K1362" s="21">
        <v>2341.5300000000002</v>
      </c>
      <c r="L1362" s="21">
        <v>2236.9299999999998</v>
      </c>
      <c r="M1362" s="21"/>
      <c r="N1362" s="21">
        <v>2255.71</v>
      </c>
      <c r="O1362" s="21">
        <v>2397.13</v>
      </c>
      <c r="P1362" s="21">
        <v>2356.59</v>
      </c>
      <c r="Q1362" s="21">
        <v>7057.55</v>
      </c>
      <c r="R1362" s="20">
        <v>110.22</v>
      </c>
      <c r="S1362" s="20"/>
      <c r="T1362" s="21">
        <v>142.06</v>
      </c>
      <c r="V1362" s="1">
        <v>138.24</v>
      </c>
      <c r="W1362" s="1">
        <v>140.53</v>
      </c>
      <c r="X1362" s="1">
        <v>148.38</v>
      </c>
      <c r="Y1362" s="1">
        <v>141.91999999999999</v>
      </c>
      <c r="Z1362" s="1">
        <v>142</v>
      </c>
      <c r="AA1362" s="1">
        <v>114.25</v>
      </c>
      <c r="AB1362" s="1">
        <v>148.38</v>
      </c>
      <c r="AC1362" s="1">
        <v>126.26</v>
      </c>
      <c r="AE1362" s="1">
        <v>155.34</v>
      </c>
      <c r="AF1362" s="1">
        <v>143.99</v>
      </c>
      <c r="AG1362" s="1">
        <v>157.43</v>
      </c>
      <c r="AP1362" s="1">
        <v>3700</v>
      </c>
      <c r="AW1362" s="1">
        <v>2769.55</v>
      </c>
      <c r="AX1362" s="1">
        <v>158.47999999999999</v>
      </c>
      <c r="AZ1362" s="1">
        <v>3004.93</v>
      </c>
      <c r="BB1362" s="1">
        <v>155.91</v>
      </c>
      <c r="BC1362" s="1">
        <v>161.38999999999999</v>
      </c>
      <c r="BD1362" s="1">
        <v>149.91999999999999</v>
      </c>
      <c r="BE1362" s="1">
        <v>150.15</v>
      </c>
      <c r="BF1362" s="1">
        <v>159.1</v>
      </c>
      <c r="BG1362" s="1">
        <v>156.63</v>
      </c>
      <c r="BH1362" s="1">
        <v>141.02000000000001</v>
      </c>
      <c r="BI1362" s="1">
        <v>144.31</v>
      </c>
      <c r="BJ1362" s="1">
        <v>156.61000000000001</v>
      </c>
      <c r="BL1362" s="1">
        <v>138.30000000000001</v>
      </c>
      <c r="BN1362" s="1">
        <v>138.22999999999999</v>
      </c>
    </row>
    <row r="1363" spans="1:66" x14ac:dyDescent="0.3">
      <c r="A1363" s="2"/>
      <c r="C1363" s="14" t="str">
        <f t="shared" si="22"/>
        <v>202010</v>
      </c>
      <c r="D1363" s="3">
        <v>44117</v>
      </c>
      <c r="E1363" s="21">
        <v>2570.6999999999998</v>
      </c>
      <c r="F1363" s="21">
        <v>2493.02</v>
      </c>
      <c r="G1363" s="21">
        <v>2570.4</v>
      </c>
      <c r="H1363" s="21">
        <v>2545.89</v>
      </c>
      <c r="I1363" s="21">
        <v>2319.4699999999998</v>
      </c>
      <c r="J1363" s="21">
        <v>2424.19</v>
      </c>
      <c r="K1363" s="21">
        <v>2341.5300000000002</v>
      </c>
      <c r="L1363" s="21">
        <v>2447</v>
      </c>
      <c r="M1363" s="21">
        <v>2298.25</v>
      </c>
      <c r="N1363" s="21">
        <v>2287.1</v>
      </c>
      <c r="O1363" s="21">
        <v>2387.11</v>
      </c>
      <c r="P1363" s="21">
        <v>2356.59</v>
      </c>
      <c r="Q1363" s="21">
        <v>7054.35</v>
      </c>
      <c r="R1363" s="20">
        <v>110.22</v>
      </c>
      <c r="S1363" s="20"/>
      <c r="T1363" s="21">
        <v>142.07</v>
      </c>
      <c r="V1363" s="1">
        <v>138.02000000000001</v>
      </c>
      <c r="W1363" s="1">
        <v>141.22999999999999</v>
      </c>
      <c r="X1363" s="1">
        <v>147.59</v>
      </c>
      <c r="Y1363" s="1">
        <v>141.91999999999999</v>
      </c>
      <c r="Z1363" s="1">
        <v>142</v>
      </c>
      <c r="AA1363" s="1">
        <v>114.25</v>
      </c>
      <c r="AB1363" s="1">
        <v>148.35</v>
      </c>
      <c r="AC1363" s="1">
        <v>126.45</v>
      </c>
      <c r="AE1363" s="1">
        <v>154.29</v>
      </c>
      <c r="AG1363" s="1">
        <v>155.49</v>
      </c>
      <c r="AP1363" s="1">
        <v>3700</v>
      </c>
      <c r="AX1363" s="1">
        <v>161.31</v>
      </c>
      <c r="BA1363" s="1">
        <v>149.93</v>
      </c>
      <c r="BB1363" s="1">
        <v>154.38</v>
      </c>
      <c r="BC1363" s="1">
        <v>161.68</v>
      </c>
      <c r="BD1363" s="1">
        <v>150.63</v>
      </c>
      <c r="BE1363" s="1">
        <v>142.6</v>
      </c>
      <c r="BF1363" s="1">
        <v>156.4</v>
      </c>
      <c r="BG1363" s="1">
        <v>155.44999999999999</v>
      </c>
      <c r="BH1363" s="1">
        <v>137.07</v>
      </c>
      <c r="BI1363" s="1">
        <v>144.31</v>
      </c>
      <c r="BJ1363" s="1">
        <v>156.61000000000001</v>
      </c>
      <c r="BL1363" s="1">
        <v>138.30000000000001</v>
      </c>
      <c r="BN1363" s="1">
        <v>138.22999999999999</v>
      </c>
    </row>
    <row r="1364" spans="1:66" x14ac:dyDescent="0.3">
      <c r="A1364" s="2"/>
      <c r="C1364" s="14" t="str">
        <f t="shared" si="22"/>
        <v>202010</v>
      </c>
      <c r="D1364" s="3">
        <v>44113</v>
      </c>
      <c r="E1364" s="21">
        <v>2472.5700000000002</v>
      </c>
      <c r="F1364" s="21">
        <v>2435.44</v>
      </c>
      <c r="G1364" s="21">
        <v>2501.1799999999998</v>
      </c>
      <c r="H1364" s="21">
        <v>2449.65</v>
      </c>
      <c r="I1364" s="21">
        <v>2332.63</v>
      </c>
      <c r="J1364" s="21">
        <v>2337.96</v>
      </c>
      <c r="K1364" s="21">
        <v>2309.71</v>
      </c>
      <c r="L1364" s="21">
        <v>2320.8000000000002</v>
      </c>
      <c r="M1364" s="21">
        <v>2339.44</v>
      </c>
      <c r="N1364" s="21">
        <v>2264.56</v>
      </c>
      <c r="O1364" s="21">
        <v>2375.86</v>
      </c>
      <c r="P1364" s="21">
        <v>2301.88</v>
      </c>
      <c r="Q1364" s="21">
        <v>7105.43</v>
      </c>
      <c r="R1364" s="20">
        <v>108.88</v>
      </c>
      <c r="S1364" s="20"/>
      <c r="T1364" s="21">
        <v>141.78</v>
      </c>
      <c r="V1364" s="1">
        <v>138.49</v>
      </c>
      <c r="W1364" s="1">
        <v>141.96</v>
      </c>
      <c r="X1364" s="1">
        <v>147.47</v>
      </c>
      <c r="Y1364" s="1">
        <v>141.97</v>
      </c>
      <c r="Z1364" s="1">
        <v>142</v>
      </c>
      <c r="AA1364" s="1">
        <v>113.78</v>
      </c>
      <c r="AB1364" s="1">
        <v>148.28</v>
      </c>
      <c r="AC1364" s="1">
        <v>125.45</v>
      </c>
      <c r="AE1364" s="1">
        <v>154.03</v>
      </c>
      <c r="AG1364" s="1">
        <v>151.87</v>
      </c>
      <c r="AK1364" s="1">
        <v>0</v>
      </c>
      <c r="AP1364" s="1">
        <v>3700</v>
      </c>
      <c r="AS1364" s="1">
        <v>3405.59</v>
      </c>
      <c r="AX1364" s="1">
        <v>162.29</v>
      </c>
      <c r="AZ1364" s="1">
        <v>3305.43</v>
      </c>
      <c r="BA1364" s="1">
        <v>149.93</v>
      </c>
      <c r="BB1364" s="1">
        <v>153.72</v>
      </c>
      <c r="BC1364" s="1">
        <v>161.22</v>
      </c>
      <c r="BD1364" s="1">
        <v>148.99</v>
      </c>
      <c r="BE1364" s="1">
        <v>139.75</v>
      </c>
      <c r="BF1364" s="1">
        <v>153.69</v>
      </c>
      <c r="BG1364" s="1">
        <v>155.22999999999999</v>
      </c>
      <c r="BH1364" s="1">
        <v>134.53</v>
      </c>
      <c r="BI1364" s="1">
        <v>144.31</v>
      </c>
      <c r="BJ1364" s="1">
        <v>156.61000000000001</v>
      </c>
      <c r="BL1364" s="1">
        <v>138.30000000000001</v>
      </c>
      <c r="BN1364" s="1">
        <v>138.22999999999999</v>
      </c>
    </row>
    <row r="1365" spans="1:66" x14ac:dyDescent="0.3">
      <c r="A1365" s="2"/>
      <c r="C1365" s="14" t="str">
        <f t="shared" si="22"/>
        <v>202010</v>
      </c>
      <c r="D1365" s="3">
        <v>44112</v>
      </c>
      <c r="E1365" s="21">
        <v>2467.65</v>
      </c>
      <c r="F1365" s="21">
        <v>2412.4699999999998</v>
      </c>
      <c r="G1365" s="21">
        <v>2407.41</v>
      </c>
      <c r="H1365" s="21">
        <v>2416.59</v>
      </c>
      <c r="I1365" s="21">
        <v>2286.5700000000002</v>
      </c>
      <c r="J1365" s="21">
        <v>2291.48</v>
      </c>
      <c r="K1365" s="21">
        <v>2249.4</v>
      </c>
      <c r="L1365" s="21">
        <v>2165.02</v>
      </c>
      <c r="M1365" s="21">
        <v>2302.46</v>
      </c>
      <c r="N1365" s="21">
        <v>2231.37</v>
      </c>
      <c r="O1365" s="21">
        <v>2383.15</v>
      </c>
      <c r="P1365" s="21">
        <v>2258.17</v>
      </c>
      <c r="Q1365" s="21">
        <v>7061.02</v>
      </c>
      <c r="R1365" s="20">
        <v>108.88</v>
      </c>
      <c r="S1365" s="20"/>
      <c r="T1365" s="21">
        <v>141.52000000000001</v>
      </c>
      <c r="V1365" s="1">
        <v>138.27000000000001</v>
      </c>
      <c r="W1365" s="1">
        <v>138.65</v>
      </c>
      <c r="X1365" s="1">
        <v>146.76</v>
      </c>
      <c r="Y1365" s="1">
        <v>141.81</v>
      </c>
      <c r="Z1365" s="1">
        <v>142</v>
      </c>
      <c r="AA1365" s="1">
        <v>113.78</v>
      </c>
      <c r="AB1365" s="1">
        <v>146.51</v>
      </c>
      <c r="AE1365" s="1">
        <v>153.38999999999999</v>
      </c>
      <c r="AG1365" s="1">
        <v>151.87</v>
      </c>
      <c r="AK1365" s="1">
        <v>0</v>
      </c>
      <c r="AS1365" s="1">
        <v>3405.59</v>
      </c>
      <c r="AX1365" s="1">
        <v>158.6</v>
      </c>
      <c r="AZ1365" s="1">
        <v>3305.43</v>
      </c>
      <c r="BA1365" s="1">
        <v>149.93</v>
      </c>
      <c r="BB1365" s="1">
        <v>153.68</v>
      </c>
      <c r="BC1365" s="1">
        <v>159.25</v>
      </c>
      <c r="BD1365" s="1">
        <v>151.16999999999999</v>
      </c>
      <c r="BE1365" s="1">
        <v>139.71</v>
      </c>
      <c r="BF1365" s="1">
        <v>155.37</v>
      </c>
      <c r="BG1365" s="1">
        <v>154.47</v>
      </c>
      <c r="BH1365" s="1">
        <v>137.06</v>
      </c>
      <c r="BI1365" s="1">
        <v>144.31</v>
      </c>
      <c r="BJ1365" s="1">
        <v>156.61000000000001</v>
      </c>
      <c r="BL1365" s="1">
        <v>138.5</v>
      </c>
      <c r="BN1365" s="1">
        <v>138.22999999999999</v>
      </c>
    </row>
    <row r="1366" spans="1:66" x14ac:dyDescent="0.3">
      <c r="A1366" s="2"/>
      <c r="C1366" s="14" t="str">
        <f t="shared" si="22"/>
        <v>202010</v>
      </c>
      <c r="D1366" s="3">
        <v>44111</v>
      </c>
      <c r="E1366" s="21">
        <v>2399.0500000000002</v>
      </c>
      <c r="F1366" s="21">
        <v>2383.1799999999998</v>
      </c>
      <c r="G1366" s="21">
        <v>2399.6799999999998</v>
      </c>
      <c r="H1366" s="21">
        <v>2413.4299999999998</v>
      </c>
      <c r="I1366" s="21">
        <v>2257.7800000000002</v>
      </c>
      <c r="J1366" s="21">
        <v>2234.3000000000002</v>
      </c>
      <c r="K1366" s="21">
        <v>2249.4</v>
      </c>
      <c r="L1366" s="21">
        <v>2171.9499999999998</v>
      </c>
      <c r="M1366" s="21">
        <v>2191.5100000000002</v>
      </c>
      <c r="N1366" s="21">
        <v>2248.75</v>
      </c>
      <c r="O1366" s="21">
        <v>2352.84</v>
      </c>
      <c r="P1366" s="21">
        <v>2258.17</v>
      </c>
      <c r="Q1366" s="21">
        <v>7039.81</v>
      </c>
      <c r="R1366" s="20">
        <v>108.88</v>
      </c>
      <c r="S1366" s="20"/>
      <c r="T1366" s="21">
        <v>140.58000000000001</v>
      </c>
      <c r="V1366" s="1">
        <v>137.68</v>
      </c>
      <c r="W1366" s="1">
        <v>138.16999999999999</v>
      </c>
      <c r="X1366" s="1">
        <v>145.69999999999999</v>
      </c>
      <c r="Y1366" s="1">
        <v>140.38999999999999</v>
      </c>
      <c r="Z1366" s="1">
        <v>140.71</v>
      </c>
      <c r="AA1366" s="1">
        <v>113.78</v>
      </c>
      <c r="AB1366" s="1">
        <v>144.53</v>
      </c>
      <c r="AE1366" s="1">
        <v>152.52000000000001</v>
      </c>
      <c r="AG1366" s="1">
        <v>151.87</v>
      </c>
      <c r="AK1366" s="1">
        <v>0</v>
      </c>
      <c r="AS1366" s="1">
        <v>3405.59</v>
      </c>
      <c r="AX1366" s="1">
        <v>153.79</v>
      </c>
      <c r="AZ1366" s="1">
        <v>3305.43</v>
      </c>
      <c r="BA1366" s="1">
        <v>149.93</v>
      </c>
      <c r="BB1366" s="1">
        <v>152.91</v>
      </c>
      <c r="BC1366" s="1">
        <v>157.5</v>
      </c>
      <c r="BD1366" s="1">
        <v>148.93</v>
      </c>
      <c r="BE1366" s="1">
        <v>142.99</v>
      </c>
      <c r="BF1366" s="1">
        <v>156.13</v>
      </c>
      <c r="BG1366" s="1">
        <v>155.08000000000001</v>
      </c>
      <c r="BH1366" s="1">
        <v>136.6</v>
      </c>
      <c r="BI1366" s="1">
        <v>144.11000000000001</v>
      </c>
      <c r="BJ1366" s="1">
        <v>152.91</v>
      </c>
      <c r="BL1366" s="1">
        <v>136.63</v>
      </c>
      <c r="BN1366" s="1">
        <v>137.22999999999999</v>
      </c>
    </row>
    <row r="1367" spans="1:66" x14ac:dyDescent="0.3">
      <c r="A1367" s="2"/>
      <c r="C1367" s="14" t="str">
        <f t="shared" si="22"/>
        <v>202010</v>
      </c>
      <c r="D1367" s="3">
        <v>44110</v>
      </c>
      <c r="E1367" s="21">
        <v>2396.98</v>
      </c>
      <c r="F1367" s="21">
        <v>2379.59</v>
      </c>
      <c r="G1367" s="21">
        <v>2446.6</v>
      </c>
      <c r="H1367" s="21">
        <v>2310.85</v>
      </c>
      <c r="I1367" s="21">
        <v>2233.11</v>
      </c>
      <c r="J1367" s="21">
        <v>2229.2199999999998</v>
      </c>
      <c r="K1367" s="21">
        <v>2196.38</v>
      </c>
      <c r="L1367" s="21">
        <v>2234.48</v>
      </c>
      <c r="M1367" s="21">
        <v>2164.7600000000002</v>
      </c>
      <c r="N1367" s="21">
        <v>2193.52</v>
      </c>
      <c r="O1367" s="21">
        <v>2344.84</v>
      </c>
      <c r="P1367" s="21">
        <v>2195.5500000000002</v>
      </c>
      <c r="Q1367" s="21">
        <v>7011.67</v>
      </c>
      <c r="R1367" s="20">
        <v>108.88</v>
      </c>
      <c r="S1367" s="20"/>
      <c r="T1367" s="21">
        <v>139.83000000000001</v>
      </c>
      <c r="V1367" s="1">
        <v>133.77000000000001</v>
      </c>
      <c r="W1367" s="1">
        <v>138.36000000000001</v>
      </c>
      <c r="X1367" s="1">
        <v>143.71</v>
      </c>
      <c r="Y1367" s="1">
        <v>138.41999999999999</v>
      </c>
      <c r="Z1367" s="1">
        <v>138.72999999999999</v>
      </c>
      <c r="AA1367" s="1">
        <v>113.75</v>
      </c>
      <c r="AB1367" s="1">
        <v>143.01</v>
      </c>
      <c r="AE1367" s="1">
        <v>150.87</v>
      </c>
      <c r="AG1367" s="1">
        <v>144.91999999999999</v>
      </c>
      <c r="AK1367" s="1">
        <v>0</v>
      </c>
      <c r="AS1367" s="1">
        <v>3427.63</v>
      </c>
      <c r="AX1367" s="1">
        <v>153.81</v>
      </c>
      <c r="AZ1367" s="1">
        <v>3305.43</v>
      </c>
      <c r="BA1367" s="1">
        <v>152.75</v>
      </c>
      <c r="BB1367" s="1">
        <v>150.41</v>
      </c>
      <c r="BC1367" s="1">
        <v>154.4</v>
      </c>
      <c r="BD1367" s="1">
        <v>147.16999999999999</v>
      </c>
      <c r="BE1367" s="1">
        <v>142.94</v>
      </c>
      <c r="BF1367" s="1">
        <v>154.26</v>
      </c>
      <c r="BG1367" s="1">
        <v>152.03</v>
      </c>
      <c r="BH1367" s="1">
        <v>135.22</v>
      </c>
      <c r="BI1367" s="1">
        <v>143.51</v>
      </c>
      <c r="BJ1367" s="1">
        <v>155.13</v>
      </c>
      <c r="BL1367" s="1">
        <v>134.69999999999999</v>
      </c>
      <c r="BN1367" s="1">
        <v>134.09</v>
      </c>
    </row>
    <row r="1368" spans="1:66" x14ac:dyDescent="0.3">
      <c r="A1368" s="2"/>
      <c r="C1368" s="14" t="str">
        <f t="shared" si="22"/>
        <v>202010</v>
      </c>
      <c r="D1368" s="3">
        <v>44109</v>
      </c>
      <c r="E1368" s="21">
        <v>2405.4</v>
      </c>
      <c r="F1368" s="21">
        <v>2380.66</v>
      </c>
      <c r="G1368" s="21">
        <v>2449.36</v>
      </c>
      <c r="H1368" s="21">
        <v>2310.85</v>
      </c>
      <c r="I1368" s="21">
        <v>2203.5</v>
      </c>
      <c r="J1368" s="21">
        <v>2223.56</v>
      </c>
      <c r="K1368" s="21">
        <v>2212.5700000000002</v>
      </c>
      <c r="L1368" s="21">
        <v>2251.0100000000002</v>
      </c>
      <c r="M1368" s="21">
        <v>2164.7600000000002</v>
      </c>
      <c r="N1368" s="21">
        <v>2190.5300000000002</v>
      </c>
      <c r="O1368" s="21">
        <v>2346.34</v>
      </c>
      <c r="P1368" s="21">
        <v>2199.4699999999998</v>
      </c>
      <c r="Q1368" s="21">
        <v>7052.7</v>
      </c>
      <c r="R1368" s="20">
        <v>108.88</v>
      </c>
      <c r="S1368" s="20"/>
      <c r="T1368" s="21">
        <v>138.83000000000001</v>
      </c>
      <c r="V1368" s="1">
        <v>135.68</v>
      </c>
      <c r="W1368" s="1">
        <v>136.32</v>
      </c>
      <c r="X1368" s="1">
        <v>143.11000000000001</v>
      </c>
      <c r="Y1368" s="1">
        <v>137.69</v>
      </c>
      <c r="Z1368" s="1">
        <v>138</v>
      </c>
      <c r="AA1368" s="1">
        <v>112.87</v>
      </c>
      <c r="AB1368" s="1">
        <v>142.37</v>
      </c>
      <c r="AE1368" s="1">
        <v>150.91999999999999</v>
      </c>
      <c r="AG1368" s="1">
        <v>145.15</v>
      </c>
      <c r="AK1368" s="1">
        <v>0</v>
      </c>
      <c r="AO1368" s="1">
        <v>7</v>
      </c>
      <c r="AS1368" s="1">
        <v>3471.7</v>
      </c>
      <c r="AT1368" s="1">
        <v>3028.81</v>
      </c>
      <c r="AX1368" s="1">
        <v>147.51</v>
      </c>
      <c r="AZ1368" s="1">
        <v>3505.76</v>
      </c>
      <c r="BA1368" s="1">
        <v>154.69</v>
      </c>
      <c r="BB1368" s="1">
        <v>150.61000000000001</v>
      </c>
      <c r="BC1368" s="1">
        <v>153.53</v>
      </c>
      <c r="BD1368" s="1">
        <v>147.69</v>
      </c>
      <c r="BE1368" s="1">
        <v>147.83000000000001</v>
      </c>
      <c r="BF1368" s="1">
        <v>151.4</v>
      </c>
      <c r="BG1368" s="1">
        <v>152.01</v>
      </c>
      <c r="BH1368" s="1">
        <v>137.1</v>
      </c>
      <c r="BI1368" s="1">
        <v>142.31</v>
      </c>
      <c r="BJ1368" s="1">
        <v>156.61000000000001</v>
      </c>
      <c r="BL1368" s="1">
        <v>133.5</v>
      </c>
      <c r="BN1368" s="1">
        <v>133.07</v>
      </c>
    </row>
    <row r="1369" spans="1:66" x14ac:dyDescent="0.3">
      <c r="A1369" s="2"/>
      <c r="C1369" s="14" t="str">
        <f t="shared" si="22"/>
        <v>202010</v>
      </c>
      <c r="D1369" s="3">
        <v>44106</v>
      </c>
      <c r="E1369" s="21">
        <v>2388.56</v>
      </c>
      <c r="F1369" s="21">
        <v>2331.11</v>
      </c>
      <c r="G1369" s="21">
        <v>2430.5100000000002</v>
      </c>
      <c r="H1369" s="21">
        <v>2208.5500000000002</v>
      </c>
      <c r="I1369" s="21">
        <v>2154.9699999999998</v>
      </c>
      <c r="J1369" s="21">
        <v>2282.3200000000002</v>
      </c>
      <c r="K1369" s="21">
        <v>2212.5700000000002</v>
      </c>
      <c r="L1369" s="21">
        <v>2248.13</v>
      </c>
      <c r="M1369" s="21"/>
      <c r="N1369" s="21">
        <v>2190.5300000000002</v>
      </c>
      <c r="O1369" s="21">
        <v>2343.23</v>
      </c>
      <c r="P1369" s="21">
        <v>2199.4699999999998</v>
      </c>
      <c r="Q1369" s="21">
        <v>7070.47</v>
      </c>
      <c r="R1369" s="20">
        <v>111.76</v>
      </c>
      <c r="S1369" s="20"/>
      <c r="T1369" s="21">
        <v>138.83000000000001</v>
      </c>
      <c r="V1369" s="1">
        <v>135.88</v>
      </c>
      <c r="W1369" s="1">
        <v>134.75</v>
      </c>
      <c r="X1369" s="1">
        <v>142.13999999999999</v>
      </c>
      <c r="Y1369" s="1">
        <v>136.11000000000001</v>
      </c>
      <c r="Z1369" s="1">
        <v>136.61000000000001</v>
      </c>
      <c r="AA1369" s="1">
        <v>115.12</v>
      </c>
      <c r="AB1369" s="1">
        <v>141.54</v>
      </c>
      <c r="AE1369" s="1">
        <v>150.78</v>
      </c>
      <c r="AF1369" s="1">
        <v>140.27000000000001</v>
      </c>
      <c r="AG1369" s="1">
        <v>149.26</v>
      </c>
      <c r="AK1369" s="1">
        <v>0</v>
      </c>
      <c r="AO1369" s="1">
        <v>7</v>
      </c>
      <c r="AS1369" s="1">
        <v>3471.7</v>
      </c>
      <c r="AT1369" s="1">
        <v>3028.81</v>
      </c>
      <c r="AW1369" s="1">
        <v>3026.97</v>
      </c>
      <c r="AX1369" s="1">
        <v>151.71</v>
      </c>
      <c r="AZ1369" s="1">
        <v>3505.76</v>
      </c>
      <c r="BA1369" s="1">
        <v>154.85</v>
      </c>
      <c r="BB1369" s="1">
        <v>150.91999999999999</v>
      </c>
      <c r="BC1369" s="1">
        <v>152.1</v>
      </c>
      <c r="BD1369" s="1">
        <v>146.91</v>
      </c>
      <c r="BF1369" s="1">
        <v>154.16</v>
      </c>
      <c r="BG1369" s="1">
        <v>152.78</v>
      </c>
      <c r="BH1369" s="1">
        <v>133.21</v>
      </c>
      <c r="BI1369" s="1">
        <v>138.72</v>
      </c>
      <c r="BJ1369" s="1">
        <v>149.93</v>
      </c>
      <c r="BL1369" s="1">
        <v>132.97</v>
      </c>
      <c r="BN1369" s="1">
        <v>132.72999999999999</v>
      </c>
    </row>
    <row r="1370" spans="1:66" x14ac:dyDescent="0.3">
      <c r="A1370" s="2"/>
      <c r="C1370" s="14" t="str">
        <f t="shared" si="22"/>
        <v>202010</v>
      </c>
      <c r="D1370" s="3">
        <v>44105</v>
      </c>
      <c r="E1370" s="21">
        <v>2345.91</v>
      </c>
      <c r="F1370" s="21">
        <v>2316.1799999999998</v>
      </c>
      <c r="G1370" s="21">
        <v>2428.04</v>
      </c>
      <c r="H1370" s="21">
        <v>2154.4</v>
      </c>
      <c r="I1370" s="21">
        <v>2173.89</v>
      </c>
      <c r="J1370" s="21">
        <v>2236.37</v>
      </c>
      <c r="K1370" s="21">
        <v>2206.9</v>
      </c>
      <c r="L1370" s="21">
        <v>2248.13</v>
      </c>
      <c r="M1370" s="21"/>
      <c r="N1370" s="21">
        <v>2125.27</v>
      </c>
      <c r="O1370" s="21">
        <v>2321.02</v>
      </c>
      <c r="P1370" s="21">
        <v>2191.52</v>
      </c>
      <c r="Q1370" s="21">
        <v>7031.48</v>
      </c>
      <c r="R1370" s="20">
        <v>108.88</v>
      </c>
      <c r="S1370" s="20"/>
      <c r="T1370" s="21">
        <v>138.83000000000001</v>
      </c>
      <c r="V1370" s="1">
        <v>136.06</v>
      </c>
      <c r="W1370" s="1">
        <v>134.04</v>
      </c>
      <c r="X1370" s="1">
        <v>142.56</v>
      </c>
      <c r="Y1370" s="1">
        <v>135.01</v>
      </c>
      <c r="Z1370" s="1">
        <v>135</v>
      </c>
      <c r="AA1370" s="1">
        <v>112.84</v>
      </c>
      <c r="AB1370" s="1">
        <v>142.58000000000001</v>
      </c>
      <c r="AE1370" s="1">
        <v>148.88</v>
      </c>
      <c r="AF1370" s="1">
        <v>140.75</v>
      </c>
      <c r="AG1370" s="1">
        <v>147.06</v>
      </c>
      <c r="AK1370" s="1">
        <v>0</v>
      </c>
      <c r="AO1370" s="1">
        <v>7</v>
      </c>
      <c r="AS1370" s="1">
        <v>3471.7</v>
      </c>
      <c r="AT1370" s="1">
        <v>3028.81</v>
      </c>
      <c r="AW1370" s="1">
        <v>3026.97</v>
      </c>
      <c r="AX1370" s="1">
        <v>152.01</v>
      </c>
      <c r="AZ1370" s="1">
        <v>3505.76</v>
      </c>
      <c r="BA1370" s="1">
        <v>151.28</v>
      </c>
      <c r="BB1370" s="1">
        <v>149.97</v>
      </c>
      <c r="BC1370" s="1">
        <v>150.83000000000001</v>
      </c>
      <c r="BD1370" s="1">
        <v>146.66999999999999</v>
      </c>
      <c r="BE1370" s="1">
        <v>143.86000000000001</v>
      </c>
      <c r="BF1370" s="1">
        <v>149.9</v>
      </c>
      <c r="BG1370" s="1">
        <v>149.94999999999999</v>
      </c>
      <c r="BH1370" s="1">
        <v>131.32</v>
      </c>
      <c r="BI1370" s="1">
        <v>136.72999999999999</v>
      </c>
      <c r="BJ1370" s="1">
        <v>149.93</v>
      </c>
      <c r="BL1370" s="1">
        <v>131.30000000000001</v>
      </c>
      <c r="BN1370" s="1">
        <v>131.22999999999999</v>
      </c>
    </row>
    <row r="1371" spans="1:66" x14ac:dyDescent="0.3">
      <c r="A1371" s="2"/>
      <c r="C1371" s="14" t="str">
        <f t="shared" si="22"/>
        <v>20209</v>
      </c>
      <c r="D1371" s="3">
        <v>44104</v>
      </c>
      <c r="E1371" s="21">
        <v>2293.63</v>
      </c>
      <c r="F1371" s="21">
        <v>2273.71</v>
      </c>
      <c r="G1371" s="21">
        <v>2343.13</v>
      </c>
      <c r="H1371" s="21">
        <v>2199.3200000000002</v>
      </c>
      <c r="I1371" s="21">
        <v>2156.61</v>
      </c>
      <c r="J1371" s="21">
        <v>2160.87</v>
      </c>
      <c r="K1371" s="21">
        <v>2158.2800000000002</v>
      </c>
      <c r="L1371" s="21">
        <v>2158.44</v>
      </c>
      <c r="M1371" s="21"/>
      <c r="N1371" s="21">
        <v>2129.1799999999998</v>
      </c>
      <c r="O1371" s="21">
        <v>2200.9</v>
      </c>
      <c r="P1371" s="21">
        <v>2171.65</v>
      </c>
      <c r="Q1371" s="21">
        <v>6948.47</v>
      </c>
      <c r="R1371" s="20">
        <v>107.89</v>
      </c>
      <c r="S1371" s="20"/>
      <c r="T1371" s="21">
        <v>136.38</v>
      </c>
      <c r="V1371" s="1">
        <v>130.51</v>
      </c>
      <c r="W1371" s="1">
        <v>131.24</v>
      </c>
      <c r="X1371" s="1">
        <v>141.06</v>
      </c>
      <c r="Y1371" s="1">
        <v>133.84</v>
      </c>
      <c r="Z1371" s="1">
        <v>134.24</v>
      </c>
      <c r="AA1371" s="1">
        <v>112.22</v>
      </c>
      <c r="AB1371" s="1">
        <v>141.63</v>
      </c>
      <c r="AE1371" s="1">
        <v>147.55000000000001</v>
      </c>
      <c r="AF1371" s="1">
        <v>140.75</v>
      </c>
      <c r="AG1371" s="1">
        <v>146</v>
      </c>
      <c r="AK1371" s="1">
        <v>0</v>
      </c>
      <c r="AO1371" s="1">
        <v>7</v>
      </c>
      <c r="AS1371" s="1">
        <v>3471.7</v>
      </c>
      <c r="AT1371" s="1">
        <v>3028.81</v>
      </c>
      <c r="AW1371" s="1">
        <v>3026.97</v>
      </c>
      <c r="AX1371" s="1">
        <v>152.01</v>
      </c>
      <c r="AZ1371" s="1">
        <v>3505.76</v>
      </c>
      <c r="BA1371" s="1">
        <v>149.30000000000001</v>
      </c>
      <c r="BB1371" s="1">
        <v>148.1</v>
      </c>
      <c r="BC1371" s="1">
        <v>149.36000000000001</v>
      </c>
      <c r="BD1371" s="1">
        <v>142.79</v>
      </c>
      <c r="BE1371" s="1">
        <v>143.33000000000001</v>
      </c>
      <c r="BF1371" s="1">
        <v>149.88</v>
      </c>
      <c r="BG1371" s="1">
        <v>148.06</v>
      </c>
      <c r="BH1371" s="1">
        <v>129.86000000000001</v>
      </c>
      <c r="BI1371" s="1">
        <v>134.13999999999999</v>
      </c>
      <c r="BJ1371" s="1">
        <v>142.53</v>
      </c>
      <c r="BL1371" s="1">
        <v>129.63</v>
      </c>
      <c r="BN1371" s="1">
        <v>129.57</v>
      </c>
    </row>
    <row r="1372" spans="1:66" x14ac:dyDescent="0.3">
      <c r="A1372" s="2"/>
      <c r="C1372" s="14" t="str">
        <f t="shared" si="22"/>
        <v>20209</v>
      </c>
      <c r="D1372" s="3">
        <v>44103</v>
      </c>
      <c r="E1372" s="21">
        <v>2283.7399999999998</v>
      </c>
      <c r="F1372" s="21">
        <v>2242.98</v>
      </c>
      <c r="G1372" s="21">
        <v>2338.19</v>
      </c>
      <c r="H1372" s="21">
        <v>2206.3200000000002</v>
      </c>
      <c r="I1372" s="21">
        <v>2114.66</v>
      </c>
      <c r="J1372" s="21">
        <v>2105.37</v>
      </c>
      <c r="K1372" s="21">
        <v>2154.9699999999998</v>
      </c>
      <c r="L1372" s="21">
        <v>2181.1999999999998</v>
      </c>
      <c r="M1372" s="21"/>
      <c r="N1372" s="21">
        <v>2084.3000000000002</v>
      </c>
      <c r="O1372" s="21">
        <v>2187.48</v>
      </c>
      <c r="P1372" s="21">
        <v>2173.67</v>
      </c>
      <c r="Q1372" s="21">
        <v>6934.99</v>
      </c>
      <c r="R1372" s="20">
        <v>107.22</v>
      </c>
      <c r="S1372" s="20"/>
      <c r="T1372" s="21">
        <v>135.35</v>
      </c>
      <c r="V1372" s="1">
        <v>132.49</v>
      </c>
      <c r="W1372" s="1">
        <v>129.81</v>
      </c>
      <c r="X1372" s="1">
        <v>140.81</v>
      </c>
      <c r="Y1372" s="1">
        <v>132.43</v>
      </c>
      <c r="Z1372" s="1">
        <v>132.5</v>
      </c>
      <c r="AA1372" s="1">
        <v>111.97</v>
      </c>
      <c r="AB1372" s="1">
        <v>141.41</v>
      </c>
      <c r="AC1372" s="1">
        <v>122.25</v>
      </c>
      <c r="AE1372" s="1">
        <v>146.52000000000001</v>
      </c>
      <c r="AF1372" s="1">
        <v>143.12</v>
      </c>
      <c r="AG1372" s="1">
        <v>145.88</v>
      </c>
      <c r="AO1372" s="1">
        <v>7</v>
      </c>
      <c r="AT1372" s="1">
        <v>3028.81</v>
      </c>
      <c r="AW1372" s="1">
        <v>3026.97</v>
      </c>
      <c r="AX1372" s="1">
        <v>147.30000000000001</v>
      </c>
      <c r="AZ1372" s="1">
        <v>3505.76</v>
      </c>
      <c r="BA1372" s="1">
        <v>142.32</v>
      </c>
      <c r="BB1372" s="1">
        <v>145.34</v>
      </c>
      <c r="BC1372" s="1">
        <v>148.9</v>
      </c>
      <c r="BD1372" s="1">
        <v>139.74</v>
      </c>
      <c r="BE1372" s="1">
        <v>141.87</v>
      </c>
      <c r="BF1372" s="1">
        <v>149.47</v>
      </c>
      <c r="BG1372" s="1">
        <v>147.72999999999999</v>
      </c>
      <c r="BH1372" s="1">
        <v>132.44</v>
      </c>
      <c r="BI1372" s="1">
        <v>133.54</v>
      </c>
      <c r="BJ1372" s="1">
        <v>142.53</v>
      </c>
      <c r="BL1372" s="1">
        <v>128.80000000000001</v>
      </c>
      <c r="BN1372" s="1">
        <v>128.72999999999999</v>
      </c>
    </row>
    <row r="1373" spans="1:66" x14ac:dyDescent="0.3">
      <c r="A1373" s="2"/>
      <c r="C1373" s="14" t="str">
        <f t="shared" si="22"/>
        <v>20209</v>
      </c>
      <c r="D1373" s="3">
        <v>44102</v>
      </c>
      <c r="E1373" s="21">
        <v>2283.7399999999998</v>
      </c>
      <c r="F1373" s="21">
        <v>2242.98</v>
      </c>
      <c r="G1373" s="21">
        <v>2333.2199999999998</v>
      </c>
      <c r="H1373" s="21">
        <v>2204.12</v>
      </c>
      <c r="I1373" s="21">
        <v>2114.66</v>
      </c>
      <c r="J1373" s="21">
        <v>2129.12</v>
      </c>
      <c r="K1373" s="21">
        <v>2153.31</v>
      </c>
      <c r="L1373" s="21">
        <v>2119.9699999999998</v>
      </c>
      <c r="M1373" s="21"/>
      <c r="N1373" s="21">
        <v>2055.13</v>
      </c>
      <c r="O1373" s="21">
        <v>2163.91</v>
      </c>
      <c r="P1373" s="21">
        <v>2173.67</v>
      </c>
      <c r="Q1373" s="21">
        <v>6920.89</v>
      </c>
      <c r="R1373" s="20">
        <v>107.22</v>
      </c>
      <c r="S1373" s="20"/>
      <c r="T1373" s="21">
        <v>136.29</v>
      </c>
      <c r="V1373" s="1">
        <v>132.49</v>
      </c>
      <c r="W1373" s="1">
        <v>131.49</v>
      </c>
      <c r="X1373" s="1">
        <v>138.15</v>
      </c>
      <c r="Y1373" s="1">
        <v>132.06</v>
      </c>
      <c r="Z1373" s="1">
        <v>132.30000000000001</v>
      </c>
      <c r="AA1373" s="1">
        <v>111.59</v>
      </c>
      <c r="AB1373" s="1">
        <v>137.63999999999999</v>
      </c>
      <c r="AC1373" s="1">
        <v>122.39</v>
      </c>
      <c r="AE1373" s="1">
        <v>144.76</v>
      </c>
      <c r="AF1373" s="1">
        <v>143.71</v>
      </c>
      <c r="AW1373" s="1">
        <v>3026.97</v>
      </c>
      <c r="AX1373" s="1">
        <v>144.80000000000001</v>
      </c>
      <c r="BA1373" s="1">
        <v>142.13999999999999</v>
      </c>
      <c r="BB1373" s="1">
        <v>144.99</v>
      </c>
      <c r="BC1373" s="1">
        <v>148.27000000000001</v>
      </c>
      <c r="BD1373" s="1">
        <v>141.27000000000001</v>
      </c>
      <c r="BE1373" s="1">
        <v>137.62</v>
      </c>
      <c r="BF1373" s="1">
        <v>149.22999999999999</v>
      </c>
      <c r="BG1373" s="1">
        <v>146.27000000000001</v>
      </c>
      <c r="BH1373" s="1">
        <v>133.02000000000001</v>
      </c>
      <c r="BI1373" s="1">
        <v>133.54</v>
      </c>
      <c r="BJ1373" s="1">
        <v>142.53</v>
      </c>
      <c r="BL1373" s="1">
        <v>128.80000000000001</v>
      </c>
      <c r="BN1373" s="1">
        <v>128.72999999999999</v>
      </c>
    </row>
    <row r="1374" spans="1:66" x14ac:dyDescent="0.3">
      <c r="A1374" s="2"/>
      <c r="C1374" s="14" t="str">
        <f t="shared" si="22"/>
        <v>20209</v>
      </c>
      <c r="D1374" s="3">
        <v>44099</v>
      </c>
      <c r="E1374" s="21">
        <v>2303.58</v>
      </c>
      <c r="F1374" s="21">
        <v>2247.91</v>
      </c>
      <c r="G1374" s="21">
        <v>2313.35</v>
      </c>
      <c r="H1374" s="21">
        <v>2183.75</v>
      </c>
      <c r="I1374" s="21">
        <v>2161.5500000000002</v>
      </c>
      <c r="J1374" s="21">
        <v>2129.12</v>
      </c>
      <c r="K1374" s="21">
        <v>2195.4</v>
      </c>
      <c r="L1374" s="21">
        <v>2127.41</v>
      </c>
      <c r="M1374" s="21"/>
      <c r="N1374" s="21">
        <v>2069.9499999999998</v>
      </c>
      <c r="O1374" s="21">
        <v>2198.4</v>
      </c>
      <c r="P1374" s="21">
        <v>2168.88</v>
      </c>
      <c r="Q1374" s="21">
        <v>6906.79</v>
      </c>
      <c r="R1374" s="20">
        <v>107.22</v>
      </c>
      <c r="S1374" s="20"/>
      <c r="T1374" s="21">
        <v>136.34</v>
      </c>
      <c r="U1374" s="1">
        <v>146.71</v>
      </c>
      <c r="V1374" s="1">
        <v>134</v>
      </c>
      <c r="W1374" s="1">
        <v>127.84</v>
      </c>
      <c r="X1374" s="1">
        <v>137.18</v>
      </c>
      <c r="Y1374" s="1">
        <v>131.30000000000001</v>
      </c>
      <c r="Z1374" s="1">
        <v>131.74</v>
      </c>
      <c r="AA1374" s="1">
        <v>112.42</v>
      </c>
      <c r="AB1374" s="1">
        <v>136.76</v>
      </c>
      <c r="AC1374" s="1">
        <v>122.82</v>
      </c>
      <c r="AE1374" s="1">
        <v>144.63</v>
      </c>
      <c r="AF1374" s="1">
        <v>141.04</v>
      </c>
      <c r="AX1374" s="1">
        <v>147.05000000000001</v>
      </c>
      <c r="BA1374" s="1">
        <v>137.41</v>
      </c>
      <c r="BB1374" s="1">
        <v>144.26</v>
      </c>
      <c r="BC1374" s="1">
        <v>148.24</v>
      </c>
      <c r="BD1374" s="1">
        <v>139.94999999999999</v>
      </c>
      <c r="BF1374" s="1">
        <v>148.47999999999999</v>
      </c>
      <c r="BG1374" s="1">
        <v>146.13999999999999</v>
      </c>
      <c r="BH1374" s="1">
        <v>134.76</v>
      </c>
      <c r="BI1374" s="1">
        <v>133.54</v>
      </c>
      <c r="BJ1374" s="1">
        <v>142.53</v>
      </c>
      <c r="BL1374" s="1">
        <v>128.30000000000001</v>
      </c>
      <c r="BN1374" s="1">
        <v>128.22999999999999</v>
      </c>
    </row>
    <row r="1375" spans="1:66" x14ac:dyDescent="0.3">
      <c r="A1375" s="2"/>
      <c r="C1375" s="14" t="str">
        <f t="shared" si="22"/>
        <v>20209</v>
      </c>
      <c r="D1375" s="3">
        <v>44098</v>
      </c>
      <c r="E1375" s="21">
        <v>2291.25</v>
      </c>
      <c r="F1375" s="21">
        <v>2229.12</v>
      </c>
      <c r="G1375" s="21">
        <v>2301.02</v>
      </c>
      <c r="H1375" s="21">
        <v>2199.62</v>
      </c>
      <c r="I1375" s="21">
        <v>2141.81</v>
      </c>
      <c r="J1375" s="21">
        <v>2071.7199999999998</v>
      </c>
      <c r="K1375" s="21">
        <v>2156.63</v>
      </c>
      <c r="L1375" s="21">
        <v>2153.91</v>
      </c>
      <c r="M1375" s="21"/>
      <c r="N1375" s="21">
        <v>2095.25</v>
      </c>
      <c r="O1375" s="21">
        <v>2088.7399999999998</v>
      </c>
      <c r="P1375" s="21">
        <v>2153.7399999999998</v>
      </c>
      <c r="Q1375" s="21">
        <v>6821.08</v>
      </c>
      <c r="R1375" s="20">
        <v>107.89</v>
      </c>
      <c r="S1375" s="20"/>
      <c r="T1375" s="21">
        <v>134.30000000000001</v>
      </c>
      <c r="U1375" s="1">
        <v>149.02000000000001</v>
      </c>
      <c r="V1375" s="1">
        <v>132.09</v>
      </c>
      <c r="W1375" s="1">
        <v>127.5</v>
      </c>
      <c r="X1375" s="1">
        <v>137.18</v>
      </c>
      <c r="Y1375" s="1">
        <v>130.63999999999999</v>
      </c>
      <c r="Z1375" s="1">
        <v>130.49</v>
      </c>
      <c r="AA1375" s="1">
        <v>112.14</v>
      </c>
      <c r="AB1375" s="1">
        <v>136.97999999999999</v>
      </c>
      <c r="AC1375" s="1">
        <v>124.12</v>
      </c>
      <c r="AE1375" s="1">
        <v>144.52000000000001</v>
      </c>
      <c r="AG1375" s="1">
        <v>142.43</v>
      </c>
      <c r="AX1375" s="1">
        <v>147.05000000000001</v>
      </c>
      <c r="BA1375" s="1">
        <v>137.36000000000001</v>
      </c>
      <c r="BB1375" s="1">
        <v>142.77000000000001</v>
      </c>
      <c r="BC1375" s="1">
        <v>148.13</v>
      </c>
      <c r="BD1375" s="1">
        <v>141.86000000000001</v>
      </c>
      <c r="BF1375" s="1">
        <v>145.6</v>
      </c>
      <c r="BG1375" s="1">
        <v>145.05000000000001</v>
      </c>
      <c r="BH1375" s="1">
        <v>133.47</v>
      </c>
      <c r="BI1375" s="1">
        <v>133.54</v>
      </c>
      <c r="BJ1375" s="1">
        <v>141.66</v>
      </c>
      <c r="BL1375" s="1">
        <v>126.97</v>
      </c>
      <c r="BN1375" s="1">
        <v>126.73</v>
      </c>
    </row>
    <row r="1376" spans="1:66" x14ac:dyDescent="0.3">
      <c r="A1376" s="2"/>
      <c r="C1376" s="14" t="str">
        <f t="shared" si="22"/>
        <v>20209</v>
      </c>
      <c r="D1376" s="3">
        <v>44097</v>
      </c>
      <c r="E1376" s="21">
        <v>2236.67</v>
      </c>
      <c r="F1376" s="21">
        <v>2199.5100000000002</v>
      </c>
      <c r="G1376" s="21">
        <v>2278.81</v>
      </c>
      <c r="H1376" s="21">
        <v>2203.3200000000002</v>
      </c>
      <c r="I1376" s="21">
        <v>2060.38</v>
      </c>
      <c r="J1376" s="21">
        <v>2070.86</v>
      </c>
      <c r="K1376" s="21">
        <v>2107.11</v>
      </c>
      <c r="L1376" s="21"/>
      <c r="M1376" s="21"/>
      <c r="N1376" s="21">
        <v>2079.0100000000002</v>
      </c>
      <c r="O1376" s="21">
        <v>2075.34</v>
      </c>
      <c r="P1376" s="21">
        <v>2133.87</v>
      </c>
      <c r="Q1376" s="21">
        <v>6831.8</v>
      </c>
      <c r="R1376" s="20">
        <v>109.27</v>
      </c>
      <c r="S1376" s="20"/>
      <c r="T1376" s="21">
        <v>134.81</v>
      </c>
      <c r="U1376" s="1">
        <v>147.94999999999999</v>
      </c>
      <c r="V1376" s="1">
        <v>127.39</v>
      </c>
      <c r="W1376" s="1">
        <v>125.63</v>
      </c>
      <c r="X1376" s="1">
        <v>135.44999999999999</v>
      </c>
      <c r="Y1376" s="1">
        <v>129.28</v>
      </c>
      <c r="Z1376" s="1">
        <v>129.71</v>
      </c>
      <c r="AA1376" s="1">
        <v>113.95</v>
      </c>
      <c r="AB1376" s="1">
        <v>135.85</v>
      </c>
      <c r="AC1376" s="1">
        <v>124.12</v>
      </c>
      <c r="AE1376" s="1">
        <v>144.69999999999999</v>
      </c>
      <c r="AG1376" s="1">
        <v>139.62</v>
      </c>
      <c r="AX1376" s="1">
        <v>146.72</v>
      </c>
      <c r="BA1376" s="1">
        <v>137.47</v>
      </c>
      <c r="BB1376" s="1">
        <v>143.83000000000001</v>
      </c>
      <c r="BC1376" s="1">
        <v>145.22999999999999</v>
      </c>
      <c r="BD1376" s="1">
        <v>139.47</v>
      </c>
      <c r="BE1376" s="1">
        <v>131.04</v>
      </c>
      <c r="BF1376" s="1">
        <v>142.84</v>
      </c>
      <c r="BG1376" s="1">
        <v>144.97999999999999</v>
      </c>
      <c r="BH1376" s="1">
        <v>131.86000000000001</v>
      </c>
      <c r="BI1376" s="1">
        <v>133.52000000000001</v>
      </c>
      <c r="BJ1376" s="1">
        <v>142.05000000000001</v>
      </c>
      <c r="BL1376" s="1">
        <v>126.3</v>
      </c>
      <c r="BN1376" s="1">
        <v>126.23</v>
      </c>
    </row>
    <row r="1377" spans="1:66" x14ac:dyDescent="0.3">
      <c r="A1377" s="2"/>
      <c r="C1377" s="14" t="str">
        <f t="shared" si="22"/>
        <v>20209</v>
      </c>
      <c r="D1377" s="3">
        <v>44096</v>
      </c>
      <c r="E1377" s="21">
        <v>2219.12</v>
      </c>
      <c r="F1377" s="21">
        <v>2157.37</v>
      </c>
      <c r="G1377" s="21">
        <v>2250.42</v>
      </c>
      <c r="H1377" s="21">
        <v>2203.3200000000002</v>
      </c>
      <c r="I1377" s="21">
        <v>2028.3</v>
      </c>
      <c r="J1377" s="21">
        <v>2104.3000000000002</v>
      </c>
      <c r="K1377" s="21">
        <v>2081.29</v>
      </c>
      <c r="L1377" s="21"/>
      <c r="M1377" s="21"/>
      <c r="N1377" s="21">
        <v>2029.58</v>
      </c>
      <c r="O1377" s="21">
        <v>2085.75</v>
      </c>
      <c r="P1377" s="21">
        <v>2094.13</v>
      </c>
      <c r="Q1377" s="21">
        <v>6583.85</v>
      </c>
      <c r="R1377" s="20">
        <v>106.89</v>
      </c>
      <c r="S1377" s="20"/>
      <c r="T1377" s="21">
        <v>131.33000000000001</v>
      </c>
      <c r="U1377" s="1">
        <v>144.74</v>
      </c>
      <c r="V1377" s="1">
        <v>125.58</v>
      </c>
      <c r="W1377" s="1">
        <v>125.75</v>
      </c>
      <c r="X1377" s="1">
        <v>134.57</v>
      </c>
      <c r="Y1377" s="1">
        <v>127.3</v>
      </c>
      <c r="Z1377" s="1">
        <v>127.61</v>
      </c>
      <c r="AA1377" s="1">
        <v>110.72</v>
      </c>
      <c r="AB1377" s="1">
        <v>134.65</v>
      </c>
      <c r="AE1377" s="1">
        <v>142.71</v>
      </c>
      <c r="AG1377" s="1">
        <v>136.05000000000001</v>
      </c>
      <c r="AX1377" s="1">
        <v>146.81</v>
      </c>
      <c r="BA1377" s="1">
        <v>137.88</v>
      </c>
      <c r="BB1377" s="1">
        <v>140.85</v>
      </c>
      <c r="BC1377" s="1">
        <v>142.35</v>
      </c>
      <c r="BD1377" s="1">
        <v>137.03</v>
      </c>
      <c r="BE1377" s="1">
        <v>137.07</v>
      </c>
      <c r="BF1377" s="1">
        <v>141.94</v>
      </c>
      <c r="BG1377" s="1">
        <v>143.63</v>
      </c>
      <c r="BH1377" s="1">
        <v>132.26</v>
      </c>
      <c r="BI1377" s="1">
        <v>132.71</v>
      </c>
      <c r="BJ1377" s="1">
        <v>141.01</v>
      </c>
      <c r="BL1377" s="1">
        <v>124.3</v>
      </c>
      <c r="BN1377" s="1">
        <v>121.89</v>
      </c>
    </row>
    <row r="1378" spans="1:66" x14ac:dyDescent="0.3">
      <c r="A1378" s="2"/>
      <c r="C1378" s="14" t="str">
        <f t="shared" si="22"/>
        <v>20209</v>
      </c>
      <c r="D1378" s="3">
        <v>44095</v>
      </c>
      <c r="E1378" s="21">
        <v>2167.3000000000002</v>
      </c>
      <c r="F1378" s="21">
        <v>2157.96</v>
      </c>
      <c r="G1378" s="21">
        <v>2255.39</v>
      </c>
      <c r="H1378" s="21">
        <v>2203.3200000000002</v>
      </c>
      <c r="I1378" s="21">
        <v>2046.4</v>
      </c>
      <c r="J1378" s="21">
        <v>2099.9299999999998</v>
      </c>
      <c r="K1378" s="21">
        <v>2063.14</v>
      </c>
      <c r="L1378" s="21"/>
      <c r="M1378" s="21"/>
      <c r="N1378" s="21">
        <v>1958.05</v>
      </c>
      <c r="O1378" s="21">
        <v>2037.24</v>
      </c>
      <c r="P1378" s="21">
        <v>2046.32</v>
      </c>
      <c r="Q1378" s="21">
        <v>6590.02</v>
      </c>
      <c r="R1378" s="20">
        <v>106.55</v>
      </c>
      <c r="S1378" s="20"/>
      <c r="T1378" s="21">
        <v>131.30000000000001</v>
      </c>
      <c r="U1378" s="1">
        <v>139.41</v>
      </c>
      <c r="V1378" s="1">
        <v>122.27</v>
      </c>
      <c r="W1378" s="1">
        <v>125.13</v>
      </c>
      <c r="X1378" s="1">
        <v>134.57</v>
      </c>
      <c r="Y1378" s="1">
        <v>126.92</v>
      </c>
      <c r="Z1378" s="1">
        <v>127</v>
      </c>
      <c r="AA1378" s="1">
        <v>110.07</v>
      </c>
      <c r="AB1378" s="1">
        <v>134.85</v>
      </c>
      <c r="AE1378" s="1">
        <v>143.01</v>
      </c>
      <c r="AG1378" s="1">
        <v>135.1</v>
      </c>
      <c r="AX1378" s="1">
        <v>143.05000000000001</v>
      </c>
      <c r="BA1378" s="1">
        <v>137.88</v>
      </c>
      <c r="BB1378" s="1">
        <v>141.16</v>
      </c>
      <c r="BC1378" s="1">
        <v>140.65</v>
      </c>
      <c r="BD1378" s="1">
        <v>137.93</v>
      </c>
      <c r="BE1378" s="1">
        <v>133.26</v>
      </c>
      <c r="BF1378" s="1">
        <v>139.63999999999999</v>
      </c>
      <c r="BG1378" s="1">
        <v>143.49</v>
      </c>
      <c r="BH1378" s="1">
        <v>133.97</v>
      </c>
      <c r="BI1378" s="1">
        <v>132.13999999999999</v>
      </c>
      <c r="BJ1378" s="1">
        <v>141.19999999999999</v>
      </c>
      <c r="BL1378" s="1">
        <v>122.09</v>
      </c>
      <c r="BN1378" s="1">
        <v>121.09</v>
      </c>
    </row>
    <row r="1379" spans="1:66" x14ac:dyDescent="0.3">
      <c r="A1379" s="2"/>
      <c r="C1379" s="14" t="str">
        <f t="shared" si="22"/>
        <v>20209</v>
      </c>
      <c r="D1379" s="3">
        <v>44092</v>
      </c>
      <c r="E1379" s="21">
        <v>2143.4499999999998</v>
      </c>
      <c r="F1379" s="21">
        <v>2092.08</v>
      </c>
      <c r="G1379" s="21">
        <v>2157.4899999999998</v>
      </c>
      <c r="H1379" s="21">
        <v>1979.27</v>
      </c>
      <c r="I1379" s="21">
        <v>2006.92</v>
      </c>
      <c r="J1379" s="21">
        <v>2047.5</v>
      </c>
      <c r="K1379" s="21">
        <v>2061.5500000000002</v>
      </c>
      <c r="L1379" s="21">
        <v>2013.18</v>
      </c>
      <c r="M1379" s="21"/>
      <c r="N1379" s="21">
        <v>1934.77</v>
      </c>
      <c r="O1379" s="21">
        <v>2024.24</v>
      </c>
      <c r="P1379" s="21">
        <v>2047.74</v>
      </c>
      <c r="Q1379" s="21">
        <v>6480.18</v>
      </c>
      <c r="R1379" s="20">
        <v>106.55</v>
      </c>
      <c r="S1379" s="20"/>
      <c r="T1379" s="21">
        <v>129.79</v>
      </c>
      <c r="V1379" s="1">
        <v>123.75</v>
      </c>
      <c r="W1379" s="1">
        <v>123.13</v>
      </c>
      <c r="X1379" s="1">
        <v>131.77000000000001</v>
      </c>
      <c r="Y1379" s="1">
        <v>124.96</v>
      </c>
      <c r="Z1379" s="1">
        <v>125.61</v>
      </c>
      <c r="AA1379" s="1">
        <v>110.07</v>
      </c>
      <c r="AB1379" s="1">
        <v>130.33000000000001</v>
      </c>
      <c r="AE1379" s="1">
        <v>139</v>
      </c>
      <c r="AG1379" s="1">
        <v>135.09</v>
      </c>
      <c r="AX1379" s="1">
        <v>139.07</v>
      </c>
      <c r="BA1379" s="1">
        <v>137.63</v>
      </c>
      <c r="BB1379" s="1">
        <v>140.22</v>
      </c>
      <c r="BC1379" s="1">
        <v>136.83000000000001</v>
      </c>
      <c r="BD1379" s="1">
        <v>137.22</v>
      </c>
      <c r="BE1379" s="1">
        <v>131.19999999999999</v>
      </c>
      <c r="BF1379" s="1">
        <v>137.16</v>
      </c>
      <c r="BG1379" s="1">
        <v>140</v>
      </c>
      <c r="BH1379" s="1">
        <v>131.44</v>
      </c>
      <c r="BI1379" s="1">
        <v>130.94999999999999</v>
      </c>
      <c r="BJ1379" s="1">
        <v>137.46</v>
      </c>
      <c r="BL1379" s="1">
        <v>119.97</v>
      </c>
      <c r="BN1379" s="1">
        <v>119.07</v>
      </c>
    </row>
    <row r="1380" spans="1:66" x14ac:dyDescent="0.3">
      <c r="A1380" s="2"/>
      <c r="C1380" s="14" t="str">
        <f t="shared" si="22"/>
        <v>20209</v>
      </c>
      <c r="D1380" s="3">
        <v>44091</v>
      </c>
      <c r="E1380" s="21">
        <v>2111.7800000000002</v>
      </c>
      <c r="F1380" s="21">
        <v>2079.71</v>
      </c>
      <c r="G1380" s="21">
        <v>2150.8000000000002</v>
      </c>
      <c r="H1380" s="21">
        <v>1979.27</v>
      </c>
      <c r="I1380" s="21">
        <v>2006.92</v>
      </c>
      <c r="J1380" s="21">
        <v>2022.53</v>
      </c>
      <c r="K1380" s="21">
        <v>1999.26</v>
      </c>
      <c r="L1380" s="21">
        <v>2013.18</v>
      </c>
      <c r="M1380" s="21"/>
      <c r="N1380" s="21">
        <v>1853.09</v>
      </c>
      <c r="O1380" s="21">
        <v>2009.11</v>
      </c>
      <c r="P1380" s="21">
        <v>2007.36</v>
      </c>
      <c r="Q1380" s="21">
        <v>6405.57</v>
      </c>
      <c r="R1380" s="20">
        <v>105.81</v>
      </c>
      <c r="S1380" s="20">
        <v>125.37</v>
      </c>
      <c r="T1380" s="21">
        <v>127.74</v>
      </c>
      <c r="V1380" s="1">
        <v>121.75</v>
      </c>
      <c r="W1380" s="1">
        <v>121.63</v>
      </c>
      <c r="X1380" s="1">
        <v>130.74</v>
      </c>
      <c r="Y1380" s="1">
        <v>123.35</v>
      </c>
      <c r="Z1380" s="1">
        <v>123.61</v>
      </c>
      <c r="AA1380" s="1">
        <v>109.45</v>
      </c>
      <c r="AB1380" s="1">
        <v>129.55000000000001</v>
      </c>
      <c r="AE1380" s="1">
        <v>139.02000000000001</v>
      </c>
      <c r="AF1380" s="1">
        <v>137.72</v>
      </c>
      <c r="AG1380" s="1">
        <v>134.49</v>
      </c>
      <c r="AX1380" s="1">
        <v>139.07</v>
      </c>
      <c r="AZ1380" s="1">
        <v>3004.93</v>
      </c>
      <c r="BA1380" s="1">
        <v>133.36000000000001</v>
      </c>
      <c r="BB1380" s="1">
        <v>137.07</v>
      </c>
      <c r="BC1380" s="1">
        <v>136.44999999999999</v>
      </c>
      <c r="BD1380" s="1">
        <v>136.82</v>
      </c>
      <c r="BE1380" s="1">
        <v>127.84</v>
      </c>
      <c r="BF1380" s="1">
        <v>134.94</v>
      </c>
      <c r="BG1380" s="1">
        <v>139.37</v>
      </c>
      <c r="BH1380" s="1">
        <v>126.99</v>
      </c>
      <c r="BI1380" s="1">
        <v>129.35</v>
      </c>
      <c r="BJ1380" s="1">
        <v>137.44</v>
      </c>
      <c r="BL1380" s="1">
        <v>119.3</v>
      </c>
      <c r="BN1380" s="1">
        <v>118.01</v>
      </c>
    </row>
    <row r="1381" spans="1:66" x14ac:dyDescent="0.3">
      <c r="A1381" s="2"/>
      <c r="C1381" s="14" t="str">
        <f t="shared" si="22"/>
        <v>20209</v>
      </c>
      <c r="D1381" s="3">
        <v>44090</v>
      </c>
      <c r="E1381" s="21">
        <v>2107.83</v>
      </c>
      <c r="F1381" s="21">
        <v>2072.7199999999998</v>
      </c>
      <c r="G1381" s="21">
        <v>2131.7600000000002</v>
      </c>
      <c r="H1381" s="21">
        <v>1953.9</v>
      </c>
      <c r="I1381" s="21">
        <v>2006.92</v>
      </c>
      <c r="J1381" s="21">
        <v>2050.5300000000002</v>
      </c>
      <c r="K1381" s="21">
        <v>1999.26</v>
      </c>
      <c r="L1381" s="21">
        <v>1985.62</v>
      </c>
      <c r="M1381" s="21"/>
      <c r="N1381" s="21">
        <v>1859.46</v>
      </c>
      <c r="O1381" s="21">
        <v>2009.53</v>
      </c>
      <c r="P1381" s="21">
        <v>2001.81</v>
      </c>
      <c r="Q1381" s="21">
        <v>6155.61</v>
      </c>
      <c r="R1381" s="20">
        <v>105.14</v>
      </c>
      <c r="S1381" s="20">
        <v>120.23</v>
      </c>
      <c r="T1381" s="21">
        <v>127.53</v>
      </c>
      <c r="V1381" s="1">
        <v>118.53</v>
      </c>
      <c r="W1381" s="1">
        <v>119.9</v>
      </c>
      <c r="X1381" s="1">
        <v>129.99</v>
      </c>
      <c r="Y1381" s="1">
        <v>121.58</v>
      </c>
      <c r="Z1381" s="1">
        <v>121.5</v>
      </c>
      <c r="AA1381" s="1">
        <v>109.2</v>
      </c>
      <c r="AB1381" s="1">
        <v>128.99</v>
      </c>
      <c r="AE1381" s="1">
        <v>138.46</v>
      </c>
      <c r="AF1381" s="1">
        <v>135.86000000000001</v>
      </c>
      <c r="AG1381" s="1">
        <v>133.77000000000001</v>
      </c>
      <c r="AO1381" s="1">
        <v>0</v>
      </c>
      <c r="AT1381" s="1">
        <v>2854.69</v>
      </c>
      <c r="AX1381" s="1">
        <v>139.08000000000001</v>
      </c>
      <c r="AZ1381" s="1">
        <v>3004.93</v>
      </c>
      <c r="BA1381" s="1">
        <v>132.82</v>
      </c>
      <c r="BB1381" s="1">
        <v>135.41999999999999</v>
      </c>
      <c r="BC1381" s="1">
        <v>135.57</v>
      </c>
      <c r="BD1381" s="1">
        <v>135.04</v>
      </c>
      <c r="BE1381" s="1">
        <v>127.81</v>
      </c>
      <c r="BF1381" s="1">
        <v>134.44999999999999</v>
      </c>
      <c r="BG1381" s="1">
        <v>139.13999999999999</v>
      </c>
      <c r="BH1381" s="1">
        <v>126.99</v>
      </c>
      <c r="BI1381" s="1">
        <v>128.55000000000001</v>
      </c>
      <c r="BJ1381" s="1">
        <v>136.24</v>
      </c>
      <c r="BL1381" s="1">
        <v>117.8</v>
      </c>
      <c r="BN1381" s="1">
        <v>117.01</v>
      </c>
    </row>
    <row r="1382" spans="1:66" x14ac:dyDescent="0.3">
      <c r="A1382" s="2"/>
      <c r="C1382" s="14" t="str">
        <f t="shared" si="22"/>
        <v>20209</v>
      </c>
      <c r="D1382" s="3">
        <v>44089</v>
      </c>
      <c r="E1382" s="21">
        <v>2119.7399999999998</v>
      </c>
      <c r="F1382" s="21">
        <v>2060.19</v>
      </c>
      <c r="G1382" s="21">
        <v>2131.7600000000002</v>
      </c>
      <c r="H1382" s="21">
        <v>1958.45</v>
      </c>
      <c r="I1382" s="21">
        <v>1980.6</v>
      </c>
      <c r="J1382" s="21">
        <v>2049.0700000000002</v>
      </c>
      <c r="K1382" s="21">
        <v>2049.4499999999998</v>
      </c>
      <c r="L1382" s="21">
        <v>1903.2</v>
      </c>
      <c r="M1382" s="21"/>
      <c r="N1382" s="21">
        <v>1833.79</v>
      </c>
      <c r="O1382" s="21">
        <v>2012.77</v>
      </c>
      <c r="P1382" s="21">
        <v>1998.62</v>
      </c>
      <c r="Q1382" s="21">
        <v>6107.31</v>
      </c>
      <c r="R1382" s="20">
        <v>105.14</v>
      </c>
      <c r="S1382" s="20">
        <v>123.37</v>
      </c>
      <c r="T1382" s="21">
        <v>126.12</v>
      </c>
      <c r="U1382" s="1">
        <v>131.76</v>
      </c>
      <c r="V1382" s="1">
        <v>120.42</v>
      </c>
      <c r="W1382" s="1">
        <v>119.78</v>
      </c>
      <c r="X1382" s="1">
        <v>129.99</v>
      </c>
      <c r="Y1382" s="1">
        <v>121.38</v>
      </c>
      <c r="Z1382" s="1">
        <v>121.5</v>
      </c>
      <c r="AA1382" s="1">
        <v>108.82</v>
      </c>
      <c r="AB1382" s="1">
        <v>128.99</v>
      </c>
      <c r="AE1382" s="1">
        <v>137.97999999999999</v>
      </c>
      <c r="AF1382" s="1">
        <v>134.47</v>
      </c>
      <c r="AG1382" s="1">
        <v>131.04</v>
      </c>
      <c r="AO1382" s="1">
        <v>0</v>
      </c>
      <c r="AT1382" s="1">
        <v>2854.69</v>
      </c>
      <c r="AX1382" s="1">
        <v>140.09</v>
      </c>
      <c r="AZ1382" s="1">
        <v>3004.93</v>
      </c>
      <c r="BA1382" s="1">
        <v>131.97999999999999</v>
      </c>
      <c r="BB1382" s="1">
        <v>133.29</v>
      </c>
      <c r="BC1382" s="1">
        <v>135.35</v>
      </c>
      <c r="BD1382" s="1">
        <v>132.47</v>
      </c>
      <c r="BE1382" s="1">
        <v>127.77</v>
      </c>
      <c r="BF1382" s="1">
        <v>132.51</v>
      </c>
      <c r="BG1382" s="1">
        <v>138.27000000000001</v>
      </c>
      <c r="BH1382" s="1">
        <v>127.11</v>
      </c>
      <c r="BI1382" s="1">
        <v>128.55000000000001</v>
      </c>
      <c r="BJ1382" s="1">
        <v>136.66999999999999</v>
      </c>
      <c r="BL1382" s="1">
        <v>117.8</v>
      </c>
      <c r="BN1382" s="1">
        <v>117.73</v>
      </c>
    </row>
    <row r="1383" spans="1:66" x14ac:dyDescent="0.3">
      <c r="A1383" s="2"/>
      <c r="C1383" s="14" t="str">
        <f t="shared" si="22"/>
        <v>20209</v>
      </c>
      <c r="D1383" s="3">
        <v>44088</v>
      </c>
      <c r="E1383" s="21">
        <v>2119.7399999999998</v>
      </c>
      <c r="F1383" s="21">
        <v>2060.19</v>
      </c>
      <c r="G1383" s="21">
        <v>2126.88</v>
      </c>
      <c r="H1383" s="21">
        <v>2000.35</v>
      </c>
      <c r="I1383" s="21">
        <v>1967.44</v>
      </c>
      <c r="J1383" s="21">
        <v>2049.0700000000002</v>
      </c>
      <c r="K1383" s="21">
        <v>1994.29</v>
      </c>
      <c r="L1383" s="21">
        <v>1955.01</v>
      </c>
      <c r="M1383" s="21"/>
      <c r="N1383" s="21">
        <v>1842.11</v>
      </c>
      <c r="O1383" s="21">
        <v>2009.76</v>
      </c>
      <c r="P1383" s="21">
        <v>1998.62</v>
      </c>
      <c r="Q1383" s="21">
        <v>6091.43</v>
      </c>
      <c r="R1383" s="20">
        <v>104.94</v>
      </c>
      <c r="S1383" s="20">
        <v>119.28</v>
      </c>
      <c r="T1383" s="21">
        <v>126.27</v>
      </c>
      <c r="U1383" s="1">
        <v>130.12</v>
      </c>
      <c r="V1383" s="1">
        <v>118.59</v>
      </c>
      <c r="W1383" s="1">
        <v>118.41</v>
      </c>
      <c r="X1383" s="1">
        <v>129.99</v>
      </c>
      <c r="Y1383" s="1">
        <v>121.5</v>
      </c>
      <c r="Z1383" s="1">
        <v>121.5</v>
      </c>
      <c r="AA1383" s="1">
        <v>105.85</v>
      </c>
      <c r="AB1383" s="1">
        <v>128.99</v>
      </c>
      <c r="AE1383" s="1">
        <v>137.96</v>
      </c>
      <c r="AF1383" s="1">
        <v>135.41999999999999</v>
      </c>
      <c r="AG1383" s="1">
        <v>131.38</v>
      </c>
      <c r="AO1383" s="1">
        <v>0</v>
      </c>
      <c r="AT1383" s="1">
        <v>2854.69</v>
      </c>
      <c r="AX1383" s="1">
        <v>140.75</v>
      </c>
      <c r="AZ1383" s="1">
        <v>3004.93</v>
      </c>
      <c r="BA1383" s="1">
        <v>132.69</v>
      </c>
      <c r="BB1383" s="1">
        <v>134.08000000000001</v>
      </c>
      <c r="BC1383" s="1">
        <v>135.34</v>
      </c>
      <c r="BD1383" s="1">
        <v>132.46</v>
      </c>
      <c r="BE1383" s="1">
        <v>124.67</v>
      </c>
      <c r="BF1383" s="1">
        <v>131.43</v>
      </c>
      <c r="BG1383" s="1">
        <v>138.57</v>
      </c>
      <c r="BH1383" s="1">
        <v>125.28</v>
      </c>
      <c r="BI1383" s="1">
        <v>128.55000000000001</v>
      </c>
      <c r="BJ1383" s="1">
        <v>134.81</v>
      </c>
      <c r="BL1383" s="1">
        <v>117.8</v>
      </c>
      <c r="BN1383" s="1">
        <v>117.73</v>
      </c>
    </row>
    <row r="1384" spans="1:66" x14ac:dyDescent="0.3">
      <c r="A1384" s="2"/>
      <c r="C1384" s="14" t="str">
        <f t="shared" si="22"/>
        <v>20209</v>
      </c>
      <c r="D1384" s="3">
        <v>44085</v>
      </c>
      <c r="E1384" s="21">
        <v>2087</v>
      </c>
      <c r="F1384" s="21">
        <v>2050.73</v>
      </c>
      <c r="G1384" s="21">
        <v>2118.94</v>
      </c>
      <c r="H1384" s="21">
        <v>1924.85</v>
      </c>
      <c r="I1384" s="21">
        <v>1950.99</v>
      </c>
      <c r="J1384" s="21">
        <v>1999.88</v>
      </c>
      <c r="K1384" s="21">
        <v>2028.36</v>
      </c>
      <c r="L1384" s="21">
        <v>1955.01</v>
      </c>
      <c r="M1384" s="21"/>
      <c r="N1384" s="21">
        <v>1848.49</v>
      </c>
      <c r="O1384" s="21">
        <v>2023.88</v>
      </c>
      <c r="P1384" s="21">
        <v>2006.6</v>
      </c>
      <c r="Q1384" s="21">
        <v>6099.89</v>
      </c>
      <c r="R1384" s="20">
        <v>103.83</v>
      </c>
      <c r="S1384" s="20"/>
      <c r="T1384" s="21">
        <v>124.75</v>
      </c>
      <c r="U1384" s="1">
        <v>125.22</v>
      </c>
      <c r="V1384" s="1">
        <v>116.91</v>
      </c>
      <c r="W1384" s="1">
        <v>118.02</v>
      </c>
      <c r="X1384" s="1">
        <v>129.24</v>
      </c>
      <c r="Y1384" s="1">
        <v>120.24</v>
      </c>
      <c r="Z1384" s="1">
        <v>120.61</v>
      </c>
      <c r="AA1384" s="1">
        <v>107.41</v>
      </c>
      <c r="AB1384" s="1">
        <v>128.52000000000001</v>
      </c>
      <c r="AE1384" s="1">
        <v>137.38</v>
      </c>
      <c r="AF1384" s="1">
        <v>132.26</v>
      </c>
      <c r="AG1384" s="1">
        <v>127.76</v>
      </c>
      <c r="AO1384" s="1">
        <v>0</v>
      </c>
      <c r="AT1384" s="1">
        <v>2854.69</v>
      </c>
      <c r="AX1384" s="1">
        <v>134.33000000000001</v>
      </c>
      <c r="AZ1384" s="1">
        <v>3004.93</v>
      </c>
      <c r="BA1384" s="1">
        <v>132.16999999999999</v>
      </c>
      <c r="BB1384" s="1">
        <v>131.36000000000001</v>
      </c>
      <c r="BC1384" s="1">
        <v>133.33000000000001</v>
      </c>
      <c r="BD1384" s="1">
        <v>129.36000000000001</v>
      </c>
      <c r="BE1384" s="1">
        <v>124.84</v>
      </c>
      <c r="BF1384" s="1">
        <v>125.37</v>
      </c>
      <c r="BG1384" s="1">
        <v>137.68</v>
      </c>
      <c r="BI1384" s="1">
        <v>126.54</v>
      </c>
      <c r="BJ1384" s="1">
        <v>134.56</v>
      </c>
      <c r="BL1384" s="1">
        <v>115.97</v>
      </c>
      <c r="BN1384" s="1">
        <v>116.57</v>
      </c>
    </row>
    <row r="1385" spans="1:66" x14ac:dyDescent="0.3">
      <c r="A1385" s="2"/>
      <c r="C1385" s="14" t="str">
        <f t="shared" si="22"/>
        <v>20209</v>
      </c>
      <c r="D1385" s="3">
        <v>44084</v>
      </c>
      <c r="E1385" s="21">
        <v>2074.66</v>
      </c>
      <c r="F1385" s="21">
        <v>2020.49</v>
      </c>
      <c r="G1385" s="21">
        <v>2099.64</v>
      </c>
      <c r="H1385" s="21">
        <v>1916.34</v>
      </c>
      <c r="I1385" s="21">
        <v>1950.99</v>
      </c>
      <c r="J1385" s="21">
        <v>1999.88</v>
      </c>
      <c r="K1385" s="21">
        <v>1977.69</v>
      </c>
      <c r="L1385" s="21">
        <v>1879.92</v>
      </c>
      <c r="M1385" s="21"/>
      <c r="N1385" s="21">
        <v>1830.74</v>
      </c>
      <c r="O1385" s="21">
        <v>2023.88</v>
      </c>
      <c r="P1385" s="21">
        <v>1994.38</v>
      </c>
      <c r="Q1385" s="21">
        <v>6094.62</v>
      </c>
      <c r="R1385" s="20">
        <v>103.5</v>
      </c>
      <c r="S1385" s="20"/>
      <c r="T1385" s="21">
        <v>123.39</v>
      </c>
      <c r="U1385" s="1">
        <v>127.97</v>
      </c>
      <c r="V1385" s="1">
        <v>118.32</v>
      </c>
      <c r="W1385" s="1">
        <v>116.85</v>
      </c>
      <c r="X1385" s="1">
        <v>128.44999999999999</v>
      </c>
      <c r="Y1385" s="1">
        <v>118.94</v>
      </c>
      <c r="Z1385" s="1">
        <v>119</v>
      </c>
      <c r="AA1385" s="1">
        <v>103.74</v>
      </c>
      <c r="AB1385" s="1">
        <v>128</v>
      </c>
      <c r="AC1385" s="1">
        <v>109.44</v>
      </c>
      <c r="AE1385" s="1">
        <v>137.33000000000001</v>
      </c>
      <c r="AF1385" s="1">
        <v>131.07</v>
      </c>
      <c r="AG1385" s="1">
        <v>127.76</v>
      </c>
      <c r="AO1385" s="1">
        <v>0</v>
      </c>
      <c r="AT1385" s="1">
        <v>2854.69</v>
      </c>
      <c r="AX1385" s="1">
        <v>134.31</v>
      </c>
      <c r="AZ1385" s="1">
        <v>3105.1</v>
      </c>
      <c r="BA1385" s="1">
        <v>130.24</v>
      </c>
      <c r="BB1385" s="1">
        <v>130.07</v>
      </c>
      <c r="BC1385" s="1">
        <v>133.58000000000001</v>
      </c>
      <c r="BD1385" s="1">
        <v>127.74</v>
      </c>
      <c r="BE1385" s="1">
        <v>122.49</v>
      </c>
      <c r="BF1385" s="1">
        <v>126.55</v>
      </c>
      <c r="BG1385" s="1">
        <v>138.5</v>
      </c>
      <c r="BH1385" s="1">
        <v>119.51</v>
      </c>
      <c r="BI1385" s="1">
        <v>126.56</v>
      </c>
      <c r="BJ1385" s="1">
        <v>133.63999999999999</v>
      </c>
      <c r="BL1385" s="1">
        <v>115.3</v>
      </c>
      <c r="BN1385" s="1">
        <v>115.23</v>
      </c>
    </row>
    <row r="1386" spans="1:66" x14ac:dyDescent="0.3">
      <c r="A1386" s="2"/>
      <c r="C1386" s="14" t="str">
        <f t="shared" si="22"/>
        <v>20209</v>
      </c>
      <c r="D1386" s="3">
        <v>44083</v>
      </c>
      <c r="E1386" s="21">
        <v>2069.6999999999998</v>
      </c>
      <c r="F1386" s="21">
        <v>2023.37</v>
      </c>
      <c r="G1386" s="21">
        <v>2099.64</v>
      </c>
      <c r="H1386" s="21">
        <v>1886.1</v>
      </c>
      <c r="I1386" s="21">
        <v>1950.99</v>
      </c>
      <c r="J1386" s="21">
        <v>2002.32</v>
      </c>
      <c r="K1386" s="21">
        <v>1977.69</v>
      </c>
      <c r="L1386" s="21">
        <v>1938.81</v>
      </c>
      <c r="M1386" s="21"/>
      <c r="N1386" s="21">
        <v>1845.91</v>
      </c>
      <c r="O1386" s="21">
        <v>2024.06</v>
      </c>
      <c r="P1386" s="21">
        <v>2006.6</v>
      </c>
      <c r="Q1386" s="21">
        <v>6086.07</v>
      </c>
      <c r="R1386" s="20">
        <v>103.5</v>
      </c>
      <c r="S1386" s="20"/>
      <c r="T1386" s="21">
        <v>125</v>
      </c>
      <c r="U1386" s="1">
        <v>127.25</v>
      </c>
      <c r="V1386" s="1">
        <v>118.32</v>
      </c>
      <c r="W1386" s="1">
        <v>117.41</v>
      </c>
      <c r="X1386" s="1">
        <v>128.05000000000001</v>
      </c>
      <c r="Y1386" s="1">
        <v>118.94</v>
      </c>
      <c r="Z1386" s="1">
        <v>118.74</v>
      </c>
      <c r="AA1386" s="1">
        <v>103.74</v>
      </c>
      <c r="AB1386" s="1">
        <v>128</v>
      </c>
      <c r="AC1386" s="1">
        <v>108.91</v>
      </c>
      <c r="AE1386" s="1">
        <v>136.99</v>
      </c>
      <c r="AF1386" s="1">
        <v>131.07</v>
      </c>
      <c r="AG1386" s="1">
        <v>127.74</v>
      </c>
      <c r="AH1386" s="1">
        <v>10</v>
      </c>
      <c r="AP1386" s="1">
        <v>2820</v>
      </c>
      <c r="AQ1386" s="1">
        <v>2903.18</v>
      </c>
      <c r="AW1386" s="1">
        <v>2754.02</v>
      </c>
      <c r="AX1386" s="1">
        <v>131.81</v>
      </c>
      <c r="AZ1386" s="1">
        <v>3105.1</v>
      </c>
      <c r="BA1386" s="1">
        <v>130.26</v>
      </c>
      <c r="BB1386" s="1">
        <v>130.05000000000001</v>
      </c>
      <c r="BC1386" s="1">
        <v>133.62</v>
      </c>
      <c r="BD1386" s="1">
        <v>127.7</v>
      </c>
      <c r="BE1386" s="1">
        <v>122.45</v>
      </c>
      <c r="BF1386" s="1">
        <v>127.37</v>
      </c>
      <c r="BG1386" s="1">
        <v>138.75</v>
      </c>
      <c r="BH1386" s="1">
        <v>119.17</v>
      </c>
      <c r="BI1386" s="1">
        <v>126.46</v>
      </c>
      <c r="BJ1386" s="1">
        <v>133.62</v>
      </c>
      <c r="BL1386" s="1">
        <v>115.3</v>
      </c>
      <c r="BN1386" s="1">
        <v>115.23</v>
      </c>
    </row>
    <row r="1387" spans="1:66" x14ac:dyDescent="0.3">
      <c r="A1387" s="2"/>
      <c r="C1387" s="14" t="str">
        <f t="shared" si="22"/>
        <v>20209</v>
      </c>
      <c r="D1387" s="3">
        <v>44082</v>
      </c>
      <c r="E1387" s="21">
        <v>2069.6999999999998</v>
      </c>
      <c r="F1387" s="21">
        <v>2023.37</v>
      </c>
      <c r="G1387" s="21">
        <v>2105.91</v>
      </c>
      <c r="H1387" s="21">
        <v>1914.93</v>
      </c>
      <c r="I1387" s="21">
        <v>1951.81</v>
      </c>
      <c r="J1387" s="21">
        <v>2047.92</v>
      </c>
      <c r="K1387" s="21">
        <v>1942.92</v>
      </c>
      <c r="L1387" s="21">
        <v>1936.84</v>
      </c>
      <c r="M1387" s="21"/>
      <c r="N1387" s="21">
        <v>1831.39</v>
      </c>
      <c r="O1387" s="21">
        <v>2025.35</v>
      </c>
      <c r="P1387" s="21">
        <v>1990.71</v>
      </c>
      <c r="Q1387" s="21">
        <v>6072.44</v>
      </c>
      <c r="R1387" s="20">
        <v>103.51</v>
      </c>
      <c r="S1387" s="20"/>
      <c r="T1387" s="21">
        <v>125</v>
      </c>
      <c r="U1387" s="1">
        <v>126.6</v>
      </c>
      <c r="V1387" s="1">
        <v>117.32</v>
      </c>
      <c r="W1387" s="1">
        <v>116.58</v>
      </c>
      <c r="X1387" s="1">
        <v>127.25</v>
      </c>
      <c r="Y1387" s="1">
        <v>118.15</v>
      </c>
      <c r="Z1387" s="1">
        <v>118.3</v>
      </c>
      <c r="AA1387" s="1">
        <v>103.74</v>
      </c>
      <c r="AB1387" s="1">
        <v>127.63</v>
      </c>
      <c r="AC1387" s="1">
        <v>107.32</v>
      </c>
      <c r="AE1387" s="1">
        <v>136.85</v>
      </c>
      <c r="AF1387" s="1">
        <v>131.07</v>
      </c>
      <c r="AG1387" s="1">
        <v>120.06</v>
      </c>
      <c r="AH1387" s="1">
        <v>10</v>
      </c>
      <c r="AP1387" s="1">
        <v>2820</v>
      </c>
      <c r="AQ1387" s="1">
        <v>2903.18</v>
      </c>
      <c r="AW1387" s="1">
        <v>2929.81</v>
      </c>
      <c r="AX1387" s="1">
        <v>132.13</v>
      </c>
      <c r="AZ1387" s="1">
        <v>3105.1</v>
      </c>
      <c r="BA1387" s="1">
        <v>130.71</v>
      </c>
      <c r="BB1387" s="1">
        <v>129.66999999999999</v>
      </c>
      <c r="BC1387" s="1">
        <v>133.57</v>
      </c>
      <c r="BD1387" s="1">
        <v>126.88</v>
      </c>
      <c r="BE1387" s="1">
        <v>122.33</v>
      </c>
      <c r="BF1387" s="1">
        <v>123.72</v>
      </c>
      <c r="BG1387" s="1">
        <v>137.85</v>
      </c>
      <c r="BH1387" s="1">
        <v>118.15</v>
      </c>
      <c r="BI1387" s="1">
        <v>122.97</v>
      </c>
      <c r="BJ1387" s="1">
        <v>132.12</v>
      </c>
      <c r="BL1387" s="1">
        <v>114.47</v>
      </c>
      <c r="BN1387" s="1">
        <v>114.4</v>
      </c>
    </row>
    <row r="1388" spans="1:66" x14ac:dyDescent="0.3">
      <c r="A1388" s="2"/>
      <c r="C1388" s="14" t="str">
        <f t="shared" si="22"/>
        <v>20209</v>
      </c>
      <c r="D1388" s="3">
        <v>44078</v>
      </c>
      <c r="E1388" s="21">
        <v>2049.85</v>
      </c>
      <c r="F1388" s="21">
        <v>2023.37</v>
      </c>
      <c r="G1388" s="21">
        <v>2098.48</v>
      </c>
      <c r="H1388" s="21">
        <v>1873.25</v>
      </c>
      <c r="I1388" s="21">
        <v>1950.99</v>
      </c>
      <c r="J1388" s="21">
        <v>1990.74</v>
      </c>
      <c r="K1388" s="21">
        <v>1961.13</v>
      </c>
      <c r="L1388" s="21">
        <v>1932.87</v>
      </c>
      <c r="M1388" s="21"/>
      <c r="N1388" s="21">
        <v>1811.04</v>
      </c>
      <c r="O1388" s="21">
        <v>2056.17</v>
      </c>
      <c r="P1388" s="21">
        <v>1984.72</v>
      </c>
      <c r="Q1388" s="21">
        <v>5992.3</v>
      </c>
      <c r="R1388" s="20">
        <v>102.74</v>
      </c>
      <c r="S1388" s="20"/>
      <c r="T1388" s="21">
        <v>123.84</v>
      </c>
      <c r="V1388" s="1">
        <v>114.4</v>
      </c>
      <c r="W1388" s="1">
        <v>116.02</v>
      </c>
      <c r="X1388" s="1">
        <v>127.49</v>
      </c>
      <c r="Y1388" s="1">
        <v>117.43</v>
      </c>
      <c r="Z1388" s="1">
        <v>117.61</v>
      </c>
      <c r="AA1388" s="1">
        <v>103.27</v>
      </c>
      <c r="AB1388" s="1">
        <v>127.63</v>
      </c>
      <c r="AC1388" s="1">
        <v>112.52</v>
      </c>
      <c r="AE1388" s="1">
        <v>136.31</v>
      </c>
      <c r="AG1388" s="1">
        <v>120.06</v>
      </c>
      <c r="AH1388" s="1">
        <v>10</v>
      </c>
      <c r="AO1388" s="1">
        <v>7</v>
      </c>
      <c r="AP1388" s="1">
        <v>2820</v>
      </c>
      <c r="AQ1388" s="1">
        <v>2903.18</v>
      </c>
      <c r="AT1388" s="1">
        <v>2678.37</v>
      </c>
      <c r="AW1388" s="1">
        <v>2929.81</v>
      </c>
      <c r="AX1388" s="1">
        <v>125.61</v>
      </c>
      <c r="AZ1388" s="1">
        <v>3138.49</v>
      </c>
      <c r="BA1388" s="1">
        <v>130.55000000000001</v>
      </c>
      <c r="BB1388" s="1">
        <v>127.84</v>
      </c>
      <c r="BC1388" s="1">
        <v>133.47999999999999</v>
      </c>
      <c r="BD1388" s="1">
        <v>128.33000000000001</v>
      </c>
      <c r="BE1388" s="1">
        <v>123.6</v>
      </c>
      <c r="BF1388" s="1">
        <v>128.51</v>
      </c>
      <c r="BG1388" s="1">
        <v>137.41</v>
      </c>
      <c r="BH1388" s="1">
        <v>120.06</v>
      </c>
      <c r="BI1388" s="1">
        <v>122.57</v>
      </c>
      <c r="BJ1388" s="1">
        <v>132.07</v>
      </c>
      <c r="BL1388" s="1">
        <v>114.3</v>
      </c>
      <c r="BN1388" s="1">
        <v>114.23</v>
      </c>
    </row>
    <row r="1389" spans="1:66" x14ac:dyDescent="0.3">
      <c r="A1389" s="2"/>
      <c r="C1389" s="14" t="str">
        <f t="shared" si="22"/>
        <v>20209</v>
      </c>
      <c r="D1389" s="3">
        <v>44077</v>
      </c>
      <c r="E1389" s="21">
        <v>2049.85</v>
      </c>
      <c r="F1389" s="21">
        <v>2023.37</v>
      </c>
      <c r="G1389" s="21">
        <v>2103.41</v>
      </c>
      <c r="H1389" s="21">
        <v>1874.81</v>
      </c>
      <c r="I1389" s="21">
        <v>1950.99</v>
      </c>
      <c r="J1389" s="21">
        <v>2012.65</v>
      </c>
      <c r="K1389" s="21">
        <v>1959.47</v>
      </c>
      <c r="L1389" s="21">
        <v>1938.82</v>
      </c>
      <c r="M1389" s="21"/>
      <c r="N1389" s="21">
        <v>1798.42</v>
      </c>
      <c r="O1389" s="21">
        <v>2040</v>
      </c>
      <c r="P1389" s="21">
        <v>1972.01</v>
      </c>
      <c r="Q1389" s="21">
        <v>5704.15</v>
      </c>
      <c r="R1389" s="20">
        <v>103.12</v>
      </c>
      <c r="S1389" s="20"/>
      <c r="T1389" s="21">
        <v>123.84</v>
      </c>
      <c r="V1389" s="1">
        <v>113.4</v>
      </c>
      <c r="W1389" s="1">
        <v>116.02</v>
      </c>
      <c r="X1389" s="1">
        <v>127.49</v>
      </c>
      <c r="Y1389" s="1">
        <v>116.61</v>
      </c>
      <c r="Z1389" s="1">
        <v>117</v>
      </c>
      <c r="AA1389" s="1">
        <v>103.17</v>
      </c>
      <c r="AB1389" s="1">
        <v>127.63</v>
      </c>
      <c r="AC1389" s="1">
        <v>113.14</v>
      </c>
      <c r="AE1389" s="1">
        <v>136.35</v>
      </c>
      <c r="AF1389" s="1">
        <v>129.29</v>
      </c>
      <c r="AG1389" s="1">
        <v>121.02</v>
      </c>
      <c r="AH1389" s="1">
        <v>10</v>
      </c>
      <c r="AO1389" s="1">
        <v>7</v>
      </c>
      <c r="AP1389" s="1">
        <v>2820</v>
      </c>
      <c r="AQ1389" s="1">
        <v>2903.18</v>
      </c>
      <c r="AT1389" s="1">
        <v>2678.37</v>
      </c>
      <c r="AW1389" s="1">
        <v>2929.81</v>
      </c>
      <c r="AX1389" s="1">
        <v>130.22</v>
      </c>
      <c r="AZ1389" s="1">
        <v>3105.1</v>
      </c>
      <c r="BA1389" s="1">
        <v>129.84</v>
      </c>
      <c r="BB1389" s="1">
        <v>128.04</v>
      </c>
      <c r="BC1389" s="1">
        <v>132.74</v>
      </c>
      <c r="BD1389" s="1">
        <v>126.8</v>
      </c>
      <c r="BE1389" s="1">
        <v>123.56</v>
      </c>
      <c r="BF1389" s="1">
        <v>128.5</v>
      </c>
      <c r="BG1389" s="1">
        <v>137.47999999999999</v>
      </c>
      <c r="BH1389" s="1">
        <v>119.8</v>
      </c>
      <c r="BI1389" s="1">
        <v>122.57</v>
      </c>
      <c r="BJ1389" s="1">
        <v>131.31</v>
      </c>
      <c r="BL1389" s="1">
        <v>112.97</v>
      </c>
      <c r="BN1389" s="1">
        <v>112.9</v>
      </c>
    </row>
    <row r="1390" spans="1:66" x14ac:dyDescent="0.3">
      <c r="A1390" s="2"/>
      <c r="C1390" s="14" t="str">
        <f t="shared" si="22"/>
        <v>20209</v>
      </c>
      <c r="D1390" s="3">
        <v>44076</v>
      </c>
      <c r="E1390" s="21">
        <v>2034.01</v>
      </c>
      <c r="F1390" s="21">
        <v>2033.65</v>
      </c>
      <c r="G1390" s="21">
        <v>2111.64</v>
      </c>
      <c r="H1390" s="21">
        <v>1881.04</v>
      </c>
      <c r="I1390" s="21">
        <v>1950.99</v>
      </c>
      <c r="J1390" s="21">
        <v>1992.42</v>
      </c>
      <c r="K1390" s="21">
        <v>1959.47</v>
      </c>
      <c r="L1390" s="21">
        <v>1938.82</v>
      </c>
      <c r="M1390" s="21"/>
      <c r="N1390" s="21">
        <v>1792.3</v>
      </c>
      <c r="O1390" s="21">
        <v>2032.86</v>
      </c>
      <c r="P1390" s="21">
        <v>1972.01</v>
      </c>
      <c r="Q1390" s="21">
        <v>5740.47</v>
      </c>
      <c r="R1390" s="20">
        <v>103.12</v>
      </c>
      <c r="S1390" s="20">
        <v>114.98</v>
      </c>
      <c r="T1390" s="21">
        <v>123.81</v>
      </c>
      <c r="V1390" s="1">
        <v>112.53</v>
      </c>
      <c r="W1390" s="1">
        <v>116.64</v>
      </c>
      <c r="X1390" s="1">
        <v>127.37</v>
      </c>
      <c r="Y1390" s="1">
        <v>115.9</v>
      </c>
      <c r="Z1390" s="1">
        <v>116</v>
      </c>
      <c r="AA1390" s="1">
        <v>103.64</v>
      </c>
      <c r="AB1390" s="1">
        <v>127.63</v>
      </c>
      <c r="AC1390" s="1">
        <v>115.47</v>
      </c>
      <c r="AE1390" s="1">
        <v>136.35</v>
      </c>
      <c r="AF1390" s="1">
        <v>129.27000000000001</v>
      </c>
      <c r="AG1390" s="1">
        <v>121.02</v>
      </c>
      <c r="AO1390" s="1">
        <v>7</v>
      </c>
      <c r="AT1390" s="1">
        <v>2678.37</v>
      </c>
      <c r="AX1390" s="1">
        <v>130.87</v>
      </c>
      <c r="AZ1390" s="1">
        <v>3105.1</v>
      </c>
      <c r="BA1390" s="1">
        <v>129.26</v>
      </c>
      <c r="BB1390" s="1">
        <v>129.61000000000001</v>
      </c>
      <c r="BC1390" s="1">
        <v>130.24</v>
      </c>
      <c r="BD1390" s="1">
        <v>128.06</v>
      </c>
      <c r="BE1390" s="1">
        <v>123.52</v>
      </c>
      <c r="BF1390" s="1">
        <v>125.91</v>
      </c>
      <c r="BG1390" s="1">
        <v>137.47999999999999</v>
      </c>
      <c r="BH1390" s="1">
        <v>121.86</v>
      </c>
      <c r="BI1390" s="1">
        <v>122.63</v>
      </c>
      <c r="BJ1390" s="1">
        <v>129.82</v>
      </c>
      <c r="BL1390" s="1">
        <v>112.3</v>
      </c>
      <c r="BN1390" s="1">
        <v>112.23</v>
      </c>
    </row>
    <row r="1391" spans="1:66" x14ac:dyDescent="0.3">
      <c r="A1391" s="2"/>
      <c r="C1391" s="14" t="str">
        <f t="shared" si="22"/>
        <v>20209</v>
      </c>
      <c r="D1391" s="3">
        <v>44075</v>
      </c>
      <c r="E1391" s="21">
        <v>2044.86</v>
      </c>
      <c r="F1391" s="21">
        <v>2033.65</v>
      </c>
      <c r="G1391" s="21">
        <v>2109.5100000000002</v>
      </c>
      <c r="H1391" s="21">
        <v>1924.56</v>
      </c>
      <c r="I1391" s="21">
        <v>1920.96</v>
      </c>
      <c r="J1391" s="21">
        <v>1992.4</v>
      </c>
      <c r="K1391" s="21">
        <v>1959.47</v>
      </c>
      <c r="L1391" s="21">
        <v>1893.29</v>
      </c>
      <c r="M1391" s="21"/>
      <c r="N1391" s="21">
        <v>1824.68</v>
      </c>
      <c r="O1391" s="21">
        <v>2041.5</v>
      </c>
      <c r="P1391" s="21">
        <v>1976.74</v>
      </c>
      <c r="Q1391" s="21">
        <v>5746.27</v>
      </c>
      <c r="R1391" s="20">
        <v>103.28</v>
      </c>
      <c r="S1391" s="20">
        <v>114.79</v>
      </c>
      <c r="T1391" s="21">
        <v>123.78</v>
      </c>
      <c r="V1391" s="1">
        <v>112.73</v>
      </c>
      <c r="W1391" s="1">
        <v>118.11</v>
      </c>
      <c r="X1391" s="1">
        <v>127.53</v>
      </c>
      <c r="Y1391" s="1">
        <v>116.32</v>
      </c>
      <c r="Z1391" s="1">
        <v>116.49</v>
      </c>
      <c r="AA1391" s="1">
        <v>103.99</v>
      </c>
      <c r="AB1391" s="1">
        <v>123.67</v>
      </c>
      <c r="AD1391" s="1">
        <v>103.55</v>
      </c>
      <c r="AE1391" s="1">
        <v>133.35</v>
      </c>
      <c r="AF1391" s="1">
        <v>129.18</v>
      </c>
      <c r="AG1391" s="1">
        <v>125.89</v>
      </c>
      <c r="AO1391" s="1">
        <v>7</v>
      </c>
      <c r="AT1391" s="1">
        <v>2678.37</v>
      </c>
      <c r="AX1391" s="1">
        <v>130.87</v>
      </c>
      <c r="AZ1391" s="1">
        <v>3105.1</v>
      </c>
      <c r="BA1391" s="1">
        <v>132.38</v>
      </c>
      <c r="BB1391" s="1">
        <v>130.69999999999999</v>
      </c>
      <c r="BC1391" s="1">
        <v>131.25</v>
      </c>
      <c r="BD1391" s="1">
        <v>126.88</v>
      </c>
      <c r="BE1391" s="1">
        <v>123.48</v>
      </c>
      <c r="BF1391" s="1">
        <v>126.97</v>
      </c>
      <c r="BG1391" s="1">
        <v>134.51</v>
      </c>
      <c r="BH1391" s="1">
        <v>122.34</v>
      </c>
      <c r="BI1391" s="1">
        <v>122.57</v>
      </c>
      <c r="BJ1391" s="1">
        <v>129.81</v>
      </c>
      <c r="BL1391" s="1">
        <v>112.3</v>
      </c>
      <c r="BN1391" s="1">
        <v>112.23</v>
      </c>
    </row>
    <row r="1392" spans="1:66" x14ac:dyDescent="0.3">
      <c r="A1392" s="2"/>
      <c r="C1392" s="14" t="str">
        <f t="shared" si="22"/>
        <v>20208</v>
      </c>
      <c r="D1392" s="3">
        <v>44074</v>
      </c>
      <c r="E1392" s="21">
        <v>2045.45</v>
      </c>
      <c r="F1392" s="21">
        <v>2030.49</v>
      </c>
      <c r="G1392" s="21">
        <v>2138.27</v>
      </c>
      <c r="H1392" s="21">
        <v>1884.72</v>
      </c>
      <c r="I1392" s="21">
        <v>1920.96</v>
      </c>
      <c r="J1392" s="21">
        <v>1977.84</v>
      </c>
      <c r="K1392" s="21">
        <v>1959.47</v>
      </c>
      <c r="L1392" s="21">
        <v>1913.13</v>
      </c>
      <c r="M1392" s="21"/>
      <c r="N1392" s="21">
        <v>1819.58</v>
      </c>
      <c r="O1392" s="21">
        <v>2022.5</v>
      </c>
      <c r="P1392" s="21">
        <v>1976.74</v>
      </c>
      <c r="Q1392" s="21">
        <v>5678.66</v>
      </c>
      <c r="R1392" s="20">
        <v>103.12</v>
      </c>
      <c r="S1392" s="20">
        <v>115.52</v>
      </c>
      <c r="T1392" s="21">
        <v>120.21</v>
      </c>
      <c r="V1392" s="1">
        <v>112.93</v>
      </c>
      <c r="W1392" s="1">
        <v>116.61</v>
      </c>
      <c r="X1392" s="1">
        <v>126.73</v>
      </c>
      <c r="Y1392" s="1">
        <v>115.93</v>
      </c>
      <c r="Z1392" s="1">
        <v>115.99</v>
      </c>
      <c r="AA1392" s="1">
        <v>104.64</v>
      </c>
      <c r="AB1392" s="1">
        <v>123.23</v>
      </c>
      <c r="AD1392" s="1">
        <v>103.24</v>
      </c>
      <c r="AE1392" s="1">
        <v>133.57</v>
      </c>
      <c r="AF1392" s="1">
        <v>128.71</v>
      </c>
      <c r="AG1392" s="1">
        <v>125.84</v>
      </c>
      <c r="AX1392" s="1">
        <v>137.52000000000001</v>
      </c>
      <c r="AZ1392" s="1">
        <v>3038.09</v>
      </c>
      <c r="BA1392" s="1">
        <v>131.47999999999999</v>
      </c>
      <c r="BB1392" s="1">
        <v>130.28</v>
      </c>
      <c r="BC1392" s="1">
        <v>131.74</v>
      </c>
      <c r="BD1392" s="1">
        <v>127.14</v>
      </c>
      <c r="BE1392" s="1">
        <v>125.2</v>
      </c>
      <c r="BF1392" s="1">
        <v>126.45</v>
      </c>
      <c r="BG1392" s="1">
        <v>133.56</v>
      </c>
      <c r="BH1392" s="1">
        <v>119.72</v>
      </c>
      <c r="BI1392" s="1">
        <v>122.38</v>
      </c>
      <c r="BJ1392" s="1">
        <v>129.88999999999999</v>
      </c>
      <c r="BL1392" s="1">
        <v>112.3</v>
      </c>
      <c r="BN1392" s="1">
        <v>112.23</v>
      </c>
    </row>
    <row r="1393" spans="1:66" x14ac:dyDescent="0.3">
      <c r="A1393" s="2"/>
      <c r="C1393" s="14" t="str">
        <f t="shared" si="22"/>
        <v>20208</v>
      </c>
      <c r="D1393" s="3">
        <v>44071</v>
      </c>
      <c r="E1393" s="21">
        <v>2039.9</v>
      </c>
      <c r="F1393" s="21">
        <v>2028.71</v>
      </c>
      <c r="G1393" s="21">
        <v>2129.33</v>
      </c>
      <c r="H1393" s="21">
        <v>1883.62</v>
      </c>
      <c r="I1393" s="21">
        <v>1950.99</v>
      </c>
      <c r="J1393" s="21">
        <v>1987.06</v>
      </c>
      <c r="K1393" s="21">
        <v>1977.04</v>
      </c>
      <c r="L1393" s="21">
        <v>1919.75</v>
      </c>
      <c r="M1393" s="21"/>
      <c r="N1393" s="21">
        <v>1796.84</v>
      </c>
      <c r="O1393" s="21">
        <v>2022.5</v>
      </c>
      <c r="P1393" s="21">
        <v>1976.74</v>
      </c>
      <c r="Q1393" s="21">
        <v>5628.91</v>
      </c>
      <c r="R1393" s="20">
        <v>103.12</v>
      </c>
      <c r="S1393" s="20">
        <v>115.23</v>
      </c>
      <c r="T1393" s="21">
        <v>119.09</v>
      </c>
      <c r="V1393" s="1">
        <v>110.54</v>
      </c>
      <c r="W1393" s="1">
        <v>116.29</v>
      </c>
      <c r="X1393" s="1">
        <v>125.63</v>
      </c>
      <c r="Y1393" s="1">
        <v>116.49</v>
      </c>
      <c r="Z1393" s="1">
        <v>116.11</v>
      </c>
      <c r="AA1393" s="1">
        <v>104.65</v>
      </c>
      <c r="AB1393" s="1">
        <v>125.26</v>
      </c>
      <c r="AD1393" s="1">
        <v>102.62</v>
      </c>
      <c r="AE1393" s="1">
        <v>133.12</v>
      </c>
      <c r="AF1393" s="1">
        <v>128.71</v>
      </c>
      <c r="AG1393" s="1">
        <v>126.07</v>
      </c>
      <c r="AX1393" s="1">
        <v>128.37</v>
      </c>
      <c r="AZ1393" s="1">
        <v>3038.09</v>
      </c>
      <c r="BA1393" s="1">
        <v>131.22</v>
      </c>
      <c r="BB1393" s="1">
        <v>130.24</v>
      </c>
      <c r="BC1393" s="1">
        <v>131.88999999999999</v>
      </c>
      <c r="BD1393" s="1">
        <v>126.93</v>
      </c>
      <c r="BE1393" s="1">
        <v>123.69</v>
      </c>
      <c r="BF1393" s="1">
        <v>126.63</v>
      </c>
      <c r="BG1393" s="1">
        <v>134.79</v>
      </c>
      <c r="BH1393" s="1">
        <v>119.79</v>
      </c>
      <c r="BI1393" s="1">
        <v>120.97</v>
      </c>
      <c r="BJ1393" s="1">
        <v>129.5</v>
      </c>
      <c r="BL1393" s="1">
        <v>112.3</v>
      </c>
      <c r="BN1393" s="1">
        <v>112.23</v>
      </c>
    </row>
    <row r="1394" spans="1:66" x14ac:dyDescent="0.3">
      <c r="A1394" s="2"/>
      <c r="C1394" s="14" t="str">
        <f t="shared" si="22"/>
        <v>20208</v>
      </c>
      <c r="D1394" s="3">
        <v>44070</v>
      </c>
      <c r="E1394" s="21">
        <v>2030.03</v>
      </c>
      <c r="F1394" s="21">
        <v>2012.26</v>
      </c>
      <c r="G1394" s="21">
        <v>2069.9499999999998</v>
      </c>
      <c r="H1394" s="21">
        <v>1855.28</v>
      </c>
      <c r="I1394" s="21">
        <v>2016.79</v>
      </c>
      <c r="J1394" s="21">
        <v>1952.27</v>
      </c>
      <c r="K1394" s="21">
        <v>1956.69</v>
      </c>
      <c r="L1394" s="21">
        <v>1919.75</v>
      </c>
      <c r="M1394" s="21"/>
      <c r="N1394" s="21">
        <v>1818.58</v>
      </c>
      <c r="O1394" s="21">
        <v>2016.67</v>
      </c>
      <c r="P1394" s="21">
        <v>1951.11</v>
      </c>
      <c r="Q1394" s="21">
        <v>5578.9</v>
      </c>
      <c r="R1394" s="20">
        <v>103.12</v>
      </c>
      <c r="S1394" s="20">
        <v>115.1</v>
      </c>
      <c r="T1394" s="21">
        <v>118.59</v>
      </c>
      <c r="V1394" s="1">
        <v>109.14</v>
      </c>
      <c r="W1394" s="1">
        <v>113.91</v>
      </c>
      <c r="X1394" s="1">
        <v>123.2</v>
      </c>
      <c r="Y1394" s="1">
        <v>115.35</v>
      </c>
      <c r="Z1394" s="1">
        <v>114.36</v>
      </c>
      <c r="AA1394" s="1">
        <v>104.84</v>
      </c>
      <c r="AB1394" s="1">
        <v>122.91</v>
      </c>
      <c r="AD1394" s="1">
        <v>103.14</v>
      </c>
      <c r="AE1394" s="1">
        <v>130.94</v>
      </c>
      <c r="AF1394" s="1">
        <v>125.55</v>
      </c>
      <c r="AX1394" s="1">
        <v>127.67</v>
      </c>
      <c r="AZ1394" s="1">
        <v>3029.75</v>
      </c>
      <c r="BA1394" s="1">
        <v>130.30000000000001</v>
      </c>
      <c r="BB1394" s="1">
        <v>128.19999999999999</v>
      </c>
      <c r="BC1394" s="1">
        <v>132.78</v>
      </c>
      <c r="BD1394" s="1">
        <v>122.57</v>
      </c>
      <c r="BE1394" s="1">
        <v>125.09</v>
      </c>
      <c r="BF1394" s="1">
        <v>130.09</v>
      </c>
      <c r="BG1394" s="1">
        <v>133.11000000000001</v>
      </c>
      <c r="BH1394" s="1">
        <v>119.79</v>
      </c>
      <c r="BI1394" s="1">
        <v>119.38</v>
      </c>
      <c r="BJ1394" s="1">
        <v>128.01</v>
      </c>
      <c r="BL1394" s="1">
        <v>112.3</v>
      </c>
      <c r="BN1394" s="1">
        <v>112.23</v>
      </c>
    </row>
    <row r="1395" spans="1:66" x14ac:dyDescent="0.3">
      <c r="A1395" s="2"/>
      <c r="C1395" s="14" t="str">
        <f t="shared" si="22"/>
        <v>20208</v>
      </c>
      <c r="D1395" s="3">
        <v>44069</v>
      </c>
      <c r="E1395" s="21">
        <v>2022.59</v>
      </c>
      <c r="F1395" s="21">
        <v>2012.26</v>
      </c>
      <c r="G1395" s="21">
        <v>2066.5500000000002</v>
      </c>
      <c r="H1395" s="21">
        <v>1829.69</v>
      </c>
      <c r="I1395" s="21">
        <v>1906.16</v>
      </c>
      <c r="J1395" s="21">
        <v>1967.56</v>
      </c>
      <c r="K1395" s="21">
        <v>1948.39</v>
      </c>
      <c r="L1395" s="21">
        <v>1893.29</v>
      </c>
      <c r="M1395" s="21"/>
      <c r="N1395" s="21">
        <v>1818.74</v>
      </c>
      <c r="O1395" s="21">
        <v>2003.44</v>
      </c>
      <c r="P1395" s="21">
        <v>1938.66</v>
      </c>
      <c r="Q1395" s="21">
        <v>5530.93</v>
      </c>
      <c r="R1395" s="20">
        <v>103.12</v>
      </c>
      <c r="S1395" s="20">
        <v>113.09</v>
      </c>
      <c r="T1395" s="21">
        <v>118.29</v>
      </c>
      <c r="V1395" s="1">
        <v>107.35</v>
      </c>
      <c r="W1395" s="1">
        <v>113.63</v>
      </c>
      <c r="X1395" s="1">
        <v>122.26</v>
      </c>
      <c r="Y1395" s="1">
        <v>114.22</v>
      </c>
      <c r="Z1395" s="1">
        <v>114</v>
      </c>
      <c r="AA1395" s="1">
        <v>104.14</v>
      </c>
      <c r="AB1395" s="1">
        <v>122.24</v>
      </c>
      <c r="AD1395" s="1">
        <v>103.14</v>
      </c>
      <c r="AE1395" s="1">
        <v>129.41</v>
      </c>
      <c r="AF1395" s="1">
        <v>124.52</v>
      </c>
      <c r="AX1395" s="1">
        <v>127.03</v>
      </c>
      <c r="AZ1395" s="1">
        <v>2904.55</v>
      </c>
      <c r="BA1395" s="1">
        <v>126.82</v>
      </c>
      <c r="BB1395" s="1">
        <v>127.74</v>
      </c>
      <c r="BC1395" s="1">
        <v>129.26</v>
      </c>
      <c r="BD1395" s="1">
        <v>121.59</v>
      </c>
      <c r="BE1395" s="1">
        <v>124.7</v>
      </c>
      <c r="BF1395" s="1">
        <v>129.4</v>
      </c>
      <c r="BG1395" s="1">
        <v>131.72</v>
      </c>
      <c r="BH1395" s="1">
        <v>119.79</v>
      </c>
      <c r="BI1395" s="1">
        <v>119.18</v>
      </c>
      <c r="BJ1395" s="1">
        <v>126.77</v>
      </c>
      <c r="BL1395" s="1">
        <v>110.3</v>
      </c>
      <c r="BN1395" s="1">
        <v>110.23</v>
      </c>
    </row>
    <row r="1396" spans="1:66" x14ac:dyDescent="0.3">
      <c r="A1396" s="2"/>
      <c r="C1396" s="14" t="str">
        <f t="shared" si="22"/>
        <v>20208</v>
      </c>
      <c r="D1396" s="3">
        <v>44068</v>
      </c>
      <c r="E1396" s="21">
        <v>2022.59</v>
      </c>
      <c r="F1396" s="21">
        <v>2016.64</v>
      </c>
      <c r="G1396" s="21">
        <v>2076.85</v>
      </c>
      <c r="H1396" s="21">
        <v>1851.95</v>
      </c>
      <c r="I1396" s="21">
        <v>1903.69</v>
      </c>
      <c r="J1396" s="21">
        <v>1920.54</v>
      </c>
      <c r="K1396" s="21">
        <v>1970.47</v>
      </c>
      <c r="L1396" s="21">
        <v>1886.71</v>
      </c>
      <c r="M1396" s="21"/>
      <c r="N1396" s="21">
        <v>1790.36</v>
      </c>
      <c r="O1396" s="21">
        <v>1966</v>
      </c>
      <c r="P1396" s="21">
        <v>1930.68</v>
      </c>
      <c r="Q1396" s="21">
        <v>5610.1</v>
      </c>
      <c r="R1396" s="20">
        <v>103.12</v>
      </c>
      <c r="S1396" s="20">
        <v>112.67</v>
      </c>
      <c r="T1396" s="21">
        <v>117.58</v>
      </c>
      <c r="V1396" s="1">
        <v>105.75</v>
      </c>
      <c r="W1396" s="1">
        <v>113.2</v>
      </c>
      <c r="X1396" s="1">
        <v>121.24</v>
      </c>
      <c r="Y1396" s="1">
        <v>114.25</v>
      </c>
      <c r="Z1396" s="1">
        <v>114</v>
      </c>
      <c r="AA1396" s="1">
        <v>103.86</v>
      </c>
      <c r="AB1396" s="1">
        <v>117.71</v>
      </c>
      <c r="AE1396" s="1">
        <v>127.83</v>
      </c>
      <c r="AF1396" s="1">
        <v>125.15</v>
      </c>
      <c r="AG1396" s="1">
        <v>122.73</v>
      </c>
      <c r="AX1396" s="1">
        <v>125.72</v>
      </c>
      <c r="AZ1396" s="1">
        <v>2904.55</v>
      </c>
      <c r="BA1396" s="1">
        <v>125.39</v>
      </c>
      <c r="BB1396" s="1">
        <v>126.4</v>
      </c>
      <c r="BC1396" s="1">
        <v>129.68</v>
      </c>
      <c r="BD1396" s="1">
        <v>122.45</v>
      </c>
      <c r="BE1396" s="1">
        <v>123</v>
      </c>
      <c r="BF1396" s="1">
        <v>122.91</v>
      </c>
      <c r="BG1396" s="1">
        <v>128.55000000000001</v>
      </c>
      <c r="BH1396" s="1">
        <v>115.46</v>
      </c>
      <c r="BI1396" s="1">
        <v>118.58</v>
      </c>
      <c r="BJ1396" s="1">
        <v>126.77</v>
      </c>
      <c r="BL1396" s="1">
        <v>110.13</v>
      </c>
      <c r="BN1396" s="1">
        <v>110.07</v>
      </c>
    </row>
    <row r="1397" spans="1:66" x14ac:dyDescent="0.3">
      <c r="A1397" s="2"/>
      <c r="C1397" s="14" t="str">
        <f t="shared" si="22"/>
        <v>20208</v>
      </c>
      <c r="D1397" s="3">
        <v>44067</v>
      </c>
      <c r="E1397" s="21">
        <v>2060.38</v>
      </c>
      <c r="F1397" s="21">
        <v>2002.39</v>
      </c>
      <c r="G1397" s="21">
        <v>2061.61</v>
      </c>
      <c r="H1397" s="21">
        <v>1868.71</v>
      </c>
      <c r="I1397" s="21">
        <v>1897.52</v>
      </c>
      <c r="J1397" s="21">
        <v>1927.95</v>
      </c>
      <c r="K1397" s="21">
        <v>1930.23</v>
      </c>
      <c r="L1397" s="21">
        <v>1938.87</v>
      </c>
      <c r="M1397" s="21"/>
      <c r="N1397" s="21">
        <v>1805.84</v>
      </c>
      <c r="O1397" s="21">
        <v>1966</v>
      </c>
      <c r="P1397" s="21">
        <v>1911.42</v>
      </c>
      <c r="Q1397" s="21">
        <v>5507.78</v>
      </c>
      <c r="R1397" s="20">
        <v>102.61</v>
      </c>
      <c r="S1397" s="20">
        <v>111.4</v>
      </c>
      <c r="T1397" s="21">
        <v>116.81</v>
      </c>
      <c r="V1397" s="1">
        <v>104.31</v>
      </c>
      <c r="W1397" s="1">
        <v>112.21</v>
      </c>
      <c r="X1397" s="1">
        <v>120.74</v>
      </c>
      <c r="Y1397" s="1">
        <v>113.58</v>
      </c>
      <c r="Z1397" s="1">
        <v>113.43</v>
      </c>
      <c r="AA1397" s="1">
        <v>103.07</v>
      </c>
      <c r="AB1397" s="1">
        <v>117.13</v>
      </c>
      <c r="AE1397" s="1">
        <v>127.76</v>
      </c>
      <c r="AF1397" s="1">
        <v>123.57</v>
      </c>
      <c r="AG1397" s="1">
        <v>123.37</v>
      </c>
      <c r="AZ1397" s="1">
        <v>2904.55</v>
      </c>
      <c r="BA1397" s="1">
        <v>124.41</v>
      </c>
      <c r="BB1397" s="1">
        <v>126.8</v>
      </c>
      <c r="BC1397" s="1">
        <v>127.54</v>
      </c>
      <c r="BD1397" s="1">
        <v>121.89</v>
      </c>
      <c r="BE1397" s="1">
        <v>118.09</v>
      </c>
      <c r="BF1397" s="1">
        <v>121.91</v>
      </c>
      <c r="BG1397" s="1">
        <v>128.30000000000001</v>
      </c>
      <c r="BH1397" s="1">
        <v>115.39</v>
      </c>
      <c r="BI1397" s="1">
        <v>117.78</v>
      </c>
      <c r="BJ1397" s="1">
        <v>126.54</v>
      </c>
      <c r="BL1397" s="1">
        <v>109.8</v>
      </c>
      <c r="BN1397" s="1">
        <v>109.73</v>
      </c>
    </row>
    <row r="1398" spans="1:66" x14ac:dyDescent="0.3">
      <c r="A1398" s="2"/>
      <c r="C1398" s="14" t="str">
        <f t="shared" si="22"/>
        <v>20208</v>
      </c>
      <c r="D1398" s="3">
        <v>44064</v>
      </c>
      <c r="E1398" s="21">
        <v>2025.01</v>
      </c>
      <c r="F1398" s="21">
        <v>1965.28</v>
      </c>
      <c r="G1398" s="21">
        <v>2040.15</v>
      </c>
      <c r="H1398" s="21">
        <v>1874.62</v>
      </c>
      <c r="I1398" s="21">
        <v>1887.65</v>
      </c>
      <c r="J1398" s="21">
        <v>1909.07</v>
      </c>
      <c r="K1398" s="21">
        <v>1928.58</v>
      </c>
      <c r="L1398" s="21">
        <v>1934.92</v>
      </c>
      <c r="M1398" s="21"/>
      <c r="N1398" s="21">
        <v>1790.35</v>
      </c>
      <c r="O1398" s="21">
        <v>1864.41</v>
      </c>
      <c r="P1398" s="21">
        <v>1888.99</v>
      </c>
      <c r="Q1398" s="21">
        <v>5507.78</v>
      </c>
      <c r="R1398" s="20">
        <v>101.93</v>
      </c>
      <c r="S1398" s="20">
        <v>112.65</v>
      </c>
      <c r="T1398" s="21">
        <v>115.83</v>
      </c>
      <c r="V1398" s="1">
        <v>104.31</v>
      </c>
      <c r="W1398" s="1">
        <v>111.55</v>
      </c>
      <c r="X1398" s="1">
        <v>119.74</v>
      </c>
      <c r="Y1398" s="1">
        <v>112.67</v>
      </c>
      <c r="Z1398" s="1">
        <v>112.86</v>
      </c>
      <c r="AA1398" s="1">
        <v>102.9</v>
      </c>
      <c r="AB1398" s="1">
        <v>116.8</v>
      </c>
      <c r="AE1398" s="1">
        <v>127.29</v>
      </c>
      <c r="AF1398" s="1">
        <v>123.18</v>
      </c>
      <c r="AG1398" s="1">
        <v>120.73</v>
      </c>
      <c r="AZ1398" s="1">
        <v>2904.55</v>
      </c>
      <c r="BA1398" s="1">
        <v>122.97</v>
      </c>
      <c r="BB1398" s="1">
        <v>126.4</v>
      </c>
      <c r="BC1398" s="1">
        <v>129.26</v>
      </c>
      <c r="BD1398" s="1">
        <v>124.47</v>
      </c>
      <c r="BE1398" s="1">
        <v>117.98</v>
      </c>
      <c r="BF1398" s="1">
        <v>122.28</v>
      </c>
      <c r="BG1398" s="1">
        <v>128.11000000000001</v>
      </c>
      <c r="BH1398" s="1">
        <v>116.07</v>
      </c>
      <c r="BI1398" s="1">
        <v>117.78</v>
      </c>
      <c r="BJ1398" s="1">
        <v>126.45</v>
      </c>
      <c r="BL1398" s="1">
        <v>109.3</v>
      </c>
      <c r="BN1398" s="1">
        <v>109.23</v>
      </c>
    </row>
    <row r="1399" spans="1:66" x14ac:dyDescent="0.3">
      <c r="A1399" s="2"/>
      <c r="C1399" s="14" t="str">
        <f t="shared" si="22"/>
        <v>20208</v>
      </c>
      <c r="D1399" s="3">
        <v>44063</v>
      </c>
      <c r="E1399" s="21">
        <v>2011.85</v>
      </c>
      <c r="F1399" s="21">
        <v>1974.02</v>
      </c>
      <c r="G1399" s="21">
        <v>2013.5</v>
      </c>
      <c r="H1399" s="21">
        <v>1858.37</v>
      </c>
      <c r="I1399" s="21">
        <v>1885.19</v>
      </c>
      <c r="J1399" s="21">
        <v>1899.43</v>
      </c>
      <c r="K1399" s="21">
        <v>1868.16</v>
      </c>
      <c r="L1399" s="21">
        <v>1921.04</v>
      </c>
      <c r="M1399" s="21"/>
      <c r="N1399" s="21">
        <v>1729.46</v>
      </c>
      <c r="O1399" s="21">
        <v>1898.41</v>
      </c>
      <c r="P1399" s="21">
        <v>1876.66</v>
      </c>
      <c r="Q1399" s="21">
        <v>5481.16</v>
      </c>
      <c r="R1399" s="20">
        <v>101.93</v>
      </c>
      <c r="S1399" s="20">
        <v>111.38</v>
      </c>
      <c r="T1399" s="21">
        <v>114.84</v>
      </c>
      <c r="V1399" s="1">
        <v>104.31</v>
      </c>
      <c r="W1399" s="1">
        <v>111.2</v>
      </c>
      <c r="X1399" s="1">
        <v>118.56</v>
      </c>
      <c r="Y1399" s="1">
        <v>111.56</v>
      </c>
      <c r="Z1399" s="1">
        <v>112.13</v>
      </c>
      <c r="AA1399" s="1">
        <v>102.06</v>
      </c>
      <c r="AB1399" s="1">
        <v>119.33</v>
      </c>
      <c r="AE1399" s="1">
        <v>127.49</v>
      </c>
      <c r="AF1399" s="1">
        <v>123.87</v>
      </c>
      <c r="AG1399" s="1">
        <v>115.98</v>
      </c>
      <c r="AZ1399" s="1">
        <v>2804.4</v>
      </c>
      <c r="BA1399" s="1">
        <v>121.57</v>
      </c>
      <c r="BB1399" s="1">
        <v>130.19</v>
      </c>
      <c r="BC1399" s="1">
        <v>128.04</v>
      </c>
      <c r="BD1399" s="1">
        <v>122.83</v>
      </c>
      <c r="BE1399" s="1">
        <v>118.22</v>
      </c>
      <c r="BF1399" s="1">
        <v>120.08</v>
      </c>
      <c r="BG1399" s="1">
        <v>127.69</v>
      </c>
      <c r="BH1399" s="1">
        <v>115.04</v>
      </c>
      <c r="BI1399" s="1">
        <v>117.58</v>
      </c>
      <c r="BJ1399" s="1">
        <v>126.39</v>
      </c>
      <c r="BL1399" s="1">
        <v>108.8</v>
      </c>
      <c r="BN1399" s="1">
        <v>108.73</v>
      </c>
    </row>
    <row r="1400" spans="1:66" x14ac:dyDescent="0.3">
      <c r="A1400" s="2"/>
      <c r="C1400" s="14" t="str">
        <f t="shared" si="22"/>
        <v>20208</v>
      </c>
      <c r="D1400" s="3">
        <v>44062</v>
      </c>
      <c r="E1400" s="21">
        <v>1940.65</v>
      </c>
      <c r="F1400" s="21">
        <v>1930.31</v>
      </c>
      <c r="G1400" s="21">
        <v>1988.12</v>
      </c>
      <c r="H1400" s="21">
        <v>1807.83</v>
      </c>
      <c r="I1400" s="21">
        <v>1855.58</v>
      </c>
      <c r="J1400" s="21">
        <v>1877.4</v>
      </c>
      <c r="K1400" s="21">
        <v>1922.02</v>
      </c>
      <c r="L1400" s="21">
        <v>1861.95</v>
      </c>
      <c r="M1400" s="21"/>
      <c r="N1400" s="21">
        <v>1724.2</v>
      </c>
      <c r="O1400" s="21">
        <v>1868.32</v>
      </c>
      <c r="P1400" s="21">
        <v>1876.66</v>
      </c>
      <c r="Q1400" s="21">
        <v>5486.23</v>
      </c>
      <c r="R1400" s="20">
        <v>101.59</v>
      </c>
      <c r="S1400" s="20">
        <v>110.07</v>
      </c>
      <c r="T1400" s="21">
        <v>113.58</v>
      </c>
      <c r="V1400" s="1">
        <v>100.82</v>
      </c>
      <c r="W1400" s="1">
        <v>110.59</v>
      </c>
      <c r="X1400" s="1">
        <v>117.92</v>
      </c>
      <c r="Y1400" s="1">
        <v>110.91</v>
      </c>
      <c r="Z1400" s="1">
        <v>110.43</v>
      </c>
      <c r="AA1400" s="1">
        <v>101.61</v>
      </c>
      <c r="AB1400" s="1">
        <v>118.83</v>
      </c>
      <c r="AE1400" s="1">
        <v>125.9</v>
      </c>
      <c r="AF1400" s="1">
        <v>121.83</v>
      </c>
      <c r="AG1400" s="1">
        <v>115.67</v>
      </c>
      <c r="AX1400" s="1">
        <v>121.59</v>
      </c>
      <c r="BA1400" s="1">
        <v>121.03</v>
      </c>
      <c r="BB1400" s="1">
        <v>124.65</v>
      </c>
      <c r="BC1400" s="1">
        <v>128.96</v>
      </c>
      <c r="BD1400" s="1">
        <v>122.26</v>
      </c>
      <c r="BE1400" s="1">
        <v>116.58</v>
      </c>
      <c r="BF1400" s="1">
        <v>121.33</v>
      </c>
      <c r="BG1400" s="1">
        <v>127.37</v>
      </c>
      <c r="BH1400" s="1">
        <v>114.99</v>
      </c>
      <c r="BI1400" s="1">
        <v>117.58</v>
      </c>
      <c r="BJ1400" s="1">
        <v>126.38</v>
      </c>
      <c r="BL1400" s="1">
        <v>107.13</v>
      </c>
      <c r="BN1400" s="1">
        <v>106.9</v>
      </c>
    </row>
    <row r="1401" spans="1:66" x14ac:dyDescent="0.3">
      <c r="A1401" s="2"/>
      <c r="C1401" s="14" t="str">
        <f t="shared" si="22"/>
        <v>20208</v>
      </c>
      <c r="D1401" s="3">
        <v>44061</v>
      </c>
      <c r="E1401" s="21">
        <v>1932.75</v>
      </c>
      <c r="F1401" s="21">
        <v>1904.93</v>
      </c>
      <c r="G1401" s="21">
        <v>1954.87</v>
      </c>
      <c r="H1401" s="21">
        <v>1789.87</v>
      </c>
      <c r="I1401" s="21">
        <v>1838.3</v>
      </c>
      <c r="J1401" s="21">
        <v>1899.28</v>
      </c>
      <c r="K1401" s="21">
        <v>1850.15</v>
      </c>
      <c r="L1401" s="21">
        <v>1753.07</v>
      </c>
      <c r="M1401" s="21"/>
      <c r="N1401" s="21">
        <v>1722.54</v>
      </c>
      <c r="O1401" s="21">
        <v>1883.33</v>
      </c>
      <c r="P1401" s="21">
        <v>1845.51</v>
      </c>
      <c r="Q1401" s="21">
        <v>5457.79</v>
      </c>
      <c r="R1401" s="20">
        <v>100.59</v>
      </c>
      <c r="S1401" s="20">
        <v>110.23</v>
      </c>
      <c r="T1401" s="21">
        <v>111.38</v>
      </c>
      <c r="V1401" s="1">
        <v>99.53</v>
      </c>
      <c r="W1401" s="1">
        <v>109.71</v>
      </c>
      <c r="X1401" s="1">
        <v>117.7</v>
      </c>
      <c r="Y1401" s="1">
        <v>110.69</v>
      </c>
      <c r="Z1401" s="1">
        <v>110.16</v>
      </c>
      <c r="AA1401" s="1">
        <v>101.05</v>
      </c>
      <c r="AB1401" s="1">
        <v>117.25</v>
      </c>
      <c r="AE1401" s="1">
        <v>123.36</v>
      </c>
      <c r="AF1401" s="1">
        <v>119.61</v>
      </c>
      <c r="AG1401" s="1">
        <v>116.16</v>
      </c>
      <c r="AX1401" s="1">
        <v>119.64</v>
      </c>
      <c r="BA1401" s="1">
        <v>121.9</v>
      </c>
      <c r="BB1401" s="1">
        <v>126.34</v>
      </c>
      <c r="BC1401" s="1">
        <v>125.51</v>
      </c>
      <c r="BD1401" s="1">
        <v>122.03</v>
      </c>
      <c r="BE1401" s="1">
        <v>116.55</v>
      </c>
      <c r="BF1401" s="1">
        <v>120.98</v>
      </c>
      <c r="BG1401" s="1">
        <v>126.91</v>
      </c>
      <c r="BH1401" s="1">
        <v>114.99</v>
      </c>
      <c r="BI1401" s="1">
        <v>116.49</v>
      </c>
      <c r="BJ1401" s="1">
        <v>126.36</v>
      </c>
      <c r="BL1401" s="1">
        <v>106.59</v>
      </c>
      <c r="BN1401" s="1">
        <v>106.57</v>
      </c>
    </row>
    <row r="1402" spans="1:66" x14ac:dyDescent="0.3">
      <c r="A1402" s="2"/>
      <c r="C1402" s="14" t="str">
        <f t="shared" si="22"/>
        <v>20208</v>
      </c>
      <c r="D1402" s="3">
        <v>44060</v>
      </c>
      <c r="E1402" s="21">
        <v>1882.16</v>
      </c>
      <c r="F1402" s="21">
        <v>1862.98</v>
      </c>
      <c r="G1402" s="21">
        <v>1902.53</v>
      </c>
      <c r="H1402" s="21">
        <v>1768.09</v>
      </c>
      <c r="I1402" s="21">
        <v>1825.96</v>
      </c>
      <c r="J1402" s="21">
        <v>1888.49</v>
      </c>
      <c r="K1402" s="21">
        <v>1837.17</v>
      </c>
      <c r="L1402" s="21">
        <v>1764.08</v>
      </c>
      <c r="M1402" s="21"/>
      <c r="N1402" s="21">
        <v>1657.51</v>
      </c>
      <c r="O1402" s="21">
        <v>1870</v>
      </c>
      <c r="P1402" s="21">
        <v>1780.91</v>
      </c>
      <c r="Q1402" s="21">
        <v>5531.24</v>
      </c>
      <c r="R1402" s="20">
        <v>100.59</v>
      </c>
      <c r="S1402" s="20">
        <v>110</v>
      </c>
      <c r="T1402" s="21">
        <v>110.83</v>
      </c>
      <c r="V1402" s="1">
        <v>98.43</v>
      </c>
      <c r="W1402" s="1">
        <v>108.88</v>
      </c>
      <c r="X1402" s="1">
        <v>116.16</v>
      </c>
      <c r="Y1402" s="1">
        <v>109.69</v>
      </c>
      <c r="Z1402" s="1">
        <v>109.6</v>
      </c>
      <c r="AA1402" s="1">
        <v>101.24</v>
      </c>
      <c r="AB1402" s="1">
        <v>117.33</v>
      </c>
      <c r="AE1402" s="1">
        <v>125.66</v>
      </c>
      <c r="AF1402" s="1">
        <v>120.33</v>
      </c>
      <c r="AG1402" s="1">
        <v>111.8</v>
      </c>
      <c r="AN1402" s="1">
        <v>2854.47</v>
      </c>
      <c r="AX1402" s="1">
        <v>116.79</v>
      </c>
      <c r="BA1402" s="1">
        <v>119.77</v>
      </c>
      <c r="BB1402" s="1">
        <v>123.09</v>
      </c>
      <c r="BC1402" s="1">
        <v>128.08000000000001</v>
      </c>
      <c r="BD1402" s="1">
        <v>120.61</v>
      </c>
      <c r="BE1402" s="1">
        <v>115.19</v>
      </c>
      <c r="BF1402" s="1">
        <v>121.06</v>
      </c>
      <c r="BG1402" s="1">
        <v>126.61</v>
      </c>
      <c r="BH1402" s="1">
        <v>112.66</v>
      </c>
      <c r="BI1402" s="1">
        <v>114.39</v>
      </c>
      <c r="BJ1402" s="1">
        <v>124.13</v>
      </c>
      <c r="BL1402" s="1">
        <v>106.3</v>
      </c>
      <c r="BN1402" s="1">
        <v>106.23</v>
      </c>
    </row>
    <row r="1403" spans="1:66" x14ac:dyDescent="0.3">
      <c r="A1403" s="2"/>
      <c r="C1403" s="14" t="str">
        <f t="shared" si="22"/>
        <v>20208</v>
      </c>
      <c r="D1403" s="3">
        <v>44057</v>
      </c>
      <c r="E1403" s="21">
        <v>1878.33</v>
      </c>
      <c r="F1403" s="21">
        <v>1858.87</v>
      </c>
      <c r="G1403" s="21">
        <v>1908.42</v>
      </c>
      <c r="H1403" s="21">
        <v>1726.54</v>
      </c>
      <c r="I1403" s="21">
        <v>1832.54</v>
      </c>
      <c r="J1403" s="21">
        <v>1852.87</v>
      </c>
      <c r="K1403" s="21">
        <v>1794.86</v>
      </c>
      <c r="L1403" s="21">
        <v>1786.1</v>
      </c>
      <c r="M1403" s="21"/>
      <c r="N1403" s="21">
        <v>1669.12</v>
      </c>
      <c r="O1403" s="21">
        <v>1828.04</v>
      </c>
      <c r="P1403" s="21">
        <v>1783.82</v>
      </c>
      <c r="Q1403" s="21">
        <v>5443.71</v>
      </c>
      <c r="R1403" s="20">
        <v>104.64</v>
      </c>
      <c r="S1403" s="20">
        <v>107.69</v>
      </c>
      <c r="T1403" s="21">
        <v>109.82</v>
      </c>
      <c r="V1403" s="1">
        <v>97.93</v>
      </c>
      <c r="W1403" s="1">
        <v>107.74</v>
      </c>
      <c r="X1403" s="1">
        <v>116.01</v>
      </c>
      <c r="Y1403" s="1">
        <v>108.74</v>
      </c>
      <c r="Z1403" s="1">
        <v>108.5</v>
      </c>
      <c r="AA1403" s="1">
        <v>100.82</v>
      </c>
      <c r="AB1403" s="1">
        <v>115.7</v>
      </c>
      <c r="AC1403" s="1">
        <v>98.63</v>
      </c>
      <c r="AE1403" s="1">
        <v>123.43</v>
      </c>
      <c r="AF1403" s="1">
        <v>116.77</v>
      </c>
      <c r="AG1403" s="1">
        <v>115.16</v>
      </c>
      <c r="AN1403" s="1">
        <v>2854.47</v>
      </c>
      <c r="AX1403" s="1">
        <v>115.85</v>
      </c>
      <c r="BA1403" s="1">
        <v>118.68</v>
      </c>
      <c r="BB1403" s="1">
        <v>120.43</v>
      </c>
      <c r="BC1403" s="1">
        <v>123.71</v>
      </c>
      <c r="BD1403" s="1">
        <v>118.28</v>
      </c>
      <c r="BE1403" s="1">
        <v>115.09</v>
      </c>
      <c r="BF1403" s="1">
        <v>120.39</v>
      </c>
      <c r="BG1403" s="1">
        <v>124.43</v>
      </c>
      <c r="BH1403" s="1">
        <v>111.91</v>
      </c>
      <c r="BI1403" s="1">
        <v>113.59</v>
      </c>
      <c r="BJ1403" s="1">
        <v>124.09</v>
      </c>
      <c r="BL1403" s="1">
        <v>107.22</v>
      </c>
      <c r="BN1403" s="1">
        <v>107.17</v>
      </c>
    </row>
    <row r="1404" spans="1:66" x14ac:dyDescent="0.3">
      <c r="A1404" s="2"/>
      <c r="C1404" s="14" t="str">
        <f t="shared" si="22"/>
        <v>20208</v>
      </c>
      <c r="D1404" s="3">
        <v>44056</v>
      </c>
      <c r="E1404" s="21">
        <v>1878.33</v>
      </c>
      <c r="F1404" s="21">
        <v>1851.4</v>
      </c>
      <c r="G1404" s="21">
        <v>1896.5</v>
      </c>
      <c r="H1404" s="21">
        <v>1740.74</v>
      </c>
      <c r="I1404" s="21">
        <v>1822.67</v>
      </c>
      <c r="J1404" s="21">
        <v>1855.8</v>
      </c>
      <c r="K1404" s="21">
        <v>1795.51</v>
      </c>
      <c r="L1404" s="21">
        <v>1786.1</v>
      </c>
      <c r="M1404" s="21"/>
      <c r="N1404" s="21">
        <v>1645.66</v>
      </c>
      <c r="O1404" s="21">
        <v>1817.96</v>
      </c>
      <c r="P1404" s="21">
        <v>1783.82</v>
      </c>
      <c r="Q1404" s="21">
        <v>5496.23</v>
      </c>
      <c r="R1404" s="20">
        <v>104.39</v>
      </c>
      <c r="S1404" s="20">
        <v>107.69</v>
      </c>
      <c r="T1404" s="21">
        <v>109.83</v>
      </c>
      <c r="V1404" s="1">
        <v>98.19</v>
      </c>
      <c r="W1404" s="1">
        <v>107.11</v>
      </c>
      <c r="X1404" s="1">
        <v>115.22</v>
      </c>
      <c r="Y1404" s="1">
        <v>108.47</v>
      </c>
      <c r="Z1404" s="1">
        <v>108.5</v>
      </c>
      <c r="AA1404" s="1">
        <v>101.36</v>
      </c>
      <c r="AB1404" s="1">
        <v>115.03</v>
      </c>
      <c r="AC1404" s="1">
        <v>98.31</v>
      </c>
      <c r="AD1404" s="1">
        <v>97.75</v>
      </c>
      <c r="AE1404" s="1">
        <v>123.25</v>
      </c>
      <c r="AF1404" s="1">
        <v>116.77</v>
      </c>
      <c r="AG1404" s="1">
        <v>115.31</v>
      </c>
      <c r="AN1404" s="1">
        <v>2854.47</v>
      </c>
      <c r="AX1404" s="1">
        <v>114.82</v>
      </c>
      <c r="BA1404" s="1">
        <v>117.34</v>
      </c>
      <c r="BB1404" s="1">
        <v>120.7</v>
      </c>
      <c r="BC1404" s="1">
        <v>122</v>
      </c>
      <c r="BD1404" s="1">
        <v>117.56</v>
      </c>
      <c r="BE1404" s="1">
        <v>115.09</v>
      </c>
      <c r="BF1404" s="1">
        <v>118.38</v>
      </c>
      <c r="BG1404" s="1">
        <v>124.01</v>
      </c>
      <c r="BH1404" s="1">
        <v>110.41</v>
      </c>
      <c r="BI1404" s="1">
        <v>114.19</v>
      </c>
      <c r="BJ1404" s="1">
        <v>124.07</v>
      </c>
      <c r="BL1404" s="1">
        <v>104.8</v>
      </c>
      <c r="BN1404" s="1">
        <v>104.7</v>
      </c>
    </row>
    <row r="1405" spans="1:66" x14ac:dyDescent="0.3">
      <c r="A1405" s="2"/>
      <c r="C1405" s="14" t="str">
        <f t="shared" si="22"/>
        <v>20208</v>
      </c>
      <c r="D1405" s="3">
        <v>44055</v>
      </c>
      <c r="E1405" s="21">
        <v>1868.44</v>
      </c>
      <c r="F1405" s="21">
        <v>1840.77</v>
      </c>
      <c r="G1405" s="21">
        <v>1904.3</v>
      </c>
      <c r="H1405" s="21">
        <v>1736.2</v>
      </c>
      <c r="I1405" s="21">
        <v>1822.67</v>
      </c>
      <c r="J1405" s="21">
        <v>1886.44</v>
      </c>
      <c r="K1405" s="21">
        <v>1788.88</v>
      </c>
      <c r="L1405" s="21">
        <v>1809.6</v>
      </c>
      <c r="M1405" s="21">
        <v>1685.57</v>
      </c>
      <c r="N1405" s="21">
        <v>1654.36</v>
      </c>
      <c r="O1405" s="21">
        <v>1849.39</v>
      </c>
      <c r="P1405" s="21">
        <v>1773.87</v>
      </c>
      <c r="Q1405" s="21">
        <v>5496.23</v>
      </c>
      <c r="R1405" s="20">
        <v>104.65</v>
      </c>
      <c r="S1405" s="20">
        <v>106.47</v>
      </c>
      <c r="T1405" s="21">
        <v>109.86</v>
      </c>
      <c r="V1405" s="1">
        <v>97.23</v>
      </c>
      <c r="W1405" s="1">
        <v>106.11</v>
      </c>
      <c r="X1405" s="1">
        <v>114.26</v>
      </c>
      <c r="Y1405" s="1">
        <v>106.97</v>
      </c>
      <c r="Z1405" s="1">
        <v>106.55</v>
      </c>
      <c r="AA1405" s="1">
        <v>100.72</v>
      </c>
      <c r="AB1405" s="1">
        <v>114.79</v>
      </c>
      <c r="AC1405" s="1">
        <v>98.35</v>
      </c>
      <c r="AD1405" s="1">
        <v>97.68</v>
      </c>
      <c r="AE1405" s="1">
        <v>122.95</v>
      </c>
      <c r="AF1405" s="1">
        <v>115.19</v>
      </c>
      <c r="AG1405" s="1">
        <v>115.31</v>
      </c>
      <c r="AN1405" s="1">
        <v>2854.47</v>
      </c>
      <c r="AP1405" s="1">
        <v>2795</v>
      </c>
      <c r="AX1405" s="1">
        <v>115.48</v>
      </c>
      <c r="AZ1405" s="1">
        <v>3124.9</v>
      </c>
      <c r="BA1405" s="1">
        <v>117.41</v>
      </c>
      <c r="BB1405" s="1">
        <v>117.98</v>
      </c>
      <c r="BC1405" s="1">
        <v>119.08</v>
      </c>
      <c r="BD1405" s="1">
        <v>116.52</v>
      </c>
      <c r="BE1405" s="1">
        <v>115.06</v>
      </c>
      <c r="BF1405" s="1">
        <v>118.12</v>
      </c>
      <c r="BG1405" s="1">
        <v>123.04</v>
      </c>
      <c r="BH1405" s="1">
        <v>110.41</v>
      </c>
      <c r="BI1405" s="1">
        <v>109.6</v>
      </c>
      <c r="BJ1405" s="1">
        <v>120.66</v>
      </c>
      <c r="BL1405" s="1">
        <v>103.47</v>
      </c>
      <c r="BN1405" s="1">
        <v>103.07</v>
      </c>
    </row>
    <row r="1406" spans="1:66" x14ac:dyDescent="0.3">
      <c r="A1406" s="2"/>
      <c r="C1406" s="14" t="str">
        <f t="shared" si="22"/>
        <v>20208</v>
      </c>
      <c r="D1406" s="3">
        <v>44054</v>
      </c>
      <c r="E1406" s="21">
        <v>1835.89</v>
      </c>
      <c r="F1406" s="21">
        <v>1841.22</v>
      </c>
      <c r="G1406" s="21">
        <v>1869.5</v>
      </c>
      <c r="H1406" s="21">
        <v>1730.28</v>
      </c>
      <c r="I1406" s="21">
        <v>1809.51</v>
      </c>
      <c r="J1406" s="21">
        <v>1849.25</v>
      </c>
      <c r="K1406" s="21">
        <v>1834.35</v>
      </c>
      <c r="L1406" s="21">
        <v>1744.2</v>
      </c>
      <c r="M1406" s="21">
        <v>1685.57</v>
      </c>
      <c r="N1406" s="21">
        <v>1632.39</v>
      </c>
      <c r="O1406" s="21">
        <v>1819.43</v>
      </c>
      <c r="P1406" s="21">
        <v>1767.37</v>
      </c>
      <c r="Q1406" s="21">
        <v>5320.12</v>
      </c>
      <c r="R1406" s="20">
        <v>104.39</v>
      </c>
      <c r="S1406" s="20">
        <v>105.84</v>
      </c>
      <c r="T1406" s="21">
        <v>109.56</v>
      </c>
      <c r="V1406" s="1">
        <v>96.63</v>
      </c>
      <c r="W1406" s="1">
        <v>105.97</v>
      </c>
      <c r="X1406" s="1">
        <v>112.85</v>
      </c>
      <c r="Y1406" s="1">
        <v>106.44</v>
      </c>
      <c r="Z1406" s="1">
        <v>106.27</v>
      </c>
      <c r="AA1406" s="1">
        <v>101.36</v>
      </c>
      <c r="AB1406" s="1">
        <v>112.48</v>
      </c>
      <c r="AC1406" s="1">
        <v>98.48</v>
      </c>
      <c r="AD1406" s="1">
        <v>97.48</v>
      </c>
      <c r="AE1406" s="1">
        <v>120.76</v>
      </c>
      <c r="AF1406" s="1">
        <v>111.81</v>
      </c>
      <c r="AG1406" s="1">
        <v>110.95</v>
      </c>
      <c r="AK1406" s="1">
        <v>0</v>
      </c>
      <c r="AN1406" s="1">
        <v>2854.47</v>
      </c>
      <c r="AP1406" s="1">
        <v>2795</v>
      </c>
      <c r="AS1406" s="1">
        <v>2704.24</v>
      </c>
      <c r="AX1406" s="1">
        <v>115.43</v>
      </c>
      <c r="AZ1406" s="1">
        <v>3124.9</v>
      </c>
      <c r="BA1406" s="1">
        <v>117.76</v>
      </c>
      <c r="BB1406" s="1">
        <v>117.94</v>
      </c>
      <c r="BC1406" s="1">
        <v>118.97</v>
      </c>
      <c r="BD1406" s="1">
        <v>115.81</v>
      </c>
      <c r="BE1406" s="1">
        <v>113.7</v>
      </c>
      <c r="BF1406" s="1">
        <v>116.89</v>
      </c>
      <c r="BG1406" s="1">
        <v>122.13</v>
      </c>
      <c r="BH1406" s="1">
        <v>110.41</v>
      </c>
      <c r="BI1406" s="1">
        <v>109.6</v>
      </c>
      <c r="BJ1406" s="1">
        <v>120.66</v>
      </c>
      <c r="BL1406" s="1">
        <v>102.81</v>
      </c>
      <c r="BN1406" s="1">
        <v>102.96</v>
      </c>
    </row>
    <row r="1407" spans="1:66" x14ac:dyDescent="0.3">
      <c r="A1407" s="2"/>
      <c r="C1407" s="14" t="str">
        <f t="shared" si="22"/>
        <v>20208</v>
      </c>
      <c r="D1407" s="3">
        <v>44053</v>
      </c>
      <c r="E1407" s="21">
        <v>1854.04</v>
      </c>
      <c r="F1407" s="21">
        <v>1837.73</v>
      </c>
      <c r="G1407" s="21">
        <v>1892.55</v>
      </c>
      <c r="H1407" s="21">
        <v>1743.54</v>
      </c>
      <c r="I1407" s="21">
        <v>1801.29</v>
      </c>
      <c r="J1407" s="21">
        <v>1880.65</v>
      </c>
      <c r="K1407" s="21">
        <v>1786.68</v>
      </c>
      <c r="L1407" s="21">
        <v>1720.39</v>
      </c>
      <c r="M1407" s="21">
        <v>1678.43</v>
      </c>
      <c r="N1407" s="21">
        <v>1648.03</v>
      </c>
      <c r="O1407" s="21">
        <v>1816.93</v>
      </c>
      <c r="P1407" s="21">
        <v>1764.45</v>
      </c>
      <c r="Q1407" s="21">
        <v>5177.91</v>
      </c>
      <c r="R1407" s="20">
        <v>104.14</v>
      </c>
      <c r="S1407" s="20">
        <v>102.41</v>
      </c>
      <c r="T1407" s="21">
        <v>109.83</v>
      </c>
      <c r="V1407" s="1">
        <v>96.83</v>
      </c>
      <c r="W1407" s="1">
        <v>105.5</v>
      </c>
      <c r="X1407" s="1">
        <v>111.76</v>
      </c>
      <c r="Y1407" s="1">
        <v>105.72</v>
      </c>
      <c r="Z1407" s="1">
        <v>105.77</v>
      </c>
      <c r="AA1407" s="1">
        <v>99.58</v>
      </c>
      <c r="AB1407" s="1">
        <v>111.93</v>
      </c>
      <c r="AC1407" s="1">
        <v>98.48</v>
      </c>
      <c r="AD1407" s="1">
        <v>97.48</v>
      </c>
      <c r="AE1407" s="1">
        <v>119.68</v>
      </c>
      <c r="AF1407" s="1">
        <v>112.91</v>
      </c>
      <c r="AG1407" s="1">
        <v>112.59</v>
      </c>
      <c r="AK1407" s="1">
        <v>0</v>
      </c>
      <c r="AP1407" s="1">
        <v>2795</v>
      </c>
      <c r="AQ1407" s="1">
        <v>2974.66</v>
      </c>
      <c r="AS1407" s="1">
        <v>2704.24</v>
      </c>
      <c r="AX1407" s="1">
        <v>114.37</v>
      </c>
      <c r="AZ1407" s="1">
        <v>3124.9</v>
      </c>
      <c r="BA1407" s="1">
        <v>115.42</v>
      </c>
      <c r="BB1407" s="1">
        <v>118.06</v>
      </c>
      <c r="BC1407" s="1">
        <v>118.5</v>
      </c>
      <c r="BD1407" s="1">
        <v>115.81</v>
      </c>
      <c r="BE1407" s="1">
        <v>113.28</v>
      </c>
      <c r="BF1407" s="1">
        <v>115.47</v>
      </c>
      <c r="BG1407" s="1">
        <v>121.86</v>
      </c>
      <c r="BH1407" s="1">
        <v>110.41</v>
      </c>
      <c r="BI1407" s="1">
        <v>109.6</v>
      </c>
      <c r="BJ1407" s="1">
        <v>120.66</v>
      </c>
      <c r="BL1407" s="1">
        <v>101.15</v>
      </c>
      <c r="BN1407" s="1">
        <v>100.97</v>
      </c>
    </row>
    <row r="1408" spans="1:66" x14ac:dyDescent="0.3">
      <c r="A1408" s="2"/>
      <c r="C1408" s="14" t="str">
        <f t="shared" si="22"/>
        <v>20208</v>
      </c>
      <c r="D1408" s="3">
        <v>44050</v>
      </c>
      <c r="E1408" s="21">
        <v>1859.29</v>
      </c>
      <c r="F1408" s="21">
        <v>1837.73</v>
      </c>
      <c r="G1408" s="21">
        <v>1882.68</v>
      </c>
      <c r="H1408" s="21">
        <v>1750.36</v>
      </c>
      <c r="I1408" s="21">
        <v>1793.89</v>
      </c>
      <c r="J1408" s="21">
        <v>1880.65</v>
      </c>
      <c r="K1408" s="21">
        <v>1810.26</v>
      </c>
      <c r="L1408" s="21">
        <v>1722.37</v>
      </c>
      <c r="M1408" s="21">
        <v>1664.15</v>
      </c>
      <c r="N1408" s="21">
        <v>1650.3</v>
      </c>
      <c r="O1408" s="21">
        <v>1853.33</v>
      </c>
      <c r="P1408" s="21">
        <v>1776.16</v>
      </c>
      <c r="Q1408" s="21">
        <v>5133.4399999999996</v>
      </c>
      <c r="R1408" s="20">
        <v>103.76</v>
      </c>
      <c r="S1408" s="20">
        <v>102.58</v>
      </c>
      <c r="T1408" s="21">
        <v>109.07</v>
      </c>
      <c r="V1408" s="1">
        <v>96.03</v>
      </c>
      <c r="W1408" s="1">
        <v>105.71</v>
      </c>
      <c r="X1408" s="1">
        <v>111.1</v>
      </c>
      <c r="Y1408" s="1">
        <v>105.35</v>
      </c>
      <c r="Z1408" s="1">
        <v>105.27</v>
      </c>
      <c r="AA1408" s="1">
        <v>100.44</v>
      </c>
      <c r="AB1408" s="1">
        <v>111.26</v>
      </c>
      <c r="AC1408" s="1">
        <v>98.81</v>
      </c>
      <c r="AE1408" s="1">
        <v>119.69</v>
      </c>
      <c r="AF1408" s="1">
        <v>112.91</v>
      </c>
      <c r="AG1408" s="1">
        <v>112.17</v>
      </c>
      <c r="AK1408" s="1">
        <v>0</v>
      </c>
      <c r="AP1408" s="1">
        <v>2795</v>
      </c>
      <c r="AQ1408" s="1">
        <v>2975.27</v>
      </c>
      <c r="AS1408" s="1">
        <v>2704.79</v>
      </c>
      <c r="AX1408" s="1">
        <v>112.4</v>
      </c>
      <c r="AZ1408" s="1">
        <v>3125.54</v>
      </c>
      <c r="BA1408" s="1">
        <v>114.7</v>
      </c>
      <c r="BB1408" s="1">
        <v>118.8</v>
      </c>
      <c r="BC1408" s="1">
        <v>118.32</v>
      </c>
      <c r="BD1408" s="1">
        <v>116.26</v>
      </c>
      <c r="BE1408" s="1">
        <v>113.2</v>
      </c>
      <c r="BF1408" s="1">
        <v>115.09</v>
      </c>
      <c r="BG1408" s="1">
        <v>121.62</v>
      </c>
      <c r="BH1408" s="1">
        <v>110.08</v>
      </c>
      <c r="BI1408" s="1">
        <v>107.21</v>
      </c>
      <c r="BJ1408" s="1">
        <v>115.87</v>
      </c>
      <c r="BL1408" s="1">
        <v>100.86</v>
      </c>
      <c r="BN1408" s="1">
        <v>100.72</v>
      </c>
    </row>
    <row r="1409" spans="1:66" x14ac:dyDescent="0.3">
      <c r="A1409" s="2"/>
      <c r="C1409" s="14" t="str">
        <f t="shared" si="22"/>
        <v>20208</v>
      </c>
      <c r="D1409" s="3">
        <v>44049</v>
      </c>
      <c r="E1409" s="21">
        <v>1859.29</v>
      </c>
      <c r="F1409" s="21">
        <v>1837.73</v>
      </c>
      <c r="G1409" s="21">
        <v>1880.7</v>
      </c>
      <c r="H1409" s="21">
        <v>1741.81</v>
      </c>
      <c r="I1409" s="21">
        <v>1793.06</v>
      </c>
      <c r="J1409" s="21">
        <v>1857.59</v>
      </c>
      <c r="K1409" s="21">
        <v>1756.88</v>
      </c>
      <c r="L1409" s="21">
        <v>1716.95</v>
      </c>
      <c r="M1409" s="21"/>
      <c r="N1409" s="21">
        <v>1634.92</v>
      </c>
      <c r="O1409" s="21">
        <v>1827.19</v>
      </c>
      <c r="P1409" s="21">
        <v>1776.16</v>
      </c>
      <c r="Q1409" s="21">
        <v>5166.67</v>
      </c>
      <c r="R1409" s="20">
        <v>101.76</v>
      </c>
      <c r="S1409" s="20">
        <v>102.34</v>
      </c>
      <c r="T1409" s="21">
        <v>107.8</v>
      </c>
      <c r="V1409" s="1">
        <v>95.83</v>
      </c>
      <c r="W1409" s="1">
        <v>105.14</v>
      </c>
      <c r="X1409" s="1">
        <v>110.14</v>
      </c>
      <c r="Y1409" s="1">
        <v>104.83</v>
      </c>
      <c r="Z1409" s="1">
        <v>103.99</v>
      </c>
      <c r="AA1409" s="1">
        <v>99.91</v>
      </c>
      <c r="AB1409" s="1">
        <v>109.82</v>
      </c>
      <c r="AC1409" s="1">
        <v>98.81</v>
      </c>
      <c r="AE1409" s="1">
        <v>120.13</v>
      </c>
      <c r="AK1409" s="1">
        <v>0</v>
      </c>
      <c r="AP1409" s="1">
        <v>2795</v>
      </c>
      <c r="AQ1409" s="1">
        <v>2975.27</v>
      </c>
      <c r="AS1409" s="1">
        <v>2704.79</v>
      </c>
      <c r="AX1409" s="1">
        <v>111.04</v>
      </c>
      <c r="AZ1409" s="1">
        <v>3125.54</v>
      </c>
      <c r="BA1409" s="1">
        <v>113.15</v>
      </c>
      <c r="BB1409" s="1">
        <v>118.87</v>
      </c>
      <c r="BC1409" s="1">
        <v>117.25</v>
      </c>
      <c r="BD1409" s="1">
        <v>113.29</v>
      </c>
      <c r="BE1409" s="1">
        <v>112.67</v>
      </c>
      <c r="BF1409" s="1">
        <v>114.19</v>
      </c>
      <c r="BG1409" s="1">
        <v>120.03</v>
      </c>
      <c r="BH1409" s="1">
        <v>109.41</v>
      </c>
      <c r="BI1409" s="1">
        <v>106.78</v>
      </c>
      <c r="BJ1409" s="1">
        <v>115.87</v>
      </c>
      <c r="BL1409" s="1">
        <v>100.66</v>
      </c>
      <c r="BN1409" s="1">
        <v>100.62</v>
      </c>
    </row>
    <row r="1410" spans="1:66" x14ac:dyDescent="0.3">
      <c r="A1410" s="2"/>
      <c r="C1410" s="14" t="str">
        <f t="shared" si="22"/>
        <v>20208</v>
      </c>
      <c r="D1410" s="3">
        <v>44048</v>
      </c>
      <c r="E1410" s="21">
        <v>1859.29</v>
      </c>
      <c r="F1410" s="21">
        <v>1841.76</v>
      </c>
      <c r="G1410" s="21">
        <v>1877.42</v>
      </c>
      <c r="H1410" s="21">
        <v>1718.23</v>
      </c>
      <c r="I1410" s="21">
        <v>1793.06</v>
      </c>
      <c r="J1410" s="21">
        <v>1773.1</v>
      </c>
      <c r="K1410" s="21">
        <v>1756.88</v>
      </c>
      <c r="L1410" s="21">
        <v>1710.64</v>
      </c>
      <c r="M1410" s="21"/>
      <c r="N1410" s="21">
        <v>1628.13</v>
      </c>
      <c r="O1410" s="21">
        <v>1824.63</v>
      </c>
      <c r="P1410" s="21">
        <v>1774.91</v>
      </c>
      <c r="Q1410" s="21">
        <v>5184.41</v>
      </c>
      <c r="R1410" s="20">
        <v>101.02</v>
      </c>
      <c r="S1410" s="20">
        <v>99.47</v>
      </c>
      <c r="T1410" s="21">
        <v>107.4</v>
      </c>
      <c r="V1410" s="1">
        <v>95.83</v>
      </c>
      <c r="W1410" s="1">
        <v>104.89</v>
      </c>
      <c r="X1410" s="1">
        <v>108.99</v>
      </c>
      <c r="Y1410" s="1">
        <v>103.95</v>
      </c>
      <c r="Z1410" s="1">
        <v>104</v>
      </c>
      <c r="AA1410" s="1">
        <v>99.67</v>
      </c>
      <c r="AB1410" s="1">
        <v>109.19</v>
      </c>
      <c r="AC1410" s="1">
        <v>98.81</v>
      </c>
      <c r="AE1410" s="1">
        <v>118.93</v>
      </c>
      <c r="AF1410" s="1">
        <v>107.55</v>
      </c>
      <c r="AK1410" s="1">
        <v>0</v>
      </c>
      <c r="AQ1410" s="1">
        <v>2975.27</v>
      </c>
      <c r="AS1410" s="1">
        <v>2704.79</v>
      </c>
      <c r="AX1410" s="1">
        <v>111.04</v>
      </c>
      <c r="BB1410" s="1">
        <v>117.34</v>
      </c>
      <c r="BC1410" s="1">
        <v>114.4</v>
      </c>
      <c r="BD1410" s="1">
        <v>113.3</v>
      </c>
      <c r="BE1410" s="1">
        <v>112.65</v>
      </c>
      <c r="BF1410" s="1">
        <v>114.01</v>
      </c>
      <c r="BG1410" s="1">
        <v>119.18</v>
      </c>
      <c r="BH1410" s="1">
        <v>109.41</v>
      </c>
      <c r="BI1410" s="1">
        <v>106.61</v>
      </c>
      <c r="BJ1410" s="1">
        <v>114.35</v>
      </c>
      <c r="BL1410" s="1">
        <v>100.32</v>
      </c>
      <c r="BN1410" s="1">
        <v>100.19</v>
      </c>
    </row>
    <row r="1411" spans="1:66" x14ac:dyDescent="0.3">
      <c r="A1411" s="2"/>
      <c r="C1411" s="14" t="str">
        <f t="shared" si="22"/>
        <v>20208</v>
      </c>
      <c r="D1411" s="3">
        <v>44047</v>
      </c>
      <c r="E1411" s="21">
        <v>1843.5</v>
      </c>
      <c r="F1411" s="21">
        <v>1817.99</v>
      </c>
      <c r="G1411" s="21">
        <v>1860.96</v>
      </c>
      <c r="H1411" s="21">
        <v>1742.08</v>
      </c>
      <c r="I1411" s="21">
        <v>1793.06</v>
      </c>
      <c r="J1411" s="21">
        <v>1791.2</v>
      </c>
      <c r="K1411" s="21">
        <v>1756.88</v>
      </c>
      <c r="L1411" s="21">
        <v>1642.6</v>
      </c>
      <c r="M1411" s="21"/>
      <c r="N1411" s="21">
        <v>1616.34</v>
      </c>
      <c r="O1411" s="21">
        <v>1849.12</v>
      </c>
      <c r="P1411" s="21">
        <v>1761.19</v>
      </c>
      <c r="Q1411" s="21">
        <v>4831.91</v>
      </c>
      <c r="R1411" s="20">
        <v>101.51</v>
      </c>
      <c r="S1411" s="20">
        <v>99.43</v>
      </c>
      <c r="T1411" s="21">
        <v>105.79</v>
      </c>
      <c r="V1411" s="1">
        <v>95.83</v>
      </c>
      <c r="W1411" s="1">
        <v>105.04</v>
      </c>
      <c r="X1411" s="1">
        <v>108.99</v>
      </c>
      <c r="Y1411" s="1">
        <v>103.84</v>
      </c>
      <c r="Z1411" s="1">
        <v>103.99</v>
      </c>
      <c r="AA1411" s="1">
        <v>98.97</v>
      </c>
      <c r="AB1411" s="1">
        <v>109.03</v>
      </c>
      <c r="AC1411" s="1">
        <v>95.15</v>
      </c>
      <c r="AE1411" s="1">
        <v>118.63</v>
      </c>
      <c r="AF1411" s="1">
        <v>107.39</v>
      </c>
      <c r="AG1411" s="1">
        <v>106.89</v>
      </c>
      <c r="AQ1411" s="1">
        <v>2975.27</v>
      </c>
      <c r="AX1411" s="1">
        <v>108.2</v>
      </c>
      <c r="BA1411" s="1">
        <v>112.97</v>
      </c>
      <c r="BB1411" s="1">
        <v>117.76</v>
      </c>
      <c r="BC1411" s="1">
        <v>114.33</v>
      </c>
      <c r="BD1411" s="1">
        <v>113.56</v>
      </c>
      <c r="BE1411" s="1">
        <v>111.86</v>
      </c>
      <c r="BF1411" s="1">
        <v>113.72</v>
      </c>
      <c r="BG1411" s="1">
        <v>118.73</v>
      </c>
      <c r="BH1411" s="1">
        <v>110.16</v>
      </c>
      <c r="BI1411" s="1">
        <v>106.61</v>
      </c>
      <c r="BJ1411" s="1">
        <v>113.57</v>
      </c>
      <c r="BL1411" s="1">
        <v>100.39</v>
      </c>
      <c r="BN1411" s="1">
        <v>100.09</v>
      </c>
    </row>
    <row r="1412" spans="1:66" x14ac:dyDescent="0.3">
      <c r="A1412" s="2"/>
      <c r="C1412" s="14" t="str">
        <f t="shared" si="22"/>
        <v>20208</v>
      </c>
      <c r="D1412" s="3">
        <v>44046</v>
      </c>
      <c r="E1412" s="21">
        <v>1860.51</v>
      </c>
      <c r="F1412" s="21">
        <v>1808.88</v>
      </c>
      <c r="G1412" s="21">
        <v>1876.88</v>
      </c>
      <c r="H1412" s="21">
        <v>1731.15</v>
      </c>
      <c r="I1412" s="21">
        <v>1793.06</v>
      </c>
      <c r="J1412" s="21">
        <v>1825.73</v>
      </c>
      <c r="K1412" s="21">
        <v>1756.88</v>
      </c>
      <c r="L1412" s="21">
        <v>1691.15</v>
      </c>
      <c r="M1412" s="21">
        <v>1678.48</v>
      </c>
      <c r="N1412" s="21">
        <v>1611.87</v>
      </c>
      <c r="O1412" s="21">
        <v>1826.67</v>
      </c>
      <c r="P1412" s="21">
        <v>1761.19</v>
      </c>
      <c r="Q1412" s="21">
        <v>4342.6899999999996</v>
      </c>
      <c r="R1412" s="20">
        <v>101.5</v>
      </c>
      <c r="S1412" s="20">
        <v>100.91</v>
      </c>
      <c r="T1412" s="21">
        <v>104.84</v>
      </c>
      <c r="V1412" s="1">
        <v>95.12</v>
      </c>
      <c r="W1412" s="1">
        <v>104.49</v>
      </c>
      <c r="X1412" s="1">
        <v>107.74</v>
      </c>
      <c r="Y1412" s="1">
        <v>102.47</v>
      </c>
      <c r="Z1412" s="1">
        <v>102.43</v>
      </c>
      <c r="AA1412" s="1">
        <v>98.82</v>
      </c>
      <c r="AB1412" s="1">
        <v>107.81</v>
      </c>
      <c r="AC1412" s="1">
        <v>95.15</v>
      </c>
      <c r="AE1412" s="1">
        <v>118.64</v>
      </c>
      <c r="AF1412" s="1">
        <v>106.59</v>
      </c>
      <c r="AG1412" s="1">
        <v>107.24</v>
      </c>
      <c r="AW1412" s="1">
        <v>2417.62</v>
      </c>
      <c r="AX1412" s="1">
        <v>106.38</v>
      </c>
      <c r="BA1412" s="1">
        <v>112.45</v>
      </c>
      <c r="BB1412" s="1">
        <v>115.17</v>
      </c>
      <c r="BC1412" s="1">
        <v>113.43</v>
      </c>
      <c r="BD1412" s="1">
        <v>110.53</v>
      </c>
      <c r="BE1412" s="1">
        <v>112.77</v>
      </c>
      <c r="BF1412" s="1">
        <v>112.78</v>
      </c>
      <c r="BG1412" s="1">
        <v>118.38</v>
      </c>
      <c r="BH1412" s="1">
        <v>110.16</v>
      </c>
      <c r="BI1412" s="1">
        <v>104.82</v>
      </c>
      <c r="BJ1412" s="1">
        <v>112.37</v>
      </c>
      <c r="BL1412" s="1">
        <v>99.89</v>
      </c>
      <c r="BN1412" s="1">
        <v>99.84</v>
      </c>
    </row>
    <row r="1413" spans="1:66" x14ac:dyDescent="0.3">
      <c r="A1413" s="2"/>
      <c r="C1413" s="14" t="str">
        <f t="shared" si="22"/>
        <v>20207</v>
      </c>
      <c r="D1413" s="3">
        <v>44043</v>
      </c>
      <c r="E1413" s="21">
        <v>1784.98</v>
      </c>
      <c r="F1413" s="21">
        <v>1786.48</v>
      </c>
      <c r="G1413" s="21">
        <v>1840.2</v>
      </c>
      <c r="H1413" s="21">
        <v>1736.73</v>
      </c>
      <c r="I1413" s="21">
        <v>1786.48</v>
      </c>
      <c r="J1413" s="21">
        <v>1782.44</v>
      </c>
      <c r="K1413" s="21">
        <v>1757.86</v>
      </c>
      <c r="L1413" s="21">
        <v>1694.33</v>
      </c>
      <c r="M1413" s="21">
        <v>1667.93</v>
      </c>
      <c r="N1413" s="21">
        <v>1588.99</v>
      </c>
      <c r="O1413" s="21">
        <v>1781.66</v>
      </c>
      <c r="P1413" s="21">
        <v>1763.66</v>
      </c>
      <c r="Q1413" s="21">
        <v>4494.41</v>
      </c>
      <c r="R1413" s="20">
        <v>101.08</v>
      </c>
      <c r="S1413" s="20">
        <v>100.24</v>
      </c>
      <c r="T1413" s="21">
        <v>104.14</v>
      </c>
      <c r="V1413" s="1">
        <v>94.04</v>
      </c>
      <c r="W1413" s="1">
        <v>102.21</v>
      </c>
      <c r="X1413" s="1">
        <v>106.75</v>
      </c>
      <c r="Y1413" s="1">
        <v>101.12</v>
      </c>
      <c r="Z1413" s="1">
        <v>101.27</v>
      </c>
      <c r="AA1413" s="1">
        <v>97.26</v>
      </c>
      <c r="AB1413" s="1">
        <v>106.46</v>
      </c>
      <c r="AC1413" s="1">
        <v>93.82</v>
      </c>
      <c r="AE1413" s="1">
        <v>115.91</v>
      </c>
      <c r="AF1413" s="1">
        <v>106.58</v>
      </c>
      <c r="AG1413" s="1">
        <v>105.66</v>
      </c>
      <c r="AP1413" s="1">
        <v>2750</v>
      </c>
      <c r="AW1413" s="1">
        <v>2418.02</v>
      </c>
      <c r="AX1413" s="1">
        <v>105.91</v>
      </c>
      <c r="BA1413" s="1">
        <v>109.7</v>
      </c>
      <c r="BB1413" s="1">
        <v>112.84</v>
      </c>
      <c r="BC1413" s="1">
        <v>111.49</v>
      </c>
      <c r="BD1413" s="1">
        <v>106.94</v>
      </c>
      <c r="BE1413" s="1">
        <v>108.08</v>
      </c>
      <c r="BF1413" s="1">
        <v>112.45</v>
      </c>
      <c r="BG1413" s="1">
        <v>116.31</v>
      </c>
      <c r="BH1413" s="1">
        <v>110.54</v>
      </c>
      <c r="BI1413" s="1">
        <v>104.42</v>
      </c>
      <c r="BJ1413" s="1">
        <v>112.57</v>
      </c>
      <c r="BL1413" s="1">
        <v>97.63</v>
      </c>
      <c r="BN1413" s="1">
        <v>97.73</v>
      </c>
    </row>
    <row r="1414" spans="1:66" x14ac:dyDescent="0.3">
      <c r="A1414" s="2"/>
      <c r="C1414" s="14" t="str">
        <f t="shared" ref="C1414:C1477" si="23">YEAR(D1414)&amp;MONTH(D1414)</f>
        <v>20207</v>
      </c>
      <c r="D1414" s="3">
        <v>44042</v>
      </c>
      <c r="E1414" s="21">
        <v>1783.99</v>
      </c>
      <c r="F1414" s="21">
        <v>1788.13</v>
      </c>
      <c r="G1414" s="21">
        <v>1839.22</v>
      </c>
      <c r="H1414" s="21">
        <v>1622.14</v>
      </c>
      <c r="I1414" s="21">
        <v>1777.71</v>
      </c>
      <c r="J1414" s="21">
        <v>1790.32</v>
      </c>
      <c r="K1414" s="21">
        <v>1785.59</v>
      </c>
      <c r="L1414" s="21">
        <v>1622.76</v>
      </c>
      <c r="M1414" s="21">
        <v>1636.26</v>
      </c>
      <c r="N1414" s="21">
        <v>1596.91</v>
      </c>
      <c r="O1414" s="21">
        <v>1810.45</v>
      </c>
      <c r="P1414" s="21">
        <v>1748.75</v>
      </c>
      <c r="Q1414" s="21">
        <v>4457.3999999999996</v>
      </c>
      <c r="R1414" s="20">
        <v>97.24</v>
      </c>
      <c r="S1414" s="20">
        <v>97.08</v>
      </c>
      <c r="T1414" s="21">
        <v>103.56</v>
      </c>
      <c r="V1414" s="1">
        <v>93.44</v>
      </c>
      <c r="W1414" s="1">
        <v>102.36</v>
      </c>
      <c r="X1414" s="1">
        <v>106.25</v>
      </c>
      <c r="Y1414" s="1">
        <v>100.5</v>
      </c>
      <c r="Z1414" s="1">
        <v>100.82</v>
      </c>
      <c r="AA1414" s="1">
        <v>96.91</v>
      </c>
      <c r="AB1414" s="1">
        <v>106.15</v>
      </c>
      <c r="AC1414" s="1">
        <v>93.82</v>
      </c>
      <c r="AE1414" s="1">
        <v>115.28</v>
      </c>
      <c r="AF1414" s="1">
        <v>106.42</v>
      </c>
      <c r="AG1414" s="1">
        <v>105.33</v>
      </c>
      <c r="AP1414" s="1">
        <v>2851</v>
      </c>
      <c r="AQ1414" s="1">
        <v>3085.99</v>
      </c>
      <c r="AW1414" s="1">
        <v>2418.02</v>
      </c>
      <c r="AX1414" s="1">
        <v>105.4</v>
      </c>
      <c r="BA1414" s="1">
        <v>106.34</v>
      </c>
      <c r="BB1414" s="1">
        <v>111.29</v>
      </c>
      <c r="BC1414" s="1">
        <v>110.21</v>
      </c>
      <c r="BD1414" s="1">
        <v>107.09</v>
      </c>
      <c r="BE1414" s="1">
        <v>108.37</v>
      </c>
      <c r="BF1414" s="1">
        <v>109.19</v>
      </c>
      <c r="BG1414" s="1">
        <v>114.72</v>
      </c>
      <c r="BH1414" s="1">
        <v>106.18</v>
      </c>
      <c r="BI1414" s="1">
        <v>104.22</v>
      </c>
      <c r="BJ1414" s="1">
        <v>112.57</v>
      </c>
      <c r="BL1414" s="1">
        <v>96.97</v>
      </c>
      <c r="BN1414" s="1">
        <v>96.57</v>
      </c>
    </row>
    <row r="1415" spans="1:66" x14ac:dyDescent="0.3">
      <c r="A1415" s="2"/>
      <c r="C1415" s="14" t="str">
        <f t="shared" si="23"/>
        <v>20207</v>
      </c>
      <c r="D1415" s="3">
        <v>44041</v>
      </c>
      <c r="E1415" s="21">
        <v>1803.11</v>
      </c>
      <c r="F1415" s="21">
        <v>1784.59</v>
      </c>
      <c r="G1415" s="21">
        <v>1843.19</v>
      </c>
      <c r="H1415" s="21">
        <v>1616.15</v>
      </c>
      <c r="I1415" s="21">
        <v>1760.16</v>
      </c>
      <c r="J1415" s="21">
        <v>1725.42</v>
      </c>
      <c r="K1415" s="21">
        <v>1785.59</v>
      </c>
      <c r="L1415" s="21">
        <v>1673.29</v>
      </c>
      <c r="M1415" s="21">
        <v>1636.26</v>
      </c>
      <c r="N1415" s="21">
        <v>1583.56</v>
      </c>
      <c r="O1415" s="21">
        <v>1810.45</v>
      </c>
      <c r="P1415" s="21">
        <v>1748.75</v>
      </c>
      <c r="Q1415" s="21">
        <v>4617.3100000000004</v>
      </c>
      <c r="R1415" s="20">
        <v>97.35</v>
      </c>
      <c r="S1415" s="20">
        <v>97.5</v>
      </c>
      <c r="T1415" s="21">
        <v>103.55</v>
      </c>
      <c r="V1415" s="1">
        <v>93.44</v>
      </c>
      <c r="W1415" s="1">
        <v>101.84</v>
      </c>
      <c r="X1415" s="1">
        <v>106.2</v>
      </c>
      <c r="Y1415" s="1">
        <v>100.07</v>
      </c>
      <c r="Z1415" s="1">
        <v>99.99</v>
      </c>
      <c r="AA1415" s="1">
        <v>96.6</v>
      </c>
      <c r="AB1415" s="1">
        <v>106.15</v>
      </c>
      <c r="AC1415" s="1">
        <v>93.82</v>
      </c>
      <c r="AE1415" s="1">
        <v>114.56</v>
      </c>
      <c r="AF1415" s="1">
        <v>106.42</v>
      </c>
      <c r="AG1415" s="1">
        <v>105.33</v>
      </c>
      <c r="AP1415" s="1">
        <v>2873.25</v>
      </c>
      <c r="AQ1415" s="1">
        <v>3085.99</v>
      </c>
      <c r="AW1415" s="1">
        <v>2418.02</v>
      </c>
      <c r="AX1415" s="1">
        <v>104.77</v>
      </c>
      <c r="AZ1415" s="1">
        <v>2554.96</v>
      </c>
      <c r="BA1415" s="1">
        <v>105.02</v>
      </c>
      <c r="BB1415" s="1">
        <v>110.98</v>
      </c>
      <c r="BC1415" s="1">
        <v>110.12</v>
      </c>
      <c r="BD1415" s="1">
        <v>107.14</v>
      </c>
      <c r="BE1415" s="1">
        <v>109.25</v>
      </c>
      <c r="BF1415" s="1">
        <v>109.14</v>
      </c>
      <c r="BG1415" s="1">
        <v>114.78</v>
      </c>
      <c r="BH1415" s="1">
        <v>106.18</v>
      </c>
      <c r="BI1415" s="1">
        <v>104.22</v>
      </c>
      <c r="BJ1415" s="1">
        <v>112.57</v>
      </c>
      <c r="BL1415" s="1">
        <v>96.3</v>
      </c>
      <c r="BN1415" s="1">
        <v>96.23</v>
      </c>
    </row>
    <row r="1416" spans="1:66" x14ac:dyDescent="0.3">
      <c r="A1416" s="2"/>
      <c r="C1416" s="14" t="str">
        <f t="shared" si="23"/>
        <v>20207</v>
      </c>
      <c r="D1416" s="3">
        <v>44040</v>
      </c>
      <c r="E1416" s="21">
        <v>1733.47</v>
      </c>
      <c r="F1416" s="21">
        <v>1787.38</v>
      </c>
      <c r="G1416" s="21">
        <v>1826.67</v>
      </c>
      <c r="H1416" s="21">
        <v>1629.53</v>
      </c>
      <c r="I1416" s="21">
        <v>1760.16</v>
      </c>
      <c r="J1416" s="21">
        <v>1684.47</v>
      </c>
      <c r="K1416" s="21">
        <v>1785.59</v>
      </c>
      <c r="L1416" s="21">
        <v>1684.41</v>
      </c>
      <c r="M1416" s="21"/>
      <c r="N1416" s="21">
        <v>1582.1</v>
      </c>
      <c r="O1416" s="21">
        <v>1830.49</v>
      </c>
      <c r="P1416" s="21">
        <v>1748.75</v>
      </c>
      <c r="Q1416" s="21">
        <v>4565.79</v>
      </c>
      <c r="R1416" s="20">
        <v>98.51</v>
      </c>
      <c r="S1416" s="20">
        <v>96.92</v>
      </c>
      <c r="T1416" s="21">
        <v>103.27</v>
      </c>
      <c r="V1416" s="1">
        <v>93.44</v>
      </c>
      <c r="W1416" s="1">
        <v>102.05</v>
      </c>
      <c r="X1416" s="1">
        <v>105.7</v>
      </c>
      <c r="Y1416" s="1">
        <v>100.98</v>
      </c>
      <c r="Z1416" s="1">
        <v>101</v>
      </c>
      <c r="AA1416" s="1">
        <v>96.38</v>
      </c>
      <c r="AB1416" s="1">
        <v>105.77</v>
      </c>
      <c r="AC1416" s="1">
        <v>94.82</v>
      </c>
      <c r="AE1416" s="1">
        <v>114.88</v>
      </c>
      <c r="AF1416" s="1">
        <v>107.49</v>
      </c>
      <c r="AG1416" s="1">
        <v>105.33</v>
      </c>
      <c r="AP1416" s="1">
        <v>2873.25</v>
      </c>
      <c r="AQ1416" s="1">
        <v>2992.47</v>
      </c>
      <c r="AW1416" s="1">
        <v>2418.02</v>
      </c>
      <c r="AX1416" s="1">
        <v>104.76</v>
      </c>
      <c r="AZ1416" s="1">
        <v>2554.96</v>
      </c>
      <c r="BA1416" s="1">
        <v>107.06</v>
      </c>
      <c r="BB1416" s="1">
        <v>111.51</v>
      </c>
      <c r="BC1416" s="1">
        <v>109.69</v>
      </c>
      <c r="BD1416" s="1">
        <v>106.84</v>
      </c>
      <c r="BE1416" s="1">
        <v>109.2</v>
      </c>
      <c r="BF1416" s="1">
        <v>108.7</v>
      </c>
      <c r="BG1416" s="1">
        <v>115.42</v>
      </c>
      <c r="BH1416" s="1">
        <v>106.68</v>
      </c>
      <c r="BI1416" s="1">
        <v>104.22</v>
      </c>
      <c r="BJ1416" s="1">
        <v>114.29</v>
      </c>
      <c r="BL1416" s="1">
        <v>97.41</v>
      </c>
      <c r="BN1416" s="1">
        <v>97.25</v>
      </c>
    </row>
    <row r="1417" spans="1:66" x14ac:dyDescent="0.3">
      <c r="A1417" s="2"/>
      <c r="C1417" s="14" t="str">
        <f t="shared" si="23"/>
        <v>20207</v>
      </c>
      <c r="D1417" s="3">
        <v>44039</v>
      </c>
      <c r="E1417" s="21">
        <v>1792.88</v>
      </c>
      <c r="F1417" s="21">
        <v>1788</v>
      </c>
      <c r="G1417" s="21">
        <v>1844.15</v>
      </c>
      <c r="H1417" s="21">
        <v>1637.19</v>
      </c>
      <c r="I1417" s="21">
        <v>1753.58</v>
      </c>
      <c r="J1417" s="21">
        <v>1689.41</v>
      </c>
      <c r="K1417" s="21">
        <v>1785.59</v>
      </c>
      <c r="L1417" s="21">
        <v>1701.06</v>
      </c>
      <c r="M1417" s="21"/>
      <c r="N1417" s="21">
        <v>1606.66</v>
      </c>
      <c r="O1417" s="21">
        <v>1833.98</v>
      </c>
      <c r="P1417" s="21">
        <v>1750</v>
      </c>
      <c r="Q1417" s="21">
        <v>4574</v>
      </c>
      <c r="R1417" s="20">
        <v>97.72</v>
      </c>
      <c r="S1417" s="20">
        <v>97.66</v>
      </c>
      <c r="T1417" s="21">
        <v>103.31</v>
      </c>
      <c r="V1417" s="1">
        <v>93.64</v>
      </c>
      <c r="W1417" s="1">
        <v>101.96</v>
      </c>
      <c r="X1417" s="1">
        <v>106.02</v>
      </c>
      <c r="Y1417" s="1">
        <v>101.33</v>
      </c>
      <c r="Z1417" s="1">
        <v>101.5</v>
      </c>
      <c r="AA1417" s="1">
        <v>97.37</v>
      </c>
      <c r="AB1417" s="1">
        <v>107.53</v>
      </c>
      <c r="AE1417" s="1">
        <v>115.31</v>
      </c>
      <c r="AF1417" s="1">
        <v>108.28</v>
      </c>
      <c r="AG1417" s="1">
        <v>105.33</v>
      </c>
      <c r="AL1417" s="1">
        <v>30</v>
      </c>
      <c r="AP1417" s="1">
        <v>2873.25</v>
      </c>
      <c r="AQ1417" s="1">
        <v>2992.47</v>
      </c>
      <c r="AX1417" s="1">
        <v>104.42</v>
      </c>
      <c r="AZ1417" s="1">
        <v>2627.48</v>
      </c>
      <c r="BA1417" s="1">
        <v>109.1</v>
      </c>
      <c r="BB1417" s="1">
        <v>112</v>
      </c>
      <c r="BC1417" s="1">
        <v>109.78</v>
      </c>
      <c r="BD1417" s="1">
        <v>107.45</v>
      </c>
      <c r="BE1417" s="1">
        <v>109.2</v>
      </c>
      <c r="BF1417" s="1">
        <v>108.9</v>
      </c>
      <c r="BG1417" s="1">
        <v>115.86</v>
      </c>
      <c r="BI1417" s="1">
        <v>104.22</v>
      </c>
      <c r="BJ1417" s="1">
        <v>112.57</v>
      </c>
      <c r="BL1417" s="1">
        <v>97.63</v>
      </c>
      <c r="BN1417" s="1">
        <v>97.4</v>
      </c>
    </row>
    <row r="1418" spans="1:66" x14ac:dyDescent="0.3">
      <c r="A1418" s="2"/>
      <c r="C1418" s="14" t="str">
        <f t="shared" si="23"/>
        <v>20207</v>
      </c>
      <c r="D1418" s="3">
        <v>44036</v>
      </c>
      <c r="E1418" s="21">
        <v>1849.96</v>
      </c>
      <c r="F1418" s="21">
        <v>1788</v>
      </c>
      <c r="G1418" s="21">
        <v>1844.15</v>
      </c>
      <c r="H1418" s="21">
        <v>1671.25</v>
      </c>
      <c r="I1418" s="21">
        <v>1753.58</v>
      </c>
      <c r="J1418" s="21">
        <v>1806.67</v>
      </c>
      <c r="K1418" s="21">
        <v>1758.44</v>
      </c>
      <c r="L1418" s="21">
        <v>1701.06</v>
      </c>
      <c r="M1418" s="21"/>
      <c r="N1418" s="21">
        <v>1606.82</v>
      </c>
      <c r="O1418" s="21">
        <v>1826.67</v>
      </c>
      <c r="P1418" s="21">
        <v>1758</v>
      </c>
      <c r="Q1418" s="21">
        <v>4369.8999999999996</v>
      </c>
      <c r="R1418" s="20">
        <v>97.72</v>
      </c>
      <c r="S1418" s="20">
        <v>97.45</v>
      </c>
      <c r="T1418" s="21">
        <v>103.21</v>
      </c>
      <c r="V1418" s="1">
        <v>92.92</v>
      </c>
      <c r="W1418" s="1">
        <v>101.87</v>
      </c>
      <c r="X1418" s="1">
        <v>106.15</v>
      </c>
      <c r="Y1418" s="1">
        <v>100.28</v>
      </c>
      <c r="Z1418" s="1">
        <v>100.88</v>
      </c>
      <c r="AA1418" s="1">
        <v>97.51</v>
      </c>
      <c r="AB1418" s="1">
        <v>107.53</v>
      </c>
      <c r="AD1418" s="1">
        <v>94.08</v>
      </c>
      <c r="AE1418" s="1">
        <v>114.07</v>
      </c>
      <c r="AF1418" s="1">
        <v>106.99</v>
      </c>
      <c r="AG1418" s="1">
        <v>110.63</v>
      </c>
      <c r="AL1418" s="1">
        <v>30</v>
      </c>
      <c r="AP1418" s="1">
        <v>2996.5</v>
      </c>
      <c r="AQ1418" s="1">
        <v>2992.47</v>
      </c>
      <c r="AX1418" s="1">
        <v>108.39</v>
      </c>
      <c r="AZ1418" s="1">
        <v>2627.48</v>
      </c>
      <c r="BA1418" s="1">
        <v>106.14</v>
      </c>
      <c r="BB1418" s="1">
        <v>111.92</v>
      </c>
      <c r="BC1418" s="1">
        <v>108.61</v>
      </c>
      <c r="BD1418" s="1">
        <v>108.63</v>
      </c>
      <c r="BE1418" s="1">
        <v>112.2</v>
      </c>
      <c r="BF1418" s="1">
        <v>111.23</v>
      </c>
      <c r="BG1418" s="1">
        <v>115.7</v>
      </c>
      <c r="BH1418" s="1">
        <v>101.37</v>
      </c>
      <c r="BI1418" s="1">
        <v>104.22</v>
      </c>
      <c r="BJ1418" s="1">
        <v>112.57</v>
      </c>
      <c r="BL1418" s="1">
        <v>98.14</v>
      </c>
      <c r="BN1418" s="1">
        <v>98.09</v>
      </c>
    </row>
    <row r="1419" spans="1:66" x14ac:dyDescent="0.3">
      <c r="A1419" s="2"/>
      <c r="C1419" s="14" t="str">
        <f t="shared" si="23"/>
        <v>20207</v>
      </c>
      <c r="D1419" s="3">
        <v>44035</v>
      </c>
      <c r="E1419" s="21">
        <v>1769.64</v>
      </c>
      <c r="F1419" s="21">
        <v>1788</v>
      </c>
      <c r="G1419" s="21">
        <v>1840.2</v>
      </c>
      <c r="H1419" s="21">
        <v>1668.77</v>
      </c>
      <c r="I1419" s="21">
        <v>1734.67</v>
      </c>
      <c r="J1419" s="21">
        <v>1830.42</v>
      </c>
      <c r="K1419" s="21">
        <v>1753.28</v>
      </c>
      <c r="L1419" s="21">
        <v>1685.19</v>
      </c>
      <c r="M1419" s="21"/>
      <c r="N1419" s="21">
        <v>1583.52</v>
      </c>
      <c r="O1419" s="21">
        <v>1823.02</v>
      </c>
      <c r="P1419" s="21">
        <v>1760</v>
      </c>
      <c r="Q1419" s="21">
        <v>4446.6000000000004</v>
      </c>
      <c r="R1419" s="20">
        <v>101.63</v>
      </c>
      <c r="S1419" s="20">
        <v>97.58</v>
      </c>
      <c r="T1419" s="21">
        <v>103.22</v>
      </c>
      <c r="V1419" s="1">
        <v>92.84</v>
      </c>
      <c r="W1419" s="1">
        <v>99.91</v>
      </c>
      <c r="X1419" s="1">
        <v>104.93</v>
      </c>
      <c r="Y1419" s="1">
        <v>99.48</v>
      </c>
      <c r="Z1419" s="1">
        <v>98.99</v>
      </c>
      <c r="AA1419" s="1">
        <v>96.75</v>
      </c>
      <c r="AB1419" s="1">
        <v>106.97</v>
      </c>
      <c r="AD1419" s="1">
        <v>93.45</v>
      </c>
      <c r="AE1419" s="1">
        <v>113.5</v>
      </c>
      <c r="AG1419" s="1">
        <v>110.63</v>
      </c>
      <c r="AL1419" s="1">
        <v>30</v>
      </c>
      <c r="AP1419" s="1">
        <v>2940</v>
      </c>
      <c r="AQ1419" s="1">
        <v>2945.71</v>
      </c>
      <c r="AX1419" s="1">
        <v>108.22</v>
      </c>
      <c r="AZ1419" s="1">
        <v>2627.48</v>
      </c>
      <c r="BA1419" s="1">
        <v>105.76</v>
      </c>
      <c r="BB1419" s="1">
        <v>109.09</v>
      </c>
      <c r="BC1419" s="1">
        <v>108.29</v>
      </c>
      <c r="BD1419" s="1">
        <v>106.66</v>
      </c>
      <c r="BE1419" s="1">
        <v>108.84</v>
      </c>
      <c r="BF1419" s="1">
        <v>106.87</v>
      </c>
      <c r="BG1419" s="1">
        <v>114.17</v>
      </c>
      <c r="BH1419" s="1">
        <v>100.63</v>
      </c>
      <c r="BI1419" s="1">
        <v>104.22</v>
      </c>
      <c r="BJ1419" s="1">
        <v>112.57</v>
      </c>
      <c r="BL1419" s="1">
        <v>97.27</v>
      </c>
      <c r="BN1419" s="1">
        <v>97.09</v>
      </c>
    </row>
    <row r="1420" spans="1:66" x14ac:dyDescent="0.3">
      <c r="A1420" s="2"/>
      <c r="C1420" s="14" t="str">
        <f t="shared" si="23"/>
        <v>20207</v>
      </c>
      <c r="D1420" s="3">
        <v>44034</v>
      </c>
      <c r="E1420" s="21">
        <v>1769.64</v>
      </c>
      <c r="F1420" s="21">
        <v>1788</v>
      </c>
      <c r="G1420" s="21">
        <v>1846.13</v>
      </c>
      <c r="H1420" s="21">
        <v>1645.5</v>
      </c>
      <c r="I1420" s="21">
        <v>1749.47</v>
      </c>
      <c r="J1420" s="21">
        <v>1830.42</v>
      </c>
      <c r="K1420" s="21">
        <v>1753.28</v>
      </c>
      <c r="L1420" s="21">
        <v>1712.76</v>
      </c>
      <c r="M1420" s="21"/>
      <c r="N1420" s="21">
        <v>1596.17</v>
      </c>
      <c r="O1420" s="21">
        <v>1823.02</v>
      </c>
      <c r="P1420" s="21">
        <v>1760</v>
      </c>
      <c r="Q1420" s="21">
        <v>4446.6000000000004</v>
      </c>
      <c r="R1420" s="20">
        <v>97.71</v>
      </c>
      <c r="S1420" s="20">
        <v>97.09</v>
      </c>
      <c r="T1420" s="21">
        <v>100.2</v>
      </c>
      <c r="V1420" s="1">
        <v>93.64</v>
      </c>
      <c r="W1420" s="1">
        <v>99.79</v>
      </c>
      <c r="X1420" s="1">
        <v>105.31</v>
      </c>
      <c r="Y1420" s="1">
        <v>98.92</v>
      </c>
      <c r="Z1420" s="1">
        <v>98.32</v>
      </c>
      <c r="AA1420" s="1">
        <v>96.67</v>
      </c>
      <c r="AB1420" s="1">
        <v>107.2</v>
      </c>
      <c r="AD1420" s="1">
        <v>94.03</v>
      </c>
      <c r="AE1420" s="1">
        <v>113.48</v>
      </c>
      <c r="AG1420" s="1">
        <v>110.63</v>
      </c>
      <c r="AL1420" s="1">
        <v>30</v>
      </c>
      <c r="AO1420" s="1">
        <v>7</v>
      </c>
      <c r="AQ1420" s="1">
        <v>2945.71</v>
      </c>
      <c r="AS1420" s="1">
        <v>3278.56</v>
      </c>
      <c r="AT1420" s="1">
        <v>2491.21</v>
      </c>
      <c r="AW1420" s="1">
        <v>2517.38</v>
      </c>
      <c r="AX1420" s="1">
        <v>103.31</v>
      </c>
      <c r="AZ1420" s="1">
        <v>2752.72</v>
      </c>
      <c r="BA1420" s="1">
        <v>105.31</v>
      </c>
      <c r="BB1420" s="1">
        <v>109.12</v>
      </c>
      <c r="BC1420" s="1">
        <v>107.65</v>
      </c>
      <c r="BD1420" s="1">
        <v>104.52</v>
      </c>
      <c r="BE1420" s="1">
        <v>109.55</v>
      </c>
      <c r="BF1420" s="1">
        <v>107.29</v>
      </c>
      <c r="BG1420" s="1">
        <v>113.82</v>
      </c>
      <c r="BH1420" s="1">
        <v>101.4</v>
      </c>
      <c r="BI1420" s="1">
        <v>104.68</v>
      </c>
      <c r="BJ1420" s="1">
        <v>113.17</v>
      </c>
      <c r="BL1420" s="1">
        <v>95.78</v>
      </c>
      <c r="BN1420" s="1">
        <v>95.86</v>
      </c>
    </row>
    <row r="1421" spans="1:66" x14ac:dyDescent="0.3">
      <c r="A1421" s="2"/>
      <c r="C1421" s="14" t="str">
        <f t="shared" si="23"/>
        <v>20207</v>
      </c>
      <c r="D1421" s="3">
        <v>44033</v>
      </c>
      <c r="E1421" s="21">
        <v>1825.85</v>
      </c>
      <c r="F1421" s="21">
        <v>1786.48</v>
      </c>
      <c r="G1421" s="21">
        <v>1819.09</v>
      </c>
      <c r="H1421" s="21">
        <v>1686.59</v>
      </c>
      <c r="I1421" s="21">
        <v>1758.85</v>
      </c>
      <c r="J1421" s="21">
        <v>1714.03</v>
      </c>
      <c r="K1421" s="21">
        <v>1770.63</v>
      </c>
      <c r="L1421" s="21">
        <v>1681.22</v>
      </c>
      <c r="M1421" s="21">
        <v>1660.59</v>
      </c>
      <c r="N1421" s="21">
        <v>1561.45</v>
      </c>
      <c r="O1421" s="21">
        <v>1826.67</v>
      </c>
      <c r="P1421" s="21">
        <v>1723.63</v>
      </c>
      <c r="Q1421" s="21">
        <v>4321.6000000000004</v>
      </c>
      <c r="R1421" s="20">
        <v>96.32</v>
      </c>
      <c r="S1421" s="20">
        <v>98.39</v>
      </c>
      <c r="T1421" s="21">
        <v>101.82</v>
      </c>
      <c r="V1421" s="1">
        <v>94.44</v>
      </c>
      <c r="W1421" s="1">
        <v>100.53</v>
      </c>
      <c r="X1421" s="1">
        <v>106.49</v>
      </c>
      <c r="Y1421" s="1">
        <v>98.85</v>
      </c>
      <c r="Z1421" s="1">
        <v>98.55</v>
      </c>
      <c r="AA1421" s="1">
        <v>97.52</v>
      </c>
      <c r="AB1421" s="1">
        <v>106.04</v>
      </c>
      <c r="AD1421" s="1">
        <v>94.49</v>
      </c>
      <c r="AE1421" s="1">
        <v>112.35</v>
      </c>
      <c r="AG1421" s="1">
        <v>111.34</v>
      </c>
      <c r="AL1421" s="1">
        <v>30</v>
      </c>
      <c r="AO1421" s="1">
        <v>7</v>
      </c>
      <c r="AS1421" s="1">
        <v>3278.56</v>
      </c>
      <c r="AT1421" s="1">
        <v>2491.21</v>
      </c>
      <c r="AW1421" s="1">
        <v>2554.96</v>
      </c>
      <c r="AX1421" s="1">
        <v>104.95</v>
      </c>
      <c r="AZ1421" s="1">
        <v>2752.72</v>
      </c>
      <c r="BA1421" s="1">
        <v>106.26</v>
      </c>
      <c r="BB1421" s="1">
        <v>110.77</v>
      </c>
      <c r="BC1421" s="1">
        <v>107.63</v>
      </c>
      <c r="BD1421" s="1">
        <v>104.73</v>
      </c>
      <c r="BE1421" s="1">
        <v>109.53</v>
      </c>
      <c r="BF1421" s="1">
        <v>108.85</v>
      </c>
      <c r="BG1421" s="1">
        <v>113.7</v>
      </c>
      <c r="BH1421" s="1">
        <v>103.71</v>
      </c>
      <c r="BI1421" s="1">
        <v>104.22</v>
      </c>
      <c r="BJ1421" s="1">
        <v>113.17</v>
      </c>
      <c r="BL1421" s="1">
        <v>94.8</v>
      </c>
      <c r="BN1421" s="1">
        <v>96.07</v>
      </c>
    </row>
    <row r="1422" spans="1:66" x14ac:dyDescent="0.3">
      <c r="A1422" s="2"/>
      <c r="C1422" s="14" t="str">
        <f t="shared" si="23"/>
        <v>20207</v>
      </c>
      <c r="D1422" s="3">
        <v>44032</v>
      </c>
      <c r="E1422" s="21">
        <v>1776.38</v>
      </c>
      <c r="F1422" s="21">
        <v>1789.51</v>
      </c>
      <c r="G1422" s="21">
        <v>1820.09</v>
      </c>
      <c r="H1422" s="21">
        <v>1695.94</v>
      </c>
      <c r="I1422" s="21">
        <v>1749.47</v>
      </c>
      <c r="J1422" s="21">
        <v>1777.43</v>
      </c>
      <c r="K1422" s="21">
        <v>1770.63</v>
      </c>
      <c r="L1422" s="21">
        <v>1714.96</v>
      </c>
      <c r="M1422" s="21">
        <v>1660.59</v>
      </c>
      <c r="N1422" s="21">
        <v>1575.72</v>
      </c>
      <c r="O1422" s="21">
        <v>1783.31</v>
      </c>
      <c r="P1422" s="21">
        <v>1780.74</v>
      </c>
      <c r="Q1422" s="21">
        <v>4382.43</v>
      </c>
      <c r="R1422" s="20">
        <v>101.5</v>
      </c>
      <c r="S1422" s="20">
        <v>99.91</v>
      </c>
      <c r="T1422" s="21">
        <v>103.3</v>
      </c>
      <c r="V1422" s="1">
        <v>94.44</v>
      </c>
      <c r="W1422" s="1">
        <v>100.96</v>
      </c>
      <c r="X1422" s="1">
        <v>106.49</v>
      </c>
      <c r="Y1422" s="1">
        <v>99.69</v>
      </c>
      <c r="Z1422" s="1">
        <v>99.66</v>
      </c>
      <c r="AA1422" s="1">
        <v>98.71</v>
      </c>
      <c r="AB1422" s="1">
        <v>105.91</v>
      </c>
      <c r="AD1422" s="1">
        <v>94.63</v>
      </c>
      <c r="AE1422" s="1">
        <v>112.61</v>
      </c>
      <c r="AG1422" s="1">
        <v>111.34</v>
      </c>
      <c r="AO1422" s="1">
        <v>7</v>
      </c>
      <c r="AS1422" s="1">
        <v>3278.56</v>
      </c>
      <c r="AT1422" s="1">
        <v>2491.21</v>
      </c>
      <c r="AW1422" s="1">
        <v>2554.96</v>
      </c>
      <c r="AX1422" s="1">
        <v>102.65</v>
      </c>
      <c r="AZ1422" s="1">
        <v>2805.44</v>
      </c>
      <c r="BA1422" s="1">
        <v>107.24</v>
      </c>
      <c r="BB1422" s="1">
        <v>111.88</v>
      </c>
      <c r="BC1422" s="1">
        <v>109.03</v>
      </c>
      <c r="BD1422" s="1">
        <v>105.42</v>
      </c>
      <c r="BE1422" s="1">
        <v>109.64</v>
      </c>
      <c r="BF1422" s="1">
        <v>110.16</v>
      </c>
      <c r="BG1422" s="1">
        <v>114.51</v>
      </c>
      <c r="BH1422" s="1">
        <v>103.71</v>
      </c>
      <c r="BI1422" s="1">
        <v>103.62</v>
      </c>
      <c r="BJ1422" s="1">
        <v>110.78</v>
      </c>
      <c r="BL1422" s="1">
        <v>95.46</v>
      </c>
      <c r="BN1422" s="1">
        <v>95.32</v>
      </c>
    </row>
    <row r="1423" spans="1:66" x14ac:dyDescent="0.3">
      <c r="A1423" s="2"/>
      <c r="C1423" s="14" t="str">
        <f t="shared" si="23"/>
        <v>20207</v>
      </c>
      <c r="D1423" s="3">
        <v>44029</v>
      </c>
      <c r="E1423" s="21">
        <v>1776.38</v>
      </c>
      <c r="F1423" s="21">
        <v>1768.54</v>
      </c>
      <c r="G1423" s="21">
        <v>1813.51</v>
      </c>
      <c r="H1423" s="21">
        <v>1693.44</v>
      </c>
      <c r="I1423" s="21">
        <v>1773.32</v>
      </c>
      <c r="J1423" s="21">
        <v>1803.33</v>
      </c>
      <c r="K1423" s="21">
        <v>1762.38</v>
      </c>
      <c r="L1423" s="21">
        <v>1707.02</v>
      </c>
      <c r="M1423" s="21">
        <v>1637.86</v>
      </c>
      <c r="N1423" s="21">
        <v>1563.68</v>
      </c>
      <c r="O1423" s="21">
        <v>1808.47</v>
      </c>
      <c r="P1423" s="21">
        <v>1773.91</v>
      </c>
      <c r="Q1423" s="21">
        <v>4345.78</v>
      </c>
      <c r="R1423" s="20">
        <v>100.5</v>
      </c>
      <c r="S1423" s="20">
        <v>99.75</v>
      </c>
      <c r="T1423" s="21">
        <v>102.73</v>
      </c>
      <c r="V1423" s="1">
        <v>94.44</v>
      </c>
      <c r="W1423" s="1">
        <v>100.53</v>
      </c>
      <c r="X1423" s="1">
        <v>105.86</v>
      </c>
      <c r="Y1423" s="1">
        <v>98.36</v>
      </c>
      <c r="Z1423" s="1">
        <v>97.99</v>
      </c>
      <c r="AA1423" s="1">
        <v>97.29</v>
      </c>
      <c r="AB1423" s="1">
        <v>105.82</v>
      </c>
      <c r="AD1423" s="1">
        <v>95.15</v>
      </c>
      <c r="AE1423" s="1">
        <v>113.52</v>
      </c>
      <c r="AG1423" s="1">
        <v>110.17</v>
      </c>
      <c r="AO1423" s="1">
        <v>7</v>
      </c>
      <c r="AS1423" s="1">
        <v>3278.56</v>
      </c>
      <c r="AT1423" s="1">
        <v>2491.21</v>
      </c>
      <c r="AW1423" s="1">
        <v>2591.0300000000002</v>
      </c>
      <c r="AX1423" s="1">
        <v>104.27</v>
      </c>
      <c r="AZ1423" s="1">
        <v>2805.44</v>
      </c>
      <c r="BA1423" s="1">
        <v>105.21</v>
      </c>
      <c r="BB1423" s="1">
        <v>110.49</v>
      </c>
      <c r="BC1423" s="1">
        <v>107.13</v>
      </c>
      <c r="BD1423" s="1">
        <v>104.66</v>
      </c>
      <c r="BE1423" s="1">
        <v>109.57</v>
      </c>
      <c r="BF1423" s="1">
        <v>109.37</v>
      </c>
      <c r="BG1423" s="1">
        <v>114.34</v>
      </c>
      <c r="BH1423" s="1">
        <v>105.97</v>
      </c>
      <c r="BI1423" s="1">
        <v>103.5</v>
      </c>
      <c r="BJ1423" s="1">
        <v>110.6</v>
      </c>
      <c r="BL1423" s="1">
        <v>94.77</v>
      </c>
      <c r="BN1423" s="1">
        <v>94.5</v>
      </c>
    </row>
    <row r="1424" spans="1:66" x14ac:dyDescent="0.3">
      <c r="A1424" s="2"/>
      <c r="C1424" s="14" t="str">
        <f t="shared" si="23"/>
        <v>20207</v>
      </c>
      <c r="D1424" s="3">
        <v>44028</v>
      </c>
      <c r="E1424" s="21">
        <v>1776.38</v>
      </c>
      <c r="F1424" s="21">
        <v>1760.16</v>
      </c>
      <c r="G1424" s="21">
        <v>1814.15</v>
      </c>
      <c r="H1424" s="21">
        <v>1603.12</v>
      </c>
      <c r="I1424" s="21">
        <v>1758.85</v>
      </c>
      <c r="J1424" s="21">
        <v>1708.05</v>
      </c>
      <c r="K1424" s="21">
        <v>1763.21</v>
      </c>
      <c r="L1424" s="21">
        <v>1714.96</v>
      </c>
      <c r="M1424" s="21">
        <v>1609.01</v>
      </c>
      <c r="N1424" s="21">
        <v>1534.54</v>
      </c>
      <c r="O1424" s="21">
        <v>1792.67</v>
      </c>
      <c r="P1424" s="21">
        <v>1773.91</v>
      </c>
      <c r="Q1424" s="21">
        <v>4370.66</v>
      </c>
      <c r="R1424" s="20">
        <v>100</v>
      </c>
      <c r="S1424" s="20">
        <v>98.15</v>
      </c>
      <c r="T1424" s="21">
        <v>102.54</v>
      </c>
      <c r="V1424" s="1">
        <v>94.44</v>
      </c>
      <c r="W1424" s="1">
        <v>100.16</v>
      </c>
      <c r="X1424" s="1">
        <v>104.9</v>
      </c>
      <c r="Y1424" s="1">
        <v>97.96</v>
      </c>
      <c r="Z1424" s="1">
        <v>98.16</v>
      </c>
      <c r="AA1424" s="1">
        <v>96.21</v>
      </c>
      <c r="AB1424" s="1">
        <v>105.11</v>
      </c>
      <c r="AE1424" s="1">
        <v>111.53</v>
      </c>
      <c r="AF1424" s="1">
        <v>103.14</v>
      </c>
      <c r="AG1424" s="1">
        <v>109</v>
      </c>
      <c r="AO1424" s="1">
        <v>7</v>
      </c>
      <c r="AS1424" s="1">
        <v>3278.56</v>
      </c>
      <c r="AT1424" s="1">
        <v>2491.21</v>
      </c>
      <c r="AW1424" s="1">
        <v>2591.0300000000002</v>
      </c>
      <c r="AX1424" s="1">
        <v>110.48</v>
      </c>
      <c r="AZ1424" s="1">
        <v>2805.44</v>
      </c>
      <c r="BA1424" s="1">
        <v>105.99</v>
      </c>
      <c r="BB1424" s="1">
        <v>110.21</v>
      </c>
      <c r="BC1424" s="1">
        <v>107.57</v>
      </c>
      <c r="BD1424" s="1">
        <v>105.28</v>
      </c>
      <c r="BE1424" s="1">
        <v>109.54</v>
      </c>
      <c r="BF1424" s="1">
        <v>109.02</v>
      </c>
      <c r="BG1424" s="1">
        <v>112.7</v>
      </c>
      <c r="BH1424" s="1">
        <v>105.22</v>
      </c>
      <c r="BI1424" s="1">
        <v>104.82</v>
      </c>
      <c r="BJ1424" s="1">
        <v>110.79</v>
      </c>
      <c r="BL1424" s="1">
        <v>93.72</v>
      </c>
      <c r="BN1424" s="1">
        <v>93.89</v>
      </c>
    </row>
    <row r="1425" spans="1:66" x14ac:dyDescent="0.3">
      <c r="A1425" s="2"/>
      <c r="C1425" s="14" t="str">
        <f t="shared" si="23"/>
        <v>20207</v>
      </c>
      <c r="D1425" s="3">
        <v>44027</v>
      </c>
      <c r="E1425" s="21">
        <v>1776.38</v>
      </c>
      <c r="F1425" s="21">
        <v>1740.42</v>
      </c>
      <c r="G1425" s="21">
        <v>1816.65</v>
      </c>
      <c r="H1425" s="21">
        <v>1622.04</v>
      </c>
      <c r="I1425" s="21">
        <v>1749.47</v>
      </c>
      <c r="J1425" s="21">
        <v>1768.39</v>
      </c>
      <c r="K1425" s="21">
        <v>1763.21</v>
      </c>
      <c r="L1425" s="21">
        <v>1703.05</v>
      </c>
      <c r="M1425" s="21">
        <v>1643.54</v>
      </c>
      <c r="N1425" s="21">
        <v>1535.15</v>
      </c>
      <c r="O1425" s="21">
        <v>1792.67</v>
      </c>
      <c r="P1425" s="21">
        <v>1778.67</v>
      </c>
      <c r="Q1425" s="21">
        <v>4232.72</v>
      </c>
      <c r="R1425" s="20">
        <v>99.74</v>
      </c>
      <c r="S1425" s="20">
        <v>97.75</v>
      </c>
      <c r="T1425" s="21">
        <v>102.3</v>
      </c>
      <c r="V1425" s="1">
        <v>94.44</v>
      </c>
      <c r="W1425" s="1">
        <v>99.84</v>
      </c>
      <c r="X1425" s="1">
        <v>104.18</v>
      </c>
      <c r="Y1425" s="1">
        <v>97.24</v>
      </c>
      <c r="Z1425" s="1">
        <v>97.27</v>
      </c>
      <c r="AA1425" s="1">
        <v>95.55</v>
      </c>
      <c r="AB1425" s="1">
        <v>104.54</v>
      </c>
      <c r="AD1425" s="1">
        <v>92.69</v>
      </c>
      <c r="AE1425" s="1">
        <v>111.14</v>
      </c>
      <c r="AF1425" s="1">
        <v>103.14</v>
      </c>
      <c r="AG1425" s="1">
        <v>109</v>
      </c>
      <c r="AP1425" s="1">
        <v>3157</v>
      </c>
      <c r="AS1425" s="1">
        <v>3226.26</v>
      </c>
      <c r="AW1425" s="1">
        <v>2640.12</v>
      </c>
      <c r="AX1425" s="1">
        <v>107.45</v>
      </c>
      <c r="BB1425" s="1">
        <v>110.01</v>
      </c>
      <c r="BC1425" s="1">
        <v>106.97</v>
      </c>
      <c r="BD1425" s="1">
        <v>106.39</v>
      </c>
      <c r="BE1425" s="1">
        <v>106.21</v>
      </c>
      <c r="BF1425" s="1">
        <v>107.6</v>
      </c>
      <c r="BG1425" s="1">
        <v>112.55</v>
      </c>
      <c r="BH1425" s="1">
        <v>105.36</v>
      </c>
      <c r="BI1425" s="1">
        <v>103.62</v>
      </c>
      <c r="BJ1425" s="1">
        <v>109.36</v>
      </c>
      <c r="BL1425" s="1">
        <v>93.8</v>
      </c>
      <c r="BN1425" s="1">
        <v>93.77</v>
      </c>
    </row>
    <row r="1426" spans="1:66" x14ac:dyDescent="0.3">
      <c r="A1426" s="2"/>
      <c r="C1426" s="14" t="str">
        <f t="shared" si="23"/>
        <v>20207</v>
      </c>
      <c r="D1426" s="3">
        <v>44026</v>
      </c>
      <c r="E1426" s="21">
        <v>1776.38</v>
      </c>
      <c r="F1426" s="21">
        <v>1740.42</v>
      </c>
      <c r="G1426" s="21">
        <v>1816.65</v>
      </c>
      <c r="H1426" s="21">
        <v>1686.35</v>
      </c>
      <c r="I1426" s="21">
        <v>1754.41</v>
      </c>
      <c r="J1426" s="21">
        <v>1798.39</v>
      </c>
      <c r="K1426" s="21">
        <v>1765.7</v>
      </c>
      <c r="L1426" s="21">
        <v>1703.05</v>
      </c>
      <c r="M1426" s="21">
        <v>1635.48</v>
      </c>
      <c r="N1426" s="21">
        <v>1522.91</v>
      </c>
      <c r="O1426" s="21">
        <v>1820</v>
      </c>
      <c r="P1426" s="21">
        <v>1768.37</v>
      </c>
      <c r="Q1426" s="21">
        <v>4157.72</v>
      </c>
      <c r="R1426" s="20">
        <v>100.62</v>
      </c>
      <c r="S1426" s="20">
        <v>97.91</v>
      </c>
      <c r="T1426" s="21">
        <v>102.53</v>
      </c>
      <c r="V1426" s="1">
        <v>94.08</v>
      </c>
      <c r="W1426" s="1">
        <v>99.78</v>
      </c>
      <c r="X1426" s="1">
        <v>104.18</v>
      </c>
      <c r="Y1426" s="1">
        <v>97.67</v>
      </c>
      <c r="Z1426" s="1">
        <v>97.77</v>
      </c>
      <c r="AA1426" s="1">
        <v>95.64</v>
      </c>
      <c r="AB1426" s="1">
        <v>104.54</v>
      </c>
      <c r="AD1426" s="1">
        <v>92.69</v>
      </c>
      <c r="AE1426" s="1">
        <v>111.51</v>
      </c>
      <c r="AF1426" s="1">
        <v>103.14</v>
      </c>
      <c r="AG1426" s="1">
        <v>109</v>
      </c>
      <c r="AK1426" s="1">
        <v>0</v>
      </c>
      <c r="AP1426" s="1">
        <v>3157</v>
      </c>
      <c r="AS1426" s="1">
        <v>3124.46</v>
      </c>
      <c r="AW1426" s="1">
        <v>2645.13</v>
      </c>
      <c r="AX1426" s="1">
        <v>104.48</v>
      </c>
      <c r="BA1426" s="1">
        <v>96.04</v>
      </c>
      <c r="BB1426" s="1">
        <v>110.11</v>
      </c>
      <c r="BC1426" s="1">
        <v>107.17</v>
      </c>
      <c r="BD1426" s="1">
        <v>105.04</v>
      </c>
      <c r="BE1426" s="1">
        <v>104.57</v>
      </c>
      <c r="BF1426" s="1">
        <v>107.91</v>
      </c>
      <c r="BG1426" s="1">
        <v>112.89</v>
      </c>
      <c r="BH1426" s="1">
        <v>106.72</v>
      </c>
      <c r="BI1426" s="1">
        <v>103.68</v>
      </c>
      <c r="BJ1426" s="1">
        <v>113.51</v>
      </c>
      <c r="BL1426" s="1">
        <v>96.52</v>
      </c>
      <c r="BN1426" s="1">
        <v>97.09</v>
      </c>
    </row>
    <row r="1427" spans="1:66" x14ac:dyDescent="0.3">
      <c r="A1427" s="2"/>
      <c r="C1427" s="14" t="str">
        <f t="shared" si="23"/>
        <v>20207</v>
      </c>
      <c r="D1427" s="3">
        <v>44025</v>
      </c>
      <c r="E1427" s="21">
        <v>1776.38</v>
      </c>
      <c r="F1427" s="21">
        <v>1740.42</v>
      </c>
      <c r="G1427" s="21">
        <v>1816.65</v>
      </c>
      <c r="H1427" s="21">
        <v>1686.35</v>
      </c>
      <c r="I1427" s="21">
        <v>1754.41</v>
      </c>
      <c r="J1427" s="21">
        <v>1771.56</v>
      </c>
      <c r="K1427" s="21">
        <v>1772.33</v>
      </c>
      <c r="L1427" s="21">
        <v>1705.03</v>
      </c>
      <c r="M1427" s="21">
        <v>1641.22</v>
      </c>
      <c r="N1427" s="21">
        <v>1556.3</v>
      </c>
      <c r="O1427" s="21">
        <v>1824.09</v>
      </c>
      <c r="P1427" s="21">
        <v>1785.85</v>
      </c>
      <c r="Q1427" s="21">
        <v>4245.5200000000004</v>
      </c>
      <c r="R1427" s="20">
        <v>96.59</v>
      </c>
      <c r="S1427" s="20">
        <v>97.3</v>
      </c>
      <c r="T1427" s="21">
        <v>102.51</v>
      </c>
      <c r="V1427" s="1">
        <v>94.04</v>
      </c>
      <c r="W1427" s="1">
        <v>100.62</v>
      </c>
      <c r="X1427" s="1">
        <v>104.18</v>
      </c>
      <c r="Y1427" s="1">
        <v>98.28</v>
      </c>
      <c r="Z1427" s="1">
        <v>98</v>
      </c>
      <c r="AA1427" s="1">
        <v>96.4</v>
      </c>
      <c r="AB1427" s="1">
        <v>104.59</v>
      </c>
      <c r="AD1427" s="1">
        <v>93.51</v>
      </c>
      <c r="AE1427" s="1">
        <v>111.57</v>
      </c>
      <c r="AF1427" s="1">
        <v>103.14</v>
      </c>
      <c r="AG1427" s="1">
        <v>104.37</v>
      </c>
      <c r="AK1427" s="1">
        <v>0</v>
      </c>
      <c r="AP1427" s="1">
        <v>3157</v>
      </c>
      <c r="AS1427" s="1">
        <v>3124.46</v>
      </c>
      <c r="AW1427" s="1">
        <v>2645.13</v>
      </c>
      <c r="AX1427" s="1">
        <v>106.31</v>
      </c>
      <c r="BA1427" s="1">
        <v>99.9</v>
      </c>
      <c r="BB1427" s="1">
        <v>108.9</v>
      </c>
      <c r="BC1427" s="1">
        <v>107.61</v>
      </c>
      <c r="BD1427" s="1">
        <v>104.91</v>
      </c>
      <c r="BE1427" s="1">
        <v>106.15</v>
      </c>
      <c r="BF1427" s="1">
        <v>109.28</v>
      </c>
      <c r="BG1427" s="1">
        <v>112.94</v>
      </c>
      <c r="BH1427" s="1">
        <v>106.72</v>
      </c>
      <c r="BI1427" s="1">
        <v>103.62</v>
      </c>
      <c r="BJ1427" s="1">
        <v>113.05</v>
      </c>
      <c r="BL1427" s="1">
        <v>96.39</v>
      </c>
      <c r="BN1427" s="1">
        <v>96.84</v>
      </c>
    </row>
    <row r="1428" spans="1:66" x14ac:dyDescent="0.3">
      <c r="A1428" s="2"/>
      <c r="C1428" s="14" t="str">
        <f t="shared" si="23"/>
        <v>20207</v>
      </c>
      <c r="D1428" s="3">
        <v>44022</v>
      </c>
      <c r="E1428" s="21">
        <v>1764.17</v>
      </c>
      <c r="F1428" s="21">
        <v>1747</v>
      </c>
      <c r="G1428" s="21">
        <v>1831.51</v>
      </c>
      <c r="H1428" s="21">
        <v>1694.63</v>
      </c>
      <c r="I1428" s="21">
        <v>1766.74</v>
      </c>
      <c r="J1428" s="21">
        <v>1771.56</v>
      </c>
      <c r="K1428" s="21">
        <v>1803.6</v>
      </c>
      <c r="L1428" s="21">
        <v>1712.97</v>
      </c>
      <c r="M1428" s="21">
        <v>1678.11</v>
      </c>
      <c r="N1428" s="21">
        <v>1605.39</v>
      </c>
      <c r="O1428" s="21">
        <v>1846.67</v>
      </c>
      <c r="P1428" s="21">
        <v>1795.35</v>
      </c>
      <c r="Q1428" s="21">
        <v>4181.8900000000003</v>
      </c>
      <c r="R1428" s="20">
        <v>96.9</v>
      </c>
      <c r="S1428" s="20">
        <v>97.54</v>
      </c>
      <c r="T1428" s="21">
        <v>103.15</v>
      </c>
      <c r="V1428" s="1">
        <v>94.24</v>
      </c>
      <c r="W1428" s="1">
        <v>100.76</v>
      </c>
      <c r="X1428" s="1">
        <v>104.08</v>
      </c>
      <c r="Y1428" s="1">
        <v>99.45</v>
      </c>
      <c r="Z1428" s="1">
        <v>99.59</v>
      </c>
      <c r="AA1428" s="1">
        <v>96.14</v>
      </c>
      <c r="AB1428" s="1">
        <v>104.41</v>
      </c>
      <c r="AD1428" s="1">
        <v>95.15</v>
      </c>
      <c r="AE1428" s="1">
        <v>112.45</v>
      </c>
      <c r="AF1428" s="1">
        <v>105.24</v>
      </c>
      <c r="AG1428" s="1">
        <v>104.37</v>
      </c>
      <c r="AK1428" s="1">
        <v>0</v>
      </c>
      <c r="AP1428" s="1">
        <v>3157</v>
      </c>
      <c r="AS1428" s="1">
        <v>3218.24</v>
      </c>
      <c r="AX1428" s="1">
        <v>102.77</v>
      </c>
      <c r="BA1428" s="1">
        <v>103.51</v>
      </c>
      <c r="BB1428" s="1">
        <v>111.62</v>
      </c>
      <c r="BC1428" s="1">
        <v>108.02</v>
      </c>
      <c r="BD1428" s="1">
        <v>105.73</v>
      </c>
      <c r="BE1428" s="1">
        <v>107.84</v>
      </c>
      <c r="BF1428" s="1">
        <v>108.16</v>
      </c>
      <c r="BG1428" s="1">
        <v>113.32</v>
      </c>
      <c r="BH1428" s="1">
        <v>104.18</v>
      </c>
      <c r="BI1428" s="1">
        <v>103.42</v>
      </c>
      <c r="BJ1428" s="1">
        <v>111.33</v>
      </c>
      <c r="BL1428" s="1">
        <v>97.14</v>
      </c>
      <c r="BN1428" s="1">
        <v>97.05</v>
      </c>
    </row>
    <row r="1429" spans="1:66" x14ac:dyDescent="0.3">
      <c r="A1429" s="2"/>
      <c r="C1429" s="14" t="str">
        <f t="shared" si="23"/>
        <v>20207</v>
      </c>
      <c r="D1429" s="3">
        <v>44021</v>
      </c>
      <c r="E1429" s="21">
        <v>1769.09</v>
      </c>
      <c r="F1429" s="21">
        <v>1747.8</v>
      </c>
      <c r="G1429" s="21">
        <v>1782.69</v>
      </c>
      <c r="H1429" s="21">
        <v>1714.97</v>
      </c>
      <c r="I1429" s="21">
        <v>1766.74</v>
      </c>
      <c r="J1429" s="21">
        <v>1715.12</v>
      </c>
      <c r="K1429" s="21">
        <v>1743.13</v>
      </c>
      <c r="L1429" s="21">
        <v>1712.97</v>
      </c>
      <c r="M1429" s="21">
        <v>1653.53</v>
      </c>
      <c r="N1429" s="21">
        <v>1587.29</v>
      </c>
      <c r="O1429" s="21">
        <v>1843.33</v>
      </c>
      <c r="P1429" s="21">
        <v>1771.01</v>
      </c>
      <c r="Q1429" s="21">
        <v>4205.32</v>
      </c>
      <c r="R1429" s="20">
        <v>94.09</v>
      </c>
      <c r="S1429" s="20">
        <v>94.76</v>
      </c>
      <c r="T1429" s="21">
        <v>103.27</v>
      </c>
      <c r="V1429" s="1">
        <v>94.32</v>
      </c>
      <c r="W1429" s="1">
        <v>100.92</v>
      </c>
      <c r="X1429" s="1">
        <v>103.45</v>
      </c>
      <c r="Y1429" s="1">
        <v>99.45</v>
      </c>
      <c r="Z1429" s="1">
        <v>99.49</v>
      </c>
      <c r="AA1429" s="1">
        <v>95.64</v>
      </c>
      <c r="AB1429" s="1">
        <v>103.99</v>
      </c>
      <c r="AE1429" s="1">
        <v>110.82</v>
      </c>
      <c r="AF1429" s="1">
        <v>105.63</v>
      </c>
      <c r="AG1429" s="1">
        <v>104.37</v>
      </c>
      <c r="AK1429" s="1">
        <v>0</v>
      </c>
      <c r="AP1429" s="1">
        <v>3157</v>
      </c>
      <c r="AS1429" s="1">
        <v>3218.24</v>
      </c>
      <c r="AX1429" s="1">
        <v>103.69</v>
      </c>
      <c r="BA1429" s="1">
        <v>106.09</v>
      </c>
      <c r="BB1429" s="1">
        <v>110.19</v>
      </c>
      <c r="BC1429" s="1">
        <v>106.46</v>
      </c>
      <c r="BD1429" s="1">
        <v>105.62</v>
      </c>
      <c r="BE1429" s="1">
        <v>106.75</v>
      </c>
      <c r="BF1429" s="1">
        <v>108.14</v>
      </c>
      <c r="BG1429" s="1">
        <v>110.95</v>
      </c>
      <c r="BH1429" s="1">
        <v>104.98</v>
      </c>
      <c r="BI1429" s="1">
        <v>103.42</v>
      </c>
      <c r="BJ1429" s="1">
        <v>111.33</v>
      </c>
      <c r="BL1429" s="1">
        <v>96.03</v>
      </c>
      <c r="BN1429" s="1">
        <v>95.98</v>
      </c>
    </row>
    <row r="1430" spans="1:66" x14ac:dyDescent="0.3">
      <c r="A1430" s="2"/>
      <c r="C1430" s="14" t="str">
        <f t="shared" si="23"/>
        <v>20207</v>
      </c>
      <c r="D1430" s="3">
        <v>44020</v>
      </c>
      <c r="E1430" s="21"/>
      <c r="F1430" s="21">
        <v>1746.02</v>
      </c>
      <c r="G1430" s="21">
        <v>1785.28</v>
      </c>
      <c r="H1430" s="21">
        <v>1713.23</v>
      </c>
      <c r="I1430" s="21">
        <v>1766.74</v>
      </c>
      <c r="J1430" s="21">
        <v>1725.14</v>
      </c>
      <c r="K1430" s="21">
        <v>1751.93</v>
      </c>
      <c r="L1430" s="21">
        <v>1701.07</v>
      </c>
      <c r="M1430" s="21">
        <v>1658.5</v>
      </c>
      <c r="N1430" s="21">
        <v>1584.89</v>
      </c>
      <c r="O1430" s="21">
        <v>1843.33</v>
      </c>
      <c r="P1430" s="21">
        <v>1771.01</v>
      </c>
      <c r="Q1430" s="21">
        <v>4105.58</v>
      </c>
      <c r="R1430" s="20">
        <v>93.29</v>
      </c>
      <c r="S1430" s="20">
        <v>94.85</v>
      </c>
      <c r="T1430" s="21">
        <v>103.43</v>
      </c>
      <c r="V1430" s="1">
        <v>94.32</v>
      </c>
      <c r="W1430" s="1">
        <v>99.16</v>
      </c>
      <c r="X1430" s="1">
        <v>103.39</v>
      </c>
      <c r="Y1430" s="1">
        <v>99.75</v>
      </c>
      <c r="Z1430" s="1">
        <v>99.88</v>
      </c>
      <c r="AA1430" s="1">
        <v>95.38</v>
      </c>
      <c r="AB1430" s="1">
        <v>103.68</v>
      </c>
      <c r="AE1430" s="1">
        <v>109.66</v>
      </c>
      <c r="AF1430" s="1">
        <v>109.05</v>
      </c>
      <c r="AG1430" s="1">
        <v>104.37</v>
      </c>
      <c r="AK1430" s="1">
        <v>10</v>
      </c>
      <c r="AS1430" s="1">
        <v>3106.18</v>
      </c>
      <c r="AX1430" s="1">
        <v>103.52</v>
      </c>
      <c r="BA1430" s="1">
        <v>105.1</v>
      </c>
      <c r="BB1430" s="1">
        <v>110.97</v>
      </c>
      <c r="BC1430" s="1">
        <v>107.63</v>
      </c>
      <c r="BD1430" s="1">
        <v>106.32</v>
      </c>
      <c r="BE1430" s="1">
        <v>106.33</v>
      </c>
      <c r="BF1430" s="1">
        <v>107.69</v>
      </c>
      <c r="BG1430" s="1">
        <v>111.7</v>
      </c>
      <c r="BH1430" s="1">
        <v>103.88</v>
      </c>
      <c r="BI1430" s="1">
        <v>102.62</v>
      </c>
      <c r="BJ1430" s="1">
        <v>111.33</v>
      </c>
      <c r="BL1430" s="1">
        <v>95.8</v>
      </c>
      <c r="BN1430" s="1">
        <v>95.98</v>
      </c>
    </row>
    <row r="1431" spans="1:66" x14ac:dyDescent="0.3">
      <c r="A1431" s="2"/>
      <c r="C1431" s="14" t="str">
        <f t="shared" si="23"/>
        <v>20207</v>
      </c>
      <c r="D1431" s="3">
        <v>44019</v>
      </c>
      <c r="E1431" s="21">
        <v>1759.97</v>
      </c>
      <c r="F1431" s="21">
        <v>1747</v>
      </c>
      <c r="G1431" s="21">
        <v>1777.57</v>
      </c>
      <c r="H1431" s="21">
        <v>1696.72</v>
      </c>
      <c r="I1431" s="21">
        <v>1783.19</v>
      </c>
      <c r="J1431" s="21">
        <v>1716.38</v>
      </c>
      <c r="K1431" s="21">
        <v>1769.01</v>
      </c>
      <c r="L1431" s="21">
        <v>1704.26</v>
      </c>
      <c r="M1431" s="21">
        <v>1673.25</v>
      </c>
      <c r="N1431" s="21">
        <v>1582.53</v>
      </c>
      <c r="O1431" s="21">
        <v>1816.62</v>
      </c>
      <c r="P1431" s="21">
        <v>1783.87</v>
      </c>
      <c r="Q1431" s="21">
        <v>4085.05</v>
      </c>
      <c r="R1431" s="20">
        <v>93.65</v>
      </c>
      <c r="S1431" s="20">
        <v>97.02</v>
      </c>
      <c r="T1431" s="21">
        <v>103.26</v>
      </c>
      <c r="V1431" s="1">
        <v>93.58</v>
      </c>
      <c r="W1431" s="1">
        <v>100.16</v>
      </c>
      <c r="X1431" s="1">
        <v>103.19</v>
      </c>
      <c r="Y1431" s="1">
        <v>99.94</v>
      </c>
      <c r="Z1431" s="1">
        <v>99.77</v>
      </c>
      <c r="AA1431" s="1">
        <v>95.47</v>
      </c>
      <c r="AB1431" s="1">
        <v>103.33</v>
      </c>
      <c r="AE1431" s="1">
        <v>111.89</v>
      </c>
      <c r="AF1431" s="1">
        <v>107.27</v>
      </c>
      <c r="AG1431" s="1">
        <v>108.33</v>
      </c>
      <c r="AK1431" s="1">
        <v>30</v>
      </c>
      <c r="AS1431" s="1">
        <v>3300</v>
      </c>
      <c r="AX1431" s="1">
        <v>103.05</v>
      </c>
      <c r="BA1431" s="1">
        <v>99.86</v>
      </c>
      <c r="BB1431" s="1">
        <v>111.16</v>
      </c>
      <c r="BC1431" s="1">
        <v>107.26</v>
      </c>
      <c r="BD1431" s="1">
        <v>107.59</v>
      </c>
      <c r="BE1431" s="1">
        <v>105.71</v>
      </c>
      <c r="BF1431" s="1">
        <v>106.71</v>
      </c>
      <c r="BG1431" s="1">
        <v>112.5</v>
      </c>
      <c r="BH1431" s="1">
        <v>105.07</v>
      </c>
      <c r="BI1431" s="1">
        <v>101.62</v>
      </c>
      <c r="BJ1431" s="1">
        <v>112.4</v>
      </c>
      <c r="BL1431" s="1">
        <v>95.78</v>
      </c>
      <c r="BN1431" s="1">
        <v>95.48</v>
      </c>
    </row>
    <row r="1432" spans="1:66" x14ac:dyDescent="0.3">
      <c r="A1432" s="2"/>
      <c r="C1432" s="14" t="str">
        <f t="shared" si="23"/>
        <v>20207</v>
      </c>
      <c r="D1432" s="3">
        <v>44018</v>
      </c>
      <c r="E1432" s="21">
        <v>1759.97</v>
      </c>
      <c r="F1432" s="21">
        <v>1773.92</v>
      </c>
      <c r="G1432" s="21">
        <v>1833.31</v>
      </c>
      <c r="H1432" s="21">
        <v>1701.92</v>
      </c>
      <c r="I1432" s="21">
        <v>1744.54</v>
      </c>
      <c r="J1432" s="21">
        <v>1724.86</v>
      </c>
      <c r="K1432" s="21">
        <v>1762.39</v>
      </c>
      <c r="L1432" s="21">
        <v>1593.18</v>
      </c>
      <c r="M1432" s="21">
        <v>1663.84</v>
      </c>
      <c r="N1432" s="21">
        <v>1590.4</v>
      </c>
      <c r="O1432" s="21">
        <v>1826.67</v>
      </c>
      <c r="P1432" s="21">
        <v>1775.93</v>
      </c>
      <c r="Q1432" s="21">
        <v>4079.7</v>
      </c>
      <c r="R1432" s="20">
        <v>96.57</v>
      </c>
      <c r="S1432" s="20">
        <v>96.97</v>
      </c>
      <c r="T1432" s="21">
        <v>103.33</v>
      </c>
      <c r="V1432" s="1">
        <v>92.53</v>
      </c>
      <c r="W1432" s="1">
        <v>99.92</v>
      </c>
      <c r="X1432" s="1">
        <v>102.99</v>
      </c>
      <c r="Y1432" s="1">
        <v>99.33</v>
      </c>
      <c r="Z1432" s="1">
        <v>99.5</v>
      </c>
      <c r="AA1432" s="1">
        <v>96.91</v>
      </c>
      <c r="AB1432" s="1">
        <v>103.27</v>
      </c>
      <c r="AE1432" s="1">
        <v>108.9</v>
      </c>
      <c r="AF1432" s="1">
        <v>107.15</v>
      </c>
      <c r="AK1432" s="1">
        <v>30</v>
      </c>
      <c r="AP1432" s="1">
        <v>3075</v>
      </c>
      <c r="AS1432" s="1">
        <v>3300</v>
      </c>
      <c r="AX1432" s="1">
        <v>102.32</v>
      </c>
      <c r="BA1432" s="1">
        <v>104.85</v>
      </c>
      <c r="BB1432" s="1">
        <v>111.45</v>
      </c>
      <c r="BC1432" s="1">
        <v>106.95</v>
      </c>
      <c r="BD1432" s="1">
        <v>107.46</v>
      </c>
      <c r="BE1432" s="1">
        <v>106.47</v>
      </c>
      <c r="BF1432" s="1">
        <v>106.51</v>
      </c>
      <c r="BG1432" s="1">
        <v>109.87</v>
      </c>
      <c r="BH1432" s="1">
        <v>105.07</v>
      </c>
      <c r="BI1432" s="1">
        <v>101.62</v>
      </c>
      <c r="BJ1432" s="1">
        <v>110.52</v>
      </c>
      <c r="BL1432" s="1">
        <v>96</v>
      </c>
    </row>
    <row r="1433" spans="1:66" x14ac:dyDescent="0.3">
      <c r="A1433" s="2"/>
      <c r="C1433" s="14" t="str">
        <f t="shared" si="23"/>
        <v>20207</v>
      </c>
      <c r="D1433" s="3">
        <v>44015</v>
      </c>
      <c r="E1433" s="21">
        <v>1759.97</v>
      </c>
      <c r="F1433" s="21">
        <v>1776.61</v>
      </c>
      <c r="G1433" s="21">
        <v>1833.31</v>
      </c>
      <c r="H1433" s="21">
        <v>1706.16</v>
      </c>
      <c r="I1433" s="21">
        <v>1769.21</v>
      </c>
      <c r="J1433" s="21">
        <v>1726.21</v>
      </c>
      <c r="K1433" s="21">
        <v>1766.57</v>
      </c>
      <c r="L1433" s="21">
        <v>1631.31</v>
      </c>
      <c r="M1433" s="21">
        <v>1686.96</v>
      </c>
      <c r="N1433" s="21">
        <v>1576.41</v>
      </c>
      <c r="O1433" s="21">
        <v>1823.89</v>
      </c>
      <c r="P1433" s="21">
        <v>1766.7</v>
      </c>
      <c r="Q1433" s="21">
        <v>3983.83</v>
      </c>
      <c r="R1433" s="20">
        <v>93.68</v>
      </c>
      <c r="S1433" s="20">
        <v>97.88</v>
      </c>
      <c r="T1433" s="21">
        <v>103.15</v>
      </c>
      <c r="V1433" s="1">
        <v>91.44</v>
      </c>
      <c r="W1433" s="1">
        <v>99.99</v>
      </c>
      <c r="X1433" s="1">
        <v>102.41</v>
      </c>
      <c r="Y1433" s="1">
        <v>98.95</v>
      </c>
      <c r="Z1433" s="1">
        <v>99</v>
      </c>
      <c r="AA1433" s="1">
        <v>95.48</v>
      </c>
      <c r="AB1433" s="1">
        <v>102.6</v>
      </c>
      <c r="AE1433" s="1">
        <v>108.42</v>
      </c>
      <c r="AF1433" s="1">
        <v>107.21</v>
      </c>
      <c r="AK1433" s="1">
        <v>30</v>
      </c>
      <c r="AP1433" s="1">
        <v>3075</v>
      </c>
      <c r="AS1433" s="1">
        <v>3300</v>
      </c>
      <c r="AX1433" s="1">
        <v>101.55</v>
      </c>
      <c r="BA1433" s="1">
        <v>108.09</v>
      </c>
      <c r="BB1433" s="1">
        <v>110.61</v>
      </c>
      <c r="BC1433" s="1">
        <v>106.6</v>
      </c>
      <c r="BD1433" s="1">
        <v>107.37</v>
      </c>
      <c r="BE1433" s="1">
        <v>104.59</v>
      </c>
      <c r="BF1433" s="1">
        <v>108.56</v>
      </c>
      <c r="BG1433" s="1">
        <v>108.47</v>
      </c>
      <c r="BI1433" s="1">
        <v>101.62</v>
      </c>
      <c r="BJ1433" s="1">
        <v>110.7</v>
      </c>
      <c r="BL1433" s="1">
        <v>95.46</v>
      </c>
      <c r="BN1433" s="1">
        <v>95.45</v>
      </c>
    </row>
    <row r="1434" spans="1:66" x14ac:dyDescent="0.3">
      <c r="A1434" s="2"/>
      <c r="C1434" s="14" t="str">
        <f t="shared" si="23"/>
        <v>20207</v>
      </c>
      <c r="D1434" s="3">
        <v>44014</v>
      </c>
      <c r="E1434" s="21">
        <v>1759.97</v>
      </c>
      <c r="F1434" s="21">
        <v>1776.61</v>
      </c>
      <c r="G1434" s="21">
        <v>1833.31</v>
      </c>
      <c r="H1434" s="21">
        <v>1620.67</v>
      </c>
      <c r="I1434" s="21">
        <v>1753.58</v>
      </c>
      <c r="J1434" s="21">
        <v>1711.65</v>
      </c>
      <c r="K1434" s="21">
        <v>1749</v>
      </c>
      <c r="L1434" s="21">
        <v>1707.57</v>
      </c>
      <c r="M1434" s="21">
        <v>1678.22</v>
      </c>
      <c r="N1434" s="21">
        <v>1591.31</v>
      </c>
      <c r="O1434" s="21">
        <v>1801.67</v>
      </c>
      <c r="P1434" s="21">
        <v>1766.7</v>
      </c>
      <c r="Q1434" s="21">
        <v>4008.38</v>
      </c>
      <c r="R1434" s="20">
        <v>94.64</v>
      </c>
      <c r="S1434" s="20">
        <v>96.28</v>
      </c>
      <c r="T1434" s="21">
        <v>103.12</v>
      </c>
      <c r="V1434" s="1">
        <v>91.44</v>
      </c>
      <c r="W1434" s="1">
        <v>99.91</v>
      </c>
      <c r="X1434" s="1">
        <v>102.41</v>
      </c>
      <c r="Y1434" s="1">
        <v>99.45</v>
      </c>
      <c r="Z1434" s="1">
        <v>99.32</v>
      </c>
      <c r="AA1434" s="1">
        <v>94.92</v>
      </c>
      <c r="AB1434" s="1">
        <v>102.6</v>
      </c>
      <c r="AE1434" s="1">
        <v>106.95</v>
      </c>
      <c r="AF1434" s="1">
        <v>106.6</v>
      </c>
      <c r="AK1434" s="1">
        <v>30</v>
      </c>
      <c r="AP1434" s="1">
        <v>3075</v>
      </c>
      <c r="AS1434" s="1">
        <v>3300</v>
      </c>
      <c r="AX1434" s="1">
        <v>101.33</v>
      </c>
      <c r="BA1434" s="1">
        <v>101.11</v>
      </c>
      <c r="BB1434" s="1">
        <v>110.32</v>
      </c>
      <c r="BC1434" s="1">
        <v>106.26</v>
      </c>
      <c r="BD1434" s="1">
        <v>107.33</v>
      </c>
      <c r="BE1434" s="1">
        <v>105.54</v>
      </c>
      <c r="BF1434" s="1">
        <v>106.02</v>
      </c>
      <c r="BG1434" s="1">
        <v>108.65</v>
      </c>
      <c r="BI1434" s="1">
        <v>101.43</v>
      </c>
      <c r="BJ1434" s="1">
        <v>112.83</v>
      </c>
      <c r="BL1434" s="1">
        <v>95.78</v>
      </c>
      <c r="BN1434" s="1">
        <v>95.8</v>
      </c>
    </row>
    <row r="1435" spans="1:66" x14ac:dyDescent="0.3">
      <c r="A1435" s="2"/>
      <c r="C1435" s="14" t="str">
        <f t="shared" si="23"/>
        <v>20207</v>
      </c>
      <c r="D1435" s="3">
        <v>44013</v>
      </c>
      <c r="E1435" s="21">
        <v>1766.54</v>
      </c>
      <c r="F1435" s="21">
        <v>1776.61</v>
      </c>
      <c r="G1435" s="21">
        <v>1828.18</v>
      </c>
      <c r="H1435" s="21">
        <v>1727.33</v>
      </c>
      <c r="I1435" s="21">
        <v>1697.65</v>
      </c>
      <c r="J1435" s="21">
        <v>1728.99</v>
      </c>
      <c r="K1435" s="21">
        <v>1749</v>
      </c>
      <c r="L1435" s="21">
        <v>1691.15</v>
      </c>
      <c r="M1435" s="21">
        <v>1688.05</v>
      </c>
      <c r="N1435" s="21">
        <v>1574.01</v>
      </c>
      <c r="O1435" s="21">
        <v>1783.33</v>
      </c>
      <c r="P1435" s="21">
        <v>1745.18</v>
      </c>
      <c r="Q1435" s="21">
        <v>4041.08</v>
      </c>
      <c r="R1435" s="20">
        <v>94.64</v>
      </c>
      <c r="S1435" s="20">
        <v>95.83</v>
      </c>
      <c r="T1435" s="21">
        <v>103.47</v>
      </c>
      <c r="V1435" s="1">
        <v>91.04</v>
      </c>
      <c r="W1435" s="1">
        <v>101.04</v>
      </c>
      <c r="X1435" s="1">
        <v>102.37</v>
      </c>
      <c r="Y1435" s="1">
        <v>100.24</v>
      </c>
      <c r="Z1435" s="1">
        <v>100.13</v>
      </c>
      <c r="AA1435" s="1">
        <v>95.66</v>
      </c>
      <c r="AB1435" s="1">
        <v>102.6</v>
      </c>
      <c r="AE1435" s="1">
        <v>107.82</v>
      </c>
      <c r="AF1435" s="1">
        <v>107.32</v>
      </c>
      <c r="AG1435" s="1">
        <v>103.82</v>
      </c>
      <c r="AK1435" s="1">
        <v>30</v>
      </c>
      <c r="AP1435" s="1">
        <v>3075</v>
      </c>
      <c r="AS1435" s="1">
        <v>3225</v>
      </c>
      <c r="AX1435" s="1">
        <v>101.54</v>
      </c>
      <c r="BA1435" s="1">
        <v>104.8</v>
      </c>
      <c r="BB1435" s="1">
        <v>111.65</v>
      </c>
      <c r="BC1435" s="1">
        <v>107.9</v>
      </c>
      <c r="BD1435" s="1">
        <v>107.2</v>
      </c>
      <c r="BE1435" s="1">
        <v>106.73</v>
      </c>
      <c r="BF1435" s="1">
        <v>105.64</v>
      </c>
      <c r="BG1435" s="1">
        <v>108.57</v>
      </c>
      <c r="BI1435" s="1">
        <v>100.43</v>
      </c>
      <c r="BJ1435" s="1">
        <v>108.41</v>
      </c>
      <c r="BL1435" s="1">
        <v>96.33</v>
      </c>
      <c r="BN1435" s="1">
        <v>95.57</v>
      </c>
    </row>
    <row r="1436" spans="1:66" x14ac:dyDescent="0.3">
      <c r="A1436" s="2"/>
      <c r="C1436" s="14" t="str">
        <f t="shared" si="23"/>
        <v>20206</v>
      </c>
      <c r="D1436" s="3">
        <v>44012</v>
      </c>
      <c r="E1436" s="21"/>
      <c r="F1436" s="21">
        <v>1776.61</v>
      </c>
      <c r="G1436" s="21">
        <v>1800.83</v>
      </c>
      <c r="H1436" s="21">
        <v>1725.36</v>
      </c>
      <c r="I1436" s="21">
        <v>1747</v>
      </c>
      <c r="J1436" s="21">
        <v>1693.43</v>
      </c>
      <c r="K1436" s="21">
        <v>1721.24</v>
      </c>
      <c r="L1436" s="21">
        <v>1691.68</v>
      </c>
      <c r="M1436" s="21">
        <v>1642.54</v>
      </c>
      <c r="N1436" s="21">
        <v>1603.01</v>
      </c>
      <c r="O1436" s="21">
        <v>1758.74</v>
      </c>
      <c r="P1436" s="21">
        <v>1752.48</v>
      </c>
      <c r="Q1436" s="21">
        <v>3973.69</v>
      </c>
      <c r="R1436" s="20">
        <v>89.74</v>
      </c>
      <c r="S1436" s="20">
        <v>97.85</v>
      </c>
      <c r="T1436" s="21">
        <v>102.63</v>
      </c>
      <c r="V1436" s="1">
        <v>90.64</v>
      </c>
      <c r="W1436" s="1">
        <v>100.18</v>
      </c>
      <c r="X1436" s="1">
        <v>101.42</v>
      </c>
      <c r="Y1436" s="1">
        <v>99.21</v>
      </c>
      <c r="Z1436" s="1">
        <v>99.66</v>
      </c>
      <c r="AA1436" s="1">
        <v>92.55</v>
      </c>
      <c r="AB1436" s="1">
        <v>101.8</v>
      </c>
      <c r="AE1436" s="1">
        <v>107.97</v>
      </c>
      <c r="AF1436" s="1">
        <v>105.77</v>
      </c>
      <c r="AG1436" s="1">
        <v>99.63</v>
      </c>
      <c r="AP1436" s="1">
        <v>3075</v>
      </c>
      <c r="AX1436" s="1">
        <v>101.31</v>
      </c>
      <c r="BA1436" s="1">
        <v>107.7</v>
      </c>
      <c r="BB1436" s="1">
        <v>111.62</v>
      </c>
      <c r="BC1436" s="1">
        <v>105.27</v>
      </c>
      <c r="BD1436" s="1">
        <v>107.55</v>
      </c>
      <c r="BE1436" s="1">
        <v>107.86</v>
      </c>
      <c r="BF1436" s="1">
        <v>101.66</v>
      </c>
      <c r="BG1436" s="1">
        <v>108.45</v>
      </c>
      <c r="BI1436" s="1">
        <v>100.43</v>
      </c>
      <c r="BJ1436" s="1">
        <v>107.75</v>
      </c>
      <c r="BL1436" s="1">
        <v>95.95</v>
      </c>
      <c r="BN1436" s="1">
        <v>94.41</v>
      </c>
    </row>
    <row r="1437" spans="1:66" x14ac:dyDescent="0.3">
      <c r="A1437" s="2"/>
      <c r="C1437" s="14" t="str">
        <f t="shared" si="23"/>
        <v>20206</v>
      </c>
      <c r="D1437" s="3">
        <v>44011</v>
      </c>
      <c r="E1437" s="21">
        <v>1791.21</v>
      </c>
      <c r="F1437" s="21">
        <v>1773.03</v>
      </c>
      <c r="G1437" s="21">
        <v>1814.52</v>
      </c>
      <c r="H1437" s="21">
        <v>1733.07</v>
      </c>
      <c r="I1437" s="21">
        <v>1747</v>
      </c>
      <c r="J1437" s="21">
        <v>1673.74</v>
      </c>
      <c r="K1437" s="21">
        <v>1721.24</v>
      </c>
      <c r="L1437" s="21">
        <v>1666.62</v>
      </c>
      <c r="M1437" s="21">
        <v>1643.59</v>
      </c>
      <c r="N1437" s="21">
        <v>1543.83</v>
      </c>
      <c r="O1437" s="21">
        <v>1763.53</v>
      </c>
      <c r="P1437" s="21">
        <v>1743.53</v>
      </c>
      <c r="Q1437" s="21">
        <v>3958.43</v>
      </c>
      <c r="R1437" s="20">
        <v>88.73</v>
      </c>
      <c r="S1437" s="20">
        <v>95.32</v>
      </c>
      <c r="T1437" s="21">
        <v>102.01</v>
      </c>
      <c r="V1437" s="1">
        <v>90.24</v>
      </c>
      <c r="W1437" s="1">
        <v>98.28</v>
      </c>
      <c r="X1437" s="1">
        <v>101.32</v>
      </c>
      <c r="Y1437" s="1">
        <v>99.46</v>
      </c>
      <c r="Z1437" s="1">
        <v>99.49</v>
      </c>
      <c r="AA1437" s="1">
        <v>92.01</v>
      </c>
      <c r="AB1437" s="1">
        <v>101.72</v>
      </c>
      <c r="AE1437" s="1">
        <v>107.92</v>
      </c>
      <c r="AF1437" s="1">
        <v>106.35</v>
      </c>
      <c r="AG1437" s="1">
        <v>102.16</v>
      </c>
      <c r="AX1437" s="1">
        <v>100.96</v>
      </c>
      <c r="AZ1437" s="1">
        <v>2654.93</v>
      </c>
      <c r="BA1437" s="1">
        <v>105.3</v>
      </c>
      <c r="BB1437" s="1">
        <v>110.46</v>
      </c>
      <c r="BC1437" s="1">
        <v>105.88</v>
      </c>
      <c r="BD1437" s="1">
        <v>107.42</v>
      </c>
      <c r="BE1437" s="1">
        <v>105.35</v>
      </c>
      <c r="BF1437" s="1">
        <v>101.1</v>
      </c>
      <c r="BG1437" s="1">
        <v>108.41</v>
      </c>
      <c r="BI1437" s="1">
        <v>100.23</v>
      </c>
      <c r="BJ1437" s="1">
        <v>108.82</v>
      </c>
      <c r="BL1437" s="1">
        <v>95.91</v>
      </c>
      <c r="BN1437" s="1">
        <v>95.16</v>
      </c>
    </row>
    <row r="1438" spans="1:66" x14ac:dyDescent="0.3">
      <c r="A1438" s="2"/>
      <c r="C1438" s="14" t="str">
        <f t="shared" si="23"/>
        <v>20206</v>
      </c>
      <c r="D1438" s="3">
        <v>44008</v>
      </c>
      <c r="E1438" s="21">
        <v>1796.18</v>
      </c>
      <c r="F1438" s="21">
        <v>1723.97</v>
      </c>
      <c r="G1438" s="21">
        <v>1794.74</v>
      </c>
      <c r="H1438" s="21">
        <v>1640.03</v>
      </c>
      <c r="I1438" s="21">
        <v>1712.46</v>
      </c>
      <c r="J1438" s="21">
        <v>1651.33</v>
      </c>
      <c r="K1438" s="21">
        <v>1717.09</v>
      </c>
      <c r="L1438" s="21">
        <v>1675.8</v>
      </c>
      <c r="M1438" s="21"/>
      <c r="N1438" s="21">
        <v>1571.56</v>
      </c>
      <c r="O1438" s="21">
        <v>1777.78</v>
      </c>
      <c r="P1438" s="21">
        <v>1733.6</v>
      </c>
      <c r="Q1438" s="21">
        <v>3933.36</v>
      </c>
      <c r="R1438" s="20">
        <v>88.13</v>
      </c>
      <c r="S1438" s="20">
        <v>95.58</v>
      </c>
      <c r="T1438" s="21">
        <v>100.64</v>
      </c>
      <c r="V1438" s="1">
        <v>90.46</v>
      </c>
      <c r="W1438" s="1">
        <v>97.12</v>
      </c>
      <c r="X1438" s="1">
        <v>100.23</v>
      </c>
      <c r="Y1438" s="1">
        <v>98.31</v>
      </c>
      <c r="Z1438" s="1">
        <v>98.48</v>
      </c>
      <c r="AA1438" s="1">
        <v>92.21</v>
      </c>
      <c r="AB1438" s="1">
        <v>100.72</v>
      </c>
      <c r="AE1438" s="1">
        <v>107.68</v>
      </c>
      <c r="AF1438" s="1">
        <v>104.67</v>
      </c>
      <c r="AG1438" s="1">
        <v>102.16</v>
      </c>
      <c r="AK1438" s="1">
        <v>0</v>
      </c>
      <c r="AS1438" s="1">
        <v>3005.58</v>
      </c>
      <c r="AX1438" s="1">
        <v>100.26</v>
      </c>
      <c r="AZ1438" s="1">
        <v>2654.93</v>
      </c>
      <c r="BA1438" s="1">
        <v>106.05</v>
      </c>
      <c r="BB1438" s="1">
        <v>108.65</v>
      </c>
      <c r="BC1438" s="1">
        <v>106.92</v>
      </c>
      <c r="BD1438" s="1">
        <v>105.54</v>
      </c>
      <c r="BE1438" s="1">
        <v>104.11</v>
      </c>
      <c r="BF1438" s="1">
        <v>101.18</v>
      </c>
      <c r="BG1438" s="1">
        <v>108.21</v>
      </c>
      <c r="BH1438" s="1">
        <v>97.62</v>
      </c>
      <c r="BI1438" s="1">
        <v>99.63</v>
      </c>
      <c r="BJ1438" s="1">
        <v>107.79</v>
      </c>
      <c r="BL1438" s="1">
        <v>95.16</v>
      </c>
      <c r="BN1438" s="1">
        <v>95.98</v>
      </c>
    </row>
    <row r="1439" spans="1:66" x14ac:dyDescent="0.3">
      <c r="A1439" s="2"/>
      <c r="C1439" s="14" t="str">
        <f t="shared" si="23"/>
        <v>20206</v>
      </c>
      <c r="D1439" s="3">
        <v>44007</v>
      </c>
      <c r="E1439" s="21">
        <v>1812.8</v>
      </c>
      <c r="F1439" s="21">
        <v>1728.13</v>
      </c>
      <c r="G1439" s="21">
        <v>1765.22</v>
      </c>
      <c r="H1439" s="21">
        <v>1640.8</v>
      </c>
      <c r="I1439" s="21">
        <v>1717.39</v>
      </c>
      <c r="J1439" s="21">
        <v>1697.76</v>
      </c>
      <c r="K1439" s="21">
        <v>1750.97</v>
      </c>
      <c r="L1439" s="21">
        <v>1671.77</v>
      </c>
      <c r="M1439" s="21">
        <v>1623.03</v>
      </c>
      <c r="N1439" s="21">
        <v>1558.97</v>
      </c>
      <c r="O1439" s="21">
        <v>1763.33</v>
      </c>
      <c r="P1439" s="21">
        <v>1720.74</v>
      </c>
      <c r="Q1439" s="21">
        <v>3940.4</v>
      </c>
      <c r="R1439" s="20">
        <v>88.05</v>
      </c>
      <c r="S1439" s="20">
        <v>94.92</v>
      </c>
      <c r="T1439" s="21">
        <v>100.36</v>
      </c>
      <c r="V1439" s="1">
        <v>89.58</v>
      </c>
      <c r="W1439" s="1">
        <v>97.28</v>
      </c>
      <c r="X1439" s="1">
        <v>100.29</v>
      </c>
      <c r="Y1439" s="1">
        <v>96.45</v>
      </c>
      <c r="Z1439" s="1">
        <v>96.24</v>
      </c>
      <c r="AA1439" s="1">
        <v>91.67</v>
      </c>
      <c r="AB1439" s="1">
        <v>100.55</v>
      </c>
      <c r="AD1439" s="1">
        <v>85.74</v>
      </c>
      <c r="AE1439" s="1">
        <v>106.61</v>
      </c>
      <c r="AF1439" s="1">
        <v>102.79</v>
      </c>
      <c r="AG1439" s="1">
        <v>95.18</v>
      </c>
      <c r="AK1439" s="1">
        <v>0</v>
      </c>
      <c r="AS1439" s="1">
        <v>3005.58</v>
      </c>
      <c r="AX1439" s="1">
        <v>99.49</v>
      </c>
      <c r="AZ1439" s="1">
        <v>2654.93</v>
      </c>
      <c r="BB1439" s="1">
        <v>106.37</v>
      </c>
      <c r="BC1439" s="1">
        <v>104.66</v>
      </c>
      <c r="BD1439" s="1">
        <v>103.25</v>
      </c>
      <c r="BE1439" s="1">
        <v>103.95</v>
      </c>
      <c r="BF1439" s="1">
        <v>99.72</v>
      </c>
      <c r="BG1439" s="1">
        <v>107.1</v>
      </c>
      <c r="BH1439" s="1">
        <v>95.54</v>
      </c>
      <c r="BI1439" s="1">
        <v>99.43</v>
      </c>
      <c r="BJ1439" s="1">
        <v>107.55</v>
      </c>
      <c r="BL1439" s="1">
        <v>93.04</v>
      </c>
      <c r="BN1439" s="1">
        <v>92.99</v>
      </c>
    </row>
    <row r="1440" spans="1:66" x14ac:dyDescent="0.3">
      <c r="A1440" s="2"/>
      <c r="C1440" s="14" t="str">
        <f t="shared" si="23"/>
        <v>20206</v>
      </c>
      <c r="D1440" s="3">
        <v>44006</v>
      </c>
      <c r="E1440" s="21">
        <v>1806.22</v>
      </c>
      <c r="F1440" s="21">
        <v>1724.8</v>
      </c>
      <c r="G1440" s="21">
        <v>1765.22</v>
      </c>
      <c r="H1440" s="21">
        <v>1640.8</v>
      </c>
      <c r="I1440" s="21">
        <v>1717.39</v>
      </c>
      <c r="J1440" s="21">
        <v>1697.76</v>
      </c>
      <c r="K1440" s="21">
        <v>1742.08</v>
      </c>
      <c r="L1440" s="21">
        <v>1697.45</v>
      </c>
      <c r="M1440" s="21">
        <v>1618.15</v>
      </c>
      <c r="N1440" s="21">
        <v>1565.22</v>
      </c>
      <c r="O1440" s="21">
        <v>1741.49</v>
      </c>
      <c r="P1440" s="21">
        <v>1714.97</v>
      </c>
      <c r="Q1440" s="21">
        <v>3902.69</v>
      </c>
      <c r="R1440" s="20">
        <v>87.74</v>
      </c>
      <c r="S1440" s="20">
        <v>93.92</v>
      </c>
      <c r="T1440" s="21">
        <v>97.72</v>
      </c>
      <c r="V1440" s="1">
        <v>89.04</v>
      </c>
      <c r="W1440" s="1">
        <v>97.25</v>
      </c>
      <c r="X1440" s="1">
        <v>98.39</v>
      </c>
      <c r="Y1440" s="1">
        <v>95.28</v>
      </c>
      <c r="Z1440" s="1">
        <v>95.74</v>
      </c>
      <c r="AA1440" s="1">
        <v>90.32</v>
      </c>
      <c r="AB1440" s="1">
        <v>98.89</v>
      </c>
      <c r="AE1440" s="1">
        <v>105.54</v>
      </c>
      <c r="AF1440" s="1">
        <v>100.84</v>
      </c>
      <c r="AG1440" s="1">
        <v>94.88</v>
      </c>
      <c r="AK1440" s="1">
        <v>0</v>
      </c>
      <c r="AP1440" s="1">
        <v>2470</v>
      </c>
      <c r="AS1440" s="1">
        <v>3005.58</v>
      </c>
      <c r="AX1440" s="1">
        <v>99.24</v>
      </c>
      <c r="AZ1440" s="1">
        <v>2759.12</v>
      </c>
      <c r="BA1440" s="1">
        <v>104.4</v>
      </c>
      <c r="BB1440" s="1">
        <v>106.24</v>
      </c>
      <c r="BC1440" s="1">
        <v>103.99</v>
      </c>
      <c r="BD1440" s="1">
        <v>102.65</v>
      </c>
      <c r="BE1440" s="1">
        <v>101.22</v>
      </c>
      <c r="BF1440" s="1">
        <v>98.08</v>
      </c>
      <c r="BG1440" s="1">
        <v>106.26</v>
      </c>
      <c r="BH1440" s="1">
        <v>96.03</v>
      </c>
      <c r="BI1440" s="1">
        <v>98.43</v>
      </c>
      <c r="BJ1440" s="1">
        <v>107.55</v>
      </c>
      <c r="BL1440" s="1">
        <v>92.29</v>
      </c>
      <c r="BN1440" s="1">
        <v>92.62</v>
      </c>
    </row>
    <row r="1441" spans="1:66" x14ac:dyDescent="0.3">
      <c r="A1441" s="2"/>
      <c r="C1441" s="14" t="str">
        <f t="shared" si="23"/>
        <v>20206</v>
      </c>
      <c r="D1441" s="3">
        <v>44005</v>
      </c>
      <c r="E1441" s="21">
        <v>1786.48</v>
      </c>
      <c r="F1441" s="21">
        <v>1729.73</v>
      </c>
      <c r="G1441" s="21">
        <v>1780.92</v>
      </c>
      <c r="H1441" s="21">
        <v>1683.29</v>
      </c>
      <c r="I1441" s="21">
        <v>1740.42</v>
      </c>
      <c r="J1441" s="21">
        <v>1698.09</v>
      </c>
      <c r="K1441" s="21">
        <v>1705.54</v>
      </c>
      <c r="L1441" s="21">
        <v>1701.42</v>
      </c>
      <c r="M1441" s="21">
        <v>1603.52</v>
      </c>
      <c r="N1441" s="21">
        <v>1579.28</v>
      </c>
      <c r="O1441" s="21">
        <v>1750.1</v>
      </c>
      <c r="P1441" s="21">
        <v>1736.59</v>
      </c>
      <c r="Q1441" s="21">
        <v>3901.76</v>
      </c>
      <c r="R1441" s="20">
        <v>87.68</v>
      </c>
      <c r="S1441" s="20">
        <v>91.6</v>
      </c>
      <c r="T1441" s="21">
        <v>97.28</v>
      </c>
      <c r="V1441" s="1">
        <v>89.04</v>
      </c>
      <c r="W1441" s="1">
        <v>96.6</v>
      </c>
      <c r="X1441" s="1">
        <v>99.7</v>
      </c>
      <c r="Y1441" s="1">
        <v>95.89</v>
      </c>
      <c r="Z1441" s="1">
        <v>95.94</v>
      </c>
      <c r="AA1441" s="1">
        <v>90.46</v>
      </c>
      <c r="AB1441" s="1">
        <v>99.62</v>
      </c>
      <c r="AE1441" s="1">
        <v>105.4</v>
      </c>
      <c r="AF1441" s="1">
        <v>101.62</v>
      </c>
      <c r="AG1441" s="1">
        <v>95.75</v>
      </c>
      <c r="AJ1441" s="1">
        <v>0</v>
      </c>
      <c r="AK1441" s="1">
        <v>0</v>
      </c>
      <c r="AP1441" s="1">
        <v>2470</v>
      </c>
      <c r="AR1441" s="1">
        <v>2584.8000000000002</v>
      </c>
      <c r="AS1441" s="1">
        <v>3005.58</v>
      </c>
      <c r="AX1441" s="1">
        <v>99.69</v>
      </c>
      <c r="AZ1441" s="1">
        <v>2759.12</v>
      </c>
      <c r="BA1441" s="1">
        <v>105.54</v>
      </c>
      <c r="BB1441" s="1">
        <v>105.6</v>
      </c>
      <c r="BC1441" s="1">
        <v>103.66</v>
      </c>
      <c r="BD1441" s="1">
        <v>102.25</v>
      </c>
      <c r="BE1441" s="1">
        <v>102.79</v>
      </c>
      <c r="BF1441" s="1">
        <v>97.23</v>
      </c>
      <c r="BG1441" s="1">
        <v>105.71</v>
      </c>
      <c r="BH1441" s="1">
        <v>95.2</v>
      </c>
      <c r="BI1441" s="1">
        <v>98.43</v>
      </c>
      <c r="BJ1441" s="1">
        <v>107.55</v>
      </c>
      <c r="BL1441" s="1">
        <v>91.8</v>
      </c>
      <c r="BN1441" s="1">
        <v>91.84</v>
      </c>
    </row>
    <row r="1442" spans="1:66" x14ac:dyDescent="0.3">
      <c r="A1442" s="2"/>
      <c r="C1442" s="14" t="str">
        <f t="shared" si="23"/>
        <v>20206</v>
      </c>
      <c r="D1442" s="3">
        <v>44004</v>
      </c>
      <c r="E1442" s="21">
        <v>1758.14</v>
      </c>
      <c r="F1442" s="21">
        <v>1727.26</v>
      </c>
      <c r="G1442" s="21">
        <v>1788.16</v>
      </c>
      <c r="H1442" s="21">
        <v>1722.52</v>
      </c>
      <c r="I1442" s="21">
        <v>1740.42</v>
      </c>
      <c r="J1442" s="21">
        <v>1738.93</v>
      </c>
      <c r="K1442" s="21">
        <v>1732.17</v>
      </c>
      <c r="L1442" s="21">
        <v>1681.58</v>
      </c>
      <c r="M1442" s="21">
        <v>1624.02</v>
      </c>
      <c r="N1442" s="21">
        <v>1594.11</v>
      </c>
      <c r="O1442" s="21">
        <v>1763.33</v>
      </c>
      <c r="P1442" s="21">
        <v>1731.11</v>
      </c>
      <c r="Q1442" s="21">
        <v>3984.3</v>
      </c>
      <c r="R1442" s="20">
        <v>87.85</v>
      </c>
      <c r="S1442" s="20">
        <v>91.87</v>
      </c>
      <c r="T1442" s="21">
        <v>97.77</v>
      </c>
      <c r="V1442" s="1">
        <v>90.83</v>
      </c>
      <c r="W1442" s="1">
        <v>97.19</v>
      </c>
      <c r="X1442" s="1">
        <v>99.71</v>
      </c>
      <c r="Y1442" s="1">
        <v>96.24</v>
      </c>
      <c r="Z1442" s="1">
        <v>96.44</v>
      </c>
      <c r="AA1442" s="1">
        <v>90.02</v>
      </c>
      <c r="AB1442" s="1">
        <v>99.41</v>
      </c>
      <c r="AE1442" s="1">
        <v>104.97</v>
      </c>
      <c r="AF1442" s="1">
        <v>105.72</v>
      </c>
      <c r="AG1442" s="1">
        <v>95.75</v>
      </c>
      <c r="AJ1442" s="1">
        <v>0</v>
      </c>
      <c r="AK1442" s="1">
        <v>0</v>
      </c>
      <c r="AP1442" s="1">
        <v>2470</v>
      </c>
      <c r="AR1442" s="1">
        <v>2584.8000000000002</v>
      </c>
      <c r="AS1442" s="1">
        <v>3005.58</v>
      </c>
      <c r="AX1442" s="1">
        <v>101.22</v>
      </c>
      <c r="AY1442" s="1">
        <v>2865.32</v>
      </c>
      <c r="AZ1442" s="1">
        <v>2828.58</v>
      </c>
      <c r="BA1442" s="1">
        <v>105.47</v>
      </c>
      <c r="BB1442" s="1">
        <v>107.47</v>
      </c>
      <c r="BC1442" s="1">
        <v>103.51</v>
      </c>
      <c r="BD1442" s="1">
        <v>105.77</v>
      </c>
      <c r="BE1442" s="1">
        <v>102.76</v>
      </c>
      <c r="BF1442" s="1">
        <v>98.34</v>
      </c>
      <c r="BG1442" s="1">
        <v>105.51</v>
      </c>
      <c r="BI1442" s="1">
        <v>98.43</v>
      </c>
      <c r="BJ1442" s="1">
        <v>107.55</v>
      </c>
      <c r="BL1442" s="1">
        <v>92.3</v>
      </c>
      <c r="BN1442" s="1">
        <v>90.75</v>
      </c>
    </row>
    <row r="1443" spans="1:66" x14ac:dyDescent="0.3">
      <c r="A1443" s="2"/>
      <c r="C1443" s="14" t="str">
        <f t="shared" si="23"/>
        <v>20206</v>
      </c>
      <c r="D1443" s="3">
        <v>44001</v>
      </c>
      <c r="E1443" s="21">
        <v>1773.86</v>
      </c>
      <c r="F1443" s="21">
        <v>1721.92</v>
      </c>
      <c r="G1443" s="21">
        <v>1788.82</v>
      </c>
      <c r="H1443" s="21">
        <v>1757.42</v>
      </c>
      <c r="I1443" s="21">
        <v>1733.84</v>
      </c>
      <c r="J1443" s="21">
        <v>1778.9</v>
      </c>
      <c r="K1443" s="21">
        <v>1732.17</v>
      </c>
      <c r="L1443" s="21">
        <v>1693.49</v>
      </c>
      <c r="M1443" s="21">
        <v>1650.99</v>
      </c>
      <c r="N1443" s="21">
        <v>1608.71</v>
      </c>
      <c r="O1443" s="21">
        <v>1761.13</v>
      </c>
      <c r="P1443" s="21">
        <v>1723.33</v>
      </c>
      <c r="Q1443" s="21">
        <v>3953.65</v>
      </c>
      <c r="R1443" s="20">
        <v>88.91</v>
      </c>
      <c r="S1443" s="20">
        <v>95.02</v>
      </c>
      <c r="T1443" s="21">
        <v>97.64</v>
      </c>
      <c r="U1443" s="1">
        <v>101.51</v>
      </c>
      <c r="V1443" s="1">
        <v>89.75</v>
      </c>
      <c r="W1443" s="1">
        <v>97.5</v>
      </c>
      <c r="X1443" s="1">
        <v>100.51</v>
      </c>
      <c r="Y1443" s="1">
        <v>97.08</v>
      </c>
      <c r="Z1443" s="1">
        <v>97.2</v>
      </c>
      <c r="AA1443" s="1">
        <v>90.39</v>
      </c>
      <c r="AB1443" s="1">
        <v>99.39</v>
      </c>
      <c r="AE1443" s="1">
        <v>105.41</v>
      </c>
      <c r="AF1443" s="1">
        <v>106.18</v>
      </c>
      <c r="AG1443" s="1">
        <v>96.58</v>
      </c>
      <c r="AI1443" s="1">
        <v>0</v>
      </c>
      <c r="AJ1443" s="1">
        <v>5</v>
      </c>
      <c r="AN1443" s="1">
        <v>2554.7399999999998</v>
      </c>
      <c r="AO1443" s="1">
        <v>7</v>
      </c>
      <c r="AP1443" s="1">
        <v>2470</v>
      </c>
      <c r="AR1443" s="1">
        <v>2939.44</v>
      </c>
      <c r="AS1443" s="1">
        <v>2735.07</v>
      </c>
      <c r="AT1443" s="1">
        <v>2536.11</v>
      </c>
      <c r="AX1443" s="1">
        <v>100.59</v>
      </c>
      <c r="AY1443" s="1">
        <v>2930.44</v>
      </c>
      <c r="AZ1443" s="1">
        <v>2828.58</v>
      </c>
      <c r="BA1443" s="1">
        <v>104.79</v>
      </c>
      <c r="BB1443" s="1">
        <v>108.56</v>
      </c>
      <c r="BC1443" s="1">
        <v>107.13</v>
      </c>
      <c r="BD1443" s="1">
        <v>106.6</v>
      </c>
      <c r="BE1443" s="1">
        <v>103.34</v>
      </c>
      <c r="BF1443" s="1">
        <v>98.58</v>
      </c>
      <c r="BG1443" s="1">
        <v>106.4</v>
      </c>
      <c r="BI1443" s="1">
        <v>98.43</v>
      </c>
      <c r="BJ1443" s="1">
        <v>107.55</v>
      </c>
      <c r="BL1443" s="1">
        <v>94.17</v>
      </c>
      <c r="BN1443" s="1">
        <v>92.27</v>
      </c>
    </row>
    <row r="1444" spans="1:66" x14ac:dyDescent="0.3">
      <c r="A1444" s="2"/>
      <c r="C1444" s="14" t="str">
        <f t="shared" si="23"/>
        <v>20206</v>
      </c>
      <c r="D1444" s="3">
        <v>44000</v>
      </c>
      <c r="E1444" s="21">
        <v>1762.76</v>
      </c>
      <c r="F1444" s="21">
        <v>1693.48</v>
      </c>
      <c r="G1444" s="21">
        <v>1774.01</v>
      </c>
      <c r="H1444" s="21">
        <v>1734.27</v>
      </c>
      <c r="I1444" s="21">
        <v>1710.81</v>
      </c>
      <c r="J1444" s="21">
        <v>1751.91</v>
      </c>
      <c r="K1444" s="21">
        <v>1672.86</v>
      </c>
      <c r="L1444" s="21">
        <v>1685</v>
      </c>
      <c r="M1444" s="21">
        <v>1668.24</v>
      </c>
      <c r="N1444" s="21">
        <v>1566.71</v>
      </c>
      <c r="O1444" s="21">
        <v>1766.13</v>
      </c>
      <c r="P1444" s="21">
        <v>1696.04</v>
      </c>
      <c r="Q1444" s="21">
        <v>3840.93</v>
      </c>
      <c r="R1444" s="20">
        <v>88.92</v>
      </c>
      <c r="S1444" s="20">
        <v>95.23</v>
      </c>
      <c r="T1444" s="21">
        <v>96.37</v>
      </c>
      <c r="U1444" s="1">
        <v>100.77</v>
      </c>
      <c r="V1444" s="1">
        <v>88.18</v>
      </c>
      <c r="W1444" s="1">
        <v>96.71</v>
      </c>
      <c r="X1444" s="1">
        <v>98.62</v>
      </c>
      <c r="Y1444" s="1">
        <v>95.27</v>
      </c>
      <c r="Z1444" s="1">
        <v>95.77</v>
      </c>
      <c r="AA1444" s="1">
        <v>89.71</v>
      </c>
      <c r="AB1444" s="1">
        <v>97.84</v>
      </c>
      <c r="AE1444" s="1">
        <v>103.51</v>
      </c>
      <c r="AF1444" s="1">
        <v>104.59</v>
      </c>
      <c r="AG1444" s="1">
        <v>99.63</v>
      </c>
      <c r="AI1444" s="1">
        <v>0</v>
      </c>
      <c r="AJ1444" s="1">
        <v>5</v>
      </c>
      <c r="AN1444" s="1">
        <v>2556.37</v>
      </c>
      <c r="AO1444" s="1">
        <v>7</v>
      </c>
      <c r="AP1444" s="1">
        <v>2470</v>
      </c>
      <c r="AR1444" s="1">
        <v>2940.96</v>
      </c>
      <c r="AS1444" s="1">
        <v>2736.82</v>
      </c>
      <c r="AT1444" s="1">
        <v>2537.35</v>
      </c>
      <c r="AX1444" s="1">
        <v>98.26</v>
      </c>
      <c r="AY1444" s="1">
        <v>2932.31</v>
      </c>
      <c r="AZ1444" s="1">
        <v>2824.54</v>
      </c>
      <c r="BA1444" s="1">
        <v>104.38</v>
      </c>
      <c r="BB1444" s="1">
        <v>107.49</v>
      </c>
      <c r="BC1444" s="1">
        <v>104.91</v>
      </c>
      <c r="BD1444" s="1">
        <v>104.31</v>
      </c>
      <c r="BE1444" s="1">
        <v>101.04</v>
      </c>
      <c r="BF1444" s="1">
        <v>97.49</v>
      </c>
      <c r="BG1444" s="1">
        <v>104.73</v>
      </c>
      <c r="BI1444" s="1">
        <v>97.44</v>
      </c>
      <c r="BJ1444" s="1">
        <v>107.55</v>
      </c>
      <c r="BL1444" s="1">
        <v>93.04</v>
      </c>
      <c r="BN1444" s="1">
        <v>92.56</v>
      </c>
    </row>
    <row r="1445" spans="1:66" x14ac:dyDescent="0.3">
      <c r="A1445" s="2"/>
      <c r="C1445" s="14" t="str">
        <f t="shared" si="23"/>
        <v>20206</v>
      </c>
      <c r="D1445" s="3">
        <v>43999</v>
      </c>
      <c r="E1445" s="21">
        <v>1733.94</v>
      </c>
      <c r="F1445" s="21">
        <v>1675.45</v>
      </c>
      <c r="G1445" s="21">
        <v>1758.22</v>
      </c>
      <c r="H1445" s="21">
        <v>1711.77</v>
      </c>
      <c r="I1445" s="21">
        <v>1704.23</v>
      </c>
      <c r="J1445" s="21">
        <v>1728.26</v>
      </c>
      <c r="K1445" s="21">
        <v>1681.86</v>
      </c>
      <c r="L1445" s="21">
        <v>1665.7</v>
      </c>
      <c r="M1445" s="21">
        <v>1632.94</v>
      </c>
      <c r="N1445" s="21">
        <v>1557.79</v>
      </c>
      <c r="O1445" s="21">
        <v>1766.13</v>
      </c>
      <c r="P1445" s="21">
        <v>1688.59</v>
      </c>
      <c r="Q1445" s="21">
        <v>3778.27</v>
      </c>
      <c r="R1445" s="20">
        <v>88.51</v>
      </c>
      <c r="S1445" s="20">
        <v>87.17</v>
      </c>
      <c r="T1445" s="21">
        <v>95.39</v>
      </c>
      <c r="U1445" s="1">
        <v>97.58</v>
      </c>
      <c r="V1445" s="1">
        <v>87.3</v>
      </c>
      <c r="W1445" s="1">
        <v>95.36</v>
      </c>
      <c r="X1445" s="1">
        <v>96.75</v>
      </c>
      <c r="Y1445" s="1">
        <v>94.15</v>
      </c>
      <c r="Z1445" s="1">
        <v>94.27</v>
      </c>
      <c r="AA1445" s="1">
        <v>89.49</v>
      </c>
      <c r="AB1445" s="1">
        <v>96.92</v>
      </c>
      <c r="AE1445" s="1">
        <v>101.77</v>
      </c>
      <c r="AF1445" s="1">
        <v>101.01</v>
      </c>
      <c r="AG1445" s="1">
        <v>90.79</v>
      </c>
      <c r="AI1445" s="1">
        <v>0</v>
      </c>
      <c r="AJ1445" s="1">
        <v>5</v>
      </c>
      <c r="AN1445" s="1">
        <v>2556.37</v>
      </c>
      <c r="AO1445" s="1">
        <v>7</v>
      </c>
      <c r="AP1445" s="1">
        <v>2470</v>
      </c>
      <c r="AR1445" s="1">
        <v>2940.96</v>
      </c>
      <c r="AS1445" s="1">
        <v>2736.82</v>
      </c>
      <c r="AT1445" s="1">
        <v>2537.35</v>
      </c>
      <c r="AX1445" s="1">
        <v>96.38</v>
      </c>
      <c r="AY1445" s="1">
        <v>2932.31</v>
      </c>
      <c r="AZ1445" s="1">
        <v>2807</v>
      </c>
      <c r="BA1445" s="1">
        <v>102.37</v>
      </c>
      <c r="BB1445" s="1">
        <v>104.49</v>
      </c>
      <c r="BC1445" s="1">
        <v>102.61</v>
      </c>
      <c r="BD1445" s="1">
        <v>101.6</v>
      </c>
      <c r="BE1445" s="1">
        <v>100.35</v>
      </c>
      <c r="BF1445" s="1">
        <v>97.14</v>
      </c>
      <c r="BG1445" s="1">
        <v>103.77</v>
      </c>
      <c r="BI1445" s="1">
        <v>96.44</v>
      </c>
      <c r="BJ1445" s="1">
        <v>106.37</v>
      </c>
      <c r="BL1445" s="1">
        <v>91.9</v>
      </c>
      <c r="BN1445" s="1">
        <v>91.92</v>
      </c>
    </row>
    <row r="1446" spans="1:66" x14ac:dyDescent="0.3">
      <c r="A1446" s="2"/>
      <c r="C1446" s="14" t="str">
        <f t="shared" si="23"/>
        <v>20206</v>
      </c>
      <c r="D1446" s="3">
        <v>43998</v>
      </c>
      <c r="E1446" s="21">
        <v>1737.98</v>
      </c>
      <c r="F1446" s="21">
        <v>1664.75</v>
      </c>
      <c r="G1446" s="21">
        <v>1731.08</v>
      </c>
      <c r="H1446" s="21">
        <v>1733.27</v>
      </c>
      <c r="I1446" s="21">
        <v>1707.52</v>
      </c>
      <c r="J1446" s="21">
        <v>1708.57</v>
      </c>
      <c r="K1446" s="21">
        <v>1657.3</v>
      </c>
      <c r="L1446" s="21">
        <v>1665.87</v>
      </c>
      <c r="M1446" s="21">
        <v>1609.25</v>
      </c>
      <c r="N1446" s="21">
        <v>1603.94</v>
      </c>
      <c r="O1446" s="21">
        <v>1759.2</v>
      </c>
      <c r="P1446" s="21">
        <v>1655.88</v>
      </c>
      <c r="Q1446" s="21">
        <v>3736.04</v>
      </c>
      <c r="R1446" s="20">
        <v>87.96</v>
      </c>
      <c r="S1446" s="20">
        <v>85.53</v>
      </c>
      <c r="T1446" s="21">
        <v>94.25</v>
      </c>
      <c r="U1446" s="1">
        <v>96.01</v>
      </c>
      <c r="V1446" s="1">
        <v>86.25</v>
      </c>
      <c r="W1446" s="1">
        <v>94.79</v>
      </c>
      <c r="X1446" s="1">
        <v>95.65</v>
      </c>
      <c r="Y1446" s="1">
        <v>92.71</v>
      </c>
      <c r="Z1446" s="1">
        <v>92.55</v>
      </c>
      <c r="AA1446" s="1">
        <v>90.56</v>
      </c>
      <c r="AB1446" s="1">
        <v>95.83</v>
      </c>
      <c r="AE1446" s="1">
        <v>100.62</v>
      </c>
      <c r="AF1446" s="1">
        <v>99.44</v>
      </c>
      <c r="AG1446" s="1">
        <v>90.61</v>
      </c>
      <c r="AI1446" s="1">
        <v>0</v>
      </c>
      <c r="AN1446" s="1">
        <v>2631.56</v>
      </c>
      <c r="AO1446" s="1">
        <v>7</v>
      </c>
      <c r="AP1446" s="1">
        <v>2470</v>
      </c>
      <c r="AS1446" s="1">
        <v>2736.82</v>
      </c>
      <c r="AT1446" s="1">
        <v>2537.35</v>
      </c>
      <c r="AX1446" s="1">
        <v>95.05</v>
      </c>
      <c r="AY1446" s="1">
        <v>2932.31</v>
      </c>
      <c r="AZ1446" s="1">
        <v>2807</v>
      </c>
      <c r="BA1446" s="1">
        <v>99.59</v>
      </c>
      <c r="BB1446" s="1">
        <v>102.93</v>
      </c>
      <c r="BC1446" s="1">
        <v>100.98</v>
      </c>
      <c r="BD1446" s="1">
        <v>99.94</v>
      </c>
      <c r="BE1446" s="1">
        <v>101.31</v>
      </c>
      <c r="BF1446" s="1">
        <v>96.46</v>
      </c>
      <c r="BG1446" s="1">
        <v>102.67</v>
      </c>
      <c r="BI1446" s="1">
        <v>95.04</v>
      </c>
      <c r="BJ1446" s="1">
        <v>100.68</v>
      </c>
      <c r="BL1446" s="1">
        <v>88.47</v>
      </c>
      <c r="BN1446" s="1">
        <v>88</v>
      </c>
    </row>
    <row r="1447" spans="1:66" x14ac:dyDescent="0.3">
      <c r="A1447" s="2"/>
      <c r="C1447" s="14" t="str">
        <f t="shared" si="23"/>
        <v>20206</v>
      </c>
      <c r="D1447" s="3">
        <v>43997</v>
      </c>
      <c r="E1447" s="21">
        <v>1750.47</v>
      </c>
      <c r="F1447" s="21">
        <v>1665.39</v>
      </c>
      <c r="G1447" s="21">
        <v>1734.47</v>
      </c>
      <c r="H1447" s="21">
        <v>1733.27</v>
      </c>
      <c r="I1447" s="21">
        <v>1685.32</v>
      </c>
      <c r="J1447" s="21">
        <v>1720.57</v>
      </c>
      <c r="K1447" s="21">
        <v>1662.49</v>
      </c>
      <c r="L1447" s="21">
        <v>1655.95</v>
      </c>
      <c r="M1447" s="21"/>
      <c r="N1447" s="21">
        <v>1563.72</v>
      </c>
      <c r="O1447" s="21"/>
      <c r="P1447" s="21">
        <v>1669</v>
      </c>
      <c r="Q1447" s="21">
        <v>3720.43</v>
      </c>
      <c r="R1447" s="20">
        <v>90.07</v>
      </c>
      <c r="S1447" s="20">
        <v>86.65</v>
      </c>
      <c r="T1447" s="21">
        <v>94.26</v>
      </c>
      <c r="U1447" s="1">
        <v>96.34</v>
      </c>
      <c r="V1447" s="1">
        <v>86.56</v>
      </c>
      <c r="W1447" s="1">
        <v>94.72</v>
      </c>
      <c r="X1447" s="1">
        <v>94.38</v>
      </c>
      <c r="Y1447" s="1">
        <v>91.53</v>
      </c>
      <c r="Z1447" s="1">
        <v>91.82</v>
      </c>
      <c r="AA1447" s="1">
        <v>90.47</v>
      </c>
      <c r="AB1447" s="1">
        <v>94.85</v>
      </c>
      <c r="AE1447" s="1">
        <v>99.62</v>
      </c>
      <c r="AF1447" s="1">
        <v>99.44</v>
      </c>
      <c r="AI1447" s="1">
        <v>0</v>
      </c>
      <c r="AN1447" s="1">
        <v>2631.56</v>
      </c>
      <c r="AO1447" s="1">
        <v>7</v>
      </c>
      <c r="AP1447" s="1">
        <v>2508</v>
      </c>
      <c r="AS1447" s="1">
        <v>2736.82</v>
      </c>
      <c r="AT1447" s="1">
        <v>2521.0700000000002</v>
      </c>
      <c r="AW1447" s="1">
        <v>1924.8</v>
      </c>
      <c r="AY1447" s="1">
        <v>2997.47</v>
      </c>
      <c r="AZ1447" s="1">
        <v>2807</v>
      </c>
      <c r="BA1447" s="1">
        <v>94.26</v>
      </c>
      <c r="BB1447" s="1">
        <v>102.32</v>
      </c>
      <c r="BC1447" s="1">
        <v>99.81</v>
      </c>
      <c r="BD1447" s="1">
        <v>99.28</v>
      </c>
      <c r="BE1447" s="1">
        <v>95.6</v>
      </c>
      <c r="BG1447" s="1">
        <v>102.22</v>
      </c>
      <c r="BI1447" s="1">
        <v>94.34</v>
      </c>
      <c r="BJ1447" s="1">
        <v>100.88</v>
      </c>
      <c r="BL1447" s="1">
        <v>87.3</v>
      </c>
      <c r="BN1447" s="1">
        <v>86.9</v>
      </c>
    </row>
    <row r="1448" spans="1:66" x14ac:dyDescent="0.3">
      <c r="A1448" s="2"/>
      <c r="C1448" s="14" t="str">
        <f t="shared" si="23"/>
        <v>20206</v>
      </c>
      <c r="D1448" s="3">
        <v>43994</v>
      </c>
      <c r="E1448" s="21">
        <v>1730.63</v>
      </c>
      <c r="F1448" s="21">
        <v>1663.11</v>
      </c>
      <c r="G1448" s="21">
        <v>1736.47</v>
      </c>
      <c r="H1448" s="21">
        <v>1699.06</v>
      </c>
      <c r="I1448" s="21">
        <v>1672.98</v>
      </c>
      <c r="J1448" s="21">
        <v>1663.73</v>
      </c>
      <c r="K1448" s="21">
        <v>1651.72</v>
      </c>
      <c r="L1448" s="21">
        <v>1636.67</v>
      </c>
      <c r="M1448" s="21"/>
      <c r="N1448" s="21">
        <v>1536.56</v>
      </c>
      <c r="O1448" s="21">
        <v>1803.33</v>
      </c>
      <c r="P1448" s="21">
        <v>1654.21</v>
      </c>
      <c r="Q1448" s="21">
        <v>3696.67</v>
      </c>
      <c r="R1448" s="20">
        <v>90.33</v>
      </c>
      <c r="S1448" s="20">
        <v>84.9</v>
      </c>
      <c r="T1448" s="21">
        <v>92.64</v>
      </c>
      <c r="V1448" s="1">
        <v>85.59</v>
      </c>
      <c r="W1448" s="1">
        <v>92.88</v>
      </c>
      <c r="X1448" s="1">
        <v>94.13</v>
      </c>
      <c r="Y1448" s="1">
        <v>89.9</v>
      </c>
      <c r="Z1448" s="1">
        <v>90.12</v>
      </c>
      <c r="AA1448" s="1">
        <v>88.79</v>
      </c>
      <c r="AB1448" s="1">
        <v>94.66</v>
      </c>
      <c r="AE1448" s="1">
        <v>100.17</v>
      </c>
      <c r="AN1448" s="1">
        <v>2706.75</v>
      </c>
      <c r="AO1448" s="1">
        <v>7</v>
      </c>
      <c r="AP1448" s="1">
        <v>2584</v>
      </c>
      <c r="AS1448" s="1">
        <v>3007.5</v>
      </c>
      <c r="AT1448" s="1">
        <v>2504.79</v>
      </c>
      <c r="AW1448" s="1">
        <v>1924.8</v>
      </c>
      <c r="AZ1448" s="1">
        <v>2807</v>
      </c>
      <c r="BA1448" s="1">
        <v>94</v>
      </c>
      <c r="BB1448" s="1">
        <v>99.59</v>
      </c>
      <c r="BC1448" s="1">
        <v>98.93</v>
      </c>
      <c r="BD1448" s="1">
        <v>97.6</v>
      </c>
      <c r="BE1448" s="1">
        <v>94</v>
      </c>
      <c r="BF1448" s="1">
        <v>95.39</v>
      </c>
      <c r="BG1448" s="1">
        <v>101.4</v>
      </c>
      <c r="BH1448" s="1">
        <v>92.65</v>
      </c>
      <c r="BI1448" s="1">
        <v>94.05</v>
      </c>
      <c r="BJ1448" s="1">
        <v>98.71</v>
      </c>
      <c r="BL1448" s="1">
        <v>85.3</v>
      </c>
      <c r="BN1448" s="1">
        <v>85.9</v>
      </c>
    </row>
    <row r="1449" spans="1:66" x14ac:dyDescent="0.3">
      <c r="A1449" s="2"/>
      <c r="C1449" s="14" t="str">
        <f t="shared" si="23"/>
        <v>20206</v>
      </c>
      <c r="D1449" s="3">
        <v>43992</v>
      </c>
      <c r="E1449" s="21">
        <v>1733.09</v>
      </c>
      <c r="F1449" s="21">
        <v>1645.45</v>
      </c>
      <c r="G1449" s="21">
        <v>1715.43</v>
      </c>
      <c r="H1449" s="21">
        <v>1725.32</v>
      </c>
      <c r="I1449" s="21">
        <v>1672.98</v>
      </c>
      <c r="J1449" s="21">
        <v>1735.52</v>
      </c>
      <c r="K1449" s="21">
        <v>1702.64</v>
      </c>
      <c r="L1449" s="21">
        <v>1608.33</v>
      </c>
      <c r="M1449" s="21"/>
      <c r="N1449" s="21">
        <v>1553.24</v>
      </c>
      <c r="O1449" s="21">
        <v>1790</v>
      </c>
      <c r="P1449" s="21">
        <v>1642.64</v>
      </c>
      <c r="Q1449" s="21">
        <v>3662.29</v>
      </c>
      <c r="R1449" s="20">
        <v>86.81</v>
      </c>
      <c r="S1449" s="20">
        <v>84.67</v>
      </c>
      <c r="T1449" s="21">
        <v>90.89</v>
      </c>
      <c r="V1449" s="1">
        <v>84.36</v>
      </c>
      <c r="W1449" s="1">
        <v>92.88</v>
      </c>
      <c r="X1449" s="1">
        <v>92.69</v>
      </c>
      <c r="Y1449" s="1">
        <v>87.86</v>
      </c>
      <c r="Z1449" s="1">
        <v>88.3</v>
      </c>
      <c r="AA1449" s="1">
        <v>87.22</v>
      </c>
      <c r="AB1449" s="1">
        <v>93.96</v>
      </c>
      <c r="AE1449" s="1">
        <v>98.84</v>
      </c>
      <c r="AF1449" s="1">
        <v>95.66</v>
      </c>
      <c r="AG1449" s="1">
        <v>86.36</v>
      </c>
      <c r="AN1449" s="1">
        <v>2706.75</v>
      </c>
      <c r="AO1449" s="1">
        <v>7</v>
      </c>
      <c r="AP1449" s="1">
        <v>2584</v>
      </c>
      <c r="AS1449" s="1">
        <v>3007.5</v>
      </c>
      <c r="AT1449" s="1">
        <v>2504.79</v>
      </c>
      <c r="AW1449" s="1">
        <v>1924.8</v>
      </c>
      <c r="BA1449" s="1">
        <v>92.95</v>
      </c>
      <c r="BB1449" s="1">
        <v>97.77</v>
      </c>
      <c r="BC1449" s="1">
        <v>96.04</v>
      </c>
      <c r="BD1449" s="1">
        <v>96.61</v>
      </c>
      <c r="BE1449" s="1">
        <v>94</v>
      </c>
      <c r="BF1449" s="1">
        <v>95.39</v>
      </c>
      <c r="BG1449" s="1">
        <v>100.28</v>
      </c>
      <c r="BH1449" s="1">
        <v>96.36</v>
      </c>
      <c r="BI1449" s="1">
        <v>93</v>
      </c>
      <c r="BJ1449" s="1">
        <v>98.11</v>
      </c>
      <c r="BL1449" s="1">
        <v>84.62</v>
      </c>
      <c r="BN1449" s="1">
        <v>84.69</v>
      </c>
    </row>
    <row r="1450" spans="1:66" x14ac:dyDescent="0.3">
      <c r="A1450" s="2"/>
      <c r="C1450" s="14" t="str">
        <f t="shared" si="23"/>
        <v>20206</v>
      </c>
      <c r="D1450" s="3">
        <v>43991</v>
      </c>
      <c r="E1450" s="21">
        <v>1733.09</v>
      </c>
      <c r="F1450" s="21">
        <v>1656.8</v>
      </c>
      <c r="G1450" s="21">
        <v>1736.8</v>
      </c>
      <c r="H1450" s="21">
        <v>1737.24</v>
      </c>
      <c r="I1450" s="21">
        <v>1687.78</v>
      </c>
      <c r="J1450" s="21">
        <v>1709.23</v>
      </c>
      <c r="K1450" s="21">
        <v>1729.24</v>
      </c>
      <c r="L1450" s="21">
        <v>1622.02</v>
      </c>
      <c r="M1450" s="21">
        <v>1535.24</v>
      </c>
      <c r="N1450" s="21">
        <v>1545.53</v>
      </c>
      <c r="O1450" s="21">
        <v>1744.31</v>
      </c>
      <c r="P1450" s="21">
        <v>1675.97</v>
      </c>
      <c r="Q1450" s="21">
        <v>3705.53</v>
      </c>
      <c r="R1450" s="20">
        <v>87.63</v>
      </c>
      <c r="S1450" s="20">
        <v>83.29</v>
      </c>
      <c r="T1450" s="21">
        <v>90.68</v>
      </c>
      <c r="V1450" s="1">
        <v>84</v>
      </c>
      <c r="W1450" s="1">
        <v>93.19</v>
      </c>
      <c r="X1450" s="1">
        <v>92.12</v>
      </c>
      <c r="Y1450" s="1">
        <v>87.71</v>
      </c>
      <c r="Z1450" s="1">
        <v>87.77</v>
      </c>
      <c r="AA1450" s="1">
        <v>86.95</v>
      </c>
      <c r="AB1450" s="1">
        <v>93.74</v>
      </c>
      <c r="AE1450" s="1">
        <v>99.18</v>
      </c>
      <c r="AF1450" s="1">
        <v>96.77</v>
      </c>
      <c r="AO1450" s="1">
        <v>7</v>
      </c>
      <c r="AP1450" s="1">
        <v>2584</v>
      </c>
      <c r="AS1450" s="1">
        <v>3007.5</v>
      </c>
      <c r="AT1450" s="1">
        <v>2587.15</v>
      </c>
      <c r="AW1450" s="1">
        <v>1924.8</v>
      </c>
      <c r="BA1450" s="1">
        <v>93.47</v>
      </c>
      <c r="BB1450" s="1">
        <v>97.65</v>
      </c>
      <c r="BC1450" s="1">
        <v>96.21</v>
      </c>
      <c r="BD1450" s="1">
        <v>95.74</v>
      </c>
      <c r="BE1450" s="1">
        <v>94</v>
      </c>
      <c r="BF1450" s="1">
        <v>94.73</v>
      </c>
      <c r="BG1450" s="1">
        <v>100.52</v>
      </c>
      <c r="BH1450" s="1">
        <v>94.67</v>
      </c>
      <c r="BI1450" s="1">
        <v>93.05</v>
      </c>
      <c r="BJ1450" s="1">
        <v>98.11</v>
      </c>
      <c r="BL1450" s="1">
        <v>84.49</v>
      </c>
      <c r="BN1450" s="1">
        <v>84.59</v>
      </c>
    </row>
    <row r="1451" spans="1:66" x14ac:dyDescent="0.3">
      <c r="A1451" s="2"/>
      <c r="C1451" s="14" t="str">
        <f t="shared" si="23"/>
        <v>20206</v>
      </c>
      <c r="D1451" s="3">
        <v>43990</v>
      </c>
      <c r="E1451" s="21">
        <v>1750.37</v>
      </c>
      <c r="F1451" s="21">
        <v>1661.37</v>
      </c>
      <c r="G1451" s="21">
        <v>1731.9</v>
      </c>
      <c r="H1451" s="21">
        <v>1657.85</v>
      </c>
      <c r="I1451" s="21">
        <v>1687.78</v>
      </c>
      <c r="J1451" s="21">
        <v>1698.79</v>
      </c>
      <c r="K1451" s="21">
        <v>1729.24</v>
      </c>
      <c r="L1451" s="21">
        <v>1616.09</v>
      </c>
      <c r="M1451" s="21">
        <v>1535.24</v>
      </c>
      <c r="N1451" s="21">
        <v>1552.9</v>
      </c>
      <c r="O1451" s="21">
        <v>1744.31</v>
      </c>
      <c r="P1451" s="21">
        <v>1675.97</v>
      </c>
      <c r="Q1451" s="21">
        <v>3700.72</v>
      </c>
      <c r="R1451" s="20">
        <v>85.69</v>
      </c>
      <c r="S1451" s="20">
        <v>82.39</v>
      </c>
      <c r="T1451" s="21">
        <v>94.81</v>
      </c>
      <c r="V1451" s="1">
        <v>83.85</v>
      </c>
      <c r="W1451" s="1">
        <v>93.6</v>
      </c>
      <c r="X1451" s="1">
        <v>93.2</v>
      </c>
      <c r="Y1451" s="1">
        <v>89.01</v>
      </c>
      <c r="Z1451" s="1">
        <v>90.71</v>
      </c>
      <c r="AA1451" s="1">
        <v>87.54</v>
      </c>
      <c r="AB1451" s="1">
        <v>94.3</v>
      </c>
      <c r="AE1451" s="1">
        <v>99.32</v>
      </c>
      <c r="AF1451" s="1">
        <v>98.55</v>
      </c>
      <c r="AO1451" s="1">
        <v>7</v>
      </c>
      <c r="AS1451" s="1">
        <v>3007.5</v>
      </c>
      <c r="AT1451" s="1">
        <v>2642.05</v>
      </c>
      <c r="AY1451" s="1">
        <v>2623.21</v>
      </c>
      <c r="BA1451" s="1">
        <v>95.4</v>
      </c>
      <c r="BB1451" s="1">
        <v>101.22</v>
      </c>
      <c r="BC1451" s="1">
        <v>95.28</v>
      </c>
      <c r="BD1451" s="1">
        <v>97.66</v>
      </c>
      <c r="BE1451" s="1">
        <v>98.2</v>
      </c>
      <c r="BF1451" s="1">
        <v>94.69</v>
      </c>
      <c r="BG1451" s="1">
        <v>100.51</v>
      </c>
      <c r="BH1451" s="1">
        <v>94.43</v>
      </c>
      <c r="BI1451" s="1">
        <v>96.37</v>
      </c>
      <c r="BJ1451" s="1">
        <v>102.07</v>
      </c>
      <c r="BL1451" s="1">
        <v>84.37</v>
      </c>
      <c r="BN1451" s="1">
        <v>84.5</v>
      </c>
    </row>
    <row r="1452" spans="1:66" x14ac:dyDescent="0.3">
      <c r="A1452" s="2"/>
      <c r="C1452" s="14" t="str">
        <f t="shared" si="23"/>
        <v>20206</v>
      </c>
      <c r="D1452" s="3">
        <v>43987</v>
      </c>
      <c r="E1452" s="21">
        <v>1750.37</v>
      </c>
      <c r="F1452" s="21">
        <v>1693.48</v>
      </c>
      <c r="G1452" s="21">
        <v>1758.18</v>
      </c>
      <c r="H1452" s="21">
        <v>1669.12</v>
      </c>
      <c r="I1452" s="21">
        <v>1691.07</v>
      </c>
      <c r="J1452" s="21">
        <v>1691.63</v>
      </c>
      <c r="K1452" s="21">
        <v>1735.09</v>
      </c>
      <c r="L1452" s="21">
        <v>1626.02</v>
      </c>
      <c r="M1452" s="21"/>
      <c r="N1452" s="21">
        <v>1536.22</v>
      </c>
      <c r="O1452" s="21">
        <v>1760.21</v>
      </c>
      <c r="P1452" s="21">
        <v>1669.61</v>
      </c>
      <c r="Q1452" s="21">
        <v>3662.63</v>
      </c>
      <c r="R1452" s="20">
        <v>85.51</v>
      </c>
      <c r="S1452" s="20">
        <v>85.7</v>
      </c>
      <c r="T1452" s="21">
        <v>95.26</v>
      </c>
      <c r="V1452" s="1">
        <v>84.26</v>
      </c>
      <c r="W1452" s="1">
        <v>93.67</v>
      </c>
      <c r="X1452" s="1">
        <v>94.08</v>
      </c>
      <c r="Y1452" s="1">
        <v>91.29</v>
      </c>
      <c r="Z1452" s="1">
        <v>91.55</v>
      </c>
      <c r="AA1452" s="1">
        <v>87.16</v>
      </c>
      <c r="AB1452" s="1">
        <v>94.96</v>
      </c>
      <c r="AE1452" s="1">
        <v>100.76</v>
      </c>
      <c r="AG1452" s="1">
        <v>89.24</v>
      </c>
      <c r="AO1452" s="1">
        <v>7</v>
      </c>
      <c r="AT1452" s="1">
        <v>2667.93</v>
      </c>
      <c r="AY1452" s="1">
        <v>2623.21</v>
      </c>
      <c r="BA1452" s="1">
        <v>97.35</v>
      </c>
      <c r="BB1452" s="1">
        <v>101.23</v>
      </c>
      <c r="BC1452" s="1">
        <v>99.47</v>
      </c>
      <c r="BD1452" s="1">
        <v>98.92</v>
      </c>
      <c r="BE1452" s="1">
        <v>98.2</v>
      </c>
      <c r="BF1452" s="1">
        <v>95.73</v>
      </c>
      <c r="BG1452" s="1">
        <v>102.62</v>
      </c>
      <c r="BI1452" s="1">
        <v>95.62</v>
      </c>
      <c r="BJ1452" s="1">
        <v>103.23</v>
      </c>
      <c r="BL1452" s="1">
        <v>86.42</v>
      </c>
      <c r="BN1452" s="1">
        <v>86.74</v>
      </c>
    </row>
    <row r="1453" spans="1:66" x14ac:dyDescent="0.3">
      <c r="A1453" s="2"/>
      <c r="C1453" s="14" t="str">
        <f t="shared" si="23"/>
        <v>20206</v>
      </c>
      <c r="D1453" s="3">
        <v>43986</v>
      </c>
      <c r="E1453" s="21">
        <v>1750.37</v>
      </c>
      <c r="F1453" s="21">
        <v>1693.48</v>
      </c>
      <c r="G1453" s="21">
        <v>1758.18</v>
      </c>
      <c r="H1453" s="21">
        <v>1699.61</v>
      </c>
      <c r="I1453" s="21">
        <v>1691.07</v>
      </c>
      <c r="J1453" s="21">
        <v>1673.67</v>
      </c>
      <c r="K1453" s="21">
        <v>1692.24</v>
      </c>
      <c r="L1453" s="21">
        <v>1661.73</v>
      </c>
      <c r="M1453" s="21">
        <v>1544.1</v>
      </c>
      <c r="N1453" s="21">
        <v>1558.92</v>
      </c>
      <c r="O1453" s="21">
        <v>1750.73</v>
      </c>
      <c r="P1453" s="21">
        <v>1680.92</v>
      </c>
      <c r="Q1453" s="21">
        <v>3721.73</v>
      </c>
      <c r="R1453" s="20">
        <v>85.72</v>
      </c>
      <c r="S1453" s="20">
        <v>87.19</v>
      </c>
      <c r="T1453" s="21">
        <v>94.63</v>
      </c>
      <c r="V1453" s="1">
        <v>84.75</v>
      </c>
      <c r="W1453" s="1">
        <v>94.88</v>
      </c>
      <c r="X1453" s="1">
        <v>93.35</v>
      </c>
      <c r="Y1453" s="1">
        <v>91.43</v>
      </c>
      <c r="Z1453" s="1">
        <v>91.5</v>
      </c>
      <c r="AA1453" s="1">
        <v>88.05</v>
      </c>
      <c r="AB1453" s="1">
        <v>94.46</v>
      </c>
      <c r="AE1453" s="1">
        <v>100.42</v>
      </c>
      <c r="AF1453" s="1">
        <v>98.7</v>
      </c>
      <c r="AG1453" s="1">
        <v>90.81</v>
      </c>
      <c r="AO1453" s="1">
        <v>7</v>
      </c>
      <c r="AP1453" s="1">
        <v>2470</v>
      </c>
      <c r="AT1453" s="1">
        <v>2667.93</v>
      </c>
      <c r="AY1453" s="1">
        <v>2623.21</v>
      </c>
      <c r="BA1453" s="1">
        <v>96.47</v>
      </c>
      <c r="BB1453" s="1">
        <v>101.34</v>
      </c>
      <c r="BC1453" s="1">
        <v>99.59</v>
      </c>
      <c r="BD1453" s="1">
        <v>98.9</v>
      </c>
      <c r="BE1453" s="1">
        <v>102.66</v>
      </c>
      <c r="BF1453" s="1">
        <v>96.66</v>
      </c>
      <c r="BG1453" s="1">
        <v>102.04</v>
      </c>
      <c r="BH1453" s="1">
        <v>95.1</v>
      </c>
      <c r="BI1453" s="1">
        <v>95.84</v>
      </c>
      <c r="BJ1453" s="1">
        <v>102.88</v>
      </c>
      <c r="BL1453" s="1">
        <v>87.49</v>
      </c>
      <c r="BN1453" s="1">
        <v>87.53</v>
      </c>
    </row>
    <row r="1454" spans="1:66" x14ac:dyDescent="0.3">
      <c r="A1454" s="2"/>
      <c r="C1454" s="14" t="str">
        <f t="shared" si="23"/>
        <v>20206</v>
      </c>
      <c r="D1454" s="3">
        <v>43985</v>
      </c>
      <c r="E1454" s="21">
        <v>1760.29</v>
      </c>
      <c r="F1454" s="21">
        <v>1695.76</v>
      </c>
      <c r="G1454" s="21">
        <v>1758.18</v>
      </c>
      <c r="H1454" s="21">
        <v>1692.99</v>
      </c>
      <c r="I1454" s="21">
        <v>1700.94</v>
      </c>
      <c r="J1454" s="21">
        <v>1715.5</v>
      </c>
      <c r="K1454" s="21">
        <v>1692.24</v>
      </c>
      <c r="L1454" s="21">
        <v>1633.95</v>
      </c>
      <c r="M1454" s="21">
        <v>1559.11</v>
      </c>
      <c r="N1454" s="21">
        <v>1550.59</v>
      </c>
      <c r="O1454" s="21">
        <v>1772.58</v>
      </c>
      <c r="P1454" s="21">
        <v>1694.21</v>
      </c>
      <c r="Q1454" s="21">
        <v>3655.61</v>
      </c>
      <c r="R1454" s="20">
        <v>85.02</v>
      </c>
      <c r="S1454" s="20">
        <v>86.72</v>
      </c>
      <c r="T1454" s="21">
        <v>95.14</v>
      </c>
      <c r="V1454" s="1">
        <v>84.75</v>
      </c>
      <c r="W1454" s="1">
        <v>93.73</v>
      </c>
      <c r="X1454" s="1">
        <v>94.17</v>
      </c>
      <c r="Y1454" s="1">
        <v>91.47</v>
      </c>
      <c r="Z1454" s="1">
        <v>92.74</v>
      </c>
      <c r="AA1454" s="1">
        <v>87.53</v>
      </c>
      <c r="AB1454" s="1">
        <v>94.9</v>
      </c>
      <c r="AE1454" s="1">
        <v>100.42</v>
      </c>
      <c r="AF1454" s="1">
        <v>98.71</v>
      </c>
      <c r="AG1454" s="1">
        <v>89.79</v>
      </c>
      <c r="AO1454" s="1">
        <v>7</v>
      </c>
      <c r="AP1454" s="1">
        <v>2470</v>
      </c>
      <c r="AT1454" s="1">
        <v>2667.93</v>
      </c>
      <c r="AY1454" s="1">
        <v>2623.21</v>
      </c>
      <c r="BB1454" s="1">
        <v>100.76</v>
      </c>
      <c r="BC1454" s="1">
        <v>98.27</v>
      </c>
      <c r="BD1454" s="1">
        <v>97.45</v>
      </c>
      <c r="BE1454" s="1">
        <v>104.67</v>
      </c>
      <c r="BF1454" s="1">
        <v>95.62</v>
      </c>
      <c r="BG1454" s="1">
        <v>101.52</v>
      </c>
      <c r="BH1454" s="1">
        <v>95.1</v>
      </c>
      <c r="BI1454" s="1">
        <v>96.44</v>
      </c>
      <c r="BJ1454" s="1">
        <v>103.08</v>
      </c>
      <c r="BL1454" s="1">
        <v>87.11</v>
      </c>
      <c r="BN1454" s="1">
        <v>87.06</v>
      </c>
    </row>
    <row r="1455" spans="1:66" x14ac:dyDescent="0.3">
      <c r="A1455" s="2"/>
      <c r="C1455" s="14" t="str">
        <f t="shared" si="23"/>
        <v>20206</v>
      </c>
      <c r="D1455" s="3">
        <v>43984</v>
      </c>
      <c r="E1455" s="21">
        <v>1760.29</v>
      </c>
      <c r="F1455" s="21">
        <v>1695.76</v>
      </c>
      <c r="G1455" s="21">
        <v>1758.18</v>
      </c>
      <c r="H1455" s="21">
        <v>1716.52</v>
      </c>
      <c r="I1455" s="21">
        <v>1695.19</v>
      </c>
      <c r="J1455" s="21">
        <v>1728.24</v>
      </c>
      <c r="K1455" s="21">
        <v>1750.94</v>
      </c>
      <c r="L1455" s="21">
        <v>1636.57</v>
      </c>
      <c r="M1455" s="21">
        <v>1569.46</v>
      </c>
      <c r="N1455" s="21">
        <v>1563.71</v>
      </c>
      <c r="O1455" s="21">
        <v>1821.83</v>
      </c>
      <c r="P1455" s="21">
        <v>1690.9</v>
      </c>
      <c r="Q1455" s="21">
        <v>3686.22</v>
      </c>
      <c r="R1455" s="20">
        <v>87.7</v>
      </c>
      <c r="S1455" s="20">
        <v>88.26</v>
      </c>
      <c r="T1455" s="21">
        <v>95.31</v>
      </c>
      <c r="U1455" s="1">
        <v>92.79</v>
      </c>
      <c r="V1455" s="1">
        <v>85.98</v>
      </c>
      <c r="W1455" s="1">
        <v>94.62</v>
      </c>
      <c r="X1455" s="1">
        <v>95.62</v>
      </c>
      <c r="Y1455" s="1">
        <v>93.45</v>
      </c>
      <c r="Z1455" s="1">
        <v>93.32</v>
      </c>
      <c r="AA1455" s="1">
        <v>88.69</v>
      </c>
      <c r="AB1455" s="1">
        <v>95.68</v>
      </c>
      <c r="AE1455" s="1">
        <v>102.74</v>
      </c>
      <c r="AF1455" s="1">
        <v>98.76</v>
      </c>
      <c r="AG1455" s="1">
        <v>90.92</v>
      </c>
      <c r="AK1455" s="1">
        <v>30</v>
      </c>
      <c r="AP1455" s="1">
        <v>2470</v>
      </c>
      <c r="AS1455" s="1">
        <v>2972.5</v>
      </c>
      <c r="AT1455" s="1">
        <v>2706.75</v>
      </c>
      <c r="AY1455" s="1">
        <v>2623.21</v>
      </c>
      <c r="BA1455" s="1">
        <v>97.89</v>
      </c>
      <c r="BB1455" s="1">
        <v>101.85</v>
      </c>
      <c r="BC1455" s="1">
        <v>99.95</v>
      </c>
      <c r="BD1455" s="1">
        <v>98.01</v>
      </c>
      <c r="BE1455" s="1">
        <v>104.33</v>
      </c>
      <c r="BF1455" s="1">
        <v>98.08</v>
      </c>
      <c r="BG1455" s="1">
        <v>103.57</v>
      </c>
      <c r="BH1455" s="1">
        <v>98.04</v>
      </c>
      <c r="BI1455" s="1">
        <v>96.54</v>
      </c>
      <c r="BJ1455" s="1">
        <v>103.08</v>
      </c>
      <c r="BL1455" s="1">
        <v>89.23</v>
      </c>
      <c r="BN1455" s="1">
        <v>89.18</v>
      </c>
    </row>
    <row r="1456" spans="1:66" x14ac:dyDescent="0.3">
      <c r="A1456" s="2"/>
      <c r="C1456" s="14" t="str">
        <f t="shared" si="23"/>
        <v>20206</v>
      </c>
      <c r="D1456" s="3">
        <v>43983</v>
      </c>
      <c r="E1456" s="21">
        <v>1775.12</v>
      </c>
      <c r="F1456" s="21">
        <v>1695.6</v>
      </c>
      <c r="G1456" s="21">
        <v>1758.15</v>
      </c>
      <c r="H1456" s="21">
        <v>1729.74</v>
      </c>
      <c r="I1456" s="21">
        <v>1695.19</v>
      </c>
      <c r="J1456" s="21">
        <v>1688.06</v>
      </c>
      <c r="K1456" s="21">
        <v>1700.53</v>
      </c>
      <c r="L1456" s="21">
        <v>1586.77</v>
      </c>
      <c r="M1456" s="21">
        <v>1600.5</v>
      </c>
      <c r="N1456" s="21">
        <v>1577.74</v>
      </c>
      <c r="O1456" s="21">
        <v>1795.48</v>
      </c>
      <c r="P1456" s="21">
        <v>1705.06</v>
      </c>
      <c r="Q1456" s="21">
        <v>3678</v>
      </c>
      <c r="R1456" s="20">
        <v>88.1</v>
      </c>
      <c r="S1456" s="20">
        <v>89.26</v>
      </c>
      <c r="T1456" s="21">
        <v>95.99</v>
      </c>
      <c r="U1456" s="1">
        <v>93.61</v>
      </c>
      <c r="V1456" s="1">
        <v>85.98</v>
      </c>
      <c r="W1456" s="1">
        <v>95.44</v>
      </c>
      <c r="X1456" s="1">
        <v>94.76</v>
      </c>
      <c r="Y1456" s="1">
        <v>93.51</v>
      </c>
      <c r="Z1456" s="1">
        <v>93.55</v>
      </c>
      <c r="AA1456" s="1">
        <v>90.09</v>
      </c>
      <c r="AB1456" s="1">
        <v>95.13</v>
      </c>
      <c r="AE1456" s="1">
        <v>101.57</v>
      </c>
      <c r="AF1456" s="1">
        <v>98.99</v>
      </c>
      <c r="AG1456" s="1">
        <v>91.26</v>
      </c>
      <c r="AK1456" s="1">
        <v>30</v>
      </c>
      <c r="AP1456" s="1">
        <v>2451.71</v>
      </c>
      <c r="AS1456" s="1">
        <v>2972.5</v>
      </c>
      <c r="AT1456" s="1">
        <v>2706.75</v>
      </c>
      <c r="AZ1456" s="1">
        <v>2907.25</v>
      </c>
      <c r="BA1456" s="1">
        <v>97.38</v>
      </c>
      <c r="BB1456" s="1">
        <v>100.9</v>
      </c>
      <c r="BC1456" s="1">
        <v>102.24</v>
      </c>
      <c r="BD1456" s="1">
        <v>98.25</v>
      </c>
      <c r="BE1456" s="1">
        <v>104.67</v>
      </c>
      <c r="BF1456" s="1">
        <v>99.51</v>
      </c>
      <c r="BG1456" s="1">
        <v>103.81</v>
      </c>
      <c r="BH1456" s="1">
        <v>98.57</v>
      </c>
      <c r="BI1456" s="1">
        <v>96.54</v>
      </c>
      <c r="BJ1456" s="1">
        <v>100.83</v>
      </c>
      <c r="BL1456" s="1">
        <v>89.73</v>
      </c>
      <c r="BN1456" s="1">
        <v>90.12</v>
      </c>
    </row>
    <row r="1457" spans="1:66" x14ac:dyDescent="0.3">
      <c r="A1457" s="2"/>
      <c r="C1457" s="14" t="str">
        <f t="shared" si="23"/>
        <v>20205</v>
      </c>
      <c r="D1457" s="3">
        <v>43980</v>
      </c>
      <c r="E1457" s="21">
        <v>1775.12</v>
      </c>
      <c r="F1457" s="21">
        <v>1728.4</v>
      </c>
      <c r="G1457" s="21">
        <v>1764.08</v>
      </c>
      <c r="H1457" s="21">
        <v>1723.16</v>
      </c>
      <c r="I1457" s="21">
        <v>1727.26</v>
      </c>
      <c r="J1457" s="21">
        <v>1706.53</v>
      </c>
      <c r="K1457" s="21">
        <v>1748.97</v>
      </c>
      <c r="L1457" s="21">
        <v>1636.57</v>
      </c>
      <c r="M1457" s="21">
        <v>1605.1</v>
      </c>
      <c r="N1457" s="21">
        <v>1547.76</v>
      </c>
      <c r="O1457" s="21">
        <v>1802.98</v>
      </c>
      <c r="P1457" s="21">
        <v>1688.87</v>
      </c>
      <c r="Q1457" s="21">
        <v>3685.3</v>
      </c>
      <c r="R1457" s="20">
        <v>87.66</v>
      </c>
      <c r="S1457" s="20"/>
      <c r="T1457" s="21">
        <v>95.39</v>
      </c>
      <c r="U1457" s="1">
        <v>93.59</v>
      </c>
      <c r="V1457" s="1">
        <v>85.75</v>
      </c>
      <c r="W1457" s="1">
        <v>96.02</v>
      </c>
      <c r="X1457" s="1">
        <v>95.71</v>
      </c>
      <c r="Y1457" s="1">
        <v>93.63</v>
      </c>
      <c r="Z1457" s="1">
        <v>94</v>
      </c>
      <c r="AA1457" s="1">
        <v>90.16</v>
      </c>
      <c r="AB1457" s="1">
        <v>96.95</v>
      </c>
      <c r="AE1457" s="1">
        <v>101.8</v>
      </c>
      <c r="AF1457" s="1">
        <v>98.96</v>
      </c>
      <c r="AK1457" s="1">
        <v>30</v>
      </c>
      <c r="AP1457" s="1">
        <v>2454</v>
      </c>
      <c r="AS1457" s="1">
        <v>2972.5</v>
      </c>
      <c r="AU1457" s="1">
        <v>2478.4</v>
      </c>
      <c r="AY1457" s="1">
        <v>2997.13</v>
      </c>
      <c r="AZ1457" s="1">
        <v>2906.92</v>
      </c>
      <c r="BA1457" s="1">
        <v>97.15</v>
      </c>
      <c r="BB1457" s="1">
        <v>100.22</v>
      </c>
      <c r="BC1457" s="1">
        <v>102.23</v>
      </c>
      <c r="BD1457" s="1">
        <v>97.91</v>
      </c>
      <c r="BE1457" s="1">
        <v>104.67</v>
      </c>
      <c r="BF1457" s="1">
        <v>98.59</v>
      </c>
      <c r="BG1457" s="1">
        <v>104</v>
      </c>
      <c r="BH1457" s="1">
        <v>98.17</v>
      </c>
      <c r="BI1457" s="1">
        <v>96.44</v>
      </c>
      <c r="BJ1457" s="1">
        <v>100.83</v>
      </c>
      <c r="BL1457" s="1">
        <v>89.73</v>
      </c>
      <c r="BN1457" s="1">
        <v>90.12</v>
      </c>
    </row>
    <row r="1458" spans="1:66" x14ac:dyDescent="0.3">
      <c r="A1458" s="2"/>
      <c r="C1458" s="14" t="str">
        <f t="shared" si="23"/>
        <v>20205</v>
      </c>
      <c r="D1458" s="3">
        <v>43979</v>
      </c>
      <c r="E1458" s="21">
        <v>1787.46</v>
      </c>
      <c r="F1458" s="21">
        <v>1733.99</v>
      </c>
      <c r="G1458" s="21">
        <v>1783.88</v>
      </c>
      <c r="H1458" s="21">
        <v>1683.96</v>
      </c>
      <c r="I1458" s="21">
        <v>1727.26</v>
      </c>
      <c r="J1458" s="21">
        <v>1731.03</v>
      </c>
      <c r="K1458" s="21">
        <v>1695.55</v>
      </c>
      <c r="L1458" s="21">
        <v>1636.57</v>
      </c>
      <c r="M1458" s="21">
        <v>1615.13</v>
      </c>
      <c r="N1458" s="21">
        <v>1566.45</v>
      </c>
      <c r="O1458" s="21">
        <v>1820</v>
      </c>
      <c r="P1458" s="21">
        <v>1680.92</v>
      </c>
      <c r="Q1458" s="21">
        <v>3677.43</v>
      </c>
      <c r="R1458" s="20">
        <v>87.4</v>
      </c>
      <c r="S1458" s="20"/>
      <c r="T1458" s="21">
        <v>95.96</v>
      </c>
      <c r="U1458" s="1">
        <v>93.02</v>
      </c>
      <c r="V1458" s="1">
        <v>85.25</v>
      </c>
      <c r="W1458" s="1">
        <v>95.56</v>
      </c>
      <c r="X1458" s="1">
        <v>95.21</v>
      </c>
      <c r="Y1458" s="1">
        <v>92.63</v>
      </c>
      <c r="Z1458" s="1">
        <v>92.77</v>
      </c>
      <c r="AA1458" s="1">
        <v>89.61</v>
      </c>
      <c r="AB1458" s="1">
        <v>95.96</v>
      </c>
      <c r="AE1458" s="1">
        <v>102.34</v>
      </c>
      <c r="AF1458" s="1">
        <v>98.51</v>
      </c>
      <c r="AK1458" s="1">
        <v>30</v>
      </c>
      <c r="AP1458" s="1">
        <v>2448.67</v>
      </c>
      <c r="AS1458" s="1">
        <v>2972.5</v>
      </c>
      <c r="AU1458" s="1">
        <v>2492.1799999999998</v>
      </c>
      <c r="AY1458" s="1">
        <v>2997.13</v>
      </c>
      <c r="AZ1458" s="1">
        <v>2906.92</v>
      </c>
      <c r="BA1458" s="1">
        <v>96.54</v>
      </c>
      <c r="BB1458" s="1">
        <v>100.09</v>
      </c>
      <c r="BC1458" s="1">
        <v>99.38</v>
      </c>
      <c r="BD1458" s="1">
        <v>97.67</v>
      </c>
      <c r="BE1458" s="1">
        <v>104.67</v>
      </c>
      <c r="BF1458" s="1">
        <v>98.59</v>
      </c>
      <c r="BG1458" s="1">
        <v>103.1</v>
      </c>
      <c r="BH1458" s="1">
        <v>94.55</v>
      </c>
      <c r="BI1458" s="1">
        <v>96.44</v>
      </c>
      <c r="BJ1458" s="1">
        <v>100.83</v>
      </c>
      <c r="BL1458" s="1">
        <v>88.98</v>
      </c>
      <c r="BN1458" s="1">
        <v>88.68</v>
      </c>
    </row>
    <row r="1459" spans="1:66" x14ac:dyDescent="0.3">
      <c r="A1459" s="2"/>
      <c r="C1459" s="14" t="str">
        <f t="shared" si="23"/>
        <v>20205</v>
      </c>
      <c r="D1459" s="3">
        <v>43978</v>
      </c>
      <c r="E1459" s="21">
        <v>1792.42</v>
      </c>
      <c r="F1459" s="21">
        <v>1736.75</v>
      </c>
      <c r="G1459" s="21">
        <v>1793.78</v>
      </c>
      <c r="H1459" s="21">
        <v>1680.03</v>
      </c>
      <c r="I1459" s="21">
        <v>1727.26</v>
      </c>
      <c r="J1459" s="21">
        <v>1692.16</v>
      </c>
      <c r="K1459" s="21">
        <v>1737.25</v>
      </c>
      <c r="L1459" s="21">
        <v>1636.57</v>
      </c>
      <c r="M1459" s="21">
        <v>1619.1</v>
      </c>
      <c r="N1459" s="21">
        <v>1553.32</v>
      </c>
      <c r="O1459" s="21">
        <v>1820</v>
      </c>
      <c r="P1459" s="21">
        <v>1684.9</v>
      </c>
      <c r="Q1459" s="21">
        <v>3656.18</v>
      </c>
      <c r="R1459" s="20">
        <v>87.46</v>
      </c>
      <c r="S1459" s="20">
        <v>88.71</v>
      </c>
      <c r="T1459" s="21">
        <v>98.77</v>
      </c>
      <c r="U1459" s="1">
        <v>92.02</v>
      </c>
      <c r="V1459" s="1">
        <v>85.38</v>
      </c>
      <c r="W1459" s="1">
        <v>94.59</v>
      </c>
      <c r="X1459" s="1">
        <v>95.52</v>
      </c>
      <c r="Y1459" s="1">
        <v>92.9</v>
      </c>
      <c r="Z1459" s="1">
        <v>93.74</v>
      </c>
      <c r="AA1459" s="1">
        <v>89.94</v>
      </c>
      <c r="AB1459" s="1">
        <v>96.23</v>
      </c>
      <c r="AE1459" s="1">
        <v>102.29</v>
      </c>
      <c r="AF1459" s="1">
        <v>99.95</v>
      </c>
      <c r="AG1459" s="1">
        <v>91.19</v>
      </c>
      <c r="AK1459" s="1">
        <v>30</v>
      </c>
      <c r="AO1459" s="1">
        <v>7</v>
      </c>
      <c r="AP1459" s="1">
        <v>2444.4</v>
      </c>
      <c r="AS1459" s="1">
        <v>2972.5</v>
      </c>
      <c r="AT1459" s="1">
        <v>2925.86</v>
      </c>
      <c r="AU1459" s="1">
        <v>2492.1799999999998</v>
      </c>
      <c r="AY1459" s="1">
        <v>2901.9</v>
      </c>
      <c r="AZ1459" s="1">
        <v>2906.92</v>
      </c>
      <c r="BA1459" s="1">
        <v>96.54</v>
      </c>
      <c r="BB1459" s="1">
        <v>103.8</v>
      </c>
      <c r="BC1459" s="1">
        <v>99.17</v>
      </c>
      <c r="BD1459" s="1">
        <v>98.16</v>
      </c>
      <c r="BE1459" s="1">
        <v>104.67</v>
      </c>
      <c r="BF1459" s="1">
        <v>99.47</v>
      </c>
      <c r="BG1459" s="1">
        <v>102.66</v>
      </c>
      <c r="BH1459" s="1">
        <v>94.55</v>
      </c>
      <c r="BI1459" s="1">
        <v>96.44</v>
      </c>
      <c r="BJ1459" s="1">
        <v>100.83</v>
      </c>
      <c r="BL1459" s="1">
        <v>88.61</v>
      </c>
      <c r="BN1459" s="1">
        <v>88.56</v>
      </c>
    </row>
    <row r="1460" spans="1:66" x14ac:dyDescent="0.3">
      <c r="A1460" s="2"/>
      <c r="C1460" s="14" t="str">
        <f t="shared" si="23"/>
        <v>20205</v>
      </c>
      <c r="D1460" s="3">
        <v>43977</v>
      </c>
      <c r="E1460" s="21">
        <v>1785.94</v>
      </c>
      <c r="F1460" s="21">
        <v>1757.56</v>
      </c>
      <c r="G1460" s="21">
        <v>1810.19</v>
      </c>
      <c r="H1460" s="21">
        <v>1690.8</v>
      </c>
      <c r="I1460" s="21">
        <v>1733.84</v>
      </c>
      <c r="J1460" s="21">
        <v>1723.43</v>
      </c>
      <c r="K1460" s="21">
        <v>1738.6</v>
      </c>
      <c r="L1460" s="21">
        <v>1659.75</v>
      </c>
      <c r="M1460" s="21">
        <v>1648.61</v>
      </c>
      <c r="N1460" s="21">
        <v>1574.04</v>
      </c>
      <c r="O1460" s="21">
        <v>1820</v>
      </c>
      <c r="P1460" s="21">
        <v>1748.47</v>
      </c>
      <c r="Q1460" s="21">
        <v>3683.16</v>
      </c>
      <c r="R1460" s="20">
        <v>87.61</v>
      </c>
      <c r="S1460" s="20">
        <v>89.74</v>
      </c>
      <c r="T1460" s="21">
        <v>97.9</v>
      </c>
      <c r="U1460" s="1">
        <v>93.91</v>
      </c>
      <c r="V1460" s="1">
        <v>85.78</v>
      </c>
      <c r="W1460" s="1">
        <v>95.13</v>
      </c>
      <c r="X1460" s="1">
        <v>96</v>
      </c>
      <c r="Y1460" s="1">
        <v>94.15</v>
      </c>
      <c r="Z1460" s="1">
        <v>94.18</v>
      </c>
      <c r="AA1460" s="1">
        <v>89.34</v>
      </c>
      <c r="AB1460" s="1">
        <v>96.9</v>
      </c>
      <c r="AE1460" s="1">
        <v>102.93</v>
      </c>
      <c r="AF1460" s="1">
        <v>99.33</v>
      </c>
      <c r="AG1460" s="1">
        <v>93.72</v>
      </c>
      <c r="AO1460" s="1">
        <v>7</v>
      </c>
      <c r="AP1460" s="1">
        <v>2438</v>
      </c>
      <c r="AT1460" s="1">
        <v>2925.86</v>
      </c>
      <c r="AU1460" s="1">
        <v>2492.1799999999998</v>
      </c>
      <c r="AW1460" s="1">
        <v>2014.79</v>
      </c>
      <c r="AY1460" s="1">
        <v>2901.9</v>
      </c>
      <c r="AZ1460" s="1">
        <v>2885.2</v>
      </c>
      <c r="BA1460" s="1">
        <v>99.58</v>
      </c>
      <c r="BB1460" s="1">
        <v>103.12</v>
      </c>
      <c r="BC1460" s="1">
        <v>99.12</v>
      </c>
      <c r="BD1460" s="1">
        <v>98.21</v>
      </c>
      <c r="BE1460" s="1">
        <v>104.67</v>
      </c>
      <c r="BF1460" s="1">
        <v>103.68</v>
      </c>
      <c r="BG1460" s="1">
        <v>103.61</v>
      </c>
      <c r="BH1460" s="1">
        <v>95.49</v>
      </c>
      <c r="BI1460" s="1">
        <v>97</v>
      </c>
      <c r="BL1460" s="1">
        <v>89.98</v>
      </c>
      <c r="BN1460" s="1">
        <v>90.72</v>
      </c>
    </row>
    <row r="1461" spans="1:66" x14ac:dyDescent="0.3">
      <c r="A1461" s="2"/>
      <c r="C1461" s="14" t="str">
        <f t="shared" si="23"/>
        <v>20205</v>
      </c>
      <c r="D1461" s="3">
        <v>43976</v>
      </c>
      <c r="E1461" s="21">
        <v>1791.01</v>
      </c>
      <c r="F1461" s="21">
        <v>1754.85</v>
      </c>
      <c r="G1461" s="21">
        <v>1798</v>
      </c>
      <c r="H1461" s="21">
        <v>1721.38</v>
      </c>
      <c r="I1461" s="21">
        <v>1724.8</v>
      </c>
      <c r="J1461" s="21">
        <v>1682.52</v>
      </c>
      <c r="K1461" s="21">
        <v>1738.6</v>
      </c>
      <c r="L1461" s="21">
        <v>1606.52</v>
      </c>
      <c r="M1461" s="21">
        <v>1658.55</v>
      </c>
      <c r="N1461" s="21">
        <v>1566.91</v>
      </c>
      <c r="O1461" s="21">
        <v>1801.7</v>
      </c>
      <c r="P1461" s="21">
        <v>1746.49</v>
      </c>
      <c r="Q1461" s="21">
        <v>3677.24</v>
      </c>
      <c r="R1461" s="20">
        <v>91.15</v>
      </c>
      <c r="S1461" s="20">
        <v>91.82</v>
      </c>
      <c r="T1461" s="21">
        <v>100.59</v>
      </c>
      <c r="U1461" s="1">
        <v>96.96</v>
      </c>
      <c r="V1461" s="1">
        <v>86.03</v>
      </c>
      <c r="W1461" s="1">
        <v>96.38</v>
      </c>
      <c r="X1461" s="1">
        <v>97.33</v>
      </c>
      <c r="Y1461" s="1">
        <v>95.72</v>
      </c>
      <c r="Z1461" s="1">
        <v>95.44</v>
      </c>
      <c r="AA1461" s="1">
        <v>92.35</v>
      </c>
      <c r="AB1461" s="1">
        <v>97.33</v>
      </c>
      <c r="AE1461" s="1">
        <v>103.08</v>
      </c>
      <c r="AG1461" s="1">
        <v>96.84</v>
      </c>
      <c r="AO1461" s="1">
        <v>7</v>
      </c>
      <c r="AP1461" s="1">
        <v>2470</v>
      </c>
      <c r="AT1461" s="1">
        <v>2925.86</v>
      </c>
      <c r="AU1461" s="1">
        <v>2492.1799999999998</v>
      </c>
      <c r="AW1461" s="1">
        <v>2014.79</v>
      </c>
      <c r="AY1461" s="1">
        <v>2901.9</v>
      </c>
      <c r="AZ1461" s="1">
        <v>2801.67</v>
      </c>
      <c r="BA1461" s="1">
        <v>99.41</v>
      </c>
      <c r="BB1461" s="1">
        <v>104.59</v>
      </c>
      <c r="BC1461" s="1">
        <v>102.24</v>
      </c>
      <c r="BD1461" s="1">
        <v>99.98</v>
      </c>
      <c r="BE1461" s="1">
        <v>104.67</v>
      </c>
      <c r="BF1461" s="1">
        <v>102.23</v>
      </c>
      <c r="BG1461" s="1">
        <v>104.16</v>
      </c>
      <c r="BH1461" s="1">
        <v>98.86</v>
      </c>
      <c r="BI1461" s="1">
        <v>97.14</v>
      </c>
      <c r="BJ1461" s="1">
        <v>106.41</v>
      </c>
      <c r="BL1461" s="1">
        <v>91.97</v>
      </c>
      <c r="BN1461" s="1">
        <v>92.23</v>
      </c>
    </row>
    <row r="1462" spans="1:66" x14ac:dyDescent="0.3">
      <c r="A1462" s="2"/>
      <c r="C1462" s="14" t="str">
        <f t="shared" si="23"/>
        <v>20205</v>
      </c>
      <c r="D1462" s="3">
        <v>43973</v>
      </c>
      <c r="E1462" s="21">
        <v>1804.25</v>
      </c>
      <c r="F1462" s="21">
        <v>1753.85</v>
      </c>
      <c r="G1462" s="21">
        <v>1804.61</v>
      </c>
      <c r="H1462" s="21">
        <v>1721.38</v>
      </c>
      <c r="I1462" s="21">
        <v>1739.11</v>
      </c>
      <c r="J1462" s="21">
        <v>1682.52</v>
      </c>
      <c r="K1462" s="21">
        <v>1745.23</v>
      </c>
      <c r="L1462" s="21">
        <v>1606.52</v>
      </c>
      <c r="M1462" s="21">
        <v>1658.55</v>
      </c>
      <c r="N1462" s="21">
        <v>1566.91</v>
      </c>
      <c r="O1462" s="21">
        <v>1793.16</v>
      </c>
      <c r="P1462" s="21">
        <v>1752.47</v>
      </c>
      <c r="Q1462" s="21">
        <v>3719.74</v>
      </c>
      <c r="R1462" s="20">
        <v>91.9</v>
      </c>
      <c r="S1462" s="20">
        <v>91.59</v>
      </c>
      <c r="T1462" s="21">
        <v>100.55</v>
      </c>
      <c r="U1462" s="1">
        <v>97.12</v>
      </c>
      <c r="V1462" s="1">
        <v>86.03</v>
      </c>
      <c r="W1462" s="1">
        <v>97.04</v>
      </c>
      <c r="X1462" s="1">
        <v>97.67</v>
      </c>
      <c r="Y1462" s="1">
        <v>96.03</v>
      </c>
      <c r="Z1462" s="1">
        <v>95.99</v>
      </c>
      <c r="AA1462" s="1">
        <v>92.33</v>
      </c>
      <c r="AB1462" s="1">
        <v>98.29</v>
      </c>
      <c r="AE1462" s="1">
        <v>104.77</v>
      </c>
      <c r="AG1462" s="1">
        <v>96.84</v>
      </c>
      <c r="AO1462" s="1">
        <v>7</v>
      </c>
      <c r="AT1462" s="1">
        <v>2925.86</v>
      </c>
      <c r="AU1462" s="1">
        <v>2505.96</v>
      </c>
      <c r="AW1462" s="1">
        <v>2014.79</v>
      </c>
      <c r="AY1462" s="1">
        <v>2806.68</v>
      </c>
      <c r="AZ1462" s="1">
        <v>2801.67</v>
      </c>
      <c r="BA1462" s="1">
        <v>99.51</v>
      </c>
      <c r="BB1462" s="1">
        <v>104.47</v>
      </c>
      <c r="BC1462" s="1">
        <v>101.85</v>
      </c>
      <c r="BD1462" s="1">
        <v>99.9</v>
      </c>
      <c r="BE1462" s="1">
        <v>104.67</v>
      </c>
      <c r="BF1462" s="1">
        <v>104.66</v>
      </c>
      <c r="BG1462" s="1">
        <v>105.53</v>
      </c>
      <c r="BH1462" s="1">
        <v>100.01</v>
      </c>
      <c r="BI1462" s="1">
        <v>97.34</v>
      </c>
      <c r="BJ1462" s="1">
        <v>106.41</v>
      </c>
      <c r="BL1462" s="1">
        <v>92.33</v>
      </c>
      <c r="BN1462" s="1">
        <v>92.78</v>
      </c>
    </row>
    <row r="1463" spans="1:66" x14ac:dyDescent="0.3">
      <c r="A1463" s="2"/>
      <c r="C1463" s="14" t="str">
        <f t="shared" si="23"/>
        <v>20205</v>
      </c>
      <c r="D1463" s="3">
        <v>43972</v>
      </c>
      <c r="E1463" s="21">
        <v>1804.25</v>
      </c>
      <c r="F1463" s="21">
        <v>1760.77</v>
      </c>
      <c r="G1463" s="21">
        <v>1804.61</v>
      </c>
      <c r="H1463" s="21">
        <v>1659.44</v>
      </c>
      <c r="I1463" s="21">
        <v>1729.73</v>
      </c>
      <c r="J1463" s="21">
        <v>1752.33</v>
      </c>
      <c r="K1463" s="21">
        <v>1804.16</v>
      </c>
      <c r="L1463" s="21">
        <v>1606.52</v>
      </c>
      <c r="M1463" s="21">
        <v>1658.55</v>
      </c>
      <c r="N1463" s="21">
        <v>1587.85</v>
      </c>
      <c r="O1463" s="21">
        <v>1810.94</v>
      </c>
      <c r="P1463" s="21">
        <v>1772.79</v>
      </c>
      <c r="Q1463" s="21">
        <v>3676.9</v>
      </c>
      <c r="R1463" s="20">
        <v>88.35</v>
      </c>
      <c r="S1463" s="20">
        <v>92.4</v>
      </c>
      <c r="T1463" s="21">
        <v>101.72</v>
      </c>
      <c r="U1463" s="1">
        <v>97.62</v>
      </c>
      <c r="V1463" s="1">
        <v>86.69</v>
      </c>
      <c r="W1463" s="1">
        <v>97.63</v>
      </c>
      <c r="X1463" s="1">
        <v>99.66</v>
      </c>
      <c r="Y1463" s="1">
        <v>96.89</v>
      </c>
      <c r="Z1463" s="1">
        <v>96.94</v>
      </c>
      <c r="AA1463" s="1">
        <v>90.92</v>
      </c>
      <c r="AB1463" s="1">
        <v>100.28</v>
      </c>
      <c r="AE1463" s="1">
        <v>106.28</v>
      </c>
      <c r="AF1463" s="1">
        <v>100.87</v>
      </c>
      <c r="AG1463" s="1">
        <v>98.97</v>
      </c>
      <c r="AO1463" s="1">
        <v>7</v>
      </c>
      <c r="AT1463" s="1">
        <v>2925.86</v>
      </c>
      <c r="AW1463" s="1">
        <v>2014.79</v>
      </c>
      <c r="AY1463" s="1">
        <v>2726.49</v>
      </c>
      <c r="AZ1463" s="1">
        <v>2749.04</v>
      </c>
      <c r="BA1463" s="1">
        <v>100.39</v>
      </c>
      <c r="BB1463" s="1">
        <v>105.68</v>
      </c>
      <c r="BC1463" s="1">
        <v>104.56</v>
      </c>
      <c r="BD1463" s="1">
        <v>100.51</v>
      </c>
      <c r="BE1463" s="1">
        <v>105.63</v>
      </c>
      <c r="BF1463" s="1">
        <v>102.38</v>
      </c>
      <c r="BG1463" s="1">
        <v>106.95</v>
      </c>
      <c r="BH1463" s="1">
        <v>102.32</v>
      </c>
      <c r="BI1463" s="1">
        <v>97.97</v>
      </c>
      <c r="BJ1463" s="1">
        <v>106.68</v>
      </c>
      <c r="BL1463" s="1">
        <v>93.16</v>
      </c>
      <c r="BN1463" s="1">
        <v>93.67</v>
      </c>
    </row>
    <row r="1464" spans="1:66" x14ac:dyDescent="0.3">
      <c r="A1464" s="2"/>
      <c r="C1464" s="14" t="str">
        <f t="shared" si="23"/>
        <v>20205</v>
      </c>
      <c r="D1464" s="3">
        <v>43971</v>
      </c>
      <c r="E1464" s="21">
        <v>1836.91</v>
      </c>
      <c r="F1464" s="21">
        <v>1777.03</v>
      </c>
      <c r="G1464" s="21">
        <v>1823.43</v>
      </c>
      <c r="H1464" s="21">
        <v>1655.25</v>
      </c>
      <c r="I1464" s="21">
        <v>1729.73</v>
      </c>
      <c r="J1464" s="21">
        <v>1759.55</v>
      </c>
      <c r="K1464" s="21">
        <v>1816.08</v>
      </c>
      <c r="L1464" s="21">
        <v>1719.11</v>
      </c>
      <c r="M1464" s="21">
        <v>1698.31</v>
      </c>
      <c r="N1464" s="21">
        <v>1622.42</v>
      </c>
      <c r="O1464" s="21">
        <v>1815.74</v>
      </c>
      <c r="P1464" s="21">
        <v>1804.06</v>
      </c>
      <c r="Q1464" s="21">
        <v>3693.03</v>
      </c>
      <c r="R1464" s="20">
        <v>88.81</v>
      </c>
      <c r="S1464" s="20">
        <v>92.65</v>
      </c>
      <c r="T1464" s="21">
        <v>101.65</v>
      </c>
      <c r="U1464" s="1">
        <v>96.01</v>
      </c>
      <c r="V1464" s="1">
        <v>86.7</v>
      </c>
      <c r="W1464" s="1">
        <v>98.04</v>
      </c>
      <c r="X1464" s="1">
        <v>99.66</v>
      </c>
      <c r="Y1464" s="1">
        <v>97.78</v>
      </c>
      <c r="Z1464" s="1">
        <v>98</v>
      </c>
      <c r="AA1464" s="1">
        <v>91.57</v>
      </c>
      <c r="AB1464" s="1">
        <v>100.31</v>
      </c>
      <c r="AE1464" s="1">
        <v>106.55</v>
      </c>
      <c r="AF1464" s="1">
        <v>101.67</v>
      </c>
      <c r="AG1464" s="1">
        <v>97.94</v>
      </c>
      <c r="AW1464" s="1">
        <v>2014.79</v>
      </c>
      <c r="AY1464" s="1">
        <v>2646.3</v>
      </c>
      <c r="AZ1464" s="1">
        <v>2749.04</v>
      </c>
      <c r="BA1464" s="1">
        <v>100.36</v>
      </c>
      <c r="BB1464" s="1">
        <v>106.49</v>
      </c>
      <c r="BC1464" s="1">
        <v>105.13</v>
      </c>
      <c r="BD1464" s="1">
        <v>102.48</v>
      </c>
      <c r="BE1464" s="1">
        <v>105.83</v>
      </c>
      <c r="BF1464" s="1">
        <v>100</v>
      </c>
      <c r="BG1464" s="1">
        <v>107.85</v>
      </c>
      <c r="BH1464" s="1">
        <v>102.32</v>
      </c>
      <c r="BI1464" s="1">
        <v>98.83</v>
      </c>
      <c r="BJ1464" s="1">
        <v>107.23</v>
      </c>
      <c r="BL1464" s="1">
        <v>93.81</v>
      </c>
      <c r="BN1464" s="1">
        <v>93.76</v>
      </c>
    </row>
    <row r="1465" spans="1:66" x14ac:dyDescent="0.3">
      <c r="A1465" s="2"/>
      <c r="C1465" s="14" t="str">
        <f t="shared" si="23"/>
        <v>20205</v>
      </c>
      <c r="D1465" s="3">
        <v>43970</v>
      </c>
      <c r="E1465" s="21">
        <v>1833.47</v>
      </c>
      <c r="F1465" s="21">
        <v>1777.85</v>
      </c>
      <c r="G1465" s="21">
        <v>1817.25</v>
      </c>
      <c r="H1465" s="21">
        <v>1702.15</v>
      </c>
      <c r="I1465" s="21">
        <v>1734.67</v>
      </c>
      <c r="J1465" s="21">
        <v>1743.59</v>
      </c>
      <c r="K1465" s="21">
        <v>1792.43</v>
      </c>
      <c r="L1465" s="21">
        <v>1721.82</v>
      </c>
      <c r="M1465" s="21">
        <v>1619.07</v>
      </c>
      <c r="N1465" s="21">
        <v>1615.74</v>
      </c>
      <c r="O1465" s="21">
        <v>1813.3</v>
      </c>
      <c r="P1465" s="21">
        <v>1790.26</v>
      </c>
      <c r="Q1465" s="21">
        <v>3775.22</v>
      </c>
      <c r="R1465" s="20">
        <v>88.45</v>
      </c>
      <c r="S1465" s="20">
        <v>92.65</v>
      </c>
      <c r="T1465" s="21">
        <v>101.81</v>
      </c>
      <c r="U1465" s="1">
        <v>97.67</v>
      </c>
      <c r="V1465" s="1">
        <v>86.7</v>
      </c>
      <c r="W1465" s="1">
        <v>97.25</v>
      </c>
      <c r="X1465" s="1">
        <v>99.67</v>
      </c>
      <c r="Y1465" s="1">
        <v>97.41</v>
      </c>
      <c r="Z1465" s="1">
        <v>97.5</v>
      </c>
      <c r="AA1465" s="1">
        <v>92.14</v>
      </c>
      <c r="AB1465" s="1">
        <v>100.56</v>
      </c>
      <c r="AE1465" s="1">
        <v>106.54</v>
      </c>
      <c r="AF1465" s="1">
        <v>101.72</v>
      </c>
      <c r="AG1465" s="1">
        <v>98.83</v>
      </c>
      <c r="AY1465" s="1">
        <v>2646.3</v>
      </c>
      <c r="AZ1465" s="1">
        <v>2656.32</v>
      </c>
      <c r="BA1465" s="1">
        <v>101.29</v>
      </c>
      <c r="BB1465" s="1">
        <v>106.6</v>
      </c>
      <c r="BC1465" s="1">
        <v>104.99</v>
      </c>
      <c r="BD1465" s="1">
        <v>102.74</v>
      </c>
      <c r="BE1465" s="1">
        <v>104.83</v>
      </c>
      <c r="BF1465" s="1">
        <v>100.92</v>
      </c>
      <c r="BG1465" s="1">
        <v>107.45</v>
      </c>
      <c r="BH1465" s="1">
        <v>100.82</v>
      </c>
      <c r="BI1465" s="1">
        <v>96.82</v>
      </c>
      <c r="BJ1465" s="1">
        <v>107.6</v>
      </c>
      <c r="BL1465" s="1">
        <v>93.42</v>
      </c>
      <c r="BN1465" s="1">
        <v>93.37</v>
      </c>
    </row>
    <row r="1466" spans="1:66" x14ac:dyDescent="0.3">
      <c r="A1466" s="2"/>
      <c r="C1466" s="14" t="str">
        <f t="shared" si="23"/>
        <v>20205</v>
      </c>
      <c r="D1466" s="3">
        <v>43969</v>
      </c>
      <c r="E1466" s="21">
        <v>1842.37</v>
      </c>
      <c r="F1466" s="21">
        <v>1779.31</v>
      </c>
      <c r="G1466" s="21">
        <v>1832.69</v>
      </c>
      <c r="H1466" s="21">
        <v>1651.45</v>
      </c>
      <c r="I1466" s="21">
        <v>1734.67</v>
      </c>
      <c r="J1466" s="21">
        <v>1694.76</v>
      </c>
      <c r="K1466" s="21">
        <v>1796.43</v>
      </c>
      <c r="L1466" s="21">
        <v>1705.71</v>
      </c>
      <c r="M1466" s="21">
        <v>1648.87</v>
      </c>
      <c r="N1466" s="21">
        <v>1599.33</v>
      </c>
      <c r="O1466" s="21">
        <v>1770.86</v>
      </c>
      <c r="P1466" s="21">
        <v>1797.74</v>
      </c>
      <c r="Q1466" s="21">
        <v>3773.44</v>
      </c>
      <c r="R1466" s="20">
        <v>91.37</v>
      </c>
      <c r="S1466" s="20">
        <v>92.42</v>
      </c>
      <c r="T1466" s="21">
        <v>100.9</v>
      </c>
      <c r="U1466" s="1">
        <v>97.67</v>
      </c>
      <c r="V1466" s="1">
        <v>86.7</v>
      </c>
      <c r="W1466" s="1">
        <v>98.87</v>
      </c>
      <c r="X1466" s="1">
        <v>100.66</v>
      </c>
      <c r="Y1466" s="1">
        <v>97.82</v>
      </c>
      <c r="Z1466" s="1">
        <v>97.82</v>
      </c>
      <c r="AA1466" s="1">
        <v>93.54</v>
      </c>
      <c r="AB1466" s="1">
        <v>101.05</v>
      </c>
      <c r="AE1466" s="1">
        <v>107.73</v>
      </c>
      <c r="AF1466" s="1">
        <v>101.94</v>
      </c>
      <c r="AL1466" s="1">
        <v>30</v>
      </c>
      <c r="AY1466" s="1">
        <v>2646.3</v>
      </c>
      <c r="AZ1466" s="1">
        <v>2750</v>
      </c>
      <c r="BA1466" s="1">
        <v>101.18</v>
      </c>
      <c r="BB1466" s="1">
        <v>107.42</v>
      </c>
      <c r="BC1466" s="1">
        <v>105.81</v>
      </c>
      <c r="BD1466" s="1">
        <v>102.72</v>
      </c>
      <c r="BE1466" s="1">
        <v>100.79</v>
      </c>
      <c r="BF1466" s="1">
        <v>102.28</v>
      </c>
      <c r="BG1466" s="1">
        <v>107.9</v>
      </c>
      <c r="BH1466" s="1">
        <v>100.82</v>
      </c>
      <c r="BI1466" s="1">
        <v>99.17</v>
      </c>
      <c r="BL1466" s="1">
        <v>93.34</v>
      </c>
      <c r="BN1466" s="1">
        <v>92.79</v>
      </c>
    </row>
    <row r="1467" spans="1:66" x14ac:dyDescent="0.3">
      <c r="A1467" s="2"/>
      <c r="C1467" s="14" t="str">
        <f t="shared" si="23"/>
        <v>20205</v>
      </c>
      <c r="D1467" s="3">
        <v>43966</v>
      </c>
      <c r="E1467" s="21"/>
      <c r="F1467" s="21">
        <v>1779.31</v>
      </c>
      <c r="G1467" s="21">
        <v>1842.6</v>
      </c>
      <c r="H1467" s="21">
        <v>1702.15</v>
      </c>
      <c r="I1467" s="21">
        <v>1753.58</v>
      </c>
      <c r="J1467" s="21">
        <v>1724.79</v>
      </c>
      <c r="K1467" s="21">
        <v>1818.16</v>
      </c>
      <c r="L1467" s="21">
        <v>1787.25</v>
      </c>
      <c r="M1467" s="21">
        <v>1732.68</v>
      </c>
      <c r="N1467" s="21">
        <v>1614.04</v>
      </c>
      <c r="O1467" s="21">
        <v>1782.9</v>
      </c>
      <c r="P1467" s="21">
        <v>1797.74</v>
      </c>
      <c r="Q1467" s="21">
        <v>3629.16</v>
      </c>
      <c r="R1467" s="20">
        <v>90.54</v>
      </c>
      <c r="S1467" s="20">
        <v>92.52</v>
      </c>
      <c r="T1467" s="21">
        <v>100.43</v>
      </c>
      <c r="U1467" s="1">
        <v>97.67</v>
      </c>
      <c r="V1467" s="1">
        <v>86.7</v>
      </c>
      <c r="W1467" s="1">
        <v>98.8</v>
      </c>
      <c r="X1467" s="1">
        <v>99.62</v>
      </c>
      <c r="Y1467" s="1">
        <v>98.46</v>
      </c>
      <c r="Z1467" s="1">
        <v>98</v>
      </c>
      <c r="AA1467" s="1">
        <v>93.89</v>
      </c>
      <c r="AB1467" s="1">
        <v>99.72</v>
      </c>
      <c r="AE1467" s="1">
        <v>107.53</v>
      </c>
      <c r="AF1467" s="1">
        <v>101.42</v>
      </c>
      <c r="AL1467" s="1">
        <v>30</v>
      </c>
      <c r="AS1467" s="1">
        <v>2876.85</v>
      </c>
      <c r="AY1467" s="1">
        <v>2646.3</v>
      </c>
      <c r="AZ1467" s="1">
        <v>2750</v>
      </c>
      <c r="BA1467" s="1">
        <v>101.18</v>
      </c>
      <c r="BB1467" s="1">
        <v>108.21</v>
      </c>
      <c r="BC1467" s="1">
        <v>107.82</v>
      </c>
      <c r="BD1467" s="1">
        <v>103.15</v>
      </c>
      <c r="BE1467" s="1">
        <v>103.6</v>
      </c>
      <c r="BF1467" s="1">
        <v>103.26</v>
      </c>
      <c r="BG1467" s="1">
        <v>108.73</v>
      </c>
      <c r="BH1467" s="1">
        <v>100.81</v>
      </c>
      <c r="BI1467" s="1">
        <v>99.43</v>
      </c>
      <c r="BJ1467" s="1">
        <v>107.44</v>
      </c>
      <c r="BL1467" s="1">
        <v>93.68</v>
      </c>
      <c r="BN1467" s="1">
        <v>92.84</v>
      </c>
    </row>
    <row r="1468" spans="1:66" x14ac:dyDescent="0.3">
      <c r="A1468" s="2"/>
      <c r="C1468" s="14" t="str">
        <f t="shared" si="23"/>
        <v>20205</v>
      </c>
      <c r="D1468" s="3">
        <v>43965</v>
      </c>
      <c r="E1468" s="21">
        <v>1815.66</v>
      </c>
      <c r="F1468" s="21">
        <v>1778.59</v>
      </c>
      <c r="G1468" s="21">
        <v>1835.19</v>
      </c>
      <c r="H1468" s="21">
        <v>1725.4</v>
      </c>
      <c r="I1468" s="21">
        <v>1722.33</v>
      </c>
      <c r="J1468" s="21">
        <v>1670.64</v>
      </c>
      <c r="K1468" s="21">
        <v>1831.02</v>
      </c>
      <c r="L1468" s="21">
        <v>1787.25</v>
      </c>
      <c r="M1468" s="21">
        <v>1757.26</v>
      </c>
      <c r="N1468" s="21">
        <v>1613.35</v>
      </c>
      <c r="O1468" s="21">
        <v>1767.07</v>
      </c>
      <c r="P1468" s="21">
        <v>1804.79</v>
      </c>
      <c r="Q1468" s="21">
        <v>3664.64</v>
      </c>
      <c r="R1468" s="20">
        <v>87.21</v>
      </c>
      <c r="S1468" s="20">
        <v>92.9</v>
      </c>
      <c r="T1468" s="21">
        <v>101.2</v>
      </c>
      <c r="U1468" s="1">
        <v>99.04</v>
      </c>
      <c r="V1468" s="1">
        <v>86.76</v>
      </c>
      <c r="W1468" s="1">
        <v>99.14</v>
      </c>
      <c r="X1468" s="1">
        <v>99.62</v>
      </c>
      <c r="Y1468" s="1">
        <v>99.15</v>
      </c>
      <c r="Z1468" s="1">
        <v>98.24</v>
      </c>
      <c r="AA1468" s="1">
        <v>91.87</v>
      </c>
      <c r="AB1468" s="1">
        <v>99.67</v>
      </c>
      <c r="AE1468" s="1">
        <v>107.68</v>
      </c>
      <c r="AF1468" s="1">
        <v>101.64</v>
      </c>
      <c r="AG1468" s="1">
        <v>96.92</v>
      </c>
      <c r="AK1468" s="1">
        <v>30</v>
      </c>
      <c r="AL1468" s="1">
        <v>30</v>
      </c>
      <c r="AS1468" s="1">
        <v>2932.9</v>
      </c>
      <c r="AZ1468" s="1">
        <v>2768.89</v>
      </c>
      <c r="BA1468" s="1">
        <v>101.15</v>
      </c>
      <c r="BB1468" s="1">
        <v>107.98</v>
      </c>
      <c r="BC1468" s="1">
        <v>108.62</v>
      </c>
      <c r="BD1468" s="1">
        <v>101.35</v>
      </c>
      <c r="BE1468" s="1">
        <v>102</v>
      </c>
      <c r="BF1468" s="1">
        <v>101.2</v>
      </c>
      <c r="BG1468" s="1">
        <v>108.72</v>
      </c>
      <c r="BH1468" s="1">
        <v>100.75</v>
      </c>
      <c r="BI1468" s="1">
        <v>101.43</v>
      </c>
      <c r="BJ1468" s="1">
        <v>107.42</v>
      </c>
      <c r="BL1468" s="1">
        <v>94.38</v>
      </c>
      <c r="BN1468" s="1">
        <v>93.92</v>
      </c>
    </row>
    <row r="1469" spans="1:66" x14ac:dyDescent="0.3">
      <c r="A1469" s="2"/>
      <c r="C1469" s="14" t="str">
        <f t="shared" si="23"/>
        <v>20205</v>
      </c>
      <c r="D1469" s="3">
        <v>43964</v>
      </c>
      <c r="E1469" s="21">
        <v>1809.86</v>
      </c>
      <c r="F1469" s="21">
        <v>1763.04</v>
      </c>
      <c r="G1469" s="21">
        <v>1800.42</v>
      </c>
      <c r="H1469" s="21">
        <v>1715.06</v>
      </c>
      <c r="I1469" s="21">
        <v>1695.19</v>
      </c>
      <c r="J1469" s="21">
        <v>1708.6</v>
      </c>
      <c r="K1469" s="21">
        <v>1803.68</v>
      </c>
      <c r="L1469" s="21">
        <v>1747.56</v>
      </c>
      <c r="M1469" s="21">
        <v>1765.07</v>
      </c>
      <c r="N1469" s="21">
        <v>1576.56</v>
      </c>
      <c r="O1469" s="21">
        <v>1796.67</v>
      </c>
      <c r="P1469" s="21">
        <v>1771.08</v>
      </c>
      <c r="Q1469" s="21">
        <v>3611.2</v>
      </c>
      <c r="R1469" s="20">
        <v>87.41</v>
      </c>
      <c r="S1469" s="20">
        <v>91.41</v>
      </c>
      <c r="T1469" s="21">
        <v>99.79</v>
      </c>
      <c r="U1469" s="1">
        <v>99.39</v>
      </c>
      <c r="V1469" s="1">
        <v>85.73</v>
      </c>
      <c r="W1469" s="1">
        <v>98.01</v>
      </c>
      <c r="X1469" s="1">
        <v>99.53</v>
      </c>
      <c r="Y1469" s="1">
        <v>97.75</v>
      </c>
      <c r="Z1469" s="1">
        <v>98</v>
      </c>
      <c r="AA1469" s="1">
        <v>90.12</v>
      </c>
      <c r="AB1469" s="1">
        <v>99.48</v>
      </c>
      <c r="AE1469" s="1">
        <v>106.05</v>
      </c>
      <c r="AG1469" s="1">
        <v>91.35</v>
      </c>
      <c r="AK1469" s="1">
        <v>30</v>
      </c>
      <c r="AL1469" s="1">
        <v>30</v>
      </c>
      <c r="AS1469" s="1">
        <v>2932.9</v>
      </c>
      <c r="AZ1469" s="1">
        <v>2763.96</v>
      </c>
      <c r="BA1469" s="1">
        <v>100.28</v>
      </c>
      <c r="BB1469" s="1">
        <v>108.43</v>
      </c>
      <c r="BC1469" s="1">
        <v>107.24</v>
      </c>
      <c r="BD1469" s="1">
        <v>101.42</v>
      </c>
      <c r="BE1469" s="1">
        <v>102.17</v>
      </c>
      <c r="BF1469" s="1">
        <v>100.88</v>
      </c>
      <c r="BG1469" s="1">
        <v>108.17</v>
      </c>
      <c r="BH1469" s="1">
        <v>100.75</v>
      </c>
      <c r="BI1469" s="1">
        <v>100.11</v>
      </c>
      <c r="BJ1469" s="1">
        <v>107.49</v>
      </c>
      <c r="BL1469" s="1">
        <v>93.37</v>
      </c>
      <c r="BN1469" s="1">
        <v>93.01</v>
      </c>
    </row>
    <row r="1470" spans="1:66" x14ac:dyDescent="0.3">
      <c r="A1470" s="2"/>
      <c r="C1470" s="14" t="str">
        <f t="shared" si="23"/>
        <v>20205</v>
      </c>
      <c r="D1470" s="3">
        <v>43963</v>
      </c>
      <c r="E1470" s="21">
        <v>1792.46</v>
      </c>
      <c r="F1470" s="21">
        <v>1761.05</v>
      </c>
      <c r="G1470" s="21">
        <v>1778.52</v>
      </c>
      <c r="H1470" s="21">
        <v>1689.67</v>
      </c>
      <c r="I1470" s="21">
        <v>1682.85</v>
      </c>
      <c r="J1470" s="21">
        <v>1688.55</v>
      </c>
      <c r="K1470" s="21">
        <v>1744.02</v>
      </c>
      <c r="L1470" s="21">
        <v>1689.25</v>
      </c>
      <c r="M1470" s="21">
        <v>1705.88</v>
      </c>
      <c r="N1470" s="21">
        <v>1557.58</v>
      </c>
      <c r="O1470" s="21">
        <v>1748.31</v>
      </c>
      <c r="P1470" s="21">
        <v>1718.69</v>
      </c>
      <c r="Q1470" s="21">
        <v>3599.5</v>
      </c>
      <c r="R1470" s="20">
        <v>87.65</v>
      </c>
      <c r="S1470" s="20">
        <v>90.97</v>
      </c>
      <c r="T1470" s="21">
        <v>99.97</v>
      </c>
      <c r="U1470" s="1">
        <v>99.93</v>
      </c>
      <c r="V1470" s="1">
        <v>85.48</v>
      </c>
      <c r="W1470" s="1">
        <v>97.94</v>
      </c>
      <c r="X1470" s="1">
        <v>98.16</v>
      </c>
      <c r="Y1470" s="1">
        <v>96.39</v>
      </c>
      <c r="Z1470" s="1">
        <v>97</v>
      </c>
      <c r="AA1470" s="1">
        <v>90.91</v>
      </c>
      <c r="AB1470" s="1">
        <v>97.73</v>
      </c>
      <c r="AE1470" s="1">
        <v>104.29</v>
      </c>
      <c r="AG1470" s="1">
        <v>89.98</v>
      </c>
      <c r="AK1470" s="1">
        <v>30</v>
      </c>
      <c r="AL1470" s="1">
        <v>30</v>
      </c>
      <c r="AS1470" s="1">
        <v>2816.45</v>
      </c>
      <c r="AZ1470" s="1">
        <v>2763.96</v>
      </c>
      <c r="BA1470" s="1">
        <v>100.28</v>
      </c>
      <c r="BB1470" s="1">
        <v>107.29</v>
      </c>
      <c r="BC1470" s="1">
        <v>105.07</v>
      </c>
      <c r="BD1470" s="1">
        <v>101.59</v>
      </c>
      <c r="BE1470" s="1">
        <v>100.83</v>
      </c>
      <c r="BF1470" s="1">
        <v>99.02</v>
      </c>
      <c r="BG1470" s="1">
        <v>107.53</v>
      </c>
      <c r="BH1470" s="1">
        <v>98.75</v>
      </c>
      <c r="BI1470" s="1">
        <v>99.63</v>
      </c>
      <c r="BJ1470" s="1">
        <v>107.47</v>
      </c>
      <c r="BL1470" s="1">
        <v>92.36</v>
      </c>
      <c r="BN1470" s="1">
        <v>91.4</v>
      </c>
    </row>
    <row r="1471" spans="1:66" x14ac:dyDescent="0.3">
      <c r="A1471" s="2"/>
      <c r="C1471" s="14" t="str">
        <f t="shared" si="23"/>
        <v>20205</v>
      </c>
      <c r="D1471" s="3">
        <v>43962</v>
      </c>
      <c r="E1471" s="21">
        <v>1771.03</v>
      </c>
      <c r="F1471" s="21">
        <v>1743.2</v>
      </c>
      <c r="G1471" s="21">
        <v>1759.74</v>
      </c>
      <c r="H1471" s="21">
        <v>1689.67</v>
      </c>
      <c r="I1471" s="21">
        <v>1672.98</v>
      </c>
      <c r="J1471" s="21">
        <v>1669.17</v>
      </c>
      <c r="K1471" s="21">
        <v>1770.77</v>
      </c>
      <c r="L1471" s="21">
        <v>1610.11</v>
      </c>
      <c r="M1471" s="21">
        <v>1666.03</v>
      </c>
      <c r="N1471" s="21">
        <v>1538.15</v>
      </c>
      <c r="O1471" s="21">
        <v>1753.31</v>
      </c>
      <c r="P1471" s="21">
        <v>1718.69</v>
      </c>
      <c r="Q1471" s="21">
        <v>3585.68</v>
      </c>
      <c r="R1471" s="20">
        <v>90.87</v>
      </c>
      <c r="S1471" s="20">
        <v>89.53</v>
      </c>
      <c r="T1471" s="21">
        <v>99.44</v>
      </c>
      <c r="U1471" s="1">
        <v>98.93</v>
      </c>
      <c r="V1471" s="1">
        <v>84.04</v>
      </c>
      <c r="W1471" s="1">
        <v>97.66</v>
      </c>
      <c r="X1471" s="1">
        <v>97.03</v>
      </c>
      <c r="Y1471" s="1">
        <v>95.15</v>
      </c>
      <c r="Z1471" s="1">
        <v>95.55</v>
      </c>
      <c r="AA1471" s="1">
        <v>93.1</v>
      </c>
      <c r="AB1471" s="1">
        <v>96.51</v>
      </c>
      <c r="AE1471" s="1">
        <v>103.61</v>
      </c>
      <c r="AG1471" s="1">
        <v>89.98</v>
      </c>
      <c r="AK1471" s="1">
        <v>30</v>
      </c>
      <c r="AS1471" s="1">
        <v>2816.45</v>
      </c>
      <c r="AZ1471" s="1">
        <v>2773.27</v>
      </c>
      <c r="BA1471" s="1">
        <v>100.25</v>
      </c>
      <c r="BB1471" s="1">
        <v>107.91</v>
      </c>
      <c r="BC1471" s="1">
        <v>105.67</v>
      </c>
      <c r="BD1471" s="1">
        <v>104.05</v>
      </c>
      <c r="BE1471" s="1">
        <v>100</v>
      </c>
      <c r="BF1471" s="1">
        <v>97.7</v>
      </c>
      <c r="BG1471" s="1">
        <v>106.4</v>
      </c>
      <c r="BH1471" s="1">
        <v>98.75</v>
      </c>
      <c r="BI1471" s="1">
        <v>97.74</v>
      </c>
      <c r="BJ1471" s="1">
        <v>107.45</v>
      </c>
      <c r="BL1471" s="1">
        <v>91.97</v>
      </c>
      <c r="BN1471" s="1">
        <v>91.27</v>
      </c>
    </row>
    <row r="1472" spans="1:66" x14ac:dyDescent="0.3">
      <c r="A1472" s="2"/>
      <c r="C1472" s="14" t="str">
        <f t="shared" si="23"/>
        <v>20205</v>
      </c>
      <c r="D1472" s="3">
        <v>43959</v>
      </c>
      <c r="E1472" s="21">
        <v>1741.29</v>
      </c>
      <c r="F1472" s="21">
        <v>1729.27</v>
      </c>
      <c r="G1472" s="21">
        <v>1741.9</v>
      </c>
      <c r="H1472" s="21">
        <v>1589.07</v>
      </c>
      <c r="I1472" s="21">
        <v>1672.98</v>
      </c>
      <c r="J1472" s="21">
        <v>1656.01</v>
      </c>
      <c r="K1472" s="21">
        <v>1753.84</v>
      </c>
      <c r="L1472" s="21">
        <v>1724.7</v>
      </c>
      <c r="M1472" s="21">
        <v>1666.03</v>
      </c>
      <c r="N1472" s="21">
        <v>1551.4</v>
      </c>
      <c r="O1472" s="21">
        <v>1786.67</v>
      </c>
      <c r="P1472" s="21">
        <v>1738.18</v>
      </c>
      <c r="Q1472" s="21">
        <v>3532.82</v>
      </c>
      <c r="R1472" s="20">
        <v>88.97</v>
      </c>
      <c r="S1472" s="20">
        <v>89.53</v>
      </c>
      <c r="T1472" s="21">
        <v>97.22</v>
      </c>
      <c r="U1472" s="1">
        <v>98.77</v>
      </c>
      <c r="V1472" s="1">
        <v>83.38</v>
      </c>
      <c r="W1472" s="1">
        <v>95.61</v>
      </c>
      <c r="X1472" s="1">
        <v>97.27</v>
      </c>
      <c r="Y1472" s="1">
        <v>93.86</v>
      </c>
      <c r="Z1472" s="1">
        <v>94.32</v>
      </c>
      <c r="AA1472" s="1">
        <v>91.83</v>
      </c>
      <c r="AB1472" s="1">
        <v>96.35</v>
      </c>
      <c r="AE1472" s="1">
        <v>102.75</v>
      </c>
      <c r="AG1472" s="1">
        <v>89.95</v>
      </c>
      <c r="AK1472" s="1">
        <v>30</v>
      </c>
      <c r="AS1472" s="1">
        <v>2762.14</v>
      </c>
      <c r="AZ1472" s="1">
        <v>2773.27</v>
      </c>
      <c r="BA1472" s="1">
        <v>98.56</v>
      </c>
      <c r="BB1472" s="1">
        <v>104.09</v>
      </c>
      <c r="BC1472" s="1">
        <v>103.69</v>
      </c>
      <c r="BD1472" s="1">
        <v>102.13</v>
      </c>
      <c r="BE1472" s="1">
        <v>97.6</v>
      </c>
      <c r="BF1472" s="1">
        <v>97</v>
      </c>
      <c r="BG1472" s="1">
        <v>105.18</v>
      </c>
      <c r="BI1472" s="1">
        <v>98.35</v>
      </c>
      <c r="BJ1472" s="1">
        <v>106.97</v>
      </c>
      <c r="BL1472" s="1">
        <v>89.48</v>
      </c>
      <c r="BN1472" s="1">
        <v>88.5</v>
      </c>
    </row>
    <row r="1473" spans="1:66" x14ac:dyDescent="0.3">
      <c r="A1473" s="2"/>
      <c r="C1473" s="14" t="str">
        <f t="shared" si="23"/>
        <v>20205</v>
      </c>
      <c r="D1473" s="3">
        <v>43958</v>
      </c>
      <c r="E1473" s="21">
        <v>1741.29</v>
      </c>
      <c r="F1473" s="21">
        <v>1715.46</v>
      </c>
      <c r="G1473" s="21">
        <v>1735.97</v>
      </c>
      <c r="H1473" s="21">
        <v>1603.26</v>
      </c>
      <c r="I1473" s="21">
        <v>1635.97</v>
      </c>
      <c r="J1473" s="21">
        <v>1562.15</v>
      </c>
      <c r="K1473" s="21">
        <v>1698.48</v>
      </c>
      <c r="L1473" s="21">
        <v>1695.48</v>
      </c>
      <c r="M1473" s="21">
        <v>1626.27</v>
      </c>
      <c r="N1473" s="21">
        <v>1551.66</v>
      </c>
      <c r="O1473" s="21">
        <v>1734.61</v>
      </c>
      <c r="P1473" s="21">
        <v>1665.03</v>
      </c>
      <c r="Q1473" s="21">
        <v>3514.18</v>
      </c>
      <c r="R1473" s="20">
        <v>86.45</v>
      </c>
      <c r="S1473" s="20">
        <v>87.65</v>
      </c>
      <c r="T1473" s="21">
        <v>96.95</v>
      </c>
      <c r="U1473" s="1">
        <v>98.77</v>
      </c>
      <c r="V1473" s="1">
        <v>83.71</v>
      </c>
      <c r="W1473" s="1">
        <v>94.96</v>
      </c>
      <c r="X1473" s="1">
        <v>94.22</v>
      </c>
      <c r="Y1473" s="1">
        <v>92.14</v>
      </c>
      <c r="Z1473" s="1">
        <v>93.1</v>
      </c>
      <c r="AA1473" s="1">
        <v>89.85</v>
      </c>
      <c r="AB1473" s="1">
        <v>94.17</v>
      </c>
      <c r="AE1473" s="1">
        <v>101.95</v>
      </c>
      <c r="AG1473" s="1">
        <v>90.58</v>
      </c>
      <c r="AK1473" s="1">
        <v>30</v>
      </c>
      <c r="AS1473" s="1">
        <v>2715</v>
      </c>
      <c r="AZ1473" s="1">
        <v>2758.23</v>
      </c>
      <c r="BA1473" s="1">
        <v>96.54</v>
      </c>
      <c r="BB1473" s="1">
        <v>102.4</v>
      </c>
      <c r="BC1473" s="1">
        <v>102.87</v>
      </c>
      <c r="BD1473" s="1">
        <v>101.87</v>
      </c>
      <c r="BE1473" s="1">
        <v>98.85</v>
      </c>
      <c r="BF1473" s="1">
        <v>97.33</v>
      </c>
      <c r="BG1473" s="1">
        <v>103.87</v>
      </c>
      <c r="BI1473" s="1">
        <v>95.44</v>
      </c>
      <c r="BJ1473" s="1">
        <v>105.5</v>
      </c>
      <c r="BL1473" s="1">
        <v>87.9</v>
      </c>
      <c r="BN1473" s="1">
        <v>86.64</v>
      </c>
    </row>
    <row r="1474" spans="1:66" x14ac:dyDescent="0.3">
      <c r="A1474" s="2"/>
      <c r="C1474" s="14" t="str">
        <f t="shared" si="23"/>
        <v>20205</v>
      </c>
      <c r="D1474" s="3">
        <v>43957</v>
      </c>
      <c r="E1474" s="21">
        <v>1738.89</v>
      </c>
      <c r="F1474" s="21">
        <v>1690.77</v>
      </c>
      <c r="G1474" s="21">
        <v>1703.95</v>
      </c>
      <c r="H1474" s="21">
        <v>1499.25</v>
      </c>
      <c r="I1474" s="21">
        <v>1635.97</v>
      </c>
      <c r="J1474" s="21">
        <v>1579.97</v>
      </c>
      <c r="K1474" s="21">
        <v>1649.12</v>
      </c>
      <c r="L1474" s="21">
        <v>1675.63</v>
      </c>
      <c r="M1474" s="21">
        <v>1623.81</v>
      </c>
      <c r="N1474" s="21">
        <v>1482.24</v>
      </c>
      <c r="O1474" s="21">
        <v>1707.79</v>
      </c>
      <c r="P1474" s="21">
        <v>1647.14</v>
      </c>
      <c r="Q1474" s="21">
        <v>3486.22</v>
      </c>
      <c r="R1474" s="20">
        <v>86.04</v>
      </c>
      <c r="S1474" s="20">
        <v>85.78</v>
      </c>
      <c r="T1474" s="21">
        <v>93.47</v>
      </c>
      <c r="V1474" s="1">
        <v>83.04</v>
      </c>
      <c r="W1474" s="1">
        <v>92.55</v>
      </c>
      <c r="X1474" s="1">
        <v>92.95</v>
      </c>
      <c r="Y1474" s="1">
        <v>89.99</v>
      </c>
      <c r="Z1474" s="1">
        <v>90.18</v>
      </c>
      <c r="AA1474" s="1">
        <v>88.38</v>
      </c>
      <c r="AB1474" s="1">
        <v>93.18</v>
      </c>
      <c r="AE1474" s="1">
        <v>102.02</v>
      </c>
      <c r="AG1474" s="1">
        <v>90.04</v>
      </c>
      <c r="AK1474" s="1">
        <v>30</v>
      </c>
      <c r="AS1474" s="1">
        <v>2705.41</v>
      </c>
      <c r="AZ1474" s="1">
        <v>2888.62</v>
      </c>
      <c r="BB1474" s="1">
        <v>100.97</v>
      </c>
      <c r="BC1474" s="1">
        <v>99.3</v>
      </c>
      <c r="BD1474" s="1">
        <v>97.77</v>
      </c>
      <c r="BE1474" s="1">
        <v>97.35</v>
      </c>
      <c r="BF1474" s="1">
        <v>97.5</v>
      </c>
      <c r="BG1474" s="1">
        <v>102.67</v>
      </c>
      <c r="BH1474" s="1">
        <v>91.61</v>
      </c>
      <c r="BI1474" s="1">
        <v>93.31</v>
      </c>
      <c r="BJ1474" s="1">
        <v>103.04</v>
      </c>
      <c r="BL1474" s="1">
        <v>86.31</v>
      </c>
      <c r="BN1474" s="1">
        <v>86.27</v>
      </c>
    </row>
    <row r="1475" spans="1:66" x14ac:dyDescent="0.3">
      <c r="A1475" s="2"/>
      <c r="C1475" s="14" t="str">
        <f t="shared" si="23"/>
        <v>20205</v>
      </c>
      <c r="D1475" s="3">
        <v>43956</v>
      </c>
      <c r="E1475" s="21">
        <v>1705.09</v>
      </c>
      <c r="F1475" s="21">
        <v>1682.42</v>
      </c>
      <c r="G1475" s="21">
        <v>1676.22</v>
      </c>
      <c r="H1475" s="21">
        <v>1551.94</v>
      </c>
      <c r="I1475" s="21">
        <v>1621.16</v>
      </c>
      <c r="J1475" s="21">
        <v>1622.11</v>
      </c>
      <c r="K1475" s="21">
        <v>1704.23</v>
      </c>
      <c r="L1475" s="21">
        <v>1645.86</v>
      </c>
      <c r="M1475" s="21">
        <v>1564.7</v>
      </c>
      <c r="N1475" s="21">
        <v>1471.79</v>
      </c>
      <c r="O1475" s="21">
        <v>1687.97</v>
      </c>
      <c r="P1475" s="21">
        <v>1647.14</v>
      </c>
      <c r="Q1475" s="21">
        <v>3484.57</v>
      </c>
      <c r="R1475" s="20">
        <v>85.33</v>
      </c>
      <c r="S1475" s="20">
        <v>85.39</v>
      </c>
      <c r="T1475" s="21">
        <v>91.66</v>
      </c>
      <c r="V1475" s="1">
        <v>82.88</v>
      </c>
      <c r="W1475" s="1">
        <v>91.6</v>
      </c>
      <c r="X1475" s="1">
        <v>92.33</v>
      </c>
      <c r="Y1475" s="1">
        <v>89.14</v>
      </c>
      <c r="Z1475" s="1">
        <v>89.49</v>
      </c>
      <c r="AA1475" s="1">
        <v>88.11</v>
      </c>
      <c r="AB1475" s="1">
        <v>92.43</v>
      </c>
      <c r="AE1475" s="1">
        <v>100.77</v>
      </c>
      <c r="AF1475" s="1">
        <v>92.28</v>
      </c>
      <c r="AK1475" s="1">
        <v>30</v>
      </c>
      <c r="AS1475" s="1">
        <v>2709.47</v>
      </c>
      <c r="AZ1475" s="1">
        <v>2848.5</v>
      </c>
      <c r="BB1475" s="1">
        <v>98.62</v>
      </c>
      <c r="BC1475" s="1">
        <v>97.51</v>
      </c>
      <c r="BD1475" s="1">
        <v>93.04</v>
      </c>
      <c r="BE1475" s="1">
        <v>93.47</v>
      </c>
      <c r="BF1475" s="1">
        <v>92.31</v>
      </c>
      <c r="BG1475" s="1">
        <v>100.92</v>
      </c>
      <c r="BH1475" s="1">
        <v>90.24</v>
      </c>
      <c r="BI1475" s="1">
        <v>92.93</v>
      </c>
      <c r="BJ1475" s="1">
        <v>103.04</v>
      </c>
      <c r="BL1475" s="1">
        <v>85.47</v>
      </c>
      <c r="BN1475" s="1">
        <v>84.43</v>
      </c>
    </row>
    <row r="1476" spans="1:66" x14ac:dyDescent="0.3">
      <c r="A1476" s="2"/>
      <c r="C1476" s="14" t="str">
        <f t="shared" si="23"/>
        <v>20205</v>
      </c>
      <c r="D1476" s="3">
        <v>43955</v>
      </c>
      <c r="E1476" s="21">
        <v>1737.63</v>
      </c>
      <c r="F1476" s="21">
        <v>1680.9</v>
      </c>
      <c r="G1476" s="21">
        <v>1678.49</v>
      </c>
      <c r="H1476" s="21">
        <v>1551.94</v>
      </c>
      <c r="I1476" s="21">
        <v>1621.16</v>
      </c>
      <c r="J1476" s="21">
        <v>1641.16</v>
      </c>
      <c r="K1476" s="21">
        <v>1750.86</v>
      </c>
      <c r="L1476" s="21">
        <v>1667.69</v>
      </c>
      <c r="M1476" s="21">
        <v>1599.12</v>
      </c>
      <c r="N1476" s="21">
        <v>1462.44</v>
      </c>
      <c r="O1476" s="21">
        <v>1675.85</v>
      </c>
      <c r="P1476" s="21">
        <v>1659.03</v>
      </c>
      <c r="Q1476" s="21">
        <v>3505.83</v>
      </c>
      <c r="R1476" s="20">
        <v>85.07</v>
      </c>
      <c r="S1476" s="20">
        <v>85.02</v>
      </c>
      <c r="T1476" s="21">
        <v>92.8</v>
      </c>
      <c r="V1476" s="1">
        <v>82.71</v>
      </c>
      <c r="W1476" s="1">
        <v>91.1</v>
      </c>
      <c r="X1476" s="1">
        <v>91.63</v>
      </c>
      <c r="Y1476" s="1">
        <v>88.4</v>
      </c>
      <c r="Z1476" s="1">
        <v>88.43</v>
      </c>
      <c r="AA1476" s="1">
        <v>88.42</v>
      </c>
      <c r="AB1476" s="1">
        <v>92.02</v>
      </c>
      <c r="AE1476" s="1">
        <v>98.78</v>
      </c>
      <c r="AF1476" s="1">
        <v>93.27</v>
      </c>
      <c r="AK1476" s="1">
        <v>30</v>
      </c>
      <c r="AP1476" s="1">
        <v>2660</v>
      </c>
      <c r="AS1476" s="1">
        <v>2715.21</v>
      </c>
      <c r="AZ1476" s="1">
        <v>2848.5</v>
      </c>
      <c r="BB1476" s="1">
        <v>98.74</v>
      </c>
      <c r="BC1476" s="1">
        <v>97.07</v>
      </c>
      <c r="BD1476" s="1">
        <v>93.02</v>
      </c>
      <c r="BE1476" s="1">
        <v>93.63</v>
      </c>
      <c r="BF1476" s="1">
        <v>91.99</v>
      </c>
      <c r="BG1476" s="1">
        <v>100.49</v>
      </c>
      <c r="BH1476" s="1">
        <v>89.12</v>
      </c>
      <c r="BI1476" s="1">
        <v>92.57</v>
      </c>
      <c r="BJ1476" s="1">
        <v>102.29</v>
      </c>
      <c r="BL1476" s="1">
        <v>84.8</v>
      </c>
      <c r="BN1476" s="1">
        <v>83.87</v>
      </c>
    </row>
    <row r="1477" spans="1:66" x14ac:dyDescent="0.3">
      <c r="A1477" s="2"/>
      <c r="C1477" s="14" t="str">
        <f t="shared" si="23"/>
        <v>20204</v>
      </c>
      <c r="D1477" s="3">
        <v>43951</v>
      </c>
      <c r="E1477" s="21">
        <v>1737.63</v>
      </c>
      <c r="F1477" s="21">
        <v>1682.42</v>
      </c>
      <c r="G1477" s="21">
        <v>1690.38</v>
      </c>
      <c r="H1477" s="21">
        <v>1525.61</v>
      </c>
      <c r="I1477" s="21">
        <v>1621.16</v>
      </c>
      <c r="J1477" s="21">
        <v>1599.49</v>
      </c>
      <c r="K1477" s="21">
        <v>1708.43</v>
      </c>
      <c r="L1477" s="21">
        <v>1612.13</v>
      </c>
      <c r="M1477" s="21">
        <v>1600.6</v>
      </c>
      <c r="N1477" s="21">
        <v>1449.56</v>
      </c>
      <c r="O1477" s="21">
        <v>1662.31</v>
      </c>
      <c r="P1477" s="21">
        <v>1672.98</v>
      </c>
      <c r="Q1477" s="21">
        <v>3547.08</v>
      </c>
      <c r="R1477" s="20">
        <v>85.31</v>
      </c>
      <c r="S1477" s="20">
        <v>84.09</v>
      </c>
      <c r="T1477" s="21">
        <v>92.36</v>
      </c>
      <c r="V1477" s="1">
        <v>82.28</v>
      </c>
      <c r="W1477" s="1">
        <v>91.24</v>
      </c>
      <c r="X1477" s="1">
        <v>91.14</v>
      </c>
      <c r="Y1477" s="1">
        <v>87.31</v>
      </c>
      <c r="Z1477" s="1">
        <v>87.71</v>
      </c>
      <c r="AA1477" s="1">
        <v>88.66</v>
      </c>
      <c r="AB1477" s="1">
        <v>91.18</v>
      </c>
      <c r="AE1477" s="1">
        <v>98.4</v>
      </c>
      <c r="AF1477" s="1">
        <v>92.38</v>
      </c>
      <c r="AH1477" s="1">
        <v>0</v>
      </c>
      <c r="AP1477" s="1">
        <v>2660</v>
      </c>
      <c r="AQ1477" s="1">
        <v>2464.37</v>
      </c>
      <c r="AS1477" s="1">
        <v>2693.42</v>
      </c>
      <c r="AU1477" s="1">
        <v>2949.22</v>
      </c>
      <c r="AY1477" s="1">
        <v>2568.02</v>
      </c>
      <c r="AZ1477" s="1">
        <v>2664.33</v>
      </c>
      <c r="BB1477" s="1">
        <v>97.61</v>
      </c>
      <c r="BC1477" s="1">
        <v>95.68</v>
      </c>
      <c r="BD1477" s="1">
        <v>94.13</v>
      </c>
      <c r="BE1477" s="1">
        <v>93.63</v>
      </c>
      <c r="BF1477" s="1">
        <v>91.75</v>
      </c>
      <c r="BG1477" s="1">
        <v>98.66</v>
      </c>
      <c r="BH1477" s="1">
        <v>90.5</v>
      </c>
      <c r="BI1477" s="1">
        <v>95.68</v>
      </c>
      <c r="BJ1477" s="1">
        <v>102.05</v>
      </c>
      <c r="BL1477" s="1">
        <v>84.3</v>
      </c>
      <c r="BN1477" s="1">
        <v>83.62</v>
      </c>
    </row>
    <row r="1478" spans="1:66" x14ac:dyDescent="0.3">
      <c r="A1478" s="2"/>
      <c r="C1478" s="14" t="str">
        <f t="shared" ref="C1478:C1541" si="24">YEAR(D1478)&amp;MONTH(D1478)</f>
        <v>20204</v>
      </c>
      <c r="D1478" s="3">
        <v>43950</v>
      </c>
      <c r="E1478" s="21">
        <v>1729.95</v>
      </c>
      <c r="F1478" s="21">
        <v>1678.69</v>
      </c>
      <c r="G1478" s="21">
        <v>1703.95</v>
      </c>
      <c r="H1478" s="21">
        <v>1549.68</v>
      </c>
      <c r="I1478" s="21">
        <v>1621.16</v>
      </c>
      <c r="J1478" s="21">
        <v>1625.9</v>
      </c>
      <c r="K1478" s="21">
        <v>1708.43</v>
      </c>
      <c r="L1478" s="21">
        <v>1620.06</v>
      </c>
      <c r="M1478" s="21">
        <v>1608.96</v>
      </c>
      <c r="N1478" s="21">
        <v>1463.4</v>
      </c>
      <c r="O1478" s="21">
        <v>1686.5</v>
      </c>
      <c r="P1478" s="21">
        <v>1680.92</v>
      </c>
      <c r="Q1478" s="21">
        <v>3466.48</v>
      </c>
      <c r="R1478" s="20">
        <v>84.61</v>
      </c>
      <c r="S1478" s="20">
        <v>84.59</v>
      </c>
      <c r="T1478" s="21">
        <v>90.27</v>
      </c>
      <c r="V1478" s="1">
        <v>81.459999999999994</v>
      </c>
      <c r="W1478" s="1">
        <v>90.88</v>
      </c>
      <c r="X1478" s="1">
        <v>91.54</v>
      </c>
      <c r="Y1478" s="1">
        <v>87.71</v>
      </c>
      <c r="Z1478" s="1">
        <v>88.08</v>
      </c>
      <c r="AA1478" s="1">
        <v>87.35</v>
      </c>
      <c r="AB1478" s="1">
        <v>91.99</v>
      </c>
      <c r="AE1478" s="1">
        <v>98.69</v>
      </c>
      <c r="AF1478" s="1">
        <v>91.9</v>
      </c>
      <c r="AG1478" s="1">
        <v>82.32</v>
      </c>
      <c r="AH1478" s="1">
        <v>0</v>
      </c>
      <c r="AP1478" s="1">
        <v>2660</v>
      </c>
      <c r="AQ1478" s="1">
        <v>2464.37</v>
      </c>
      <c r="AS1478" s="1">
        <v>2738.56</v>
      </c>
      <c r="AU1478" s="1">
        <v>2949.22</v>
      </c>
      <c r="AY1478" s="1">
        <v>2568.02</v>
      </c>
      <c r="AZ1478" s="1">
        <v>2608.15</v>
      </c>
      <c r="BB1478" s="1">
        <v>96.81</v>
      </c>
      <c r="BC1478" s="1">
        <v>95.94</v>
      </c>
      <c r="BD1478" s="1">
        <v>96.62</v>
      </c>
      <c r="BE1478" s="1">
        <v>93.23</v>
      </c>
      <c r="BF1478" s="1">
        <v>91.39</v>
      </c>
      <c r="BG1478" s="1">
        <v>98.42</v>
      </c>
      <c r="BI1478" s="1">
        <v>96.82</v>
      </c>
      <c r="BJ1478" s="1">
        <v>102.16</v>
      </c>
      <c r="BL1478" s="1">
        <v>83.8</v>
      </c>
      <c r="BN1478" s="1">
        <v>83.36</v>
      </c>
    </row>
    <row r="1479" spans="1:66" x14ac:dyDescent="0.3">
      <c r="A1479" s="2"/>
      <c r="C1479" s="14" t="str">
        <f t="shared" si="24"/>
        <v>20204</v>
      </c>
      <c r="D1479" s="3">
        <v>43949</v>
      </c>
      <c r="E1479" s="21">
        <v>1738.25</v>
      </c>
      <c r="F1479" s="21">
        <v>1686.15</v>
      </c>
      <c r="G1479" s="21">
        <v>1710.55</v>
      </c>
      <c r="H1479" s="21">
        <v>1559.46</v>
      </c>
      <c r="I1479" s="21">
        <v>1621.98</v>
      </c>
      <c r="J1479" s="21">
        <v>1651.03</v>
      </c>
      <c r="K1479" s="21">
        <v>1724.1</v>
      </c>
      <c r="L1479" s="21">
        <v>1680.83</v>
      </c>
      <c r="M1479" s="21">
        <v>1653.68</v>
      </c>
      <c r="N1479" s="21">
        <v>1463.96</v>
      </c>
      <c r="O1479" s="21">
        <v>1692.77</v>
      </c>
      <c r="P1479" s="21">
        <v>1676.95</v>
      </c>
      <c r="Q1479" s="21">
        <v>3535.91</v>
      </c>
      <c r="R1479" s="20">
        <v>84.93</v>
      </c>
      <c r="S1479" s="20">
        <v>85.09</v>
      </c>
      <c r="T1479" s="21">
        <v>90.71</v>
      </c>
      <c r="V1479" s="1">
        <v>82.12</v>
      </c>
      <c r="W1479" s="1">
        <v>91.55</v>
      </c>
      <c r="X1479" s="1">
        <v>93.47</v>
      </c>
      <c r="Y1479" s="1">
        <v>88.34</v>
      </c>
      <c r="Z1479" s="1">
        <v>88.66</v>
      </c>
      <c r="AA1479" s="1">
        <v>87.85</v>
      </c>
      <c r="AB1479" s="1">
        <v>93.43</v>
      </c>
      <c r="AE1479" s="1">
        <v>99.68</v>
      </c>
      <c r="AF1479" s="1">
        <v>92.48</v>
      </c>
      <c r="AG1479" s="1">
        <v>82.32</v>
      </c>
      <c r="AH1479" s="1">
        <v>0</v>
      </c>
      <c r="AP1479" s="1">
        <v>2660</v>
      </c>
      <c r="AQ1479" s="1">
        <v>2464.37</v>
      </c>
      <c r="AS1479" s="1">
        <v>2738.56</v>
      </c>
      <c r="AU1479" s="1">
        <v>2949.22</v>
      </c>
      <c r="AY1479" s="1">
        <v>2644.26</v>
      </c>
      <c r="AZ1479" s="1">
        <v>2583.0700000000002</v>
      </c>
      <c r="BB1479" s="1">
        <v>98.02</v>
      </c>
      <c r="BC1479" s="1">
        <v>96.29</v>
      </c>
      <c r="BD1479" s="1">
        <v>94.33</v>
      </c>
      <c r="BE1479" s="1">
        <v>93.18</v>
      </c>
      <c r="BF1479" s="1">
        <v>91.48</v>
      </c>
      <c r="BG1479" s="1">
        <v>100.92</v>
      </c>
      <c r="BH1479" s="1">
        <v>89.83</v>
      </c>
      <c r="BI1479" s="1">
        <v>93.46</v>
      </c>
      <c r="BJ1479" s="1">
        <v>102.16</v>
      </c>
      <c r="BL1479" s="1">
        <v>84.29</v>
      </c>
      <c r="BN1479" s="1">
        <v>84.34</v>
      </c>
    </row>
    <row r="1480" spans="1:66" x14ac:dyDescent="0.3">
      <c r="A1480" s="2"/>
      <c r="C1480" s="14" t="str">
        <f t="shared" si="24"/>
        <v>20204</v>
      </c>
      <c r="D1480" s="3">
        <v>43948</v>
      </c>
      <c r="E1480" s="21">
        <v>1745.83</v>
      </c>
      <c r="F1480" s="21">
        <v>1676.79</v>
      </c>
      <c r="G1480" s="21">
        <v>1711.31</v>
      </c>
      <c r="H1480" s="21">
        <v>1599.24</v>
      </c>
      <c r="I1480" s="21">
        <v>1629.81</v>
      </c>
      <c r="J1480" s="21">
        <v>1648.29</v>
      </c>
      <c r="K1480" s="21">
        <v>1720.65</v>
      </c>
      <c r="L1480" s="21">
        <v>1624.44</v>
      </c>
      <c r="M1480" s="21"/>
      <c r="N1480" s="21">
        <v>1476.35</v>
      </c>
      <c r="O1480" s="21">
        <v>1685.06</v>
      </c>
      <c r="P1480" s="21">
        <v>1671.22</v>
      </c>
      <c r="Q1480" s="21">
        <v>3539.55</v>
      </c>
      <c r="R1480" s="20">
        <v>84.79</v>
      </c>
      <c r="S1480" s="20">
        <v>84.7</v>
      </c>
      <c r="T1480" s="21">
        <v>90.8</v>
      </c>
      <c r="V1480" s="1">
        <v>81.96</v>
      </c>
      <c r="W1480" s="1">
        <v>91.34</v>
      </c>
      <c r="X1480" s="1">
        <v>93</v>
      </c>
      <c r="Y1480" s="1">
        <v>88.33</v>
      </c>
      <c r="Z1480" s="1">
        <v>88.49</v>
      </c>
      <c r="AA1480" s="1">
        <v>87.65</v>
      </c>
      <c r="AB1480" s="1">
        <v>92.96</v>
      </c>
      <c r="AE1480" s="1">
        <v>99.51</v>
      </c>
      <c r="AF1480" s="1">
        <v>91.45</v>
      </c>
      <c r="AG1480" s="1">
        <v>82.92</v>
      </c>
      <c r="AH1480" s="1">
        <v>0</v>
      </c>
      <c r="AQ1480" s="1">
        <v>2464.37</v>
      </c>
      <c r="AU1480" s="1">
        <v>2949.22</v>
      </c>
      <c r="AY1480" s="1">
        <v>2644.26</v>
      </c>
      <c r="AZ1480" s="1">
        <v>2583.0700000000002</v>
      </c>
      <c r="BB1480" s="1">
        <v>99.09</v>
      </c>
      <c r="BC1480" s="1">
        <v>96.86</v>
      </c>
      <c r="BD1480" s="1">
        <v>94.34</v>
      </c>
      <c r="BE1480" s="1">
        <v>92.06</v>
      </c>
      <c r="BF1480" s="1">
        <v>89.92</v>
      </c>
      <c r="BG1480" s="1">
        <v>100.27</v>
      </c>
      <c r="BH1480" s="1">
        <v>89.79</v>
      </c>
      <c r="BI1480" s="1">
        <v>93.58</v>
      </c>
      <c r="BJ1480" s="1">
        <v>101.82</v>
      </c>
      <c r="BL1480" s="1">
        <v>84.57</v>
      </c>
      <c r="BN1480" s="1">
        <v>84.37</v>
      </c>
    </row>
    <row r="1481" spans="1:66" x14ac:dyDescent="0.3">
      <c r="A1481" s="2"/>
      <c r="C1481" s="14" t="str">
        <f t="shared" si="24"/>
        <v>20204</v>
      </c>
      <c r="D1481" s="3">
        <v>43945</v>
      </c>
      <c r="E1481" s="21">
        <v>1722.11</v>
      </c>
      <c r="F1481" s="21">
        <v>1671.83</v>
      </c>
      <c r="G1481" s="21">
        <v>1682.68</v>
      </c>
      <c r="H1481" s="21">
        <v>1600.86</v>
      </c>
      <c r="I1481" s="21">
        <v>1614.64</v>
      </c>
      <c r="J1481" s="21">
        <v>1652.65</v>
      </c>
      <c r="K1481" s="21">
        <v>1760.17</v>
      </c>
      <c r="L1481" s="21">
        <v>1741.91</v>
      </c>
      <c r="M1481" s="21">
        <v>1602.74</v>
      </c>
      <c r="N1481" s="21">
        <v>1488.74</v>
      </c>
      <c r="O1481" s="21">
        <v>1637.98</v>
      </c>
      <c r="P1481" s="21">
        <v>1682.76</v>
      </c>
      <c r="Q1481" s="21">
        <v>3553.33</v>
      </c>
      <c r="R1481" s="20">
        <v>86.93</v>
      </c>
      <c r="S1481" s="20">
        <v>84.2</v>
      </c>
      <c r="T1481" s="21">
        <v>89.41</v>
      </c>
      <c r="U1481" s="1">
        <v>92.6</v>
      </c>
      <c r="V1481" s="1">
        <v>81.31</v>
      </c>
      <c r="W1481" s="1">
        <v>91.31</v>
      </c>
      <c r="X1481" s="1">
        <v>91.25</v>
      </c>
      <c r="Y1481" s="1">
        <v>88.07</v>
      </c>
      <c r="Z1481" s="1">
        <v>88.38</v>
      </c>
      <c r="AA1481" s="1">
        <v>87.95</v>
      </c>
      <c r="AB1481" s="1">
        <v>91.39</v>
      </c>
      <c r="AE1481" s="1">
        <v>98.82</v>
      </c>
      <c r="AF1481" s="1">
        <v>91.38</v>
      </c>
      <c r="AG1481" s="1">
        <v>84.63</v>
      </c>
      <c r="AU1481" s="1">
        <v>2949.22</v>
      </c>
      <c r="AY1481" s="1">
        <v>2673.35</v>
      </c>
      <c r="AZ1481" s="1">
        <v>2568.02</v>
      </c>
      <c r="BA1481" s="1">
        <v>93.07</v>
      </c>
      <c r="BB1481" s="1">
        <v>98.74</v>
      </c>
      <c r="BC1481" s="1">
        <v>97.49</v>
      </c>
      <c r="BD1481" s="1">
        <v>96.35</v>
      </c>
      <c r="BE1481" s="1">
        <v>91.64</v>
      </c>
      <c r="BF1481" s="1">
        <v>88.19</v>
      </c>
      <c r="BG1481" s="1">
        <v>98.93</v>
      </c>
      <c r="BI1481" s="1">
        <v>92.08</v>
      </c>
      <c r="BJ1481" s="1">
        <v>100.54</v>
      </c>
      <c r="BL1481" s="1">
        <v>85.97</v>
      </c>
      <c r="BN1481" s="1">
        <v>86.53</v>
      </c>
    </row>
    <row r="1482" spans="1:66" x14ac:dyDescent="0.3">
      <c r="A1482" s="2"/>
      <c r="C1482" s="14" t="str">
        <f t="shared" si="24"/>
        <v>20204</v>
      </c>
      <c r="D1482" s="3">
        <v>43944</v>
      </c>
      <c r="E1482" s="21">
        <v>1726.05</v>
      </c>
      <c r="F1482" s="21">
        <v>1660.04</v>
      </c>
      <c r="G1482" s="21">
        <v>1689.9</v>
      </c>
      <c r="H1482" s="21">
        <v>1393.13</v>
      </c>
      <c r="I1482" s="21">
        <v>1614.64</v>
      </c>
      <c r="J1482" s="21">
        <v>1622.38</v>
      </c>
      <c r="K1482" s="21">
        <v>1617.95</v>
      </c>
      <c r="L1482" s="21">
        <v>1625.26</v>
      </c>
      <c r="M1482" s="21">
        <v>1602.75</v>
      </c>
      <c r="N1482" s="21">
        <v>1435.47</v>
      </c>
      <c r="O1482" s="21">
        <v>1631.56</v>
      </c>
      <c r="P1482" s="21">
        <v>1645.54</v>
      </c>
      <c r="Q1482" s="21">
        <v>3502.36</v>
      </c>
      <c r="R1482" s="20">
        <v>85.18</v>
      </c>
      <c r="S1482" s="20">
        <v>82.74</v>
      </c>
      <c r="T1482" s="21">
        <v>89.05</v>
      </c>
      <c r="U1482" s="1">
        <v>90.11</v>
      </c>
      <c r="V1482" s="1">
        <v>80.650000000000006</v>
      </c>
      <c r="W1482" s="1">
        <v>90.03</v>
      </c>
      <c r="X1482" s="1">
        <v>90.31</v>
      </c>
      <c r="Y1482" s="1">
        <v>87.07</v>
      </c>
      <c r="Z1482" s="1">
        <v>87.27</v>
      </c>
      <c r="AA1482" s="1">
        <v>86.87</v>
      </c>
      <c r="AB1482" s="1">
        <v>90.43</v>
      </c>
      <c r="AE1482" s="1">
        <v>95.86</v>
      </c>
      <c r="AF1482" s="1">
        <v>91.41</v>
      </c>
      <c r="AG1482" s="1">
        <v>84.91</v>
      </c>
      <c r="AY1482" s="1">
        <v>2681.71</v>
      </c>
      <c r="AZ1482" s="1">
        <v>2608.15</v>
      </c>
      <c r="BA1482" s="1">
        <v>91.64</v>
      </c>
      <c r="BB1482" s="1">
        <v>96.57</v>
      </c>
      <c r="BC1482" s="1">
        <v>94.21</v>
      </c>
      <c r="BD1482" s="1">
        <v>92.98</v>
      </c>
      <c r="BE1482" s="1">
        <v>91.03</v>
      </c>
      <c r="BF1482" s="1">
        <v>87.83</v>
      </c>
      <c r="BG1482" s="1">
        <v>96.51</v>
      </c>
      <c r="BI1482" s="1">
        <v>91.42</v>
      </c>
      <c r="BJ1482" s="1">
        <v>98.58</v>
      </c>
      <c r="BL1482" s="1">
        <v>83.63</v>
      </c>
      <c r="BN1482" s="1">
        <v>83.65</v>
      </c>
    </row>
    <row r="1483" spans="1:66" x14ac:dyDescent="0.3">
      <c r="A1483" s="2"/>
      <c r="C1483" s="14" t="str">
        <f t="shared" si="24"/>
        <v>20204</v>
      </c>
      <c r="D1483" s="3">
        <v>43943</v>
      </c>
      <c r="E1483" s="21">
        <v>1721.09</v>
      </c>
      <c r="F1483" s="21">
        <v>1670.22</v>
      </c>
      <c r="G1483" s="21">
        <v>1680.02</v>
      </c>
      <c r="H1483" s="21">
        <v>1470.58</v>
      </c>
      <c r="I1483" s="21">
        <v>1600.29</v>
      </c>
      <c r="J1483" s="21">
        <v>1574.08</v>
      </c>
      <c r="K1483" s="21">
        <v>1678.03</v>
      </c>
      <c r="L1483" s="21">
        <v>1625.26</v>
      </c>
      <c r="M1483" s="21"/>
      <c r="N1483" s="21">
        <v>1429.94</v>
      </c>
      <c r="O1483" s="21">
        <v>1626.09</v>
      </c>
      <c r="P1483" s="21">
        <v>1632</v>
      </c>
      <c r="Q1483" s="21">
        <v>3435.17</v>
      </c>
      <c r="R1483" s="20">
        <v>85.41</v>
      </c>
      <c r="S1483" s="20">
        <v>82.1</v>
      </c>
      <c r="T1483" s="21">
        <v>88.82</v>
      </c>
      <c r="U1483" s="1">
        <v>88.62</v>
      </c>
      <c r="V1483" s="1">
        <v>80.650000000000006</v>
      </c>
      <c r="W1483" s="1">
        <v>89.81</v>
      </c>
      <c r="X1483" s="1">
        <v>89.43</v>
      </c>
      <c r="Y1483" s="1">
        <v>86.31</v>
      </c>
      <c r="Z1483" s="1">
        <v>86.66</v>
      </c>
      <c r="AA1483" s="1">
        <v>86.69</v>
      </c>
      <c r="AB1483" s="1">
        <v>89.99</v>
      </c>
      <c r="AE1483" s="1">
        <v>95.71</v>
      </c>
      <c r="AF1483" s="1">
        <v>91.13</v>
      </c>
      <c r="AG1483" s="1">
        <v>84.05</v>
      </c>
      <c r="AP1483" s="1">
        <v>2052</v>
      </c>
      <c r="AY1483" s="1">
        <v>2643.26</v>
      </c>
      <c r="AZ1483" s="1">
        <v>2608.15</v>
      </c>
      <c r="BA1483" s="1">
        <v>90.82</v>
      </c>
      <c r="BB1483" s="1">
        <v>96.24</v>
      </c>
      <c r="BC1483" s="1">
        <v>94.08</v>
      </c>
      <c r="BD1483" s="1">
        <v>92.32</v>
      </c>
      <c r="BE1483" s="1">
        <v>92.4</v>
      </c>
      <c r="BF1483" s="1">
        <v>86.75</v>
      </c>
      <c r="BG1483" s="1">
        <v>96.14</v>
      </c>
      <c r="BI1483" s="1">
        <v>91.49</v>
      </c>
      <c r="BJ1483" s="1">
        <v>96.8</v>
      </c>
      <c r="BL1483" s="1">
        <v>82.3</v>
      </c>
      <c r="BN1483" s="1">
        <v>82.53</v>
      </c>
    </row>
    <row r="1484" spans="1:66" x14ac:dyDescent="0.3">
      <c r="A1484" s="2"/>
      <c r="C1484" s="14" t="str">
        <f t="shared" si="24"/>
        <v>20204</v>
      </c>
      <c r="D1484" s="3">
        <v>43941</v>
      </c>
      <c r="E1484" s="21">
        <v>1709.54</v>
      </c>
      <c r="F1484" s="21">
        <v>1661.78</v>
      </c>
      <c r="G1484" s="21">
        <v>1679.19</v>
      </c>
      <c r="H1484" s="21">
        <v>1546.87</v>
      </c>
      <c r="I1484" s="21">
        <v>1613.41</v>
      </c>
      <c r="J1484" s="21">
        <v>1566.75</v>
      </c>
      <c r="K1484" s="21">
        <v>1695.85</v>
      </c>
      <c r="L1484" s="21">
        <v>1550.75</v>
      </c>
      <c r="M1484" s="21">
        <v>1526.34</v>
      </c>
      <c r="N1484" s="21">
        <v>1379.91</v>
      </c>
      <c r="O1484" s="21">
        <v>1625.31</v>
      </c>
      <c r="P1484" s="21">
        <v>1651.84</v>
      </c>
      <c r="Q1484" s="21">
        <v>3420.42</v>
      </c>
      <c r="R1484" s="20">
        <v>84.65</v>
      </c>
      <c r="S1484" s="20">
        <v>81.11</v>
      </c>
      <c r="T1484" s="21">
        <v>87.96</v>
      </c>
      <c r="U1484" s="1">
        <v>87.14</v>
      </c>
      <c r="V1484" s="1">
        <v>80.650000000000006</v>
      </c>
      <c r="W1484" s="1">
        <v>88.84</v>
      </c>
      <c r="X1484" s="1">
        <v>88.9</v>
      </c>
      <c r="Y1484" s="1">
        <v>85.46</v>
      </c>
      <c r="Z1484" s="1">
        <v>85.49</v>
      </c>
      <c r="AA1484" s="1">
        <v>85.61</v>
      </c>
      <c r="AB1484" s="1">
        <v>88.93</v>
      </c>
      <c r="AE1484" s="1">
        <v>96.02</v>
      </c>
      <c r="AF1484" s="1">
        <v>91.38</v>
      </c>
      <c r="AG1484" s="1">
        <v>83.06</v>
      </c>
      <c r="AP1484" s="1">
        <v>2052</v>
      </c>
      <c r="AU1484" s="1">
        <v>2791.22</v>
      </c>
      <c r="AY1484" s="1">
        <v>2557.9899999999998</v>
      </c>
      <c r="AZ1484" s="1">
        <v>2507.84</v>
      </c>
      <c r="BA1484" s="1">
        <v>90.82</v>
      </c>
      <c r="BB1484" s="1">
        <v>95.34</v>
      </c>
      <c r="BC1484" s="1">
        <v>93.35</v>
      </c>
      <c r="BD1484" s="1">
        <v>94.35</v>
      </c>
      <c r="BE1484" s="1">
        <v>90.1</v>
      </c>
      <c r="BF1484" s="1">
        <v>88.73</v>
      </c>
      <c r="BG1484" s="1">
        <v>95.4</v>
      </c>
      <c r="BI1484" s="1">
        <v>90.22</v>
      </c>
      <c r="BJ1484" s="1">
        <v>96.21</v>
      </c>
      <c r="BL1484" s="1">
        <v>82.3</v>
      </c>
      <c r="BN1484" s="1">
        <v>82.2</v>
      </c>
    </row>
    <row r="1485" spans="1:66" x14ac:dyDescent="0.3">
      <c r="A1485" s="2"/>
      <c r="C1485" s="14" t="str">
        <f t="shared" si="24"/>
        <v>20204</v>
      </c>
      <c r="D1485" s="3">
        <v>43938</v>
      </c>
      <c r="E1485" s="21">
        <v>1711.22</v>
      </c>
      <c r="F1485" s="21">
        <v>1661.78</v>
      </c>
      <c r="G1485" s="21">
        <v>1686.66</v>
      </c>
      <c r="H1485" s="21">
        <v>1545.57</v>
      </c>
      <c r="I1485" s="21">
        <v>1620.79</v>
      </c>
      <c r="J1485" s="21">
        <v>1506.11</v>
      </c>
      <c r="K1485" s="21">
        <v>1693.88</v>
      </c>
      <c r="L1485" s="21">
        <v>1459.96</v>
      </c>
      <c r="M1485" s="21">
        <v>1562.13</v>
      </c>
      <c r="N1485" s="21">
        <v>1381.65</v>
      </c>
      <c r="O1485" s="21">
        <v>1686.21</v>
      </c>
      <c r="P1485" s="21">
        <v>1657.96</v>
      </c>
      <c r="Q1485" s="21">
        <v>3440.87</v>
      </c>
      <c r="R1485" s="20">
        <v>82.99</v>
      </c>
      <c r="S1485" s="20">
        <v>80.58</v>
      </c>
      <c r="T1485" s="21">
        <v>87.75</v>
      </c>
      <c r="U1485" s="1">
        <v>86.65</v>
      </c>
      <c r="V1485" s="1">
        <v>80.650000000000006</v>
      </c>
      <c r="W1485" s="1">
        <v>88.77</v>
      </c>
      <c r="X1485" s="1">
        <v>88.9</v>
      </c>
      <c r="Y1485" s="1">
        <v>85.26</v>
      </c>
      <c r="Z1485" s="1">
        <v>85.5</v>
      </c>
      <c r="AA1485" s="1">
        <v>84.88</v>
      </c>
      <c r="AB1485" s="1">
        <v>88.85</v>
      </c>
      <c r="AE1485" s="1">
        <v>95.84</v>
      </c>
      <c r="AF1485" s="1">
        <v>91.67</v>
      </c>
      <c r="AG1485" s="1">
        <v>84.3</v>
      </c>
      <c r="AP1485" s="1">
        <v>2052</v>
      </c>
      <c r="AU1485" s="1">
        <v>2791.22</v>
      </c>
      <c r="AY1485" s="1">
        <v>2568.02</v>
      </c>
      <c r="BA1485" s="1">
        <v>89.13</v>
      </c>
      <c r="BB1485" s="1">
        <v>95.42</v>
      </c>
      <c r="BC1485" s="1">
        <v>92.56</v>
      </c>
      <c r="BD1485" s="1">
        <v>93.65</v>
      </c>
      <c r="BE1485" s="1">
        <v>89.55</v>
      </c>
      <c r="BF1485" s="1">
        <v>88.12</v>
      </c>
      <c r="BG1485" s="1">
        <v>95.11</v>
      </c>
      <c r="BI1485" s="1">
        <v>90.16</v>
      </c>
      <c r="BJ1485" s="1">
        <v>96.1</v>
      </c>
      <c r="BL1485" s="1">
        <v>82.43</v>
      </c>
      <c r="BN1485" s="1">
        <v>82.38</v>
      </c>
    </row>
    <row r="1486" spans="1:66" x14ac:dyDescent="0.3">
      <c r="A1486" s="2"/>
      <c r="C1486" s="14" t="str">
        <f t="shared" si="24"/>
        <v>20204</v>
      </c>
      <c r="D1486" s="3">
        <v>43937</v>
      </c>
      <c r="E1486" s="21">
        <v>1716.14</v>
      </c>
      <c r="F1486" s="21">
        <v>1662.34</v>
      </c>
      <c r="G1486" s="21">
        <v>1676.12</v>
      </c>
      <c r="H1486" s="21">
        <v>1502.07</v>
      </c>
      <c r="I1486" s="21">
        <v>1623.25</v>
      </c>
      <c r="J1486" s="21">
        <v>1567.02</v>
      </c>
      <c r="K1486" s="21">
        <v>1692.27</v>
      </c>
      <c r="L1486" s="21">
        <v>1568.19</v>
      </c>
      <c r="M1486" s="21">
        <v>1562.13</v>
      </c>
      <c r="N1486" s="21">
        <v>1408.04</v>
      </c>
      <c r="O1486" s="21">
        <v>1713.33</v>
      </c>
      <c r="P1486" s="21">
        <v>1651.84</v>
      </c>
      <c r="Q1486" s="21">
        <v>3412.22</v>
      </c>
      <c r="R1486" s="20">
        <v>83.22</v>
      </c>
      <c r="S1486" s="20">
        <v>81.08</v>
      </c>
      <c r="T1486" s="21">
        <v>87.66</v>
      </c>
      <c r="U1486" s="1">
        <v>86.34</v>
      </c>
      <c r="V1486" s="1">
        <v>80.17</v>
      </c>
      <c r="W1486" s="1">
        <v>89.17</v>
      </c>
      <c r="X1486" s="1">
        <v>89.6</v>
      </c>
      <c r="Y1486" s="1">
        <v>85.25</v>
      </c>
      <c r="Z1486" s="1">
        <v>85.5</v>
      </c>
      <c r="AA1486" s="1">
        <v>84.87</v>
      </c>
      <c r="AB1486" s="1">
        <v>90.27</v>
      </c>
      <c r="AE1486" s="1">
        <v>95.14</v>
      </c>
      <c r="AF1486" s="1">
        <v>90.07</v>
      </c>
      <c r="AG1486" s="1">
        <v>85.96</v>
      </c>
      <c r="AP1486" s="1">
        <v>2052</v>
      </c>
      <c r="AU1486" s="1">
        <v>2791.22</v>
      </c>
      <c r="AY1486" s="1">
        <v>2576.0500000000002</v>
      </c>
      <c r="BA1486" s="1">
        <v>89.44</v>
      </c>
      <c r="BB1486" s="1">
        <v>93.84</v>
      </c>
      <c r="BC1486" s="1">
        <v>92.63</v>
      </c>
      <c r="BD1486" s="1">
        <v>90.68</v>
      </c>
      <c r="BE1486" s="1">
        <v>89.91</v>
      </c>
      <c r="BF1486" s="1">
        <v>89.22</v>
      </c>
      <c r="BG1486" s="1">
        <v>95.34</v>
      </c>
      <c r="BI1486" s="1">
        <v>90.69</v>
      </c>
      <c r="BJ1486" s="1">
        <v>96.09</v>
      </c>
      <c r="BL1486" s="1">
        <v>82.43</v>
      </c>
      <c r="BN1486" s="1">
        <v>82.38</v>
      </c>
    </row>
    <row r="1487" spans="1:66" x14ac:dyDescent="0.3">
      <c r="A1487" s="2"/>
      <c r="C1487" s="14" t="str">
        <f t="shared" si="24"/>
        <v>20204</v>
      </c>
      <c r="D1487" s="3">
        <v>43936</v>
      </c>
      <c r="E1487" s="21">
        <v>1716.14</v>
      </c>
      <c r="F1487" s="21">
        <v>1673.1</v>
      </c>
      <c r="G1487" s="21">
        <v>1696.55</v>
      </c>
      <c r="H1487" s="21">
        <v>1473.46</v>
      </c>
      <c r="I1487" s="21">
        <v>1630.63</v>
      </c>
      <c r="J1487" s="21">
        <v>1592.72</v>
      </c>
      <c r="K1487" s="21">
        <v>1640.21</v>
      </c>
      <c r="L1487" s="21">
        <v>1595.55</v>
      </c>
      <c r="M1487" s="21">
        <v>1528.09</v>
      </c>
      <c r="N1487" s="21">
        <v>1424.58</v>
      </c>
      <c r="O1487" s="21">
        <v>1708.84</v>
      </c>
      <c r="P1487" s="21">
        <v>1665.38</v>
      </c>
      <c r="Q1487" s="21">
        <v>3470.37</v>
      </c>
      <c r="R1487" s="20">
        <v>83.19</v>
      </c>
      <c r="S1487" s="20">
        <v>81.53</v>
      </c>
      <c r="T1487" s="21">
        <v>87.65</v>
      </c>
      <c r="U1487" s="1">
        <v>87.29</v>
      </c>
      <c r="V1487" s="1">
        <v>80.98</v>
      </c>
      <c r="W1487" s="1">
        <v>89.78</v>
      </c>
      <c r="X1487" s="1">
        <v>89.28</v>
      </c>
      <c r="Y1487" s="1">
        <v>85.01</v>
      </c>
      <c r="Z1487" s="1">
        <v>85.3</v>
      </c>
      <c r="AA1487" s="1">
        <v>84.89</v>
      </c>
      <c r="AB1487" s="1">
        <v>90.04</v>
      </c>
      <c r="AE1487" s="1">
        <v>95.06</v>
      </c>
      <c r="AF1487" s="1">
        <v>90.26</v>
      </c>
      <c r="AU1487" s="1">
        <v>2791.22</v>
      </c>
      <c r="AY1487" s="1">
        <v>2588.09</v>
      </c>
      <c r="BA1487" s="1">
        <v>88.04</v>
      </c>
      <c r="BB1487" s="1">
        <v>94.67</v>
      </c>
      <c r="BC1487" s="1">
        <v>92.47</v>
      </c>
      <c r="BD1487" s="1">
        <v>90.39</v>
      </c>
      <c r="BE1487" s="1">
        <v>90.23</v>
      </c>
      <c r="BF1487" s="1">
        <v>89.1</v>
      </c>
      <c r="BG1487" s="1">
        <v>95.97</v>
      </c>
      <c r="BI1487" s="1">
        <v>90.79</v>
      </c>
      <c r="BJ1487" s="1">
        <v>96.07</v>
      </c>
      <c r="BL1487" s="1">
        <v>82.05</v>
      </c>
      <c r="BN1487" s="1">
        <v>81.75</v>
      </c>
    </row>
    <row r="1488" spans="1:66" x14ac:dyDescent="0.3">
      <c r="A1488" s="2"/>
      <c r="C1488" s="14" t="str">
        <f t="shared" si="24"/>
        <v>20204</v>
      </c>
      <c r="D1488" s="3">
        <v>43935</v>
      </c>
      <c r="E1488" s="21">
        <v>1697.98</v>
      </c>
      <c r="F1488" s="21">
        <v>1673.41</v>
      </c>
      <c r="G1488" s="21">
        <v>1699.83</v>
      </c>
      <c r="H1488" s="21">
        <v>1469</v>
      </c>
      <c r="I1488" s="21">
        <v>1650.3</v>
      </c>
      <c r="J1488" s="21">
        <v>1623.98</v>
      </c>
      <c r="K1488" s="21">
        <v>1699.79</v>
      </c>
      <c r="L1488" s="21">
        <v>1583.17</v>
      </c>
      <c r="M1488" s="21">
        <v>1513.06</v>
      </c>
      <c r="N1488" s="21">
        <v>1426.59</v>
      </c>
      <c r="O1488" s="21">
        <v>1711.79</v>
      </c>
      <c r="P1488" s="21">
        <v>1658</v>
      </c>
      <c r="Q1488" s="21">
        <v>3460.52</v>
      </c>
      <c r="R1488" s="20">
        <v>82.88</v>
      </c>
      <c r="S1488" s="20">
        <v>81.739999999999995</v>
      </c>
      <c r="T1488" s="21">
        <v>88.21</v>
      </c>
      <c r="U1488" s="1">
        <v>86.15</v>
      </c>
      <c r="V1488" s="1">
        <v>80.2</v>
      </c>
      <c r="W1488" s="1">
        <v>88.82</v>
      </c>
      <c r="X1488" s="1">
        <v>88.45</v>
      </c>
      <c r="Y1488" s="1">
        <v>84.77</v>
      </c>
      <c r="Z1488" s="1">
        <v>84.99</v>
      </c>
      <c r="AA1488" s="1">
        <v>84.41</v>
      </c>
      <c r="AB1488" s="1">
        <v>88.52</v>
      </c>
      <c r="AE1488" s="1">
        <v>95.29</v>
      </c>
      <c r="AF1488" s="1">
        <v>90.02</v>
      </c>
      <c r="AG1488" s="1">
        <v>84.35</v>
      </c>
      <c r="AP1488" s="1">
        <v>2160</v>
      </c>
      <c r="AS1488" s="1">
        <v>2808.78</v>
      </c>
      <c r="AY1488" s="1">
        <v>2588.09</v>
      </c>
      <c r="BA1488" s="1">
        <v>87.03</v>
      </c>
      <c r="BB1488" s="1">
        <v>94.08</v>
      </c>
      <c r="BC1488" s="1">
        <v>92.71</v>
      </c>
      <c r="BD1488" s="1">
        <v>90.56</v>
      </c>
      <c r="BE1488" s="1">
        <v>90.23</v>
      </c>
      <c r="BF1488" s="1">
        <v>88.94</v>
      </c>
      <c r="BG1488" s="1">
        <v>95.57</v>
      </c>
      <c r="BI1488" s="1">
        <v>91.09</v>
      </c>
      <c r="BJ1488" s="1">
        <v>96.32</v>
      </c>
      <c r="BL1488" s="1">
        <v>81.93</v>
      </c>
      <c r="BN1488" s="1">
        <v>81.88</v>
      </c>
    </row>
    <row r="1489" spans="1:66" x14ac:dyDescent="0.3">
      <c r="A1489" s="2"/>
      <c r="C1489" s="14" t="str">
        <f t="shared" si="24"/>
        <v>20204</v>
      </c>
      <c r="D1489" s="3">
        <v>43934</v>
      </c>
      <c r="E1489" s="21">
        <v>1708.67</v>
      </c>
      <c r="F1489" s="21">
        <v>1670.75</v>
      </c>
      <c r="G1489" s="21">
        <v>1718.7</v>
      </c>
      <c r="H1489" s="21">
        <v>1460.18</v>
      </c>
      <c r="I1489" s="21">
        <v>1650.3</v>
      </c>
      <c r="J1489" s="21">
        <v>1610.2</v>
      </c>
      <c r="K1489" s="21">
        <v>1723.57</v>
      </c>
      <c r="L1489" s="21">
        <v>1600.05</v>
      </c>
      <c r="M1489" s="21"/>
      <c r="N1489" s="21">
        <v>1464.11</v>
      </c>
      <c r="O1489" s="21">
        <v>1723.33</v>
      </c>
      <c r="P1489" s="21">
        <v>1702.6</v>
      </c>
      <c r="Q1489" s="21">
        <v>3405.63</v>
      </c>
      <c r="R1489" s="20">
        <v>84.08</v>
      </c>
      <c r="S1489" s="20">
        <v>80.739999999999995</v>
      </c>
      <c r="T1489" s="21">
        <v>88.15</v>
      </c>
      <c r="U1489" s="1">
        <v>86.32</v>
      </c>
      <c r="V1489" s="1">
        <v>79.989999999999995</v>
      </c>
      <c r="W1489" s="1">
        <v>89.58</v>
      </c>
      <c r="X1489" s="1">
        <v>88.4</v>
      </c>
      <c r="Y1489" s="1">
        <v>84.64</v>
      </c>
      <c r="Z1489" s="1">
        <v>85</v>
      </c>
      <c r="AA1489" s="1">
        <v>85.07</v>
      </c>
      <c r="AB1489" s="1">
        <v>88.61</v>
      </c>
      <c r="AE1489" s="1">
        <v>95.3</v>
      </c>
      <c r="AF1489" s="1">
        <v>89.69</v>
      </c>
      <c r="AG1489" s="1">
        <v>84.52</v>
      </c>
      <c r="AP1489" s="1">
        <v>2180</v>
      </c>
      <c r="AS1489" s="1">
        <v>2808.78</v>
      </c>
      <c r="AY1489" s="1">
        <v>2588.09</v>
      </c>
      <c r="BA1489" s="1">
        <v>87.43</v>
      </c>
      <c r="BB1489" s="1">
        <v>94.28</v>
      </c>
      <c r="BC1489" s="1">
        <v>92.39</v>
      </c>
      <c r="BD1489" s="1">
        <v>91.11</v>
      </c>
      <c r="BE1489" s="1">
        <v>92.24</v>
      </c>
      <c r="BF1489" s="1">
        <v>85.43</v>
      </c>
      <c r="BG1489" s="1">
        <v>95.32</v>
      </c>
      <c r="BI1489" s="1">
        <v>91.09</v>
      </c>
      <c r="BJ1489" s="1">
        <v>96.32</v>
      </c>
      <c r="BL1489" s="1">
        <v>82</v>
      </c>
      <c r="BN1489" s="1">
        <v>81.75</v>
      </c>
    </row>
    <row r="1490" spans="1:66" x14ac:dyDescent="0.3">
      <c r="A1490" s="2"/>
      <c r="C1490" s="14" t="str">
        <f t="shared" si="24"/>
        <v>20204</v>
      </c>
      <c r="D1490" s="3">
        <v>43930</v>
      </c>
      <c r="E1490" s="21">
        <v>1717.71</v>
      </c>
      <c r="F1490" s="21">
        <v>1672.82</v>
      </c>
      <c r="G1490" s="21">
        <v>1727.72</v>
      </c>
      <c r="H1490" s="21"/>
      <c r="I1490" s="21">
        <v>1650.3</v>
      </c>
      <c r="J1490" s="21">
        <v>1558.86</v>
      </c>
      <c r="K1490" s="21">
        <v>1747.19</v>
      </c>
      <c r="L1490" s="21">
        <v>1642.57</v>
      </c>
      <c r="M1490" s="21"/>
      <c r="N1490" s="21">
        <v>1464.15</v>
      </c>
      <c r="O1490" s="21">
        <v>1736.67</v>
      </c>
      <c r="P1490" s="21">
        <v>1717.35</v>
      </c>
      <c r="Q1490" s="21">
        <v>3433.72</v>
      </c>
      <c r="R1490" s="20">
        <v>83.44</v>
      </c>
      <c r="S1490" s="20">
        <v>79.63</v>
      </c>
      <c r="T1490" s="21">
        <v>86.03</v>
      </c>
      <c r="V1490" s="1">
        <v>80.319999999999993</v>
      </c>
      <c r="W1490" s="1">
        <v>89.4</v>
      </c>
      <c r="X1490" s="1">
        <v>89.09</v>
      </c>
      <c r="Y1490" s="1">
        <v>84.84</v>
      </c>
      <c r="Z1490" s="1">
        <v>84.99</v>
      </c>
      <c r="AA1490" s="1">
        <v>84.66</v>
      </c>
      <c r="AB1490" s="1">
        <v>89.88</v>
      </c>
      <c r="AE1490" s="1">
        <v>94.94</v>
      </c>
      <c r="AF1490" s="1">
        <v>88.38</v>
      </c>
      <c r="AG1490" s="1">
        <v>85.04</v>
      </c>
      <c r="AP1490" s="1">
        <v>2180</v>
      </c>
      <c r="AS1490" s="1">
        <v>2808.78</v>
      </c>
      <c r="AY1490" s="1">
        <v>2575.5500000000002</v>
      </c>
      <c r="BA1490" s="1">
        <v>88.52</v>
      </c>
      <c r="BB1490" s="1">
        <v>93.89</v>
      </c>
      <c r="BC1490" s="1">
        <v>91.81</v>
      </c>
      <c r="BD1490" s="1">
        <v>90.9</v>
      </c>
      <c r="BE1490" s="1">
        <v>88.19</v>
      </c>
      <c r="BF1490" s="1">
        <v>86.09</v>
      </c>
      <c r="BG1490" s="1">
        <v>94.92</v>
      </c>
      <c r="BI1490" s="1">
        <v>91.09</v>
      </c>
      <c r="BJ1490" s="1">
        <v>96.26</v>
      </c>
      <c r="BL1490" s="1">
        <v>82.81</v>
      </c>
      <c r="BN1490" s="1">
        <v>81.08</v>
      </c>
    </row>
    <row r="1491" spans="1:66" x14ac:dyDescent="0.3">
      <c r="A1491" s="2"/>
      <c r="C1491" s="14" t="str">
        <f t="shared" si="24"/>
        <v>20204</v>
      </c>
      <c r="D1491" s="3">
        <v>43929</v>
      </c>
      <c r="E1491" s="21">
        <v>1742.44</v>
      </c>
      <c r="F1491" s="21">
        <v>1673.1</v>
      </c>
      <c r="G1491" s="21">
        <v>1735.94</v>
      </c>
      <c r="H1491" s="21"/>
      <c r="I1491" s="21">
        <v>1628.17</v>
      </c>
      <c r="J1491" s="21">
        <v>1618.29</v>
      </c>
      <c r="K1491" s="21">
        <v>1771.44</v>
      </c>
      <c r="L1491" s="21">
        <v>1672.29</v>
      </c>
      <c r="M1491" s="21"/>
      <c r="N1491" s="21">
        <v>1469.7</v>
      </c>
      <c r="O1491" s="21">
        <v>1606.19</v>
      </c>
      <c r="P1491" s="21">
        <v>1728.34</v>
      </c>
      <c r="Q1491" s="21">
        <v>3409.12</v>
      </c>
      <c r="R1491" s="20">
        <v>83.52</v>
      </c>
      <c r="S1491" s="20">
        <v>79.64</v>
      </c>
      <c r="T1491" s="21">
        <v>86.44</v>
      </c>
      <c r="W1491" s="1">
        <v>88.49</v>
      </c>
      <c r="X1491" s="1">
        <v>90.19</v>
      </c>
      <c r="Y1491" s="1">
        <v>85.36</v>
      </c>
      <c r="Z1491" s="1">
        <v>85.99</v>
      </c>
      <c r="AA1491" s="1">
        <v>84.94</v>
      </c>
      <c r="AB1491" s="1">
        <v>90.67</v>
      </c>
      <c r="AE1491" s="1">
        <v>95.19</v>
      </c>
      <c r="AF1491" s="1">
        <v>89.03</v>
      </c>
      <c r="AG1491" s="1">
        <v>84.93</v>
      </c>
      <c r="AP1491" s="1">
        <v>2180</v>
      </c>
      <c r="AS1491" s="1">
        <v>2808.78</v>
      </c>
      <c r="AY1491" s="1">
        <v>2575.5500000000002</v>
      </c>
      <c r="BA1491" s="1">
        <v>89.86</v>
      </c>
      <c r="BB1491" s="1">
        <v>94.57</v>
      </c>
      <c r="BC1491" s="1">
        <v>92.19</v>
      </c>
      <c r="BD1491" s="1">
        <v>91.66</v>
      </c>
      <c r="BE1491" s="1">
        <v>88.19</v>
      </c>
      <c r="BF1491" s="1">
        <v>86.33</v>
      </c>
      <c r="BG1491" s="1">
        <v>95.81</v>
      </c>
      <c r="BH1491" s="1">
        <v>88.85</v>
      </c>
      <c r="BI1491" s="1">
        <v>91.62</v>
      </c>
      <c r="BJ1491" s="1">
        <v>95.83</v>
      </c>
      <c r="BL1491" s="1">
        <v>81.31</v>
      </c>
      <c r="BN1491" s="1">
        <v>81.260000000000005</v>
      </c>
    </row>
    <row r="1492" spans="1:66" x14ac:dyDescent="0.3">
      <c r="A1492" s="2"/>
      <c r="C1492" s="14" t="str">
        <f t="shared" si="24"/>
        <v>20204</v>
      </c>
      <c r="D1492" s="3">
        <v>43928</v>
      </c>
      <c r="E1492" s="21">
        <v>1739.14</v>
      </c>
      <c r="F1492" s="21">
        <v>1673.35</v>
      </c>
      <c r="G1492" s="21">
        <v>1732.66</v>
      </c>
      <c r="H1492" s="21"/>
      <c r="I1492" s="21">
        <v>1647.84</v>
      </c>
      <c r="J1492" s="21">
        <v>1669.92</v>
      </c>
      <c r="K1492" s="21">
        <v>1765.06</v>
      </c>
      <c r="L1492" s="21">
        <v>1672.29</v>
      </c>
      <c r="M1492" s="21"/>
      <c r="N1492" s="21">
        <v>1487.53</v>
      </c>
      <c r="O1492" s="21"/>
      <c r="P1492" s="21">
        <v>1737.23</v>
      </c>
      <c r="Q1492" s="21">
        <v>3399.53</v>
      </c>
      <c r="R1492" s="20">
        <v>83.28</v>
      </c>
      <c r="S1492" s="20">
        <v>79.040000000000006</v>
      </c>
      <c r="T1492" s="21">
        <v>86.32</v>
      </c>
      <c r="W1492" s="1">
        <v>88.97</v>
      </c>
      <c r="X1492" s="1">
        <v>89.72</v>
      </c>
      <c r="Y1492" s="1">
        <v>85.36</v>
      </c>
      <c r="Z1492" s="1">
        <v>85.99</v>
      </c>
      <c r="AA1492" s="1">
        <v>84.31</v>
      </c>
      <c r="AB1492" s="1">
        <v>90.32</v>
      </c>
      <c r="AE1492" s="1">
        <v>95.14</v>
      </c>
      <c r="AF1492" s="1">
        <v>89.03</v>
      </c>
      <c r="AG1492" s="1">
        <v>84.9</v>
      </c>
      <c r="AP1492" s="1">
        <v>2335</v>
      </c>
      <c r="AW1492" s="1">
        <v>2061.44</v>
      </c>
      <c r="AY1492" s="1">
        <v>2575.5500000000002</v>
      </c>
      <c r="BA1492" s="1">
        <v>89.33</v>
      </c>
      <c r="BB1492" s="1">
        <v>94.75</v>
      </c>
      <c r="BC1492" s="1">
        <v>92.27</v>
      </c>
      <c r="BD1492" s="1">
        <v>91.2</v>
      </c>
      <c r="BE1492" s="1">
        <v>87.88</v>
      </c>
      <c r="BF1492" s="1">
        <v>85.5</v>
      </c>
      <c r="BG1492" s="1">
        <v>95.22</v>
      </c>
      <c r="BH1492" s="1">
        <v>88.05</v>
      </c>
      <c r="BI1492" s="1">
        <v>91.62</v>
      </c>
      <c r="BJ1492" s="1">
        <v>95.81</v>
      </c>
      <c r="BL1492" s="1">
        <v>81.93</v>
      </c>
      <c r="BN1492" s="1">
        <v>81.28</v>
      </c>
    </row>
    <row r="1493" spans="1:66" x14ac:dyDescent="0.3">
      <c r="A1493" s="2"/>
      <c r="C1493" s="14" t="str">
        <f t="shared" si="24"/>
        <v>20204</v>
      </c>
      <c r="D1493" s="3">
        <v>43927</v>
      </c>
      <c r="E1493" s="21">
        <v>1765.72</v>
      </c>
      <c r="F1493" s="21">
        <v>1650.94</v>
      </c>
      <c r="G1493" s="21">
        <v>1770.76</v>
      </c>
      <c r="H1493" s="21"/>
      <c r="I1493" s="21">
        <v>1647.84</v>
      </c>
      <c r="J1493" s="21">
        <v>1655.65</v>
      </c>
      <c r="K1493" s="21">
        <v>1765.06</v>
      </c>
      <c r="L1493" s="21">
        <v>1726.75</v>
      </c>
      <c r="M1493" s="21">
        <v>1609.5</v>
      </c>
      <c r="N1493" s="21">
        <v>1531.29</v>
      </c>
      <c r="O1493" s="21">
        <v>1746.14</v>
      </c>
      <c r="P1493" s="21">
        <v>1727.81</v>
      </c>
      <c r="Q1493" s="21">
        <v>3408.83</v>
      </c>
      <c r="R1493" s="20">
        <v>81.290000000000006</v>
      </c>
      <c r="S1493" s="20">
        <v>78.86</v>
      </c>
      <c r="T1493" s="21">
        <v>86.29</v>
      </c>
      <c r="W1493" s="1">
        <v>89.45</v>
      </c>
      <c r="X1493" s="1">
        <v>89.72</v>
      </c>
      <c r="Y1493" s="1">
        <v>85.1</v>
      </c>
      <c r="Z1493" s="1">
        <v>85.5</v>
      </c>
      <c r="AA1493" s="1">
        <v>84.36</v>
      </c>
      <c r="AB1493" s="1">
        <v>90.32</v>
      </c>
      <c r="AE1493" s="1">
        <v>94.94</v>
      </c>
      <c r="AF1493" s="1">
        <v>89.36</v>
      </c>
      <c r="AG1493" s="1">
        <v>83.76</v>
      </c>
      <c r="AK1493" s="1">
        <v>15</v>
      </c>
      <c r="AP1493" s="1">
        <v>2470</v>
      </c>
      <c r="AS1493" s="1">
        <v>2899.75</v>
      </c>
      <c r="AW1493" s="1">
        <v>2012.29</v>
      </c>
      <c r="AY1493" s="1">
        <v>2575.5500000000002</v>
      </c>
      <c r="BA1493" s="1">
        <v>90.98</v>
      </c>
      <c r="BB1493" s="1">
        <v>94.2</v>
      </c>
      <c r="BC1493" s="1">
        <v>92.48</v>
      </c>
      <c r="BD1493" s="1">
        <v>91.57</v>
      </c>
      <c r="BE1493" s="1">
        <v>87.56</v>
      </c>
      <c r="BF1493" s="1">
        <v>87.24</v>
      </c>
      <c r="BG1493" s="1">
        <v>95.21</v>
      </c>
      <c r="BH1493" s="1">
        <v>87.63</v>
      </c>
      <c r="BI1493" s="1">
        <v>91.16</v>
      </c>
      <c r="BJ1493" s="1">
        <v>95.98</v>
      </c>
      <c r="BL1493" s="1">
        <v>81.8</v>
      </c>
      <c r="BN1493" s="1">
        <v>81.27</v>
      </c>
    </row>
    <row r="1494" spans="1:66" x14ac:dyDescent="0.3">
      <c r="A1494" s="2"/>
      <c r="C1494" s="14" t="str">
        <f t="shared" si="24"/>
        <v>20204</v>
      </c>
      <c r="D1494" s="3">
        <v>43924</v>
      </c>
      <c r="E1494" s="21">
        <v>1777.28</v>
      </c>
      <c r="F1494" s="21">
        <v>1646.37</v>
      </c>
      <c r="G1494" s="21">
        <v>1765.9</v>
      </c>
      <c r="H1494" s="21"/>
      <c r="I1494" s="21">
        <v>1638.01</v>
      </c>
      <c r="J1494" s="21">
        <v>1630.55</v>
      </c>
      <c r="K1494" s="21">
        <v>1727.66</v>
      </c>
      <c r="L1494" s="21">
        <v>1692.1</v>
      </c>
      <c r="M1494" s="21">
        <v>1686.45</v>
      </c>
      <c r="N1494" s="21">
        <v>1550.94</v>
      </c>
      <c r="O1494" s="21">
        <v>1748.42</v>
      </c>
      <c r="P1494" s="21">
        <v>1727.81</v>
      </c>
      <c r="Q1494" s="21">
        <v>3408.83</v>
      </c>
      <c r="R1494" s="20">
        <v>81.290000000000006</v>
      </c>
      <c r="S1494" s="20">
        <v>79.510000000000005</v>
      </c>
      <c r="T1494" s="21">
        <v>86.63</v>
      </c>
      <c r="W1494" s="1">
        <v>90.64</v>
      </c>
      <c r="X1494" s="1">
        <v>89.32</v>
      </c>
      <c r="Y1494" s="1">
        <v>85.13</v>
      </c>
      <c r="Z1494" s="1">
        <v>85.49</v>
      </c>
      <c r="AA1494" s="1">
        <v>84.5</v>
      </c>
      <c r="AB1494" s="1">
        <v>89.68</v>
      </c>
      <c r="AE1494" s="1">
        <v>96.1</v>
      </c>
      <c r="AF1494" s="1">
        <v>89.88</v>
      </c>
      <c r="AG1494" s="1">
        <v>84.11</v>
      </c>
      <c r="AK1494" s="1">
        <v>15</v>
      </c>
      <c r="AP1494" s="1">
        <v>2470</v>
      </c>
      <c r="AS1494" s="1">
        <v>2899.75</v>
      </c>
      <c r="AW1494" s="1">
        <v>2012.29</v>
      </c>
      <c r="AY1494" s="1">
        <v>2542.9499999999998</v>
      </c>
      <c r="BA1494" s="1">
        <v>90.79</v>
      </c>
      <c r="BB1494" s="1">
        <v>94.35</v>
      </c>
      <c r="BC1494" s="1">
        <v>92.43</v>
      </c>
      <c r="BD1494" s="1">
        <v>92.62</v>
      </c>
      <c r="BE1494" s="1">
        <v>87.56</v>
      </c>
      <c r="BF1494" s="1">
        <v>87.24</v>
      </c>
      <c r="BG1494" s="1">
        <v>95.61</v>
      </c>
      <c r="BH1494" s="1">
        <v>86.36</v>
      </c>
      <c r="BI1494" s="1">
        <v>90.62</v>
      </c>
      <c r="BJ1494" s="1">
        <v>95.95</v>
      </c>
      <c r="BL1494" s="1">
        <v>81.319999999999993</v>
      </c>
      <c r="BN1494" s="1">
        <v>81.73</v>
      </c>
    </row>
    <row r="1495" spans="1:66" x14ac:dyDescent="0.3">
      <c r="A1495" s="2"/>
      <c r="C1495" s="14" t="str">
        <f t="shared" si="24"/>
        <v>20204</v>
      </c>
      <c r="D1495" s="3">
        <v>43923</v>
      </c>
      <c r="E1495" s="21">
        <v>1785.3</v>
      </c>
      <c r="F1495" s="21">
        <v>1642</v>
      </c>
      <c r="G1495" s="21">
        <v>1760.92</v>
      </c>
      <c r="H1495" s="21"/>
      <c r="I1495" s="21">
        <v>1638.01</v>
      </c>
      <c r="J1495" s="21">
        <v>1646.51</v>
      </c>
      <c r="K1495" s="21">
        <v>1750.86</v>
      </c>
      <c r="L1495" s="21">
        <v>1744.09</v>
      </c>
      <c r="M1495" s="21">
        <v>1710.3</v>
      </c>
      <c r="N1495" s="21">
        <v>1527.24</v>
      </c>
      <c r="O1495" s="21">
        <v>1754.56</v>
      </c>
      <c r="P1495" s="21">
        <v>1727.81</v>
      </c>
      <c r="Q1495" s="21">
        <v>3413.97</v>
      </c>
      <c r="R1495" s="20">
        <v>81.290000000000006</v>
      </c>
      <c r="S1495" s="20">
        <v>79.739999999999995</v>
      </c>
      <c r="T1495" s="21">
        <v>86.15</v>
      </c>
      <c r="W1495" s="1">
        <v>89.51</v>
      </c>
      <c r="X1495" s="1">
        <v>89.25</v>
      </c>
      <c r="Y1495" s="1">
        <v>85.1</v>
      </c>
      <c r="Z1495" s="1">
        <v>85.5</v>
      </c>
      <c r="AA1495" s="1">
        <v>84.06</v>
      </c>
      <c r="AB1495" s="1">
        <v>89.68</v>
      </c>
      <c r="AE1495" s="1">
        <v>95.99</v>
      </c>
      <c r="AF1495" s="1">
        <v>88.61</v>
      </c>
      <c r="AG1495" s="1">
        <v>86.42</v>
      </c>
      <c r="AK1495" s="1">
        <v>15</v>
      </c>
      <c r="AP1495" s="1">
        <v>2470</v>
      </c>
      <c r="AS1495" s="1">
        <v>2899.75</v>
      </c>
      <c r="AU1495" s="1">
        <v>2106.58</v>
      </c>
      <c r="AW1495" s="1">
        <v>2012.29</v>
      </c>
      <c r="BA1495" s="1">
        <v>90.43</v>
      </c>
      <c r="BB1495" s="1">
        <v>94.58</v>
      </c>
      <c r="BC1495" s="1">
        <v>91.76</v>
      </c>
      <c r="BD1495" s="1">
        <v>91.79</v>
      </c>
      <c r="BE1495" s="1">
        <v>87.56</v>
      </c>
      <c r="BF1495" s="1">
        <v>86.74</v>
      </c>
      <c r="BG1495" s="1">
        <v>95.52</v>
      </c>
      <c r="BH1495" s="1">
        <v>87.28</v>
      </c>
      <c r="BI1495" s="1">
        <v>90.49</v>
      </c>
      <c r="BJ1495" s="1">
        <v>95.74</v>
      </c>
      <c r="BL1495" s="1">
        <v>81.319999999999993</v>
      </c>
      <c r="BN1495" s="1">
        <v>81.73</v>
      </c>
    </row>
    <row r="1496" spans="1:66" x14ac:dyDescent="0.3">
      <c r="A1496" s="2"/>
      <c r="C1496" s="14" t="str">
        <f t="shared" si="24"/>
        <v>20204</v>
      </c>
      <c r="D1496" s="3">
        <v>43922</v>
      </c>
      <c r="E1496" s="21">
        <v>1795.55</v>
      </c>
      <c r="F1496" s="21">
        <v>1630.91</v>
      </c>
      <c r="G1496" s="21">
        <v>1758.5</v>
      </c>
      <c r="H1496" s="21"/>
      <c r="I1496" s="21">
        <v>1659.32</v>
      </c>
      <c r="J1496" s="21">
        <v>1677.67</v>
      </c>
      <c r="K1496" s="21">
        <v>1750.86</v>
      </c>
      <c r="L1496" s="21">
        <v>1744.09</v>
      </c>
      <c r="M1496" s="21">
        <v>1690.67</v>
      </c>
      <c r="N1496" s="21">
        <v>1545.46</v>
      </c>
      <c r="O1496" s="21">
        <v>1750.04</v>
      </c>
      <c r="P1496" s="21">
        <v>1747.15</v>
      </c>
      <c r="Q1496" s="21">
        <v>3613.33</v>
      </c>
      <c r="R1496" s="20">
        <v>81.290000000000006</v>
      </c>
      <c r="S1496" s="20">
        <v>79.05</v>
      </c>
      <c r="T1496" s="21">
        <v>86.01</v>
      </c>
      <c r="V1496" s="1">
        <v>81.23</v>
      </c>
      <c r="W1496" s="1">
        <v>89.29</v>
      </c>
      <c r="X1496" s="1">
        <v>90.15</v>
      </c>
      <c r="Y1496" s="1">
        <v>85.13</v>
      </c>
      <c r="Z1496" s="1">
        <v>85.49</v>
      </c>
      <c r="AA1496" s="1">
        <v>83.92</v>
      </c>
      <c r="AB1496" s="1">
        <v>89.85</v>
      </c>
      <c r="AC1496" s="1">
        <v>80.25</v>
      </c>
      <c r="AE1496" s="1">
        <v>95.86</v>
      </c>
      <c r="AF1496" s="1">
        <v>89.03</v>
      </c>
      <c r="AG1496" s="1">
        <v>81.319999999999993</v>
      </c>
      <c r="AK1496" s="1">
        <v>15</v>
      </c>
      <c r="AP1496" s="1">
        <v>2470</v>
      </c>
      <c r="AS1496" s="1">
        <v>2802.55</v>
      </c>
      <c r="AU1496" s="1">
        <v>2106.58</v>
      </c>
      <c r="AW1496" s="1">
        <v>2012.29</v>
      </c>
      <c r="AZ1496" s="1">
        <v>2843.89</v>
      </c>
      <c r="BB1496" s="1">
        <v>93.89</v>
      </c>
      <c r="BC1496" s="1">
        <v>91.48</v>
      </c>
      <c r="BD1496" s="1">
        <v>91.85</v>
      </c>
      <c r="BE1496" s="1">
        <v>86.89</v>
      </c>
      <c r="BF1496" s="1">
        <v>86.24</v>
      </c>
      <c r="BG1496" s="1">
        <v>95.36</v>
      </c>
      <c r="BH1496" s="1">
        <v>87.06</v>
      </c>
      <c r="BI1496" s="1">
        <v>90.49</v>
      </c>
      <c r="BJ1496" s="1">
        <v>95.97</v>
      </c>
      <c r="BL1496" s="1">
        <v>81.8</v>
      </c>
      <c r="BN1496" s="1">
        <v>81.73</v>
      </c>
    </row>
    <row r="1497" spans="1:66" x14ac:dyDescent="0.3">
      <c r="A1497" s="2"/>
      <c r="C1497" s="14" t="str">
        <f t="shared" si="24"/>
        <v>20203</v>
      </c>
      <c r="D1497" s="3">
        <v>43921</v>
      </c>
      <c r="E1497" s="21">
        <v>1795.6</v>
      </c>
      <c r="F1497" s="21">
        <v>1625.54</v>
      </c>
      <c r="G1497" s="21">
        <v>1751.13</v>
      </c>
      <c r="H1497" s="21">
        <v>1702.51</v>
      </c>
      <c r="I1497" s="21">
        <v>1628.17</v>
      </c>
      <c r="J1497" s="21">
        <v>1682.45</v>
      </c>
      <c r="K1497" s="21">
        <v>1682.13</v>
      </c>
      <c r="L1497" s="21"/>
      <c r="M1497" s="21">
        <v>1720.33</v>
      </c>
      <c r="N1497" s="21">
        <v>1624.07</v>
      </c>
      <c r="O1497" s="21">
        <v>1733.33</v>
      </c>
      <c r="P1497" s="21">
        <v>1715.93</v>
      </c>
      <c r="Q1497" s="21">
        <v>3607.59</v>
      </c>
      <c r="R1497" s="20">
        <v>81.599999999999994</v>
      </c>
      <c r="S1497" s="20">
        <v>78.84</v>
      </c>
      <c r="T1497" s="21">
        <v>88.74</v>
      </c>
      <c r="V1497" s="1">
        <v>80.09</v>
      </c>
      <c r="W1497" s="1">
        <v>88.58</v>
      </c>
      <c r="X1497" s="1">
        <v>90.15</v>
      </c>
      <c r="Y1497" s="1">
        <v>85.13</v>
      </c>
      <c r="Z1497" s="1">
        <v>85.49</v>
      </c>
      <c r="AA1497" s="1">
        <v>84.89</v>
      </c>
      <c r="AB1497" s="1">
        <v>90.22</v>
      </c>
      <c r="AC1497" s="1">
        <v>82.17</v>
      </c>
      <c r="AE1497" s="1">
        <v>95.53</v>
      </c>
      <c r="AF1497" s="1">
        <v>89.96</v>
      </c>
      <c r="AG1497" s="1">
        <v>78.03</v>
      </c>
      <c r="AK1497" s="1">
        <v>15</v>
      </c>
      <c r="AS1497" s="1">
        <v>2802.55</v>
      </c>
      <c r="AU1497" s="1">
        <v>2106.58</v>
      </c>
      <c r="AW1497" s="1">
        <v>1979.52</v>
      </c>
      <c r="AZ1497" s="1">
        <v>2843.89</v>
      </c>
      <c r="BB1497" s="1">
        <v>94.11</v>
      </c>
      <c r="BC1497" s="1">
        <v>91.67</v>
      </c>
      <c r="BD1497" s="1">
        <v>91.62</v>
      </c>
      <c r="BE1497" s="1">
        <v>88.07</v>
      </c>
      <c r="BF1497" s="1">
        <v>85.95</v>
      </c>
      <c r="BG1497" s="1">
        <v>94.63</v>
      </c>
      <c r="BH1497" s="1">
        <v>86.01</v>
      </c>
      <c r="BI1497" s="1">
        <v>90.49</v>
      </c>
      <c r="BJ1497" s="1">
        <v>95.78</v>
      </c>
      <c r="BL1497" s="1">
        <v>81.8</v>
      </c>
      <c r="BN1497" s="1">
        <v>81.27</v>
      </c>
    </row>
    <row r="1498" spans="1:66" x14ac:dyDescent="0.3">
      <c r="A1498" s="2"/>
      <c r="C1498" s="14" t="str">
        <f t="shared" si="24"/>
        <v>20203</v>
      </c>
      <c r="D1498" s="3">
        <v>43920</v>
      </c>
      <c r="E1498" s="21">
        <v>1795.6</v>
      </c>
      <c r="F1498" s="21">
        <v>1628.13</v>
      </c>
      <c r="G1498" s="21">
        <v>1751.13</v>
      </c>
      <c r="H1498" s="21">
        <v>1656.91</v>
      </c>
      <c r="I1498" s="21">
        <v>1628.17</v>
      </c>
      <c r="J1498" s="21">
        <v>1666.26</v>
      </c>
      <c r="K1498" s="21">
        <v>1661.96</v>
      </c>
      <c r="L1498" s="21">
        <v>1753.98</v>
      </c>
      <c r="M1498" s="21">
        <v>1733.1</v>
      </c>
      <c r="N1498" s="21">
        <v>1635.92</v>
      </c>
      <c r="O1498" s="21"/>
      <c r="P1498" s="21">
        <v>1670.27</v>
      </c>
      <c r="Q1498" s="21">
        <v>3571.52</v>
      </c>
      <c r="R1498" s="20">
        <v>83.03</v>
      </c>
      <c r="S1498" s="20">
        <v>78.59</v>
      </c>
      <c r="T1498" s="21">
        <v>88.52</v>
      </c>
      <c r="V1498" s="1">
        <v>80.260000000000005</v>
      </c>
      <c r="W1498" s="1">
        <v>87.26</v>
      </c>
      <c r="X1498" s="1">
        <v>89.76</v>
      </c>
      <c r="Y1498" s="1">
        <v>85.04</v>
      </c>
      <c r="Z1498" s="1">
        <v>85.48</v>
      </c>
      <c r="AA1498" s="1">
        <v>85.32</v>
      </c>
      <c r="AB1498" s="1">
        <v>89.43</v>
      </c>
      <c r="AC1498" s="1">
        <v>81.94</v>
      </c>
      <c r="AE1498" s="1">
        <v>94.59</v>
      </c>
      <c r="AF1498" s="1">
        <v>90.39</v>
      </c>
      <c r="AG1498" s="1">
        <v>78.03</v>
      </c>
      <c r="AS1498" s="1">
        <v>2651.62</v>
      </c>
      <c r="AU1498" s="1">
        <v>2106.58</v>
      </c>
      <c r="AZ1498" s="1">
        <v>2843.89</v>
      </c>
      <c r="BB1498" s="1">
        <v>93.51</v>
      </c>
      <c r="BC1498" s="1">
        <v>90.88</v>
      </c>
      <c r="BD1498" s="1">
        <v>90.22</v>
      </c>
      <c r="BE1498" s="1">
        <v>87.98</v>
      </c>
      <c r="BF1498" s="1">
        <v>85.25</v>
      </c>
      <c r="BG1498" s="1">
        <v>94.01</v>
      </c>
      <c r="BH1498" s="1">
        <v>86.01</v>
      </c>
      <c r="BI1498" s="1">
        <v>89.6</v>
      </c>
      <c r="BJ1498" s="1">
        <v>92.72</v>
      </c>
      <c r="BL1498" s="1">
        <v>81.63</v>
      </c>
      <c r="BN1498" s="1">
        <v>81.02</v>
      </c>
    </row>
    <row r="1499" spans="1:66" x14ac:dyDescent="0.3">
      <c r="A1499" s="2"/>
      <c r="C1499" s="14" t="str">
        <f t="shared" si="24"/>
        <v>20203</v>
      </c>
      <c r="D1499" s="3">
        <v>43917</v>
      </c>
      <c r="E1499" s="21">
        <v>1783.22</v>
      </c>
      <c r="F1499" s="21">
        <v>1618.76</v>
      </c>
      <c r="G1499" s="21">
        <v>1746.17</v>
      </c>
      <c r="H1499" s="21">
        <v>1621.7</v>
      </c>
      <c r="I1499" s="21">
        <v>1603.57</v>
      </c>
      <c r="J1499" s="21">
        <v>1639.64</v>
      </c>
      <c r="K1499" s="21">
        <v>1657.54</v>
      </c>
      <c r="L1499" s="21">
        <v>1758.93</v>
      </c>
      <c r="M1499" s="21"/>
      <c r="N1499" s="21">
        <v>1587.96</v>
      </c>
      <c r="O1499" s="21">
        <v>1753.32</v>
      </c>
      <c r="P1499" s="21">
        <v>1702.7</v>
      </c>
      <c r="Q1499" s="21">
        <v>3583.33</v>
      </c>
      <c r="R1499" s="20">
        <v>81.09</v>
      </c>
      <c r="S1499" s="20">
        <v>77.81</v>
      </c>
      <c r="T1499" s="21">
        <v>86.95</v>
      </c>
      <c r="V1499" s="1">
        <v>80.61</v>
      </c>
      <c r="W1499" s="1">
        <v>86.68</v>
      </c>
      <c r="X1499" s="1">
        <v>89.57</v>
      </c>
      <c r="Y1499" s="1">
        <v>84.83</v>
      </c>
      <c r="Z1499" s="1">
        <v>85.17</v>
      </c>
      <c r="AA1499" s="1">
        <v>84.26</v>
      </c>
      <c r="AB1499" s="1">
        <v>89.22</v>
      </c>
      <c r="AC1499" s="1">
        <v>81.25</v>
      </c>
      <c r="AD1499" s="1">
        <v>82.19</v>
      </c>
      <c r="AE1499" s="1">
        <v>94.87</v>
      </c>
      <c r="AF1499" s="1">
        <v>89.66</v>
      </c>
      <c r="AS1499" s="1">
        <v>2579.73</v>
      </c>
      <c r="AU1499" s="1">
        <v>2106.58</v>
      </c>
      <c r="AX1499" s="1">
        <v>83.42</v>
      </c>
      <c r="AZ1499" s="1">
        <v>2843.89</v>
      </c>
      <c r="BA1499" s="1">
        <v>87.64</v>
      </c>
      <c r="BB1499" s="1">
        <v>92.22</v>
      </c>
      <c r="BC1499" s="1">
        <v>89.88</v>
      </c>
      <c r="BD1499" s="1">
        <v>88.65</v>
      </c>
      <c r="BE1499" s="1">
        <v>87.77</v>
      </c>
      <c r="BF1499" s="1">
        <v>86.24</v>
      </c>
      <c r="BG1499" s="1">
        <v>93.66</v>
      </c>
      <c r="BH1499" s="1">
        <v>84.77</v>
      </c>
      <c r="BI1499" s="1">
        <v>90.53</v>
      </c>
      <c r="BJ1499" s="1">
        <v>92.82</v>
      </c>
      <c r="BL1499" s="1">
        <v>81.63</v>
      </c>
      <c r="BN1499" s="1">
        <v>81.400000000000006</v>
      </c>
    </row>
    <row r="1500" spans="1:66" x14ac:dyDescent="0.3">
      <c r="A1500" s="2"/>
      <c r="C1500" s="14" t="str">
        <f t="shared" si="24"/>
        <v>20203</v>
      </c>
      <c r="D1500" s="3">
        <v>43916</v>
      </c>
      <c r="E1500" s="21">
        <v>1775.79</v>
      </c>
      <c r="F1500" s="21">
        <v>1617.8</v>
      </c>
      <c r="G1500" s="21">
        <v>1731.39</v>
      </c>
      <c r="H1500" s="21">
        <v>1646.5</v>
      </c>
      <c r="I1500" s="21">
        <v>1547.83</v>
      </c>
      <c r="J1500" s="21">
        <v>1666.81</v>
      </c>
      <c r="K1500" s="21">
        <v>1630.29</v>
      </c>
      <c r="L1500" s="21"/>
      <c r="M1500" s="21"/>
      <c r="N1500" s="21">
        <v>1581.1</v>
      </c>
      <c r="O1500" s="21">
        <v>1753.32</v>
      </c>
      <c r="P1500" s="21">
        <v>1693.87</v>
      </c>
      <c r="Q1500" s="21">
        <v>3507.17</v>
      </c>
      <c r="R1500" s="20">
        <v>81.09</v>
      </c>
      <c r="S1500" s="20">
        <v>77.69</v>
      </c>
      <c r="T1500" s="21">
        <v>87.31</v>
      </c>
      <c r="V1500" s="1">
        <v>79.83</v>
      </c>
      <c r="W1500" s="1">
        <v>86.78</v>
      </c>
      <c r="X1500" s="1">
        <v>88.41</v>
      </c>
      <c r="Y1500" s="1">
        <v>84.73</v>
      </c>
      <c r="Z1500" s="1">
        <v>84.92</v>
      </c>
      <c r="AA1500" s="1">
        <v>84.46</v>
      </c>
      <c r="AB1500" s="1">
        <v>89.21</v>
      </c>
      <c r="AE1500" s="1">
        <v>94.07</v>
      </c>
      <c r="AF1500" s="1">
        <v>90.03</v>
      </c>
      <c r="AS1500" s="1">
        <v>2579.73</v>
      </c>
      <c r="AZ1500" s="1">
        <v>2843.89</v>
      </c>
      <c r="BB1500" s="1">
        <v>92.04</v>
      </c>
      <c r="BC1500" s="1">
        <v>90.12</v>
      </c>
      <c r="BD1500" s="1">
        <v>90.95</v>
      </c>
      <c r="BE1500" s="1">
        <v>87.55</v>
      </c>
      <c r="BF1500" s="1">
        <v>86.24</v>
      </c>
      <c r="BG1500" s="1">
        <v>93.8</v>
      </c>
      <c r="BH1500" s="1">
        <v>84.47</v>
      </c>
      <c r="BI1500" s="1">
        <v>89.34</v>
      </c>
      <c r="BJ1500" s="1">
        <v>94.81</v>
      </c>
      <c r="BL1500" s="1">
        <v>81.06</v>
      </c>
      <c r="BN1500" s="1">
        <v>81.260000000000005</v>
      </c>
    </row>
    <row r="1501" spans="1:66" x14ac:dyDescent="0.3">
      <c r="A1501" s="2"/>
      <c r="C1501" s="14" t="str">
        <f t="shared" si="24"/>
        <v>20203</v>
      </c>
      <c r="D1501" s="3">
        <v>43915</v>
      </c>
      <c r="E1501" s="21">
        <v>1780.78</v>
      </c>
      <c r="F1501" s="21">
        <v>1616.39</v>
      </c>
      <c r="G1501" s="21">
        <v>1698.38</v>
      </c>
      <c r="H1501" s="21"/>
      <c r="I1501" s="21"/>
      <c r="J1501" s="21">
        <v>1641.61</v>
      </c>
      <c r="K1501" s="21">
        <v>1647.62</v>
      </c>
      <c r="L1501" s="21">
        <v>1719.34</v>
      </c>
      <c r="M1501" s="21"/>
      <c r="N1501" s="21">
        <v>1572.74</v>
      </c>
      <c r="O1501" s="21"/>
      <c r="P1501" s="21">
        <v>1696.09</v>
      </c>
      <c r="Q1501" s="21">
        <v>3578.98</v>
      </c>
      <c r="R1501" s="20">
        <v>79.58</v>
      </c>
      <c r="S1501" s="20">
        <v>78.7</v>
      </c>
      <c r="T1501" s="21">
        <v>86.27</v>
      </c>
      <c r="W1501" s="1">
        <v>86.38</v>
      </c>
      <c r="X1501" s="1">
        <v>88.89</v>
      </c>
      <c r="Y1501" s="1">
        <v>84.94</v>
      </c>
      <c r="Z1501" s="1">
        <v>84.75</v>
      </c>
      <c r="AA1501" s="1">
        <v>84.24</v>
      </c>
      <c r="AB1501" s="1">
        <v>88.53</v>
      </c>
      <c r="AE1501" s="1">
        <v>94.65</v>
      </c>
      <c r="AF1501" s="1">
        <v>87.62</v>
      </c>
      <c r="AG1501" s="1">
        <v>81.459999999999994</v>
      </c>
      <c r="AS1501" s="1">
        <v>2574.04</v>
      </c>
      <c r="BB1501" s="1">
        <v>90.75</v>
      </c>
      <c r="BC1501" s="1">
        <v>89.98</v>
      </c>
      <c r="BD1501" s="1">
        <v>88.27</v>
      </c>
      <c r="BE1501" s="1">
        <v>87.23</v>
      </c>
      <c r="BF1501" s="1">
        <v>86.9</v>
      </c>
      <c r="BG1501" s="1">
        <v>94.76</v>
      </c>
      <c r="BH1501" s="1">
        <v>84.08</v>
      </c>
      <c r="BI1501" s="1">
        <v>89.66</v>
      </c>
      <c r="BJ1501" s="1">
        <v>92.87</v>
      </c>
      <c r="BL1501" s="1">
        <v>81.56</v>
      </c>
      <c r="BN1501" s="1">
        <v>81.510000000000005</v>
      </c>
    </row>
    <row r="1502" spans="1:66" x14ac:dyDescent="0.3">
      <c r="A1502" s="2"/>
      <c r="C1502" s="14" t="str">
        <f t="shared" si="24"/>
        <v>20203</v>
      </c>
      <c r="D1502" s="3">
        <v>43914</v>
      </c>
      <c r="E1502" s="21">
        <v>1775.82</v>
      </c>
      <c r="F1502" s="21">
        <v>1604.78</v>
      </c>
      <c r="G1502" s="21">
        <v>1696.82</v>
      </c>
      <c r="H1502" s="21"/>
      <c r="I1502" s="21"/>
      <c r="J1502" s="21">
        <v>1560.73</v>
      </c>
      <c r="K1502" s="21">
        <v>1711.09</v>
      </c>
      <c r="L1502" s="21"/>
      <c r="M1502" s="21"/>
      <c r="N1502" s="21">
        <v>1602.16</v>
      </c>
      <c r="O1502" s="21"/>
      <c r="P1502" s="21"/>
      <c r="Q1502" s="21">
        <v>3616.67</v>
      </c>
      <c r="R1502" s="20">
        <v>80.959999999999994</v>
      </c>
      <c r="S1502" s="20"/>
      <c r="T1502" s="21">
        <v>85.41</v>
      </c>
      <c r="W1502" s="1">
        <v>86.62</v>
      </c>
      <c r="X1502" s="1">
        <v>88.16</v>
      </c>
      <c r="Y1502" s="1">
        <v>85.14</v>
      </c>
      <c r="Z1502" s="1">
        <v>84.92</v>
      </c>
      <c r="AA1502" s="1">
        <v>85.08</v>
      </c>
      <c r="AB1502" s="1">
        <v>88.28</v>
      </c>
      <c r="AE1502" s="1">
        <v>94.3</v>
      </c>
      <c r="AF1502" s="1">
        <v>87.56</v>
      </c>
      <c r="AG1502" s="1">
        <v>79.13</v>
      </c>
      <c r="AK1502" s="1">
        <v>0</v>
      </c>
      <c r="AS1502" s="1">
        <v>2563.0100000000002</v>
      </c>
      <c r="BB1502" s="1">
        <v>90.57</v>
      </c>
      <c r="BC1502" s="1">
        <v>89.33</v>
      </c>
      <c r="BD1502" s="1">
        <v>88.85</v>
      </c>
      <c r="BE1502" s="1">
        <v>86.99</v>
      </c>
      <c r="BF1502" s="1">
        <v>86.52</v>
      </c>
      <c r="BG1502" s="1">
        <v>93.6</v>
      </c>
      <c r="BH1502" s="1">
        <v>84.08</v>
      </c>
      <c r="BI1502" s="1">
        <v>89.66</v>
      </c>
      <c r="BJ1502" s="1">
        <v>91.43</v>
      </c>
    </row>
    <row r="1503" spans="1:66" x14ac:dyDescent="0.3">
      <c r="A1503" s="2"/>
      <c r="C1503" s="14" t="str">
        <f t="shared" si="24"/>
        <v>20203</v>
      </c>
      <c r="D1503" s="3">
        <v>43913</v>
      </c>
      <c r="E1503" s="21">
        <v>1776.03</v>
      </c>
      <c r="F1503" s="21">
        <v>1608.22</v>
      </c>
      <c r="G1503" s="21">
        <v>1657.42</v>
      </c>
      <c r="H1503" s="21"/>
      <c r="I1503" s="21"/>
      <c r="J1503" s="21">
        <v>1566.67</v>
      </c>
      <c r="K1503" s="21"/>
      <c r="L1503" s="21"/>
      <c r="M1503" s="21">
        <v>1590.24</v>
      </c>
      <c r="N1503" s="21">
        <v>1586.41</v>
      </c>
      <c r="O1503" s="21">
        <v>1631.46</v>
      </c>
      <c r="P1503" s="21"/>
      <c r="Q1503" s="21">
        <v>3616.67</v>
      </c>
      <c r="R1503" s="20">
        <v>80.959999999999994</v>
      </c>
      <c r="S1503" s="20"/>
      <c r="T1503" s="21">
        <v>84.37</v>
      </c>
      <c r="W1503" s="1">
        <v>86.23</v>
      </c>
      <c r="X1503" s="1">
        <v>87.36</v>
      </c>
      <c r="Y1503" s="1">
        <v>85.67</v>
      </c>
      <c r="Z1503" s="1">
        <v>85.63</v>
      </c>
      <c r="AA1503" s="1">
        <v>84.32</v>
      </c>
      <c r="AE1503" s="1">
        <v>92.1</v>
      </c>
      <c r="AF1503" s="1">
        <v>87.72</v>
      </c>
      <c r="AG1503" s="1">
        <v>79.12</v>
      </c>
      <c r="AK1503" s="1">
        <v>0</v>
      </c>
      <c r="AP1503" s="1">
        <v>2340</v>
      </c>
      <c r="AS1503" s="1">
        <v>2596.11</v>
      </c>
      <c r="AW1503" s="1">
        <v>2062.5300000000002</v>
      </c>
      <c r="BB1503" s="1">
        <v>90.36</v>
      </c>
      <c r="BC1503" s="1">
        <v>89.98</v>
      </c>
      <c r="BD1503" s="1">
        <v>88.87</v>
      </c>
      <c r="BE1503" s="1">
        <v>88.18</v>
      </c>
      <c r="BF1503" s="1">
        <v>86.54</v>
      </c>
      <c r="BH1503" s="1">
        <v>84.47</v>
      </c>
      <c r="BI1503" s="1">
        <v>87.85</v>
      </c>
      <c r="BJ1503" s="1">
        <v>91.89</v>
      </c>
    </row>
    <row r="1504" spans="1:66" x14ac:dyDescent="0.3">
      <c r="A1504" s="2"/>
      <c r="C1504" s="14" t="str">
        <f t="shared" si="24"/>
        <v>20203</v>
      </c>
      <c r="D1504" s="3">
        <v>43910</v>
      </c>
      <c r="E1504" s="21">
        <v>1721.55</v>
      </c>
      <c r="F1504" s="21">
        <v>1542.69</v>
      </c>
      <c r="G1504" s="21">
        <v>1615.43</v>
      </c>
      <c r="H1504" s="21">
        <v>1674.96</v>
      </c>
      <c r="I1504" s="21">
        <v>1473.71</v>
      </c>
      <c r="J1504" s="21">
        <v>1626.29</v>
      </c>
      <c r="K1504" s="21">
        <v>1548.83</v>
      </c>
      <c r="L1504" s="21"/>
      <c r="M1504" s="21">
        <v>1650.97</v>
      </c>
      <c r="N1504" s="21">
        <v>1503.86</v>
      </c>
      <c r="O1504" s="21">
        <v>1587.66</v>
      </c>
      <c r="P1504" s="21">
        <v>1585.15</v>
      </c>
      <c r="Q1504" s="21">
        <v>3616.67</v>
      </c>
      <c r="R1504" s="20">
        <v>81.23</v>
      </c>
      <c r="S1504" s="20">
        <v>76.84</v>
      </c>
      <c r="T1504" s="21">
        <v>84.3</v>
      </c>
      <c r="U1504" s="1">
        <v>83.44</v>
      </c>
      <c r="V1504" s="1">
        <v>80.23</v>
      </c>
      <c r="W1504" s="1">
        <v>86.43</v>
      </c>
      <c r="X1504" s="1">
        <v>87.04</v>
      </c>
      <c r="Y1504" s="1">
        <v>84.95</v>
      </c>
      <c r="Z1504" s="1">
        <v>85.1</v>
      </c>
      <c r="AA1504" s="1">
        <v>83.94</v>
      </c>
      <c r="AB1504" s="1">
        <v>87.03</v>
      </c>
      <c r="AC1504" s="1">
        <v>78</v>
      </c>
      <c r="AE1504" s="1">
        <v>92.58</v>
      </c>
      <c r="AF1504" s="1">
        <v>86.57</v>
      </c>
      <c r="AG1504" s="1">
        <v>79.040000000000006</v>
      </c>
      <c r="AK1504" s="1">
        <v>0</v>
      </c>
      <c r="AO1504" s="1">
        <v>7</v>
      </c>
      <c r="AP1504" s="1">
        <v>2340</v>
      </c>
      <c r="AS1504" s="1">
        <v>2705.12</v>
      </c>
      <c r="AT1504" s="1">
        <v>2502.5</v>
      </c>
      <c r="AW1504" s="1">
        <v>2280.17</v>
      </c>
      <c r="BA1504" s="1">
        <v>84.12</v>
      </c>
      <c r="BB1504" s="1">
        <v>90.22</v>
      </c>
      <c r="BC1504" s="1">
        <v>88.99</v>
      </c>
      <c r="BD1504" s="1">
        <v>87.9</v>
      </c>
      <c r="BE1504" s="1">
        <v>87.02</v>
      </c>
      <c r="BF1504" s="1">
        <v>85.47</v>
      </c>
      <c r="BG1504" s="1">
        <v>92.66</v>
      </c>
      <c r="BH1504" s="1">
        <v>83.77</v>
      </c>
      <c r="BI1504" s="1">
        <v>87.45</v>
      </c>
      <c r="BJ1504" s="1">
        <v>89.36</v>
      </c>
      <c r="BK1504" s="1">
        <v>80.63</v>
      </c>
      <c r="BL1504" s="1">
        <v>80.83</v>
      </c>
      <c r="BN1504" s="1">
        <v>81.14</v>
      </c>
    </row>
    <row r="1505" spans="1:66" x14ac:dyDescent="0.3">
      <c r="A1505" s="2"/>
      <c r="C1505" s="14" t="str">
        <f t="shared" si="24"/>
        <v>20203</v>
      </c>
      <c r="D1505" s="3">
        <v>43909</v>
      </c>
      <c r="E1505" s="21">
        <v>1709.69</v>
      </c>
      <c r="F1505" s="21">
        <v>1479</v>
      </c>
      <c r="G1505" s="21">
        <v>1583.44</v>
      </c>
      <c r="H1505" s="21">
        <v>1559.42</v>
      </c>
      <c r="I1505" s="21">
        <v>1460.88</v>
      </c>
      <c r="J1505" s="21">
        <v>1561.4</v>
      </c>
      <c r="K1505" s="21">
        <v>1503.9</v>
      </c>
      <c r="L1505" s="21"/>
      <c r="M1505" s="21">
        <v>1637.83</v>
      </c>
      <c r="N1505" s="21">
        <v>1388.42</v>
      </c>
      <c r="O1505" s="21">
        <v>1558.96</v>
      </c>
      <c r="P1505" s="21">
        <v>1552.94</v>
      </c>
      <c r="Q1505" s="21">
        <v>3616.67</v>
      </c>
      <c r="R1505" s="20">
        <v>81.180000000000007</v>
      </c>
      <c r="S1505" s="20">
        <v>76.61</v>
      </c>
      <c r="T1505" s="21">
        <v>83.37</v>
      </c>
      <c r="U1505" s="1">
        <v>82.58</v>
      </c>
      <c r="V1505" s="1">
        <v>79.55</v>
      </c>
      <c r="W1505" s="1">
        <v>85.79</v>
      </c>
      <c r="X1505" s="1">
        <v>86.39</v>
      </c>
      <c r="Y1505" s="1">
        <v>84.45</v>
      </c>
      <c r="Z1505" s="1">
        <v>84.88</v>
      </c>
      <c r="AA1505" s="1">
        <v>83.05</v>
      </c>
      <c r="AB1505" s="1">
        <v>86.03</v>
      </c>
      <c r="AC1505" s="1">
        <v>78.290000000000006</v>
      </c>
      <c r="AE1505" s="1">
        <v>91.47</v>
      </c>
      <c r="AF1505" s="1">
        <v>86.44</v>
      </c>
      <c r="AG1505" s="1">
        <v>78.78</v>
      </c>
      <c r="AK1505" s="1">
        <v>10</v>
      </c>
      <c r="AO1505" s="1">
        <v>7</v>
      </c>
      <c r="AP1505" s="1">
        <v>2340</v>
      </c>
      <c r="AS1505" s="1">
        <v>2755.97</v>
      </c>
      <c r="AT1505" s="1">
        <v>2503.3000000000002</v>
      </c>
      <c r="AU1505" s="1">
        <v>2408.5300000000002</v>
      </c>
      <c r="AW1505" s="1">
        <v>2281.12</v>
      </c>
      <c r="AX1505" s="1">
        <v>80.59</v>
      </c>
      <c r="BA1505" s="1">
        <v>81.89</v>
      </c>
      <c r="BB1505" s="1">
        <v>90.86</v>
      </c>
      <c r="BC1505" s="1">
        <v>88.59</v>
      </c>
      <c r="BD1505" s="1">
        <v>87.23</v>
      </c>
      <c r="BE1505" s="1">
        <v>86.54</v>
      </c>
      <c r="BF1505" s="1">
        <v>84.26</v>
      </c>
      <c r="BG1505" s="1">
        <v>91.97</v>
      </c>
      <c r="BH1505" s="1">
        <v>82.48</v>
      </c>
      <c r="BI1505" s="1">
        <v>87.04</v>
      </c>
      <c r="BJ1505" s="1">
        <v>89.06</v>
      </c>
      <c r="BK1505" s="1">
        <v>80.3</v>
      </c>
      <c r="BL1505" s="1">
        <v>80.819999999999993</v>
      </c>
      <c r="BN1505" s="1">
        <v>80.64</v>
      </c>
    </row>
    <row r="1506" spans="1:66" x14ac:dyDescent="0.3">
      <c r="A1506" s="2"/>
      <c r="C1506" s="14" t="str">
        <f t="shared" si="24"/>
        <v>20203</v>
      </c>
      <c r="D1506" s="3">
        <v>43908</v>
      </c>
      <c r="E1506" s="21">
        <v>1618.66</v>
      </c>
      <c r="F1506" s="21">
        <v>1460.07</v>
      </c>
      <c r="G1506" s="21">
        <v>1485.34</v>
      </c>
      <c r="H1506" s="21">
        <v>1533.76</v>
      </c>
      <c r="I1506" s="21">
        <v>1453.04</v>
      </c>
      <c r="J1506" s="21">
        <v>1567.18</v>
      </c>
      <c r="K1506" s="21">
        <v>1492.71</v>
      </c>
      <c r="L1506" s="21">
        <v>1256.76</v>
      </c>
      <c r="M1506" s="21">
        <v>1424.71</v>
      </c>
      <c r="N1506" s="21">
        <v>1387.45</v>
      </c>
      <c r="O1506" s="21">
        <v>1571.42</v>
      </c>
      <c r="P1506" s="21">
        <v>1519.9</v>
      </c>
      <c r="Q1506" s="21">
        <v>3616.67</v>
      </c>
      <c r="R1506" s="20">
        <v>80.510000000000005</v>
      </c>
      <c r="S1506" s="20">
        <v>76.89</v>
      </c>
      <c r="T1506" s="21">
        <v>83.04</v>
      </c>
      <c r="U1506" s="1">
        <v>83.06</v>
      </c>
      <c r="V1506" s="1">
        <v>78.180000000000007</v>
      </c>
      <c r="W1506" s="1">
        <v>85.1</v>
      </c>
      <c r="X1506" s="1">
        <v>85.42</v>
      </c>
      <c r="Y1506" s="1">
        <v>83.97</v>
      </c>
      <c r="Z1506" s="1">
        <v>84.38</v>
      </c>
      <c r="AA1506" s="1">
        <v>81.97</v>
      </c>
      <c r="AB1506" s="1">
        <v>84.78</v>
      </c>
      <c r="AC1506" s="1">
        <v>78.930000000000007</v>
      </c>
      <c r="AE1506" s="1">
        <v>90.94</v>
      </c>
      <c r="AF1506" s="1">
        <v>83.34</v>
      </c>
      <c r="AG1506" s="1">
        <v>78.400000000000006</v>
      </c>
      <c r="AK1506" s="1">
        <v>10</v>
      </c>
      <c r="AO1506" s="1">
        <v>7</v>
      </c>
      <c r="AP1506" s="1">
        <v>2340</v>
      </c>
      <c r="AS1506" s="1">
        <v>2755.97</v>
      </c>
      <c r="AT1506" s="1">
        <v>2503.3000000000002</v>
      </c>
      <c r="AU1506" s="1">
        <v>2408.5300000000002</v>
      </c>
      <c r="AW1506" s="1">
        <v>2281.12</v>
      </c>
      <c r="AX1506" s="1">
        <v>78.209999999999994</v>
      </c>
      <c r="BA1506" s="1">
        <v>80.95</v>
      </c>
      <c r="BB1506" s="1">
        <v>88.29</v>
      </c>
      <c r="BC1506" s="1">
        <v>86.5</v>
      </c>
      <c r="BD1506" s="1">
        <v>84.9</v>
      </c>
      <c r="BE1506" s="1">
        <v>85.09</v>
      </c>
      <c r="BF1506" s="1">
        <v>84.22</v>
      </c>
      <c r="BG1506" s="1">
        <v>90.91</v>
      </c>
      <c r="BH1506" s="1">
        <v>81.91</v>
      </c>
      <c r="BI1506" s="1">
        <v>84.45</v>
      </c>
      <c r="BJ1506" s="1">
        <v>88.98</v>
      </c>
      <c r="BK1506" s="1">
        <v>79.63</v>
      </c>
      <c r="BL1506" s="1">
        <v>79.39</v>
      </c>
      <c r="BN1506" s="1">
        <v>79.92</v>
      </c>
    </row>
    <row r="1507" spans="1:66" x14ac:dyDescent="0.3">
      <c r="A1507" s="2"/>
      <c r="C1507" s="14" t="str">
        <f t="shared" si="24"/>
        <v>20203</v>
      </c>
      <c r="D1507" s="3">
        <v>43907</v>
      </c>
      <c r="E1507" s="21">
        <v>1589</v>
      </c>
      <c r="F1507" s="21">
        <v>1417.98</v>
      </c>
      <c r="G1507" s="21">
        <v>1488.66</v>
      </c>
      <c r="H1507" s="21">
        <v>1456.8</v>
      </c>
      <c r="I1507" s="21">
        <v>1417.74</v>
      </c>
      <c r="J1507" s="21">
        <v>1548.91</v>
      </c>
      <c r="K1507" s="21">
        <v>1464.76</v>
      </c>
      <c r="L1507" s="21">
        <v>1256.76</v>
      </c>
      <c r="M1507" s="21">
        <v>1461.13</v>
      </c>
      <c r="N1507" s="21">
        <v>1335.97</v>
      </c>
      <c r="O1507" s="21">
        <v>1575.38</v>
      </c>
      <c r="P1507" s="21">
        <v>1495.15</v>
      </c>
      <c r="Q1507" s="21">
        <v>3600</v>
      </c>
      <c r="R1507" s="20">
        <v>80.22</v>
      </c>
      <c r="S1507" s="20">
        <v>74.62</v>
      </c>
      <c r="T1507" s="21">
        <v>82.45</v>
      </c>
      <c r="U1507" s="1">
        <v>79.52</v>
      </c>
      <c r="V1507" s="1">
        <v>77.31</v>
      </c>
      <c r="W1507" s="1">
        <v>84.79</v>
      </c>
      <c r="X1507" s="1">
        <v>84.99</v>
      </c>
      <c r="Y1507" s="1">
        <v>83.04</v>
      </c>
      <c r="Z1507" s="1">
        <v>83.5</v>
      </c>
      <c r="AA1507" s="1">
        <v>81.47</v>
      </c>
      <c r="AB1507" s="1">
        <v>84.28</v>
      </c>
      <c r="AC1507" s="1">
        <v>76.38</v>
      </c>
      <c r="AE1507" s="1">
        <v>89.69</v>
      </c>
      <c r="AF1507" s="1">
        <v>83.62</v>
      </c>
      <c r="AG1507" s="1">
        <v>77.010000000000005</v>
      </c>
      <c r="AK1507" s="1">
        <v>30</v>
      </c>
      <c r="AO1507" s="1">
        <v>7</v>
      </c>
      <c r="AP1507" s="1">
        <v>2470</v>
      </c>
      <c r="AS1507" s="1">
        <v>2713.29</v>
      </c>
      <c r="AT1507" s="1">
        <v>2503.3000000000002</v>
      </c>
      <c r="AU1507" s="1">
        <v>2431.73</v>
      </c>
      <c r="AW1507" s="1">
        <v>2281.12</v>
      </c>
      <c r="AX1507" s="1">
        <v>77.5</v>
      </c>
      <c r="BA1507" s="1">
        <v>81.55</v>
      </c>
      <c r="BB1507" s="1">
        <v>88.01</v>
      </c>
      <c r="BC1507" s="1">
        <v>85.9</v>
      </c>
      <c r="BD1507" s="1">
        <v>85.35</v>
      </c>
      <c r="BE1507" s="1">
        <v>84.3</v>
      </c>
      <c r="BF1507" s="1">
        <v>82.94</v>
      </c>
      <c r="BG1507" s="1">
        <v>89.85</v>
      </c>
      <c r="BH1507" s="1">
        <v>81.510000000000005</v>
      </c>
      <c r="BI1507" s="1">
        <v>84.36</v>
      </c>
      <c r="BJ1507" s="1">
        <v>88.98</v>
      </c>
      <c r="BL1507" s="1">
        <v>78.42</v>
      </c>
      <c r="BN1507" s="1">
        <v>79.73</v>
      </c>
    </row>
    <row r="1508" spans="1:66" x14ac:dyDescent="0.3">
      <c r="A1508" s="2"/>
      <c r="C1508" s="14" t="str">
        <f t="shared" si="24"/>
        <v>20203</v>
      </c>
      <c r="D1508" s="3">
        <v>43906</v>
      </c>
      <c r="E1508" s="21">
        <v>1549.7</v>
      </c>
      <c r="F1508" s="21">
        <v>1401.79</v>
      </c>
      <c r="G1508" s="21">
        <v>1451.02</v>
      </c>
      <c r="H1508" s="21">
        <v>1442.09</v>
      </c>
      <c r="I1508" s="21">
        <v>1409.9</v>
      </c>
      <c r="J1508" s="21">
        <v>1528.18</v>
      </c>
      <c r="K1508" s="21">
        <v>1448.25</v>
      </c>
      <c r="L1508" s="21">
        <v>1269.6500000000001</v>
      </c>
      <c r="M1508" s="21">
        <v>1430.07</v>
      </c>
      <c r="N1508" s="21">
        <v>1312.29</v>
      </c>
      <c r="O1508" s="21">
        <v>1501.39</v>
      </c>
      <c r="P1508" s="21">
        <v>1463.47</v>
      </c>
      <c r="Q1508" s="21">
        <v>3600</v>
      </c>
      <c r="R1508" s="20">
        <v>79.599999999999994</v>
      </c>
      <c r="S1508" s="20">
        <v>74.42</v>
      </c>
      <c r="T1508" s="21">
        <v>82.37</v>
      </c>
      <c r="U1508" s="1">
        <v>79.19</v>
      </c>
      <c r="V1508" s="1">
        <v>77.430000000000007</v>
      </c>
      <c r="W1508" s="1">
        <v>84.44</v>
      </c>
      <c r="X1508" s="1">
        <v>83.73</v>
      </c>
      <c r="Y1508" s="1">
        <v>82.39</v>
      </c>
      <c r="Z1508" s="1">
        <v>82.84</v>
      </c>
      <c r="AA1508" s="1">
        <v>81.27</v>
      </c>
      <c r="AB1508" s="1">
        <v>83.29</v>
      </c>
      <c r="AC1508" s="1">
        <v>76.05</v>
      </c>
      <c r="AE1508" s="1">
        <v>89.42</v>
      </c>
      <c r="AF1508" s="1">
        <v>82.57</v>
      </c>
      <c r="AG1508" s="1">
        <v>76.34</v>
      </c>
      <c r="AK1508" s="1">
        <v>30</v>
      </c>
      <c r="AO1508" s="1">
        <v>7</v>
      </c>
      <c r="AP1508" s="1">
        <v>2600</v>
      </c>
      <c r="AS1508" s="1">
        <v>2713.29</v>
      </c>
      <c r="AT1508" s="1">
        <v>2503.3000000000002</v>
      </c>
      <c r="AU1508" s="1">
        <v>2431.73</v>
      </c>
      <c r="AW1508" s="1">
        <v>2303.16</v>
      </c>
      <c r="AX1508" s="1">
        <v>79.790000000000006</v>
      </c>
      <c r="AZ1508" s="1">
        <v>2809.96</v>
      </c>
      <c r="BA1508" s="1">
        <v>81.400000000000006</v>
      </c>
      <c r="BB1508" s="1">
        <v>86.54</v>
      </c>
      <c r="BC1508" s="1">
        <v>84.97</v>
      </c>
      <c r="BD1508" s="1">
        <v>83.75</v>
      </c>
      <c r="BE1508" s="1">
        <v>84.46</v>
      </c>
      <c r="BF1508" s="1">
        <v>82.84</v>
      </c>
      <c r="BG1508" s="1">
        <v>89.55</v>
      </c>
      <c r="BH1508" s="1">
        <v>81.260000000000005</v>
      </c>
      <c r="BI1508" s="1">
        <v>84.55</v>
      </c>
      <c r="BJ1508" s="1">
        <v>88.65</v>
      </c>
      <c r="BL1508" s="1">
        <v>78.81</v>
      </c>
      <c r="BN1508" s="1">
        <v>79.569999999999993</v>
      </c>
    </row>
    <row r="1509" spans="1:66" x14ac:dyDescent="0.3">
      <c r="A1509" s="2"/>
      <c r="C1509" s="14" t="str">
        <f t="shared" si="24"/>
        <v>20203</v>
      </c>
      <c r="D1509" s="3">
        <v>43903</v>
      </c>
      <c r="E1509" s="21"/>
      <c r="F1509" s="21">
        <v>1398.49</v>
      </c>
      <c r="G1509" s="21"/>
      <c r="H1509" s="21">
        <v>1434.51</v>
      </c>
      <c r="I1509" s="21">
        <v>1394.21</v>
      </c>
      <c r="J1509" s="21">
        <v>1530.95</v>
      </c>
      <c r="K1509" s="21">
        <v>1429.41</v>
      </c>
      <c r="L1509" s="21">
        <v>1295.44</v>
      </c>
      <c r="M1509" s="21">
        <v>1405.38</v>
      </c>
      <c r="N1509" s="21">
        <v>1299.72</v>
      </c>
      <c r="O1509" s="21">
        <v>1509.01</v>
      </c>
      <c r="P1509" s="21">
        <v>1425.07</v>
      </c>
      <c r="Q1509" s="21">
        <v>3454.21</v>
      </c>
      <c r="R1509" s="20">
        <v>79.17</v>
      </c>
      <c r="S1509" s="20">
        <v>74.12</v>
      </c>
      <c r="T1509" s="21">
        <v>82.08</v>
      </c>
      <c r="U1509" s="1">
        <v>78.959999999999994</v>
      </c>
      <c r="V1509" s="1">
        <v>76.98</v>
      </c>
      <c r="W1509" s="1">
        <v>84.28</v>
      </c>
      <c r="X1509" s="1">
        <v>82.75</v>
      </c>
      <c r="Y1509" s="1">
        <v>82.57</v>
      </c>
      <c r="Z1509" s="1">
        <v>82.65</v>
      </c>
      <c r="AA1509" s="1">
        <v>81.180000000000007</v>
      </c>
      <c r="AB1509" s="1">
        <v>83.05</v>
      </c>
      <c r="AC1509" s="1">
        <v>77.88</v>
      </c>
      <c r="AE1509" s="1">
        <v>87.82</v>
      </c>
      <c r="AF1509" s="1">
        <v>82.5</v>
      </c>
      <c r="AG1509" s="1">
        <v>76.430000000000007</v>
      </c>
      <c r="AK1509" s="1">
        <v>30</v>
      </c>
      <c r="AP1509" s="1">
        <v>2600</v>
      </c>
      <c r="AS1509" s="1">
        <v>2669.98</v>
      </c>
      <c r="AU1509" s="1">
        <v>2493.33</v>
      </c>
      <c r="AW1509" s="1">
        <v>2107.4699999999998</v>
      </c>
      <c r="AX1509" s="1">
        <v>79.53</v>
      </c>
      <c r="AY1509" s="1">
        <v>2463.73</v>
      </c>
      <c r="AZ1509" s="1">
        <v>2759.78</v>
      </c>
      <c r="BA1509" s="1">
        <v>81.150000000000006</v>
      </c>
      <c r="BB1509" s="1">
        <v>86.1</v>
      </c>
      <c r="BC1509" s="1">
        <v>84.4</v>
      </c>
      <c r="BD1509" s="1">
        <v>83.78</v>
      </c>
      <c r="BE1509" s="1">
        <v>84.28</v>
      </c>
      <c r="BF1509" s="1">
        <v>83.48</v>
      </c>
      <c r="BG1509" s="1">
        <v>87.88</v>
      </c>
      <c r="BH1509" s="1">
        <v>79.7</v>
      </c>
      <c r="BI1509" s="1">
        <v>84.26</v>
      </c>
      <c r="BJ1509" s="1">
        <v>88.72</v>
      </c>
      <c r="BL1509" s="1">
        <v>78.5</v>
      </c>
      <c r="BN1509" s="1">
        <v>78.349999999999994</v>
      </c>
    </row>
    <row r="1510" spans="1:66" x14ac:dyDescent="0.3">
      <c r="A1510" s="2"/>
      <c r="C1510" s="14" t="str">
        <f t="shared" si="24"/>
        <v>20203</v>
      </c>
      <c r="D1510" s="3">
        <v>43902</v>
      </c>
      <c r="E1510" s="21"/>
      <c r="F1510" s="21">
        <v>1387.88</v>
      </c>
      <c r="G1510" s="21"/>
      <c r="H1510" s="21">
        <v>1419.18</v>
      </c>
      <c r="I1510" s="21">
        <v>1394.21</v>
      </c>
      <c r="J1510" s="21">
        <v>1467.39</v>
      </c>
      <c r="K1510" s="21">
        <v>1404.65</v>
      </c>
      <c r="L1510" s="21">
        <v>1300.1500000000001</v>
      </c>
      <c r="M1510" s="21">
        <v>1386.44</v>
      </c>
      <c r="N1510" s="21">
        <v>1296.5999999999999</v>
      </c>
      <c r="O1510" s="21">
        <v>1526.32</v>
      </c>
      <c r="P1510" s="21">
        <v>1388.49</v>
      </c>
      <c r="Q1510" s="21">
        <v>3374.29</v>
      </c>
      <c r="R1510" s="20">
        <v>80.510000000000005</v>
      </c>
      <c r="S1510" s="20">
        <v>74.239999999999995</v>
      </c>
      <c r="T1510" s="21">
        <v>82.2</v>
      </c>
      <c r="U1510" s="1">
        <v>80.180000000000007</v>
      </c>
      <c r="V1510" s="1">
        <v>77.53</v>
      </c>
      <c r="W1510" s="1">
        <v>85.03</v>
      </c>
      <c r="X1510" s="1">
        <v>82.07</v>
      </c>
      <c r="Y1510" s="1">
        <v>83.32</v>
      </c>
      <c r="Z1510" s="1">
        <v>83.49</v>
      </c>
      <c r="AA1510" s="1">
        <v>81.55</v>
      </c>
      <c r="AB1510" s="1">
        <v>82.39</v>
      </c>
      <c r="AC1510" s="1">
        <v>75.38</v>
      </c>
      <c r="AE1510" s="1">
        <v>88.01</v>
      </c>
      <c r="AF1510" s="1">
        <v>83.66</v>
      </c>
      <c r="AG1510" s="1">
        <v>76.64</v>
      </c>
      <c r="AP1510" s="1">
        <v>2452</v>
      </c>
      <c r="AS1510" s="1">
        <v>2809.96</v>
      </c>
      <c r="AU1510" s="1">
        <v>2514.5300000000002</v>
      </c>
      <c r="AW1510" s="1">
        <v>2126.33</v>
      </c>
      <c r="AX1510" s="1">
        <v>81.86</v>
      </c>
      <c r="AY1510" s="1">
        <v>2463.73</v>
      </c>
      <c r="AZ1510" s="1">
        <v>2759.78</v>
      </c>
      <c r="BA1510" s="1">
        <v>82.53</v>
      </c>
      <c r="BB1510" s="1">
        <v>86.84</v>
      </c>
      <c r="BC1510" s="1">
        <v>85.31</v>
      </c>
      <c r="BD1510" s="1">
        <v>84.49</v>
      </c>
      <c r="BE1510" s="1">
        <v>83.68</v>
      </c>
      <c r="BF1510" s="1">
        <v>82.64</v>
      </c>
      <c r="BG1510" s="1">
        <v>88.08</v>
      </c>
      <c r="BH1510" s="1">
        <v>81.8</v>
      </c>
      <c r="BI1510" s="1">
        <v>83.94</v>
      </c>
      <c r="BJ1510" s="1">
        <v>88.29</v>
      </c>
      <c r="BK1510" s="1">
        <v>78.63</v>
      </c>
      <c r="BL1510" s="1">
        <v>78.8</v>
      </c>
      <c r="BN1510" s="1">
        <v>78.52</v>
      </c>
    </row>
    <row r="1511" spans="1:66" x14ac:dyDescent="0.3">
      <c r="A1511" s="2"/>
      <c r="C1511" s="14" t="str">
        <f t="shared" si="24"/>
        <v>20203</v>
      </c>
      <c r="D1511" s="3">
        <v>43901</v>
      </c>
      <c r="E1511" s="21">
        <v>1552.4</v>
      </c>
      <c r="F1511" s="21">
        <v>1367.12</v>
      </c>
      <c r="G1511" s="21">
        <v>1460.55</v>
      </c>
      <c r="H1511" s="21">
        <v>1399.42</v>
      </c>
      <c r="I1511" s="21">
        <v>1390.29</v>
      </c>
      <c r="J1511" s="21">
        <v>1461.28</v>
      </c>
      <c r="K1511" s="21">
        <v>1404.65</v>
      </c>
      <c r="L1511" s="21">
        <v>1253.1500000000001</v>
      </c>
      <c r="M1511" s="21">
        <v>1362.66</v>
      </c>
      <c r="N1511" s="21">
        <v>1266.1400000000001</v>
      </c>
      <c r="O1511" s="21">
        <v>1520.27</v>
      </c>
      <c r="P1511" s="21">
        <v>1388.49</v>
      </c>
      <c r="Q1511" s="21">
        <v>3374.29</v>
      </c>
      <c r="R1511" s="20">
        <v>79.75</v>
      </c>
      <c r="S1511" s="20">
        <v>73.739999999999995</v>
      </c>
      <c r="T1511" s="21">
        <v>81.03</v>
      </c>
      <c r="U1511" s="1">
        <v>79.83</v>
      </c>
      <c r="V1511" s="1">
        <v>76.900000000000006</v>
      </c>
      <c r="W1511" s="1">
        <v>84.1</v>
      </c>
      <c r="X1511" s="1">
        <v>82.2</v>
      </c>
      <c r="Y1511" s="1">
        <v>81.73</v>
      </c>
      <c r="Z1511" s="1">
        <v>81.99</v>
      </c>
      <c r="AA1511" s="1">
        <v>80.23</v>
      </c>
      <c r="AB1511" s="1">
        <v>82.17</v>
      </c>
      <c r="AC1511" s="1">
        <v>75.38</v>
      </c>
      <c r="AE1511" s="1">
        <v>87.25</v>
      </c>
      <c r="AF1511" s="1">
        <v>83.02</v>
      </c>
      <c r="AG1511" s="1">
        <v>76.150000000000006</v>
      </c>
      <c r="AP1511" s="1">
        <v>2452</v>
      </c>
      <c r="AS1511" s="1">
        <v>2809.96</v>
      </c>
      <c r="AU1511" s="1">
        <v>2514.5300000000002</v>
      </c>
      <c r="AW1511" s="1">
        <v>2126.33</v>
      </c>
      <c r="AX1511" s="1">
        <v>78.34</v>
      </c>
      <c r="AY1511" s="1">
        <v>2463.73</v>
      </c>
      <c r="AZ1511" s="1">
        <v>2759.78</v>
      </c>
      <c r="BA1511" s="1">
        <v>81.2</v>
      </c>
      <c r="BB1511" s="1">
        <v>86.03</v>
      </c>
      <c r="BC1511" s="1">
        <v>83.93</v>
      </c>
      <c r="BD1511" s="1">
        <v>83.7</v>
      </c>
      <c r="BE1511" s="1">
        <v>82.33</v>
      </c>
      <c r="BF1511" s="1">
        <v>82.88</v>
      </c>
      <c r="BG1511" s="1">
        <v>87.64</v>
      </c>
      <c r="BH1511" s="1">
        <v>81.55</v>
      </c>
      <c r="BI1511" s="1">
        <v>83.66</v>
      </c>
      <c r="BJ1511" s="1">
        <v>87.82</v>
      </c>
      <c r="BK1511" s="1">
        <v>77.989999999999995</v>
      </c>
      <c r="BL1511" s="1">
        <v>78.44</v>
      </c>
      <c r="BN1511" s="1">
        <v>77.88</v>
      </c>
    </row>
    <row r="1512" spans="1:66" x14ac:dyDescent="0.3">
      <c r="A1512" s="2"/>
      <c r="C1512" s="14" t="str">
        <f t="shared" si="24"/>
        <v>20203</v>
      </c>
      <c r="D1512" s="3">
        <v>43900</v>
      </c>
      <c r="E1512" s="21">
        <v>1533.35</v>
      </c>
      <c r="F1512" s="21">
        <v>1365.54</v>
      </c>
      <c r="G1512" s="21">
        <v>1445.39</v>
      </c>
      <c r="H1512" s="21">
        <v>1414.74</v>
      </c>
      <c r="I1512" s="21">
        <v>1382.45</v>
      </c>
      <c r="J1512" s="21">
        <v>1468.56</v>
      </c>
      <c r="K1512" s="21">
        <v>1411.89</v>
      </c>
      <c r="L1512" s="21">
        <v>1262.2</v>
      </c>
      <c r="M1512" s="21">
        <v>1360.74</v>
      </c>
      <c r="N1512" s="21">
        <v>1252.8399999999999</v>
      </c>
      <c r="O1512" s="21">
        <v>1517.75</v>
      </c>
      <c r="P1512" s="21">
        <v>1400.31</v>
      </c>
      <c r="Q1512" s="21">
        <v>3420.01</v>
      </c>
      <c r="R1512" s="20">
        <v>79.75</v>
      </c>
      <c r="S1512" s="20">
        <v>73.510000000000005</v>
      </c>
      <c r="T1512" s="21">
        <v>81.78</v>
      </c>
      <c r="U1512" s="1">
        <v>78.290000000000006</v>
      </c>
      <c r="V1512" s="1">
        <v>76.599999999999994</v>
      </c>
      <c r="W1512" s="1">
        <v>84.07</v>
      </c>
      <c r="X1512" s="1">
        <v>81.72</v>
      </c>
      <c r="Y1512" s="1">
        <v>82.06</v>
      </c>
      <c r="Z1512" s="1">
        <v>81.88</v>
      </c>
      <c r="AA1512" s="1">
        <v>80.22</v>
      </c>
      <c r="AB1512" s="1">
        <v>80.86</v>
      </c>
      <c r="AC1512" s="1">
        <v>75.38</v>
      </c>
      <c r="AE1512" s="1">
        <v>87.63</v>
      </c>
      <c r="AF1512" s="1">
        <v>82.57</v>
      </c>
      <c r="AG1512" s="1">
        <v>75.739999999999995</v>
      </c>
      <c r="AP1512" s="1">
        <v>2430.86</v>
      </c>
      <c r="AQ1512" s="1">
        <v>2438.64</v>
      </c>
      <c r="AS1512" s="1">
        <v>2809.96</v>
      </c>
      <c r="AU1512" s="1">
        <v>2405.19</v>
      </c>
      <c r="AW1512" s="1">
        <v>2126.33</v>
      </c>
      <c r="AX1512" s="1">
        <v>80.02</v>
      </c>
      <c r="AY1512" s="1">
        <v>2463.73</v>
      </c>
      <c r="AZ1512" s="1">
        <v>2759.78</v>
      </c>
      <c r="BA1512" s="1">
        <v>78.510000000000005</v>
      </c>
      <c r="BB1512" s="1">
        <v>86.25</v>
      </c>
      <c r="BC1512" s="1">
        <v>83.8</v>
      </c>
      <c r="BD1512" s="1">
        <v>83.45</v>
      </c>
      <c r="BE1512" s="1">
        <v>82.03</v>
      </c>
      <c r="BF1512" s="1">
        <v>82.77</v>
      </c>
      <c r="BG1512" s="1">
        <v>87.75</v>
      </c>
      <c r="BH1512" s="1">
        <v>80.91</v>
      </c>
      <c r="BI1512" s="1">
        <v>83.26</v>
      </c>
      <c r="BJ1512" s="1">
        <v>88.24</v>
      </c>
      <c r="BK1512" s="1">
        <v>78.069999999999993</v>
      </c>
      <c r="BL1512" s="1">
        <v>77.52</v>
      </c>
      <c r="BN1512" s="1">
        <v>77.89</v>
      </c>
    </row>
    <row r="1513" spans="1:66" x14ac:dyDescent="0.3">
      <c r="A1513" s="2"/>
      <c r="C1513" s="14" t="str">
        <f t="shared" si="24"/>
        <v>20203</v>
      </c>
      <c r="D1513" s="3">
        <v>43899</v>
      </c>
      <c r="E1513" s="21">
        <v>1476.51</v>
      </c>
      <c r="F1513" s="21">
        <v>1362.81</v>
      </c>
      <c r="G1513" s="21">
        <v>1419.72</v>
      </c>
      <c r="H1513" s="21">
        <v>1418.03</v>
      </c>
      <c r="I1513" s="21">
        <v>1378.53</v>
      </c>
      <c r="J1513" s="21">
        <v>1468.9</v>
      </c>
      <c r="K1513" s="21">
        <v>1414.46</v>
      </c>
      <c r="L1513" s="21"/>
      <c r="M1513" s="21">
        <v>1360.74</v>
      </c>
      <c r="N1513" s="21">
        <v>1270.72</v>
      </c>
      <c r="O1513" s="21">
        <v>1524.2</v>
      </c>
      <c r="P1513" s="21">
        <v>1410.12</v>
      </c>
      <c r="Q1513" s="21">
        <v>3444.52</v>
      </c>
      <c r="R1513" s="20">
        <v>79.61</v>
      </c>
      <c r="S1513" s="20">
        <v>73.36</v>
      </c>
      <c r="T1513" s="21">
        <v>81.93</v>
      </c>
      <c r="U1513" s="1">
        <v>79.290000000000006</v>
      </c>
      <c r="V1513" s="1">
        <v>76.2</v>
      </c>
      <c r="W1513" s="1">
        <v>83.3</v>
      </c>
      <c r="X1513" s="1">
        <v>81.599999999999994</v>
      </c>
      <c r="Y1513" s="1">
        <v>82.7</v>
      </c>
      <c r="Z1513" s="1">
        <v>82.55</v>
      </c>
      <c r="AA1513" s="1">
        <v>80.900000000000006</v>
      </c>
      <c r="AB1513" s="1">
        <v>80.7</v>
      </c>
      <c r="AC1513" s="1">
        <v>76.05</v>
      </c>
      <c r="AE1513" s="1">
        <v>87.62</v>
      </c>
      <c r="AF1513" s="1">
        <v>83.4</v>
      </c>
      <c r="AG1513" s="1">
        <v>75.44</v>
      </c>
      <c r="AI1513" s="1">
        <v>5</v>
      </c>
      <c r="AM1513" s="1">
        <v>0</v>
      </c>
      <c r="AN1513" s="1">
        <v>2246.64</v>
      </c>
      <c r="AP1513" s="1">
        <v>2430.86</v>
      </c>
      <c r="AQ1513" s="1">
        <v>2438.64</v>
      </c>
      <c r="AS1513" s="1">
        <v>2809.96</v>
      </c>
      <c r="AU1513" s="1">
        <v>2405.19</v>
      </c>
      <c r="AW1513" s="1">
        <v>2131.0500000000002</v>
      </c>
      <c r="AX1513" s="1">
        <v>79.44</v>
      </c>
      <c r="AY1513" s="1">
        <v>2545.69</v>
      </c>
      <c r="AZ1513" s="1">
        <v>2659.42</v>
      </c>
      <c r="BA1513" s="1">
        <v>79.86</v>
      </c>
      <c r="BB1513" s="1">
        <v>86.55</v>
      </c>
      <c r="BC1513" s="1">
        <v>84.2</v>
      </c>
      <c r="BD1513" s="1">
        <v>83.57</v>
      </c>
      <c r="BE1513" s="1">
        <v>82.53</v>
      </c>
      <c r="BF1513" s="1">
        <v>82.61</v>
      </c>
      <c r="BG1513" s="1">
        <v>87.8</v>
      </c>
      <c r="BH1513" s="1">
        <v>81.67</v>
      </c>
      <c r="BI1513" s="1">
        <v>83.76</v>
      </c>
      <c r="BK1513" s="1">
        <v>78.3</v>
      </c>
      <c r="BL1513" s="1">
        <v>78.02</v>
      </c>
      <c r="BN1513" s="1">
        <v>79.23</v>
      </c>
    </row>
    <row r="1514" spans="1:66" x14ac:dyDescent="0.3">
      <c r="A1514" s="2"/>
      <c r="C1514" s="14" t="str">
        <f t="shared" si="24"/>
        <v>20203</v>
      </c>
      <c r="D1514" s="3">
        <v>43896</v>
      </c>
      <c r="E1514" s="21">
        <v>1466.59</v>
      </c>
      <c r="F1514" s="21">
        <v>1353.68</v>
      </c>
      <c r="G1514" s="21">
        <v>1407.35</v>
      </c>
      <c r="H1514" s="21">
        <v>1417.76</v>
      </c>
      <c r="I1514" s="21">
        <v>1370.68</v>
      </c>
      <c r="J1514" s="21">
        <v>1430.96</v>
      </c>
      <c r="K1514" s="21">
        <v>1402.74</v>
      </c>
      <c r="L1514" s="21">
        <v>1253.8</v>
      </c>
      <c r="M1514" s="21">
        <v>1389.63</v>
      </c>
      <c r="N1514" s="21">
        <v>1262.83</v>
      </c>
      <c r="O1514" s="21">
        <v>1485.56</v>
      </c>
      <c r="P1514" s="21">
        <v>1377.34</v>
      </c>
      <c r="Q1514" s="21">
        <v>3455.27</v>
      </c>
      <c r="R1514" s="20">
        <v>80.13</v>
      </c>
      <c r="S1514" s="20">
        <v>73.819999999999993</v>
      </c>
      <c r="T1514" s="21">
        <v>82.33</v>
      </c>
      <c r="U1514" s="1">
        <v>78.62</v>
      </c>
      <c r="V1514" s="1">
        <v>76.2</v>
      </c>
      <c r="W1514" s="1">
        <v>82.92</v>
      </c>
      <c r="X1514" s="1">
        <v>81.88</v>
      </c>
      <c r="Y1514" s="1">
        <v>83.64</v>
      </c>
      <c r="Z1514" s="1">
        <v>84</v>
      </c>
      <c r="AA1514" s="1">
        <v>80.95</v>
      </c>
      <c r="AB1514" s="1">
        <v>82.12</v>
      </c>
      <c r="AC1514" s="1">
        <v>74.39</v>
      </c>
      <c r="AE1514" s="1">
        <v>87.54</v>
      </c>
      <c r="AF1514" s="1">
        <v>83.99</v>
      </c>
      <c r="AG1514" s="1">
        <v>74.930000000000007</v>
      </c>
      <c r="AI1514" s="1">
        <v>5</v>
      </c>
      <c r="AM1514" s="1">
        <v>0</v>
      </c>
      <c r="AN1514" s="1">
        <v>2246.64</v>
      </c>
      <c r="AP1514" s="1">
        <v>2451.6</v>
      </c>
      <c r="AQ1514" s="1">
        <v>2438.64</v>
      </c>
      <c r="AU1514" s="1">
        <v>2237.9299999999998</v>
      </c>
      <c r="AW1514" s="1">
        <v>2131.0500000000002</v>
      </c>
      <c r="AX1514" s="1">
        <v>76.989999999999995</v>
      </c>
      <c r="AY1514" s="1">
        <v>2709.6</v>
      </c>
      <c r="AZ1514" s="1">
        <v>2609.25</v>
      </c>
      <c r="BA1514" s="1">
        <v>80.33</v>
      </c>
      <c r="BB1514" s="1">
        <v>86.88</v>
      </c>
      <c r="BC1514" s="1">
        <v>84.43</v>
      </c>
      <c r="BD1514" s="1">
        <v>84.34</v>
      </c>
      <c r="BE1514" s="1">
        <v>84.77</v>
      </c>
      <c r="BF1514" s="1">
        <v>82.71</v>
      </c>
      <c r="BG1514" s="1">
        <v>87.77</v>
      </c>
      <c r="BH1514" s="1">
        <v>81.3</v>
      </c>
      <c r="BI1514" s="1">
        <v>82.47</v>
      </c>
      <c r="BJ1514" s="1">
        <v>86.85</v>
      </c>
      <c r="BL1514" s="1">
        <v>78.92</v>
      </c>
      <c r="BN1514" s="1">
        <v>79.64</v>
      </c>
    </row>
    <row r="1515" spans="1:66" x14ac:dyDescent="0.3">
      <c r="A1515" s="2"/>
      <c r="C1515" s="14" t="str">
        <f t="shared" si="24"/>
        <v>20203</v>
      </c>
      <c r="D1515" s="3">
        <v>43895</v>
      </c>
      <c r="E1515" s="21">
        <v>1418.67</v>
      </c>
      <c r="F1515" s="21">
        <v>1344.55</v>
      </c>
      <c r="G1515" s="21">
        <v>1368.36</v>
      </c>
      <c r="H1515" s="21">
        <v>1398.04</v>
      </c>
      <c r="I1515" s="21">
        <v>1374.6</v>
      </c>
      <c r="J1515" s="21">
        <v>1445.72</v>
      </c>
      <c r="K1515" s="21">
        <v>1382.09</v>
      </c>
      <c r="L1515" s="21">
        <v>1227.54</v>
      </c>
      <c r="M1515" s="21">
        <v>1370.59</v>
      </c>
      <c r="N1515" s="21">
        <v>1247.46</v>
      </c>
      <c r="O1515" s="21">
        <v>1480.35</v>
      </c>
      <c r="P1515" s="21">
        <v>1350.7</v>
      </c>
      <c r="Q1515" s="21">
        <v>3444.52</v>
      </c>
      <c r="R1515" s="20">
        <v>78.72</v>
      </c>
      <c r="S1515" s="20">
        <v>73.53</v>
      </c>
      <c r="T1515" s="21">
        <v>81.81</v>
      </c>
      <c r="U1515" s="1">
        <v>79.62</v>
      </c>
      <c r="V1515" s="1">
        <v>75.48</v>
      </c>
      <c r="W1515" s="1">
        <v>82.63</v>
      </c>
      <c r="X1515" s="1">
        <v>80.44</v>
      </c>
      <c r="Y1515" s="1">
        <v>83.86</v>
      </c>
      <c r="Z1515" s="1">
        <v>84.32</v>
      </c>
      <c r="AA1515" s="1">
        <v>80.52</v>
      </c>
      <c r="AB1515" s="1">
        <v>79.739999999999995</v>
      </c>
      <c r="AC1515" s="1">
        <v>75.05</v>
      </c>
      <c r="AD1515" s="1">
        <v>77.150000000000006</v>
      </c>
      <c r="AE1515" s="1">
        <v>86.52</v>
      </c>
      <c r="AF1515" s="1">
        <v>83.78</v>
      </c>
      <c r="AG1515" s="1">
        <v>74.41</v>
      </c>
      <c r="AI1515" s="1">
        <v>5</v>
      </c>
      <c r="AM1515" s="1">
        <v>0</v>
      </c>
      <c r="AN1515" s="1">
        <v>2246.64</v>
      </c>
      <c r="AP1515" s="1">
        <v>2500</v>
      </c>
      <c r="AQ1515" s="1">
        <v>2438.64</v>
      </c>
      <c r="AS1515" s="1">
        <v>2629.32</v>
      </c>
      <c r="AU1515" s="1">
        <v>2237.9299999999998</v>
      </c>
      <c r="AW1515" s="1">
        <v>2223.38</v>
      </c>
      <c r="AX1515" s="1">
        <v>76.25</v>
      </c>
      <c r="AY1515" s="1">
        <v>2709.6</v>
      </c>
      <c r="AZ1515" s="1">
        <v>2575.79</v>
      </c>
      <c r="BA1515" s="1">
        <v>80.56</v>
      </c>
      <c r="BB1515" s="1">
        <v>86.47</v>
      </c>
      <c r="BC1515" s="1">
        <v>84.98</v>
      </c>
      <c r="BD1515" s="1">
        <v>84.46</v>
      </c>
      <c r="BE1515" s="1">
        <v>85.5</v>
      </c>
      <c r="BF1515" s="1">
        <v>82.84</v>
      </c>
      <c r="BG1515" s="1">
        <v>87.64</v>
      </c>
      <c r="BH1515" s="1">
        <v>80.11</v>
      </c>
      <c r="BI1515" s="1">
        <v>82.36</v>
      </c>
      <c r="BJ1515" s="1">
        <v>85.3</v>
      </c>
      <c r="BL1515" s="1">
        <v>79.8</v>
      </c>
      <c r="BN1515" s="1">
        <v>78.92</v>
      </c>
    </row>
    <row r="1516" spans="1:66" x14ac:dyDescent="0.3">
      <c r="A1516" s="2"/>
      <c r="C1516" s="14" t="str">
        <f t="shared" si="24"/>
        <v>20203</v>
      </c>
      <c r="D1516" s="3">
        <v>43894</v>
      </c>
      <c r="E1516" s="21">
        <v>1446.84</v>
      </c>
      <c r="F1516" s="21">
        <v>1337.33</v>
      </c>
      <c r="G1516" s="21">
        <v>1370.41</v>
      </c>
      <c r="H1516" s="21">
        <v>1390.13</v>
      </c>
      <c r="I1516" s="21">
        <v>1370.68</v>
      </c>
      <c r="J1516" s="21">
        <v>1438.16</v>
      </c>
      <c r="K1516" s="21">
        <v>1365.04</v>
      </c>
      <c r="L1516" s="21">
        <v>1242.6400000000001</v>
      </c>
      <c r="M1516" s="21">
        <v>1340.97</v>
      </c>
      <c r="N1516" s="21">
        <v>1239.22</v>
      </c>
      <c r="O1516" s="21">
        <v>1481.78</v>
      </c>
      <c r="P1516" s="21">
        <v>1340.9</v>
      </c>
      <c r="Q1516" s="21">
        <v>3435.39</v>
      </c>
      <c r="R1516" s="20">
        <v>79.09</v>
      </c>
      <c r="S1516" s="20">
        <v>73.09</v>
      </c>
      <c r="T1516" s="21">
        <v>81.45</v>
      </c>
      <c r="U1516" s="1">
        <v>79.290000000000006</v>
      </c>
      <c r="V1516" s="1">
        <v>75.290000000000006</v>
      </c>
      <c r="W1516" s="1">
        <v>83.1</v>
      </c>
      <c r="X1516" s="1">
        <v>79.67</v>
      </c>
      <c r="Y1516" s="1">
        <v>82.78</v>
      </c>
      <c r="Z1516" s="1">
        <v>83.05</v>
      </c>
      <c r="AA1516" s="1">
        <v>79.59</v>
      </c>
      <c r="AB1516" s="1">
        <v>79.41</v>
      </c>
      <c r="AC1516" s="1">
        <v>74.72</v>
      </c>
      <c r="AD1516" s="1">
        <v>76.650000000000006</v>
      </c>
      <c r="AE1516" s="1">
        <v>86.17</v>
      </c>
      <c r="AF1516" s="1">
        <v>83.59</v>
      </c>
      <c r="AG1516" s="1">
        <v>74.760000000000005</v>
      </c>
      <c r="AI1516" s="1">
        <v>5</v>
      </c>
      <c r="AM1516" s="1">
        <v>0</v>
      </c>
      <c r="AN1516" s="1">
        <v>2246.64</v>
      </c>
      <c r="AP1516" s="1">
        <v>2500</v>
      </c>
      <c r="AQ1516" s="1">
        <v>2438.64</v>
      </c>
      <c r="AS1516" s="1">
        <v>2629.32</v>
      </c>
      <c r="AU1516" s="1">
        <v>2364.63</v>
      </c>
      <c r="AW1516" s="1">
        <v>2223.38</v>
      </c>
      <c r="AX1516" s="1">
        <v>76.13</v>
      </c>
      <c r="AY1516" s="1">
        <v>2709.6</v>
      </c>
      <c r="AZ1516" s="1">
        <v>2575.79</v>
      </c>
      <c r="BA1516" s="1">
        <v>79.78</v>
      </c>
      <c r="BB1516" s="1">
        <v>86</v>
      </c>
      <c r="BC1516" s="1">
        <v>83.47</v>
      </c>
      <c r="BD1516" s="1">
        <v>83.57</v>
      </c>
      <c r="BE1516" s="1">
        <v>82.84</v>
      </c>
      <c r="BF1516" s="1">
        <v>82.07</v>
      </c>
      <c r="BG1516" s="1">
        <v>86.93</v>
      </c>
      <c r="BH1516" s="1">
        <v>78.52</v>
      </c>
      <c r="BI1516" s="1">
        <v>81.86</v>
      </c>
      <c r="BJ1516" s="1">
        <v>85.31</v>
      </c>
      <c r="BL1516" s="1">
        <v>79.150000000000006</v>
      </c>
      <c r="BN1516" s="1">
        <v>77.03</v>
      </c>
    </row>
    <row r="1517" spans="1:66" x14ac:dyDescent="0.3">
      <c r="A1517" s="2"/>
      <c r="C1517" s="14" t="str">
        <f t="shared" si="24"/>
        <v>20203</v>
      </c>
      <c r="D1517" s="3">
        <v>43893</v>
      </c>
      <c r="E1517" s="21">
        <v>1368.7</v>
      </c>
      <c r="F1517" s="21">
        <v>1313.01</v>
      </c>
      <c r="G1517" s="21">
        <v>1343.2</v>
      </c>
      <c r="H1517" s="21">
        <v>1338.66</v>
      </c>
      <c r="I1517" s="21">
        <v>1349.11</v>
      </c>
      <c r="J1517" s="21">
        <v>1466.92</v>
      </c>
      <c r="K1517" s="21">
        <v>1378.85</v>
      </c>
      <c r="L1517" s="21">
        <v>1272.8499999999999</v>
      </c>
      <c r="M1517" s="21">
        <v>1349.1</v>
      </c>
      <c r="N1517" s="21">
        <v>1240.22</v>
      </c>
      <c r="O1517" s="21">
        <v>1449.34</v>
      </c>
      <c r="P1517" s="21">
        <v>1338.96</v>
      </c>
      <c r="Q1517" s="21">
        <v>3485.39</v>
      </c>
      <c r="R1517" s="20">
        <v>78.23</v>
      </c>
      <c r="S1517" s="20">
        <v>72.55</v>
      </c>
      <c r="T1517" s="21">
        <v>80.599999999999994</v>
      </c>
      <c r="U1517" s="1">
        <v>78.45</v>
      </c>
      <c r="V1517" s="1">
        <v>75.13</v>
      </c>
      <c r="W1517" s="1">
        <v>82.22</v>
      </c>
      <c r="X1517" s="1">
        <v>78.77</v>
      </c>
      <c r="Y1517" s="1">
        <v>82.08</v>
      </c>
      <c r="Z1517" s="1">
        <v>82.5</v>
      </c>
      <c r="AA1517" s="1">
        <v>79.510000000000005</v>
      </c>
      <c r="AB1517" s="1">
        <v>78.400000000000006</v>
      </c>
      <c r="AC1517" s="1">
        <v>74.39</v>
      </c>
      <c r="AD1517" s="1">
        <v>75.849999999999994</v>
      </c>
      <c r="AE1517" s="1">
        <v>85.93</v>
      </c>
      <c r="AF1517" s="1">
        <v>81.319999999999993</v>
      </c>
      <c r="AG1517" s="1">
        <v>74.41</v>
      </c>
      <c r="AI1517" s="1">
        <v>5</v>
      </c>
      <c r="AM1517" s="1">
        <v>0</v>
      </c>
      <c r="AN1517" s="1">
        <v>2246.64</v>
      </c>
      <c r="AP1517" s="1">
        <v>2500</v>
      </c>
      <c r="AS1517" s="1">
        <v>2629.32</v>
      </c>
      <c r="AU1517" s="1">
        <v>2491.33</v>
      </c>
      <c r="AW1517" s="1">
        <v>2223.38</v>
      </c>
      <c r="AX1517" s="1">
        <v>77.81</v>
      </c>
      <c r="AY1517" s="1">
        <v>2709.6</v>
      </c>
      <c r="AZ1517" s="1">
        <v>2575.79</v>
      </c>
      <c r="BA1517" s="1">
        <v>77.42</v>
      </c>
      <c r="BB1517" s="1">
        <v>84.57</v>
      </c>
      <c r="BC1517" s="1">
        <v>82.65</v>
      </c>
      <c r="BD1517" s="1">
        <v>81.78</v>
      </c>
      <c r="BE1517" s="1">
        <v>82.58</v>
      </c>
      <c r="BF1517" s="1">
        <v>80.900000000000006</v>
      </c>
      <c r="BG1517" s="1">
        <v>85.77</v>
      </c>
      <c r="BH1517" s="1">
        <v>79.260000000000005</v>
      </c>
      <c r="BI1517" s="1">
        <v>81.069999999999993</v>
      </c>
      <c r="BJ1517" s="1">
        <v>85.33</v>
      </c>
      <c r="BL1517" s="1">
        <v>78.55</v>
      </c>
      <c r="BN1517" s="1">
        <v>77.040000000000006</v>
      </c>
    </row>
    <row r="1518" spans="1:66" x14ac:dyDescent="0.3">
      <c r="A1518" s="2"/>
      <c r="C1518" s="14" t="str">
        <f t="shared" si="24"/>
        <v>20203</v>
      </c>
      <c r="D1518" s="3">
        <v>43892</v>
      </c>
      <c r="E1518" s="21">
        <v>1365.43</v>
      </c>
      <c r="F1518" s="21">
        <v>1302.3900000000001</v>
      </c>
      <c r="G1518" s="21">
        <v>1338.28</v>
      </c>
      <c r="H1518" s="21">
        <v>1311.02</v>
      </c>
      <c r="I1518" s="21">
        <v>1343.23</v>
      </c>
      <c r="J1518" s="21">
        <v>1431.19</v>
      </c>
      <c r="K1518" s="21">
        <v>1365.04</v>
      </c>
      <c r="L1518" s="21">
        <v>1278.93</v>
      </c>
      <c r="M1518" s="21">
        <v>1344.09</v>
      </c>
      <c r="N1518" s="21">
        <v>1228.6199999999999</v>
      </c>
      <c r="O1518" s="21">
        <v>1391.04</v>
      </c>
      <c r="P1518" s="21">
        <v>1333.47</v>
      </c>
      <c r="Q1518" s="21">
        <v>3458.49</v>
      </c>
      <c r="R1518" s="20">
        <v>78.260000000000005</v>
      </c>
      <c r="S1518" s="20">
        <v>72.14</v>
      </c>
      <c r="T1518" s="21">
        <v>80.23</v>
      </c>
      <c r="U1518" s="1">
        <v>78.45</v>
      </c>
      <c r="V1518" s="1">
        <v>74.040000000000006</v>
      </c>
      <c r="W1518" s="1">
        <v>80.89</v>
      </c>
      <c r="X1518" s="1">
        <v>77.64</v>
      </c>
      <c r="Y1518" s="1">
        <v>81.5</v>
      </c>
      <c r="Z1518" s="1">
        <v>80.930000000000007</v>
      </c>
      <c r="AA1518" s="1">
        <v>78.790000000000006</v>
      </c>
      <c r="AB1518" s="1">
        <v>77</v>
      </c>
      <c r="AC1518" s="1">
        <v>73.72</v>
      </c>
      <c r="AD1518" s="1">
        <v>76.05</v>
      </c>
      <c r="AE1518" s="1">
        <v>85.57</v>
      </c>
      <c r="AF1518" s="1">
        <v>80.98</v>
      </c>
      <c r="AG1518" s="1">
        <v>74.56</v>
      </c>
      <c r="AP1518" s="1">
        <v>2500</v>
      </c>
      <c r="AS1518" s="1">
        <v>2629.32</v>
      </c>
      <c r="AU1518" s="1">
        <v>2491.33</v>
      </c>
      <c r="AW1518" s="1">
        <v>2223.38</v>
      </c>
      <c r="AX1518" s="1">
        <v>77.39</v>
      </c>
      <c r="AZ1518" s="1">
        <v>2559.0700000000002</v>
      </c>
      <c r="BA1518" s="1">
        <v>77.66</v>
      </c>
      <c r="BB1518" s="1">
        <v>84.2</v>
      </c>
      <c r="BC1518" s="1">
        <v>82.13</v>
      </c>
      <c r="BD1518" s="1">
        <v>81.95</v>
      </c>
      <c r="BE1518" s="1">
        <v>82.55</v>
      </c>
      <c r="BF1518" s="1">
        <v>81.099999999999994</v>
      </c>
      <c r="BG1518" s="1">
        <v>85.11</v>
      </c>
      <c r="BH1518" s="1">
        <v>78.89</v>
      </c>
      <c r="BI1518" s="1">
        <v>80.27</v>
      </c>
      <c r="BJ1518" s="1">
        <v>85.44</v>
      </c>
      <c r="BL1518" s="1">
        <v>78.05</v>
      </c>
      <c r="BN1518" s="1">
        <v>75.66</v>
      </c>
    </row>
    <row r="1519" spans="1:66" x14ac:dyDescent="0.3">
      <c r="A1519" s="2"/>
      <c r="C1519" s="14" t="str">
        <f t="shared" si="24"/>
        <v>20202</v>
      </c>
      <c r="D1519" s="3">
        <v>43889</v>
      </c>
      <c r="E1519" s="21">
        <v>1410.75</v>
      </c>
      <c r="F1519" s="21">
        <v>1289.9100000000001</v>
      </c>
      <c r="G1519" s="21">
        <v>1338.28</v>
      </c>
      <c r="H1519" s="21">
        <v>1323.32</v>
      </c>
      <c r="I1519" s="21">
        <v>1343.23</v>
      </c>
      <c r="J1519" s="21">
        <v>1431.77</v>
      </c>
      <c r="K1519" s="21">
        <v>1365.04</v>
      </c>
      <c r="L1519" s="21">
        <v>1248.76</v>
      </c>
      <c r="M1519" s="21">
        <v>1324.28</v>
      </c>
      <c r="N1519" s="21">
        <v>1231.08</v>
      </c>
      <c r="O1519" s="21">
        <v>1399.25</v>
      </c>
      <c r="P1519" s="21">
        <v>1333.47</v>
      </c>
      <c r="Q1519" s="21">
        <v>3566.22</v>
      </c>
      <c r="R1519" s="20">
        <v>77.38</v>
      </c>
      <c r="S1519" s="20">
        <v>71.63</v>
      </c>
      <c r="T1519" s="21">
        <v>79.88</v>
      </c>
      <c r="U1519" s="1">
        <v>78.2</v>
      </c>
      <c r="V1519" s="1">
        <v>74.02</v>
      </c>
      <c r="W1519" s="1">
        <v>80.400000000000006</v>
      </c>
      <c r="X1519" s="1">
        <v>77.97</v>
      </c>
      <c r="Y1519" s="1">
        <v>80.63</v>
      </c>
      <c r="Z1519" s="1">
        <v>80.8</v>
      </c>
      <c r="AA1519" s="1">
        <v>78.39</v>
      </c>
      <c r="AB1519" s="1">
        <v>77.31</v>
      </c>
      <c r="AC1519" s="1">
        <v>76.38</v>
      </c>
      <c r="AD1519" s="1">
        <v>76.45</v>
      </c>
      <c r="AE1519" s="1">
        <v>84.91</v>
      </c>
      <c r="AF1519" s="1">
        <v>80.81</v>
      </c>
      <c r="AG1519" s="1">
        <v>73.760000000000005</v>
      </c>
      <c r="AS1519" s="1">
        <v>2307.4299999999998</v>
      </c>
      <c r="AU1519" s="1">
        <v>2490.52</v>
      </c>
      <c r="AW1519" s="1">
        <v>2222.66</v>
      </c>
      <c r="AX1519" s="1">
        <v>77.599999999999994</v>
      </c>
      <c r="AZ1519" s="1">
        <v>2558.2399999999998</v>
      </c>
      <c r="BA1519" s="1">
        <v>77.52</v>
      </c>
      <c r="BB1519" s="1">
        <v>83.35</v>
      </c>
      <c r="BC1519" s="1">
        <v>80.739999999999995</v>
      </c>
      <c r="BD1519" s="1">
        <v>80.849999999999994</v>
      </c>
      <c r="BE1519" s="1">
        <v>83.25</v>
      </c>
      <c r="BF1519" s="1">
        <v>80.69</v>
      </c>
      <c r="BG1519" s="1">
        <v>84.68</v>
      </c>
      <c r="BH1519" s="1">
        <v>79.239999999999995</v>
      </c>
      <c r="BI1519" s="1">
        <v>79.05</v>
      </c>
      <c r="BL1519" s="1">
        <v>77.47</v>
      </c>
      <c r="BN1519" s="1">
        <v>76.510000000000005</v>
      </c>
    </row>
    <row r="1520" spans="1:66" x14ac:dyDescent="0.3">
      <c r="A1520" s="2"/>
      <c r="C1520" s="14" t="str">
        <f t="shared" si="24"/>
        <v>20202</v>
      </c>
      <c r="D1520" s="3">
        <v>43888</v>
      </c>
      <c r="E1520" s="21">
        <v>1424.22</v>
      </c>
      <c r="F1520" s="21">
        <v>1290.3599999999999</v>
      </c>
      <c r="G1520" s="21">
        <v>1338.28</v>
      </c>
      <c r="H1520" s="21">
        <v>1311.3</v>
      </c>
      <c r="I1520" s="21">
        <v>1323.62</v>
      </c>
      <c r="J1520" s="21">
        <v>1413.49</v>
      </c>
      <c r="K1520" s="21">
        <v>1337.89</v>
      </c>
      <c r="L1520" s="21">
        <v>1248.57</v>
      </c>
      <c r="M1520" s="21">
        <v>1340.28</v>
      </c>
      <c r="N1520" s="21">
        <v>1238.98</v>
      </c>
      <c r="O1520" s="21">
        <v>1412.69</v>
      </c>
      <c r="P1520" s="21">
        <v>1301.3599999999999</v>
      </c>
      <c r="Q1520" s="21">
        <v>3580.65</v>
      </c>
      <c r="R1520" s="20">
        <v>77.5</v>
      </c>
      <c r="S1520" s="20">
        <v>71.89</v>
      </c>
      <c r="T1520" s="21">
        <v>79.7</v>
      </c>
      <c r="U1520" s="1">
        <v>77.73</v>
      </c>
      <c r="V1520" s="1">
        <v>74.02</v>
      </c>
      <c r="W1520" s="1">
        <v>79.48</v>
      </c>
      <c r="X1520" s="1">
        <v>78.27</v>
      </c>
      <c r="Y1520" s="1">
        <v>79.89</v>
      </c>
      <c r="Z1520" s="1">
        <v>80.05</v>
      </c>
      <c r="AA1520" s="1">
        <v>78.14</v>
      </c>
      <c r="AB1520" s="1">
        <v>77.25</v>
      </c>
      <c r="AC1520" s="1">
        <v>72.31</v>
      </c>
      <c r="AD1520" s="1">
        <v>76.12</v>
      </c>
      <c r="AE1520" s="1">
        <v>85.01</v>
      </c>
      <c r="AF1520" s="1">
        <v>80.599999999999994</v>
      </c>
      <c r="AG1520" s="1">
        <v>73.319999999999993</v>
      </c>
      <c r="AU1520" s="1">
        <v>2490.52</v>
      </c>
      <c r="AX1520" s="1">
        <v>77.87</v>
      </c>
      <c r="BA1520" s="1">
        <v>76.66</v>
      </c>
      <c r="BB1520" s="1">
        <v>83.06</v>
      </c>
      <c r="BC1520" s="1">
        <v>80.8</v>
      </c>
      <c r="BD1520" s="1">
        <v>81</v>
      </c>
      <c r="BE1520" s="1">
        <v>83.62</v>
      </c>
      <c r="BF1520" s="1">
        <v>80.12</v>
      </c>
      <c r="BG1520" s="1">
        <v>84.37</v>
      </c>
      <c r="BH1520" s="1">
        <v>78.91</v>
      </c>
      <c r="BI1520" s="1">
        <v>79.180000000000007</v>
      </c>
      <c r="BL1520" s="1">
        <v>75.81</v>
      </c>
      <c r="BN1520" s="1">
        <v>75.38</v>
      </c>
    </row>
    <row r="1521" spans="1:66" x14ac:dyDescent="0.3">
      <c r="A1521" s="2"/>
      <c r="C1521" s="14" t="str">
        <f t="shared" si="24"/>
        <v>20202</v>
      </c>
      <c r="D1521" s="3">
        <v>43887</v>
      </c>
      <c r="E1521" s="21">
        <v>1387.5</v>
      </c>
      <c r="F1521" s="21">
        <v>1296.0999999999999</v>
      </c>
      <c r="G1521" s="21">
        <v>1338.28</v>
      </c>
      <c r="H1521" s="21">
        <v>1328.83</v>
      </c>
      <c r="I1521" s="21">
        <v>1323.62</v>
      </c>
      <c r="J1521" s="21">
        <v>1392.66</v>
      </c>
      <c r="K1521" s="21">
        <v>1337.89</v>
      </c>
      <c r="L1521" s="21">
        <v>1230.6600000000001</v>
      </c>
      <c r="M1521" s="21">
        <v>1324.71</v>
      </c>
      <c r="N1521" s="21">
        <v>1226.53</v>
      </c>
      <c r="O1521" s="21">
        <v>1393.59</v>
      </c>
      <c r="P1521" s="21">
        <v>1301.3599999999999</v>
      </c>
      <c r="Q1521" s="21">
        <v>3534.3</v>
      </c>
      <c r="R1521" s="20">
        <v>77.459999999999994</v>
      </c>
      <c r="S1521" s="20">
        <v>71.510000000000005</v>
      </c>
      <c r="T1521" s="21">
        <v>79.58</v>
      </c>
      <c r="U1521" s="1">
        <v>77.17</v>
      </c>
      <c r="V1521" s="1">
        <v>73.64</v>
      </c>
      <c r="W1521" s="1">
        <v>79.81</v>
      </c>
      <c r="X1521" s="1">
        <v>77.569999999999993</v>
      </c>
      <c r="Y1521" s="1">
        <v>79</v>
      </c>
      <c r="Z1521" s="1">
        <v>79.5</v>
      </c>
      <c r="AA1521" s="1">
        <v>78.48</v>
      </c>
      <c r="AB1521" s="1">
        <v>76.33</v>
      </c>
      <c r="AC1521" s="1">
        <v>72.42</v>
      </c>
      <c r="AD1521" s="1">
        <v>75.98</v>
      </c>
      <c r="AE1521" s="1">
        <v>85.14</v>
      </c>
      <c r="AF1521" s="1">
        <v>80.2</v>
      </c>
      <c r="AG1521" s="1">
        <v>73.14</v>
      </c>
      <c r="AP1521" s="1">
        <v>2145</v>
      </c>
      <c r="AQ1521" s="1">
        <v>2809.05</v>
      </c>
      <c r="AX1521" s="1">
        <v>78.59</v>
      </c>
      <c r="BA1521" s="1">
        <v>76</v>
      </c>
      <c r="BB1521" s="1">
        <v>82.91</v>
      </c>
      <c r="BC1521" s="1">
        <v>80.17</v>
      </c>
      <c r="BD1521" s="1">
        <v>80.58</v>
      </c>
      <c r="BE1521" s="1">
        <v>82.46</v>
      </c>
      <c r="BF1521" s="1">
        <v>79.86</v>
      </c>
      <c r="BG1521" s="1">
        <v>84.22</v>
      </c>
      <c r="BH1521" s="1">
        <v>77.05</v>
      </c>
      <c r="BI1521" s="1">
        <v>79.06</v>
      </c>
      <c r="BL1521" s="1">
        <v>74.62</v>
      </c>
      <c r="BN1521" s="1">
        <v>74.78</v>
      </c>
    </row>
    <row r="1522" spans="1:66" x14ac:dyDescent="0.3">
      <c r="A1522" s="2"/>
      <c r="C1522" s="14" t="str">
        <f t="shared" si="24"/>
        <v>20202</v>
      </c>
      <c r="D1522" s="3">
        <v>43882</v>
      </c>
      <c r="E1522" s="21">
        <v>1326.41</v>
      </c>
      <c r="F1522" s="21">
        <v>1295.71</v>
      </c>
      <c r="G1522" s="21">
        <v>1338.28</v>
      </c>
      <c r="H1522" s="21">
        <v>1309.49</v>
      </c>
      <c r="I1522" s="21">
        <v>1308.9100000000001</v>
      </c>
      <c r="J1522" s="21">
        <v>1383.62</v>
      </c>
      <c r="K1522" s="21">
        <v>1320.39</v>
      </c>
      <c r="L1522" s="21">
        <v>1218.5999999999999</v>
      </c>
      <c r="M1522" s="21">
        <v>1299.93</v>
      </c>
      <c r="N1522" s="21">
        <v>1216.28</v>
      </c>
      <c r="O1522" s="21">
        <v>1374.7</v>
      </c>
      <c r="P1522" s="21">
        <v>1286.46</v>
      </c>
      <c r="Q1522" s="21">
        <v>3515.27</v>
      </c>
      <c r="R1522" s="20">
        <v>77.61</v>
      </c>
      <c r="S1522" s="20">
        <v>71.17</v>
      </c>
      <c r="T1522" s="21">
        <v>79.41</v>
      </c>
      <c r="U1522" s="1">
        <v>76.319999999999993</v>
      </c>
      <c r="V1522" s="1">
        <v>73.64</v>
      </c>
      <c r="W1522" s="1">
        <v>80.11</v>
      </c>
      <c r="X1522" s="1">
        <v>77.5</v>
      </c>
      <c r="Y1522" s="1">
        <v>79.41</v>
      </c>
      <c r="Z1522" s="1">
        <v>79.819999999999993</v>
      </c>
      <c r="AA1522" s="1">
        <v>78.55</v>
      </c>
      <c r="AB1522" s="1">
        <v>76.66</v>
      </c>
      <c r="AC1522" s="1">
        <v>72.02</v>
      </c>
      <c r="AD1522" s="1">
        <v>75.45</v>
      </c>
      <c r="AE1522" s="1">
        <v>83.53</v>
      </c>
      <c r="AF1522" s="1">
        <v>80.7</v>
      </c>
      <c r="AG1522" s="1">
        <v>72.510000000000005</v>
      </c>
      <c r="AK1522" s="1">
        <v>22.5</v>
      </c>
      <c r="AO1522" s="1">
        <v>7</v>
      </c>
      <c r="AP1522" s="1">
        <v>2498.69</v>
      </c>
      <c r="AQ1522" s="1">
        <v>2658.57</v>
      </c>
      <c r="AS1522" s="1">
        <v>2840.49</v>
      </c>
      <c r="AT1522" s="1">
        <v>2125.25</v>
      </c>
      <c r="AU1522" s="1">
        <v>2440.11</v>
      </c>
      <c r="AW1522" s="1">
        <v>2292.5100000000002</v>
      </c>
      <c r="AX1522" s="1">
        <v>78.59</v>
      </c>
      <c r="BA1522" s="1">
        <v>76.959999999999994</v>
      </c>
      <c r="BB1522" s="1">
        <v>83.58</v>
      </c>
      <c r="BC1522" s="1">
        <v>80.55</v>
      </c>
      <c r="BD1522" s="1">
        <v>81.12</v>
      </c>
      <c r="BE1522" s="1">
        <v>83.39</v>
      </c>
      <c r="BF1522" s="1">
        <v>79.83</v>
      </c>
      <c r="BG1522" s="1">
        <v>83.68</v>
      </c>
      <c r="BH1522" s="1">
        <v>77.849999999999994</v>
      </c>
      <c r="BI1522" s="1">
        <v>79.25</v>
      </c>
      <c r="BL1522" s="1">
        <v>75.319999999999993</v>
      </c>
      <c r="BN1522" s="1">
        <v>75.14</v>
      </c>
    </row>
    <row r="1523" spans="1:66" x14ac:dyDescent="0.3">
      <c r="A1523" s="2"/>
      <c r="C1523" s="14" t="str">
        <f t="shared" si="24"/>
        <v>20202</v>
      </c>
      <c r="D1523" s="3">
        <v>43881</v>
      </c>
      <c r="E1523" s="21">
        <v>1385.03</v>
      </c>
      <c r="F1523" s="21">
        <v>1289.04</v>
      </c>
      <c r="G1523" s="21">
        <v>1338.28</v>
      </c>
      <c r="H1523" s="21">
        <v>1294.3900000000001</v>
      </c>
      <c r="I1523" s="21">
        <v>1307.93</v>
      </c>
      <c r="J1523" s="21">
        <v>1383.16</v>
      </c>
      <c r="K1523" s="21">
        <v>1316.43</v>
      </c>
      <c r="L1523" s="21">
        <v>1218.6600000000001</v>
      </c>
      <c r="M1523" s="21">
        <v>1281.9000000000001</v>
      </c>
      <c r="N1523" s="21">
        <v>1210.95</v>
      </c>
      <c r="O1523" s="21">
        <v>1361.28</v>
      </c>
      <c r="P1523" s="21">
        <v>1283.8800000000001</v>
      </c>
      <c r="Q1523" s="21">
        <v>3534.04</v>
      </c>
      <c r="R1523" s="20">
        <v>76.97</v>
      </c>
      <c r="S1523" s="20">
        <v>71.599999999999994</v>
      </c>
      <c r="T1523" s="21">
        <v>79.790000000000006</v>
      </c>
      <c r="U1523" s="1">
        <v>76.3</v>
      </c>
      <c r="V1523" s="1">
        <v>73.290000000000006</v>
      </c>
      <c r="W1523" s="1">
        <v>79.709999999999994</v>
      </c>
      <c r="X1523" s="1">
        <v>77.62</v>
      </c>
      <c r="Y1523" s="1">
        <v>79.23</v>
      </c>
      <c r="Z1523" s="1">
        <v>79.27</v>
      </c>
      <c r="AA1523" s="1">
        <v>78.39</v>
      </c>
      <c r="AB1523" s="1">
        <v>76.66</v>
      </c>
      <c r="AC1523" s="1">
        <v>72.77</v>
      </c>
      <c r="AD1523" s="1">
        <v>75.239999999999995</v>
      </c>
      <c r="AE1523" s="1">
        <v>83.97</v>
      </c>
      <c r="AF1523" s="1">
        <v>79.959999999999994</v>
      </c>
      <c r="AG1523" s="1">
        <v>72.61</v>
      </c>
      <c r="AK1523" s="1">
        <v>22.5</v>
      </c>
      <c r="AO1523" s="1">
        <v>7</v>
      </c>
      <c r="AP1523" s="1">
        <v>2498.69</v>
      </c>
      <c r="AQ1523" s="1">
        <v>2608.4</v>
      </c>
      <c r="AS1523" s="1">
        <v>2793.67</v>
      </c>
      <c r="AT1523" s="1">
        <v>2125.25</v>
      </c>
      <c r="AU1523" s="1">
        <v>2552.2199999999998</v>
      </c>
      <c r="AW1523" s="1">
        <v>2292.5100000000002</v>
      </c>
      <c r="AX1523" s="1">
        <v>77.510000000000005</v>
      </c>
      <c r="BA1523" s="1">
        <v>76.739999999999995</v>
      </c>
      <c r="BB1523" s="1">
        <v>83.3</v>
      </c>
      <c r="BC1523" s="1">
        <v>80.27</v>
      </c>
      <c r="BD1523" s="1">
        <v>81.03</v>
      </c>
      <c r="BE1523" s="1">
        <v>81.55</v>
      </c>
      <c r="BF1523" s="1">
        <v>79.790000000000006</v>
      </c>
      <c r="BG1523" s="1">
        <v>83.76</v>
      </c>
      <c r="BH1523" s="1">
        <v>77.400000000000006</v>
      </c>
      <c r="BI1523" s="1">
        <v>79.180000000000007</v>
      </c>
      <c r="BL1523" s="1">
        <v>75.22</v>
      </c>
      <c r="BN1523" s="1">
        <v>74.48</v>
      </c>
    </row>
    <row r="1524" spans="1:66" x14ac:dyDescent="0.3">
      <c r="A1524" s="2"/>
      <c r="C1524" s="14" t="str">
        <f t="shared" si="24"/>
        <v>20202</v>
      </c>
      <c r="D1524" s="3">
        <v>43880</v>
      </c>
      <c r="E1524" s="21">
        <v>1382.55</v>
      </c>
      <c r="F1524" s="21">
        <v>1289.04</v>
      </c>
      <c r="G1524" s="21">
        <v>1345.65</v>
      </c>
      <c r="H1524" s="21">
        <v>1286.05</v>
      </c>
      <c r="I1524" s="21">
        <v>1308.9100000000001</v>
      </c>
      <c r="J1524" s="21">
        <v>1386.93</v>
      </c>
      <c r="K1524" s="21">
        <v>1316.43</v>
      </c>
      <c r="L1524" s="21">
        <v>1218.5999999999999</v>
      </c>
      <c r="M1524" s="21">
        <v>1286.0999999999999</v>
      </c>
      <c r="N1524" s="21">
        <v>1194.2</v>
      </c>
      <c r="O1524" s="21">
        <v>1364.68</v>
      </c>
      <c r="P1524" s="21">
        <v>1289.19</v>
      </c>
      <c r="Q1524" s="21">
        <v>3526.68</v>
      </c>
      <c r="R1524" s="20">
        <v>76.540000000000006</v>
      </c>
      <c r="S1524" s="20">
        <v>71.69</v>
      </c>
      <c r="T1524" s="21">
        <v>79.78</v>
      </c>
      <c r="U1524" s="1">
        <v>77.08</v>
      </c>
      <c r="V1524" s="1">
        <v>73.39</v>
      </c>
      <c r="W1524" s="1">
        <v>79.150000000000006</v>
      </c>
      <c r="X1524" s="1">
        <v>77.760000000000005</v>
      </c>
      <c r="Y1524" s="1">
        <v>78.650000000000006</v>
      </c>
      <c r="Z1524" s="1">
        <v>79</v>
      </c>
      <c r="AA1524" s="1">
        <v>77.930000000000007</v>
      </c>
      <c r="AB1524" s="1">
        <v>76.66</v>
      </c>
      <c r="AC1524" s="1">
        <v>72.84</v>
      </c>
      <c r="AD1524" s="1">
        <v>75.12</v>
      </c>
      <c r="AE1524" s="1">
        <v>83.37</v>
      </c>
      <c r="AF1524" s="1">
        <v>79.56</v>
      </c>
      <c r="AG1524" s="1">
        <v>72.67</v>
      </c>
      <c r="AK1524" s="1">
        <v>22.5</v>
      </c>
      <c r="AO1524" s="1">
        <v>7</v>
      </c>
      <c r="AP1524" s="1">
        <v>2587.12</v>
      </c>
      <c r="AQ1524" s="1">
        <v>2508.08</v>
      </c>
      <c r="AS1524" s="1">
        <v>2793.67</v>
      </c>
      <c r="AT1524" s="1">
        <v>2125.25</v>
      </c>
      <c r="AU1524" s="1">
        <v>2591.35</v>
      </c>
      <c r="AW1524" s="1">
        <v>2292.5100000000002</v>
      </c>
      <c r="AX1524" s="1">
        <v>77.430000000000007</v>
      </c>
      <c r="BA1524" s="1">
        <v>76.61</v>
      </c>
      <c r="BB1524" s="1">
        <v>83.15</v>
      </c>
      <c r="BC1524" s="1">
        <v>79.849999999999994</v>
      </c>
      <c r="BD1524" s="1">
        <v>80.95</v>
      </c>
      <c r="BE1524" s="1">
        <v>81.27</v>
      </c>
      <c r="BF1524" s="1">
        <v>79.69</v>
      </c>
      <c r="BG1524" s="1">
        <v>83.75</v>
      </c>
      <c r="BH1524" s="1">
        <v>77.3</v>
      </c>
      <c r="BI1524" s="1">
        <v>79.180000000000007</v>
      </c>
      <c r="BL1524" s="1">
        <v>74.66</v>
      </c>
      <c r="BN1524" s="1">
        <v>74.25</v>
      </c>
    </row>
    <row r="1525" spans="1:66" x14ac:dyDescent="0.3">
      <c r="A1525" s="2"/>
      <c r="C1525" s="14" t="str">
        <f t="shared" si="24"/>
        <v>20202</v>
      </c>
      <c r="D1525" s="3">
        <v>43879</v>
      </c>
      <c r="E1525" s="21">
        <v>1372.67</v>
      </c>
      <c r="F1525" s="21">
        <v>1289.04</v>
      </c>
      <c r="G1525" s="21">
        <v>1348.13</v>
      </c>
      <c r="H1525" s="21">
        <v>1283.52</v>
      </c>
      <c r="I1525" s="21">
        <v>1307.93</v>
      </c>
      <c r="J1525" s="21">
        <v>1381.26</v>
      </c>
      <c r="K1525" s="21">
        <v>1311.35</v>
      </c>
      <c r="L1525" s="21">
        <v>1206.53</v>
      </c>
      <c r="M1525" s="21">
        <v>1282.1400000000001</v>
      </c>
      <c r="N1525" s="21">
        <v>1208.75</v>
      </c>
      <c r="O1525" s="21">
        <v>1370.86</v>
      </c>
      <c r="P1525" s="21">
        <v>1289.19</v>
      </c>
      <c r="Q1525" s="21">
        <v>3503.7</v>
      </c>
      <c r="R1525" s="20">
        <v>76.260000000000005</v>
      </c>
      <c r="S1525" s="20">
        <v>71.25</v>
      </c>
      <c r="T1525" s="21">
        <v>78.55</v>
      </c>
      <c r="U1525" s="1">
        <v>76.56</v>
      </c>
      <c r="V1525" s="1">
        <v>73.959999999999994</v>
      </c>
      <c r="W1525" s="1">
        <v>78.569999999999993</v>
      </c>
      <c r="X1525" s="1">
        <v>77.430000000000007</v>
      </c>
      <c r="Y1525" s="1">
        <v>78.459999999999994</v>
      </c>
      <c r="Z1525" s="1">
        <v>78.739999999999995</v>
      </c>
      <c r="AA1525" s="1">
        <v>77.459999999999994</v>
      </c>
      <c r="AB1525" s="1">
        <v>76.5</v>
      </c>
      <c r="AC1525" s="1">
        <v>73.290000000000006</v>
      </c>
      <c r="AD1525" s="1">
        <v>74.12</v>
      </c>
      <c r="AE1525" s="1">
        <v>83.01</v>
      </c>
      <c r="AF1525" s="1">
        <v>79.319999999999993</v>
      </c>
      <c r="AG1525" s="1">
        <v>72.59</v>
      </c>
      <c r="AK1525" s="1">
        <v>22.5</v>
      </c>
      <c r="AP1525" s="1">
        <v>2617.5</v>
      </c>
      <c r="AQ1525" s="1">
        <v>2508.08</v>
      </c>
      <c r="AS1525" s="1">
        <v>2805.71</v>
      </c>
      <c r="AU1525" s="1">
        <v>2752.87</v>
      </c>
      <c r="AW1525" s="1">
        <v>2543.19</v>
      </c>
      <c r="AX1525" s="1">
        <v>77.17</v>
      </c>
      <c r="BA1525" s="1">
        <v>77.209999999999994</v>
      </c>
      <c r="BB1525" s="1">
        <v>82.25</v>
      </c>
      <c r="BC1525" s="1">
        <v>79.67</v>
      </c>
      <c r="BD1525" s="1">
        <v>79.430000000000007</v>
      </c>
      <c r="BE1525" s="1">
        <v>80.12</v>
      </c>
      <c r="BF1525" s="1">
        <v>79.55</v>
      </c>
      <c r="BG1525" s="1">
        <v>83.24</v>
      </c>
      <c r="BH1525" s="1">
        <v>78.75</v>
      </c>
      <c r="BI1525" s="1">
        <v>78.38</v>
      </c>
      <c r="BL1525" s="1">
        <v>74.010000000000005</v>
      </c>
      <c r="BN1525" s="1">
        <v>74.14</v>
      </c>
    </row>
    <row r="1526" spans="1:66" x14ac:dyDescent="0.3">
      <c r="A1526" s="2"/>
      <c r="C1526" s="14" t="str">
        <f t="shared" si="24"/>
        <v>20202</v>
      </c>
      <c r="D1526" s="3">
        <v>43878</v>
      </c>
      <c r="E1526" s="21">
        <v>1365.25</v>
      </c>
      <c r="F1526" s="21">
        <v>1289.04</v>
      </c>
      <c r="G1526" s="21">
        <v>1345.65</v>
      </c>
      <c r="H1526" s="21">
        <v>1278.44</v>
      </c>
      <c r="I1526" s="21">
        <v>1307.93</v>
      </c>
      <c r="J1526" s="21">
        <v>1368.04</v>
      </c>
      <c r="K1526" s="21">
        <v>1308.5</v>
      </c>
      <c r="L1526" s="21">
        <v>1190.2</v>
      </c>
      <c r="M1526" s="21">
        <v>1282.49</v>
      </c>
      <c r="N1526" s="21">
        <v>1188.58</v>
      </c>
      <c r="O1526" s="21">
        <v>1358.68</v>
      </c>
      <c r="P1526" s="21">
        <v>1240.97</v>
      </c>
      <c r="Q1526" s="21">
        <v>3506.64</v>
      </c>
      <c r="R1526" s="20">
        <v>76.11</v>
      </c>
      <c r="S1526" s="20">
        <v>70.64</v>
      </c>
      <c r="T1526" s="21">
        <v>79.22</v>
      </c>
      <c r="U1526" s="1">
        <v>76.790000000000006</v>
      </c>
      <c r="V1526" s="1">
        <v>73.55</v>
      </c>
      <c r="W1526" s="1">
        <v>78.72</v>
      </c>
      <c r="X1526" s="1">
        <v>77.069999999999993</v>
      </c>
      <c r="Y1526" s="1">
        <v>78.28</v>
      </c>
      <c r="Z1526" s="1">
        <v>78.5</v>
      </c>
      <c r="AA1526" s="1">
        <v>77.37</v>
      </c>
      <c r="AB1526" s="1">
        <v>76.900000000000006</v>
      </c>
      <c r="AC1526" s="1">
        <v>72.290000000000006</v>
      </c>
      <c r="AD1526" s="1">
        <v>72.98</v>
      </c>
      <c r="AE1526" s="1">
        <v>82.64</v>
      </c>
      <c r="AF1526" s="1">
        <v>78.44</v>
      </c>
      <c r="AG1526" s="1">
        <v>72.260000000000005</v>
      </c>
      <c r="AK1526" s="1">
        <v>15</v>
      </c>
      <c r="AO1526" s="1">
        <v>3.5</v>
      </c>
      <c r="AQ1526" s="1">
        <v>2620.94</v>
      </c>
      <c r="AS1526" s="1">
        <v>2777.65</v>
      </c>
      <c r="AT1526" s="1">
        <v>2376.89</v>
      </c>
      <c r="AU1526" s="1">
        <v>2530.65</v>
      </c>
      <c r="AW1526" s="1">
        <v>2543.19</v>
      </c>
      <c r="AX1526" s="1">
        <v>77</v>
      </c>
      <c r="AZ1526" s="1">
        <v>2307.4299999999998</v>
      </c>
      <c r="BA1526" s="1">
        <v>76.53</v>
      </c>
      <c r="BB1526" s="1">
        <v>81</v>
      </c>
      <c r="BC1526" s="1">
        <v>80.02</v>
      </c>
      <c r="BD1526" s="1">
        <v>78.650000000000006</v>
      </c>
      <c r="BE1526" s="1">
        <v>82.94</v>
      </c>
      <c r="BF1526" s="1">
        <v>79.88</v>
      </c>
      <c r="BG1526" s="1">
        <v>83.17</v>
      </c>
      <c r="BH1526" s="1">
        <v>79.34</v>
      </c>
      <c r="BI1526" s="1">
        <v>78.38</v>
      </c>
      <c r="BL1526" s="1">
        <v>74.42</v>
      </c>
      <c r="BN1526" s="1">
        <v>74.27</v>
      </c>
    </row>
    <row r="1527" spans="1:66" x14ac:dyDescent="0.3">
      <c r="A1527" s="2"/>
      <c r="C1527" s="14" t="str">
        <f t="shared" si="24"/>
        <v>20202</v>
      </c>
      <c r="D1527" s="3">
        <v>43875</v>
      </c>
      <c r="E1527" s="21">
        <v>1340.36</v>
      </c>
      <c r="F1527" s="21">
        <v>1292.0899999999999</v>
      </c>
      <c r="G1527" s="21">
        <v>1338.05</v>
      </c>
      <c r="H1527" s="21">
        <v>1274.3800000000001</v>
      </c>
      <c r="I1527" s="21">
        <v>1300.8800000000001</v>
      </c>
      <c r="J1527" s="21">
        <v>1327.69</v>
      </c>
      <c r="K1527" s="21">
        <v>1306.8599999999999</v>
      </c>
      <c r="L1527" s="21">
        <v>1231.7</v>
      </c>
      <c r="M1527" s="21">
        <v>1267.25</v>
      </c>
      <c r="N1527" s="21">
        <v>1200.02</v>
      </c>
      <c r="O1527" s="21">
        <v>1363.33</v>
      </c>
      <c r="P1527" s="21">
        <v>1261.4100000000001</v>
      </c>
      <c r="Q1527" s="21">
        <v>3497.1</v>
      </c>
      <c r="R1527" s="20">
        <v>75.760000000000005</v>
      </c>
      <c r="S1527" s="20">
        <v>70.349999999999994</v>
      </c>
      <c r="T1527" s="21">
        <v>78.66</v>
      </c>
      <c r="U1527" s="1">
        <v>76.38</v>
      </c>
      <c r="V1527" s="1">
        <v>73.290000000000006</v>
      </c>
      <c r="W1527" s="1">
        <v>78.91</v>
      </c>
      <c r="X1527" s="1">
        <v>77.08</v>
      </c>
      <c r="Y1527" s="1">
        <v>78.540000000000006</v>
      </c>
      <c r="Z1527" s="1">
        <v>78.69</v>
      </c>
      <c r="AA1527" s="1">
        <v>77.02</v>
      </c>
      <c r="AB1527" s="1">
        <v>76.55</v>
      </c>
      <c r="AC1527" s="1">
        <v>72.22</v>
      </c>
      <c r="AD1527" s="1">
        <v>73.33</v>
      </c>
      <c r="AE1527" s="1">
        <v>82.43</v>
      </c>
      <c r="AF1527" s="1">
        <v>79.989999999999995</v>
      </c>
      <c r="AG1527" s="1">
        <v>72.05</v>
      </c>
      <c r="AK1527" s="1">
        <v>30</v>
      </c>
      <c r="AO1527" s="1">
        <v>3.5</v>
      </c>
      <c r="AQ1527" s="1">
        <v>2658.57</v>
      </c>
      <c r="AS1527" s="1">
        <v>2769.79</v>
      </c>
      <c r="AT1527" s="1">
        <v>2376.89</v>
      </c>
      <c r="AU1527" s="1">
        <v>2530.65</v>
      </c>
      <c r="AW1527" s="1">
        <v>2521.46</v>
      </c>
      <c r="AX1527" s="1">
        <v>76.89</v>
      </c>
      <c r="AY1527" s="1">
        <v>2467.9499999999998</v>
      </c>
      <c r="AZ1527" s="1">
        <v>2307.4299999999998</v>
      </c>
      <c r="BA1527" s="1">
        <v>74.459999999999994</v>
      </c>
      <c r="BB1527" s="1">
        <v>82.07</v>
      </c>
      <c r="BC1527" s="1">
        <v>79.66</v>
      </c>
      <c r="BD1527" s="1">
        <v>79.72</v>
      </c>
      <c r="BE1527" s="1">
        <v>79.75</v>
      </c>
      <c r="BF1527" s="1">
        <v>79.95</v>
      </c>
      <c r="BG1527" s="1">
        <v>83.34</v>
      </c>
      <c r="BH1527" s="1">
        <v>77.95</v>
      </c>
      <c r="BI1527" s="1">
        <v>78.180000000000007</v>
      </c>
      <c r="BL1527" s="1">
        <v>74.260000000000005</v>
      </c>
      <c r="BN1527" s="1">
        <v>73.650000000000006</v>
      </c>
    </row>
    <row r="1528" spans="1:66" x14ac:dyDescent="0.3">
      <c r="A1528" s="2"/>
      <c r="C1528" s="14" t="str">
        <f t="shared" si="24"/>
        <v>20202</v>
      </c>
      <c r="D1528" s="3">
        <v>43874</v>
      </c>
      <c r="E1528" s="21">
        <v>1365.07</v>
      </c>
      <c r="F1528" s="21">
        <v>1281.21</v>
      </c>
      <c r="G1528" s="21">
        <v>1338.05</v>
      </c>
      <c r="H1528" s="21">
        <v>1280.5999999999999</v>
      </c>
      <c r="I1528" s="21">
        <v>1286.25</v>
      </c>
      <c r="J1528" s="21">
        <v>1335.52</v>
      </c>
      <c r="K1528" s="21">
        <v>1306.8599999999999</v>
      </c>
      <c r="L1528" s="21">
        <v>1231.7</v>
      </c>
      <c r="M1528" s="21">
        <v>1267.25</v>
      </c>
      <c r="N1528" s="21">
        <v>1193</v>
      </c>
      <c r="O1528" s="21">
        <v>1346.35</v>
      </c>
      <c r="P1528" s="21">
        <v>1261.4100000000001</v>
      </c>
      <c r="Q1528" s="21">
        <v>3545</v>
      </c>
      <c r="R1528" s="20">
        <v>76.22</v>
      </c>
      <c r="S1528" s="20">
        <v>70.209999999999994</v>
      </c>
      <c r="T1528" s="21">
        <v>78.88</v>
      </c>
      <c r="U1528" s="1">
        <v>76.06</v>
      </c>
      <c r="V1528" s="1">
        <v>74.03</v>
      </c>
      <c r="W1528" s="1">
        <v>78.91</v>
      </c>
      <c r="X1528" s="1">
        <v>77.08</v>
      </c>
      <c r="Y1528" s="1">
        <v>78.36</v>
      </c>
      <c r="Z1528" s="1">
        <v>78.5</v>
      </c>
      <c r="AA1528" s="1">
        <v>76.95</v>
      </c>
      <c r="AB1528" s="1">
        <v>76.44</v>
      </c>
      <c r="AC1528" s="1">
        <v>71.22</v>
      </c>
      <c r="AD1528" s="1">
        <v>74.8</v>
      </c>
      <c r="AE1528" s="1">
        <v>82.59</v>
      </c>
      <c r="AF1528" s="1">
        <v>79.02</v>
      </c>
      <c r="AG1528" s="1">
        <v>72.510000000000005</v>
      </c>
      <c r="AK1528" s="1">
        <v>30</v>
      </c>
      <c r="AO1528" s="1">
        <v>3.5</v>
      </c>
      <c r="AQ1528" s="1">
        <v>2733.81</v>
      </c>
      <c r="AS1528" s="1">
        <v>2802.46</v>
      </c>
      <c r="AT1528" s="1">
        <v>2387.1799999999998</v>
      </c>
      <c r="AU1528" s="1">
        <v>2407.7600000000002</v>
      </c>
      <c r="AW1528" s="1">
        <v>2521.46</v>
      </c>
      <c r="AX1528" s="1">
        <v>75.36</v>
      </c>
      <c r="AY1528" s="1">
        <v>2467.9499999999998</v>
      </c>
      <c r="AZ1528" s="1">
        <v>2307.4299999999998</v>
      </c>
      <c r="BA1528" s="1">
        <v>76.989999999999995</v>
      </c>
      <c r="BB1528" s="1">
        <v>82.3</v>
      </c>
      <c r="BC1528" s="1">
        <v>80.069999999999993</v>
      </c>
      <c r="BD1528" s="1">
        <v>80.33</v>
      </c>
      <c r="BE1528" s="1">
        <v>81.81</v>
      </c>
      <c r="BF1528" s="1">
        <v>80.069999999999993</v>
      </c>
      <c r="BG1528" s="1">
        <v>82.83</v>
      </c>
      <c r="BH1528" s="1">
        <v>77.569999999999993</v>
      </c>
      <c r="BI1528" s="1">
        <v>77.88</v>
      </c>
      <c r="BK1528" s="1">
        <v>73.77</v>
      </c>
      <c r="BL1528" s="1">
        <v>74.42</v>
      </c>
      <c r="BN1528" s="1">
        <v>73.58</v>
      </c>
    </row>
    <row r="1529" spans="1:66" x14ac:dyDescent="0.3">
      <c r="A1529" s="2"/>
      <c r="C1529" s="14" t="str">
        <f t="shared" si="24"/>
        <v>20202</v>
      </c>
      <c r="D1529" s="3">
        <v>43873</v>
      </c>
      <c r="E1529" s="21">
        <v>1347.81</v>
      </c>
      <c r="F1529" s="21">
        <v>1274.1099999999999</v>
      </c>
      <c r="G1529" s="21">
        <v>1328.2</v>
      </c>
      <c r="H1529" s="21">
        <v>1252.1199999999999</v>
      </c>
      <c r="I1529" s="21">
        <v>1279.3900000000001</v>
      </c>
      <c r="J1529" s="21">
        <v>1345.37</v>
      </c>
      <c r="K1529" s="21">
        <v>1308.43</v>
      </c>
      <c r="L1529" s="21">
        <v>1236.55</v>
      </c>
      <c r="M1529" s="21">
        <v>1275.83</v>
      </c>
      <c r="N1529" s="21">
        <v>1179.4000000000001</v>
      </c>
      <c r="O1529" s="21">
        <v>1326.81</v>
      </c>
      <c r="P1529" s="21">
        <v>1272.29</v>
      </c>
      <c r="Q1529" s="21">
        <v>3530.06</v>
      </c>
      <c r="R1529" s="20">
        <v>75.989999999999995</v>
      </c>
      <c r="S1529" s="20">
        <v>70.02</v>
      </c>
      <c r="T1529" s="21">
        <v>78.75</v>
      </c>
      <c r="U1529" s="1">
        <v>76.87</v>
      </c>
      <c r="V1529" s="1">
        <v>73.790000000000006</v>
      </c>
      <c r="W1529" s="1">
        <v>78.91</v>
      </c>
      <c r="X1529" s="1">
        <v>76.44</v>
      </c>
      <c r="Y1529" s="1">
        <v>78.11</v>
      </c>
      <c r="Z1529" s="1">
        <v>78.27</v>
      </c>
      <c r="AA1529" s="1">
        <v>76.53</v>
      </c>
      <c r="AB1529" s="1">
        <v>75.34</v>
      </c>
      <c r="AC1529" s="1">
        <v>72.56</v>
      </c>
      <c r="AD1529" s="1">
        <v>74.790000000000006</v>
      </c>
      <c r="AE1529" s="1">
        <v>82.1</v>
      </c>
      <c r="AF1529" s="1">
        <v>79.48</v>
      </c>
      <c r="AG1529" s="1">
        <v>71.5</v>
      </c>
      <c r="AK1529" s="1">
        <v>30</v>
      </c>
      <c r="AO1529" s="1">
        <v>3.5</v>
      </c>
      <c r="AQ1529" s="1">
        <v>2420.3000000000002</v>
      </c>
      <c r="AS1529" s="1">
        <v>2802.46</v>
      </c>
      <c r="AT1529" s="1">
        <v>2355.2800000000002</v>
      </c>
      <c r="AU1529" s="1">
        <v>2106.79</v>
      </c>
      <c r="AW1529" s="1">
        <v>2521.46</v>
      </c>
      <c r="AX1529" s="1">
        <v>76.209999999999994</v>
      </c>
      <c r="AY1529" s="1">
        <v>2407.7600000000002</v>
      </c>
      <c r="AZ1529" s="1">
        <v>2307.4299999999998</v>
      </c>
      <c r="BA1529" s="1">
        <v>76.36</v>
      </c>
      <c r="BB1529" s="1">
        <v>81.78</v>
      </c>
      <c r="BC1529" s="1">
        <v>79.47</v>
      </c>
      <c r="BD1529" s="1">
        <v>79.78</v>
      </c>
      <c r="BE1529" s="1">
        <v>81.3</v>
      </c>
      <c r="BF1529" s="1">
        <v>79.7</v>
      </c>
      <c r="BG1529" s="1">
        <v>82.24</v>
      </c>
      <c r="BH1529" s="1">
        <v>78.05</v>
      </c>
      <c r="BI1529" s="1">
        <v>77.88</v>
      </c>
      <c r="BK1529" s="1">
        <v>73.41</v>
      </c>
      <c r="BL1529" s="1">
        <v>73.97</v>
      </c>
      <c r="BN1529" s="1">
        <v>73.17</v>
      </c>
    </row>
    <row r="1530" spans="1:66" x14ac:dyDescent="0.3">
      <c r="A1530" s="2"/>
      <c r="C1530" s="14" t="str">
        <f t="shared" si="24"/>
        <v>20202</v>
      </c>
      <c r="D1530" s="3">
        <v>43872</v>
      </c>
      <c r="E1530" s="21">
        <v>1345.34</v>
      </c>
      <c r="F1530" s="21">
        <v>1274.08</v>
      </c>
      <c r="G1530" s="21">
        <v>1370.74</v>
      </c>
      <c r="H1530" s="21">
        <v>1241.94</v>
      </c>
      <c r="I1530" s="21">
        <v>1282.33</v>
      </c>
      <c r="J1530" s="21">
        <v>1341.5</v>
      </c>
      <c r="K1530" s="21">
        <v>1312.97</v>
      </c>
      <c r="L1530" s="21">
        <v>1206.45</v>
      </c>
      <c r="M1530" s="21">
        <v>1275.1099999999999</v>
      </c>
      <c r="N1530" s="21">
        <v>1184.0899999999999</v>
      </c>
      <c r="O1530" s="21">
        <v>1316.92</v>
      </c>
      <c r="P1530" s="21">
        <v>1253.03</v>
      </c>
      <c r="Q1530" s="21">
        <v>3546.06</v>
      </c>
      <c r="R1530" s="20">
        <v>75.98</v>
      </c>
      <c r="S1530" s="20">
        <v>70.11</v>
      </c>
      <c r="T1530" s="21">
        <v>78.03</v>
      </c>
      <c r="U1530" s="1">
        <v>76.13</v>
      </c>
      <c r="V1530" s="1">
        <v>73.17</v>
      </c>
      <c r="W1530" s="1">
        <v>78.11</v>
      </c>
      <c r="X1530" s="1">
        <v>76.61</v>
      </c>
      <c r="Y1530" s="1">
        <v>77.39</v>
      </c>
      <c r="Z1530" s="1">
        <v>77.5</v>
      </c>
      <c r="AA1530" s="1">
        <v>76.42</v>
      </c>
      <c r="AB1530" s="1">
        <v>75.989999999999995</v>
      </c>
      <c r="AC1530" s="1">
        <v>72.55</v>
      </c>
      <c r="AE1530" s="1">
        <v>82.13</v>
      </c>
      <c r="AF1530" s="1">
        <v>79.19</v>
      </c>
      <c r="AG1530" s="1">
        <v>70.239999999999995</v>
      </c>
      <c r="AK1530" s="1">
        <v>30</v>
      </c>
      <c r="AO1530" s="1">
        <v>3.5</v>
      </c>
      <c r="AP1530" s="1">
        <v>2250</v>
      </c>
      <c r="AQ1530" s="1">
        <v>2417.79</v>
      </c>
      <c r="AS1530" s="1">
        <v>2767.5</v>
      </c>
      <c r="AT1530" s="1">
        <v>2355.2800000000002</v>
      </c>
      <c r="AU1530" s="1">
        <v>2106.79</v>
      </c>
      <c r="AW1530" s="1">
        <v>2352.58</v>
      </c>
      <c r="AX1530" s="1">
        <v>74.52</v>
      </c>
      <c r="AY1530" s="1">
        <v>2407.7600000000002</v>
      </c>
      <c r="AZ1530" s="1">
        <v>2307.4299999999998</v>
      </c>
      <c r="BA1530" s="1">
        <v>75.37</v>
      </c>
      <c r="BB1530" s="1">
        <v>81.430000000000007</v>
      </c>
      <c r="BC1530" s="1">
        <v>78.34</v>
      </c>
      <c r="BD1530" s="1">
        <v>79.430000000000007</v>
      </c>
      <c r="BE1530" s="1">
        <v>81.349999999999994</v>
      </c>
      <c r="BF1530" s="1">
        <v>78.510000000000005</v>
      </c>
      <c r="BG1530" s="1">
        <v>82.65</v>
      </c>
      <c r="BH1530" s="1">
        <v>77.42</v>
      </c>
      <c r="BI1530" s="1">
        <v>77.88</v>
      </c>
      <c r="BK1530" s="1">
        <v>72.84</v>
      </c>
      <c r="BL1530" s="1">
        <v>73.41</v>
      </c>
      <c r="BN1530" s="1">
        <v>72.97</v>
      </c>
    </row>
    <row r="1531" spans="1:66" x14ac:dyDescent="0.3">
      <c r="A1531" s="2"/>
      <c r="C1531" s="14" t="str">
        <f t="shared" si="24"/>
        <v>20202</v>
      </c>
      <c r="D1531" s="3">
        <v>43871</v>
      </c>
      <c r="E1531" s="21">
        <v>1345.33</v>
      </c>
      <c r="F1531" s="21">
        <v>1275.8399999999999</v>
      </c>
      <c r="G1531" s="21">
        <v>1352.88</v>
      </c>
      <c r="H1531" s="21">
        <v>1231.3900000000001</v>
      </c>
      <c r="I1531" s="21">
        <v>1282.21</v>
      </c>
      <c r="J1531" s="21">
        <v>1356.3</v>
      </c>
      <c r="K1531" s="21">
        <v>1305.96</v>
      </c>
      <c r="L1531" s="21">
        <v>1206.3699999999999</v>
      </c>
      <c r="M1531" s="21">
        <v>1244.46</v>
      </c>
      <c r="N1531" s="21">
        <v>1193.3399999999999</v>
      </c>
      <c r="O1531" s="21">
        <v>1306.5899999999999</v>
      </c>
      <c r="P1531" s="21">
        <v>1256.22</v>
      </c>
      <c r="Q1531" s="21">
        <v>3518.08</v>
      </c>
      <c r="R1531" s="20">
        <v>75.39</v>
      </c>
      <c r="S1531" s="20">
        <v>69.81</v>
      </c>
      <c r="T1531" s="21">
        <v>78.03</v>
      </c>
      <c r="U1531" s="1">
        <v>76.13</v>
      </c>
      <c r="V1531" s="1">
        <v>72.81</v>
      </c>
      <c r="W1531" s="1">
        <v>78.11</v>
      </c>
      <c r="X1531" s="1">
        <v>76.48</v>
      </c>
      <c r="Y1531" s="1">
        <v>77.37</v>
      </c>
      <c r="Z1531" s="1">
        <v>77.5</v>
      </c>
      <c r="AA1531" s="1">
        <v>76.489999999999995</v>
      </c>
      <c r="AB1531" s="1">
        <v>75.989999999999995</v>
      </c>
      <c r="AC1531" s="1">
        <v>72.55</v>
      </c>
      <c r="AE1531" s="1">
        <v>82.19</v>
      </c>
      <c r="AF1531" s="1">
        <v>79.459999999999994</v>
      </c>
      <c r="AG1531" s="1">
        <v>70.52</v>
      </c>
      <c r="AK1531" s="1">
        <v>30</v>
      </c>
      <c r="AP1531" s="1">
        <v>2250</v>
      </c>
      <c r="AQ1531" s="1">
        <v>2207.11</v>
      </c>
      <c r="AS1531" s="1">
        <v>2767.5</v>
      </c>
      <c r="AT1531" s="1">
        <v>2340.88</v>
      </c>
      <c r="AW1531" s="1">
        <v>2352.58</v>
      </c>
      <c r="AX1531" s="1">
        <v>74.400000000000006</v>
      </c>
      <c r="AY1531" s="1">
        <v>2431.84</v>
      </c>
      <c r="BA1531" s="1">
        <v>75.069999999999993</v>
      </c>
      <c r="BB1531" s="1">
        <v>81.540000000000006</v>
      </c>
      <c r="BC1531" s="1">
        <v>78.78</v>
      </c>
      <c r="BD1531" s="1">
        <v>79.599999999999994</v>
      </c>
      <c r="BE1531" s="1">
        <v>82.06</v>
      </c>
      <c r="BF1531" s="1">
        <v>79.16</v>
      </c>
      <c r="BG1531" s="1">
        <v>82.06</v>
      </c>
      <c r="BH1531" s="1">
        <v>77.47</v>
      </c>
      <c r="BI1531" s="1">
        <v>77.48</v>
      </c>
      <c r="BJ1531" s="1">
        <v>81.849999999999994</v>
      </c>
      <c r="BK1531" s="1">
        <v>72.63</v>
      </c>
      <c r="BL1531" s="1">
        <v>73.41</v>
      </c>
      <c r="BN1531" s="1">
        <v>72.78</v>
      </c>
    </row>
    <row r="1532" spans="1:66" x14ac:dyDescent="0.3">
      <c r="A1532" s="2"/>
      <c r="C1532" s="14" t="str">
        <f t="shared" si="24"/>
        <v>20202</v>
      </c>
      <c r="D1532" s="3">
        <v>43868</v>
      </c>
      <c r="E1532" s="21">
        <v>1335.36</v>
      </c>
      <c r="F1532" s="21">
        <v>1272.17</v>
      </c>
      <c r="G1532" s="21">
        <v>1345.38</v>
      </c>
      <c r="H1532" s="21">
        <v>1243.8</v>
      </c>
      <c r="I1532" s="21">
        <v>1274.3699999999999</v>
      </c>
      <c r="J1532" s="21">
        <v>1360.35</v>
      </c>
      <c r="K1532" s="21">
        <v>1307.6199999999999</v>
      </c>
      <c r="L1532" s="21">
        <v>1188.27</v>
      </c>
      <c r="M1532" s="21">
        <v>1239.01</v>
      </c>
      <c r="N1532" s="21">
        <v>1191.45</v>
      </c>
      <c r="O1532" s="21">
        <v>1311.14</v>
      </c>
      <c r="P1532" s="21">
        <v>1272.23</v>
      </c>
      <c r="Q1532" s="21">
        <v>3552.55</v>
      </c>
      <c r="R1532" s="20">
        <v>75.36</v>
      </c>
      <c r="S1532" s="20">
        <v>70.430000000000007</v>
      </c>
      <c r="T1532" s="21">
        <v>77.37</v>
      </c>
      <c r="U1532" s="1">
        <v>74.89</v>
      </c>
      <c r="V1532" s="1">
        <v>72.72</v>
      </c>
      <c r="W1532" s="1">
        <v>77.28</v>
      </c>
      <c r="X1532" s="1">
        <v>75.959999999999994</v>
      </c>
      <c r="Y1532" s="1">
        <v>77.040000000000006</v>
      </c>
      <c r="Z1532" s="1">
        <v>77.319999999999993</v>
      </c>
      <c r="AA1532" s="1">
        <v>76.64</v>
      </c>
      <c r="AB1532" s="1">
        <v>75</v>
      </c>
      <c r="AC1532" s="1">
        <v>71.89</v>
      </c>
      <c r="AE1532" s="1">
        <v>82.01</v>
      </c>
      <c r="AF1532" s="1">
        <v>79.41</v>
      </c>
      <c r="AG1532" s="1">
        <v>71.150000000000006</v>
      </c>
      <c r="AP1532" s="1">
        <v>2250</v>
      </c>
      <c r="AQ1532" s="1">
        <v>2327.5</v>
      </c>
      <c r="AS1532" s="1">
        <v>2698.7</v>
      </c>
      <c r="AT1532" s="1">
        <v>2340.88</v>
      </c>
      <c r="AW1532" s="1">
        <v>2036.56</v>
      </c>
      <c r="AX1532" s="1">
        <v>74.3</v>
      </c>
      <c r="AY1532" s="1">
        <v>2407.7600000000002</v>
      </c>
      <c r="AZ1532" s="1">
        <v>2156.9499999999998</v>
      </c>
      <c r="BA1532" s="1">
        <v>74.56</v>
      </c>
      <c r="BB1532" s="1">
        <v>81.150000000000006</v>
      </c>
      <c r="BC1532" s="1">
        <v>78.66</v>
      </c>
      <c r="BD1532" s="1">
        <v>79.12</v>
      </c>
      <c r="BE1532" s="1">
        <v>82.13</v>
      </c>
      <c r="BF1532" s="1">
        <v>79.59</v>
      </c>
      <c r="BG1532" s="1">
        <v>81.63</v>
      </c>
      <c r="BH1532" s="1">
        <v>74.88</v>
      </c>
      <c r="BI1532" s="1">
        <v>77.48</v>
      </c>
      <c r="BJ1532" s="1">
        <v>81.819999999999993</v>
      </c>
      <c r="BK1532" s="1">
        <v>72.63</v>
      </c>
      <c r="BL1532" s="1">
        <v>72.44</v>
      </c>
      <c r="BN1532" s="1">
        <v>73.19</v>
      </c>
    </row>
    <row r="1533" spans="1:66" x14ac:dyDescent="0.3">
      <c r="A1533" s="2"/>
      <c r="C1533" s="14" t="str">
        <f t="shared" si="24"/>
        <v>20202</v>
      </c>
      <c r="D1533" s="3">
        <v>43867</v>
      </c>
      <c r="E1533" s="21">
        <v>1320.58</v>
      </c>
      <c r="F1533" s="21">
        <v>1278.8599999999999</v>
      </c>
      <c r="G1533" s="21">
        <v>1340.48</v>
      </c>
      <c r="H1533" s="21">
        <v>1221.29</v>
      </c>
      <c r="I1533" s="21">
        <v>1286.6199999999999</v>
      </c>
      <c r="J1533" s="21">
        <v>1319.58</v>
      </c>
      <c r="K1533" s="21">
        <v>1288.49</v>
      </c>
      <c r="L1533" s="21">
        <v>1188.27</v>
      </c>
      <c r="M1533" s="21">
        <v>1224.53</v>
      </c>
      <c r="N1533" s="21">
        <v>1167.7</v>
      </c>
      <c r="O1533" s="21">
        <v>1324.35</v>
      </c>
      <c r="P1533" s="21">
        <v>1284.6400000000001</v>
      </c>
      <c r="Q1533" s="21">
        <v>3542.04</v>
      </c>
      <c r="R1533" s="20">
        <v>75.55</v>
      </c>
      <c r="S1533" s="20">
        <v>69.11</v>
      </c>
      <c r="T1533" s="21">
        <v>76.849999999999994</v>
      </c>
      <c r="U1533" s="1">
        <v>74.97</v>
      </c>
      <c r="V1533" s="1">
        <v>72.41</v>
      </c>
      <c r="W1533" s="1">
        <v>77.209999999999994</v>
      </c>
      <c r="X1533" s="1">
        <v>75.62</v>
      </c>
      <c r="Y1533" s="1">
        <v>76.39</v>
      </c>
      <c r="Z1533" s="1">
        <v>76.5</v>
      </c>
      <c r="AA1533" s="1">
        <v>75.849999999999994</v>
      </c>
      <c r="AB1533" s="1">
        <v>74.67</v>
      </c>
      <c r="AE1533" s="1">
        <v>81.709999999999994</v>
      </c>
      <c r="AF1533" s="1">
        <v>77.48</v>
      </c>
      <c r="AG1533" s="1">
        <v>69.87</v>
      </c>
      <c r="AK1533" s="1">
        <v>0</v>
      </c>
      <c r="AP1533" s="1">
        <v>2250</v>
      </c>
      <c r="AQ1533" s="1">
        <v>2327.94</v>
      </c>
      <c r="AS1533" s="1">
        <v>2415.38</v>
      </c>
      <c r="AT1533" s="1">
        <v>2307.87</v>
      </c>
      <c r="AW1533" s="1">
        <v>2159.87</v>
      </c>
      <c r="AX1533" s="1">
        <v>74.77</v>
      </c>
      <c r="AY1533" s="1">
        <v>2408.2199999999998</v>
      </c>
      <c r="AZ1533" s="1">
        <v>2157.36</v>
      </c>
      <c r="BA1533" s="1">
        <v>73.319999999999993</v>
      </c>
      <c r="BB1533" s="1">
        <v>80.87</v>
      </c>
      <c r="BC1533" s="1">
        <v>78.17</v>
      </c>
      <c r="BD1533" s="1">
        <v>78.28</v>
      </c>
      <c r="BE1533" s="1">
        <v>81.790000000000006</v>
      </c>
      <c r="BF1533" s="1">
        <v>78.72</v>
      </c>
      <c r="BG1533" s="1">
        <v>80.84</v>
      </c>
      <c r="BH1533" s="1">
        <v>76.81</v>
      </c>
      <c r="BI1533" s="1">
        <v>77.08</v>
      </c>
      <c r="BJ1533" s="1">
        <v>81.73</v>
      </c>
      <c r="BK1533" s="1">
        <v>72.13</v>
      </c>
      <c r="BL1533" s="1">
        <v>72.11</v>
      </c>
      <c r="BN1533" s="1">
        <v>72.31</v>
      </c>
    </row>
    <row r="1534" spans="1:66" x14ac:dyDescent="0.3">
      <c r="A1534" s="2"/>
      <c r="C1534" s="14" t="str">
        <f t="shared" si="24"/>
        <v>20202</v>
      </c>
      <c r="D1534" s="3">
        <v>43866</v>
      </c>
      <c r="E1534" s="21">
        <v>1325.52</v>
      </c>
      <c r="F1534" s="21">
        <v>1265.04</v>
      </c>
      <c r="G1534" s="21">
        <v>1345.38</v>
      </c>
      <c r="H1534" s="21">
        <v>1219.52</v>
      </c>
      <c r="I1534" s="21">
        <v>1284.17</v>
      </c>
      <c r="J1534" s="21">
        <v>1318.27</v>
      </c>
      <c r="K1534" s="21">
        <v>1313.16</v>
      </c>
      <c r="L1534" s="21">
        <v>1188.27</v>
      </c>
      <c r="M1534" s="21">
        <v>1218.6500000000001</v>
      </c>
      <c r="N1534" s="21">
        <v>1150.33</v>
      </c>
      <c r="O1534" s="21">
        <v>1306.3800000000001</v>
      </c>
      <c r="P1534" s="21">
        <v>1278.23</v>
      </c>
      <c r="Q1534" s="21">
        <v>3545.96</v>
      </c>
      <c r="R1534" s="20">
        <v>75.55</v>
      </c>
      <c r="S1534" s="20">
        <v>68.33</v>
      </c>
      <c r="T1534" s="21">
        <v>76.58</v>
      </c>
      <c r="V1534" s="1">
        <v>72.38</v>
      </c>
      <c r="W1534" s="1">
        <v>77.709999999999994</v>
      </c>
      <c r="X1534" s="1">
        <v>75.61</v>
      </c>
      <c r="Y1534" s="1">
        <v>75.849999999999994</v>
      </c>
      <c r="Z1534" s="1">
        <v>75.94</v>
      </c>
      <c r="AA1534" s="1">
        <v>76.25</v>
      </c>
      <c r="AB1534" s="1">
        <v>74.78</v>
      </c>
      <c r="AC1534" s="1">
        <v>70.48</v>
      </c>
      <c r="AE1534" s="1">
        <v>81.040000000000006</v>
      </c>
      <c r="AF1534" s="1">
        <v>77.650000000000006</v>
      </c>
      <c r="AG1534" s="1">
        <v>70.2</v>
      </c>
      <c r="AK1534" s="1">
        <v>0</v>
      </c>
      <c r="AP1534" s="1">
        <v>2250</v>
      </c>
      <c r="AQ1534" s="1">
        <v>2475.11</v>
      </c>
      <c r="AS1534" s="1">
        <v>2415.38</v>
      </c>
      <c r="AU1534" s="1">
        <v>2257.6999999999998</v>
      </c>
      <c r="AW1534" s="1">
        <v>2159.87</v>
      </c>
      <c r="AX1534" s="1">
        <v>74.239999999999995</v>
      </c>
      <c r="AY1534" s="1">
        <v>2468.42</v>
      </c>
      <c r="AZ1534" s="1">
        <v>2157.36</v>
      </c>
      <c r="BA1534" s="1">
        <v>73.97</v>
      </c>
      <c r="BB1534" s="1">
        <v>81.17</v>
      </c>
      <c r="BC1534" s="1">
        <v>78.16</v>
      </c>
      <c r="BD1534" s="1">
        <v>78.06</v>
      </c>
      <c r="BE1534" s="1">
        <v>81.03</v>
      </c>
      <c r="BF1534" s="1">
        <v>78.709999999999994</v>
      </c>
      <c r="BG1534" s="1">
        <v>80.94</v>
      </c>
      <c r="BH1534" s="1">
        <v>76.13</v>
      </c>
      <c r="BI1534" s="1">
        <v>77.08</v>
      </c>
      <c r="BJ1534" s="1">
        <v>81.36</v>
      </c>
      <c r="BK1534" s="1">
        <v>71.37</v>
      </c>
      <c r="BL1534" s="1">
        <v>71.709999999999994</v>
      </c>
      <c r="BN1534" s="1">
        <v>72.23</v>
      </c>
    </row>
    <row r="1535" spans="1:66" x14ac:dyDescent="0.3">
      <c r="A1535" s="2"/>
      <c r="C1535" s="14" t="str">
        <f t="shared" si="24"/>
        <v>20202</v>
      </c>
      <c r="D1535" s="3">
        <v>43865</v>
      </c>
      <c r="E1535" s="21">
        <v>1350.69</v>
      </c>
      <c r="F1535" s="21">
        <v>1278.78</v>
      </c>
      <c r="G1535" s="21">
        <v>1377.17</v>
      </c>
      <c r="H1535" s="21">
        <v>1236.6199999999999</v>
      </c>
      <c r="I1535" s="21">
        <v>1299.8599999999999</v>
      </c>
      <c r="J1535" s="21">
        <v>1318.65</v>
      </c>
      <c r="K1535" s="21">
        <v>1317.55</v>
      </c>
      <c r="L1535" s="21">
        <v>1187.53</v>
      </c>
      <c r="M1535" s="21">
        <v>1218.6500000000001</v>
      </c>
      <c r="N1535" s="21">
        <v>1149.3800000000001</v>
      </c>
      <c r="O1535" s="21">
        <v>1296.6099999999999</v>
      </c>
      <c r="P1535" s="21">
        <v>1291.07</v>
      </c>
      <c r="Q1535" s="21">
        <v>3628.86</v>
      </c>
      <c r="R1535" s="20">
        <v>75.680000000000007</v>
      </c>
      <c r="S1535" s="20">
        <v>68.41</v>
      </c>
      <c r="T1535" s="21">
        <v>76.349999999999994</v>
      </c>
      <c r="U1535" s="1">
        <v>75.099999999999994</v>
      </c>
      <c r="V1535" s="1">
        <v>73.209999999999994</v>
      </c>
      <c r="W1535" s="1">
        <v>77.28</v>
      </c>
      <c r="X1535" s="1">
        <v>75.55</v>
      </c>
      <c r="Y1535" s="1">
        <v>75.41</v>
      </c>
      <c r="Z1535" s="1">
        <v>75.5</v>
      </c>
      <c r="AA1535" s="1">
        <v>76.3</v>
      </c>
      <c r="AB1535" s="1">
        <v>74.44</v>
      </c>
      <c r="AC1535" s="1">
        <v>71.760000000000005</v>
      </c>
      <c r="AE1535" s="1">
        <v>81.319999999999993</v>
      </c>
      <c r="AF1535" s="1">
        <v>77.64</v>
      </c>
      <c r="AG1535" s="1">
        <v>70.16</v>
      </c>
      <c r="AK1535" s="1">
        <v>0</v>
      </c>
      <c r="AQ1535" s="1">
        <v>2508.56</v>
      </c>
      <c r="AS1535" s="1">
        <v>2415.38</v>
      </c>
      <c r="AU1535" s="1">
        <v>2257.6999999999998</v>
      </c>
      <c r="AW1535" s="1">
        <v>2294.08</v>
      </c>
      <c r="AX1535" s="1">
        <v>75.8</v>
      </c>
      <c r="AY1535" s="1">
        <v>2471.77</v>
      </c>
      <c r="AZ1535" s="1">
        <v>2157.36</v>
      </c>
      <c r="BA1535" s="1">
        <v>73.47</v>
      </c>
      <c r="BB1535" s="1">
        <v>80.67</v>
      </c>
      <c r="BC1535" s="1">
        <v>77.83</v>
      </c>
      <c r="BD1535" s="1">
        <v>77.8</v>
      </c>
      <c r="BE1535" s="1">
        <v>80.44</v>
      </c>
      <c r="BF1535" s="1">
        <v>79.25</v>
      </c>
      <c r="BG1535" s="1">
        <v>80.81</v>
      </c>
      <c r="BH1535" s="1">
        <v>78.13</v>
      </c>
      <c r="BI1535" s="1">
        <v>77.08</v>
      </c>
      <c r="BJ1535" s="1">
        <v>81.36</v>
      </c>
      <c r="BK1535" s="1">
        <v>71.2</v>
      </c>
      <c r="BL1535" s="1">
        <v>71.86</v>
      </c>
      <c r="BN1535" s="1">
        <v>72.36</v>
      </c>
    </row>
    <row r="1536" spans="1:66" x14ac:dyDescent="0.3">
      <c r="A1536" s="2"/>
      <c r="C1536" s="14" t="str">
        <f t="shared" si="24"/>
        <v>20202</v>
      </c>
      <c r="D1536" s="3">
        <v>43864</v>
      </c>
      <c r="E1536" s="21">
        <v>1363.82</v>
      </c>
      <c r="F1536" s="21">
        <v>1294.46</v>
      </c>
      <c r="G1536" s="21">
        <v>1383.71</v>
      </c>
      <c r="H1536" s="21">
        <v>1232.3599999999999</v>
      </c>
      <c r="I1536" s="21">
        <v>1298.8800000000001</v>
      </c>
      <c r="J1536" s="21">
        <v>1316.96</v>
      </c>
      <c r="K1536" s="21">
        <v>1317.55</v>
      </c>
      <c r="L1536" s="21">
        <v>1187.53</v>
      </c>
      <c r="M1536" s="21">
        <v>1198.96</v>
      </c>
      <c r="N1536" s="21">
        <v>1160.94</v>
      </c>
      <c r="O1536" s="21">
        <v>1310.89</v>
      </c>
      <c r="P1536" s="21">
        <v>1284.6400000000001</v>
      </c>
      <c r="Q1536" s="21">
        <v>3587.26</v>
      </c>
      <c r="R1536" s="20">
        <v>75.83</v>
      </c>
      <c r="S1536" s="20">
        <v>68.23</v>
      </c>
      <c r="T1536" s="21">
        <v>76.069999999999993</v>
      </c>
      <c r="U1536" s="1">
        <v>74.11</v>
      </c>
      <c r="V1536" s="1">
        <v>73.2</v>
      </c>
      <c r="W1536" s="1">
        <v>77.45</v>
      </c>
      <c r="X1536" s="1">
        <v>75.7</v>
      </c>
      <c r="Y1536" s="1">
        <v>75.92</v>
      </c>
      <c r="Z1536" s="1">
        <v>75.819999999999993</v>
      </c>
      <c r="AA1536" s="1">
        <v>75.37</v>
      </c>
      <c r="AB1536" s="1">
        <v>74.44</v>
      </c>
      <c r="AC1536" s="1">
        <v>71.61</v>
      </c>
      <c r="AE1536" s="1">
        <v>81.3</v>
      </c>
      <c r="AF1536" s="1">
        <v>76.790000000000006</v>
      </c>
      <c r="AG1536" s="1">
        <v>70.11</v>
      </c>
      <c r="AK1536" s="1">
        <v>0</v>
      </c>
      <c r="AP1536" s="1">
        <v>2000</v>
      </c>
      <c r="AQ1536" s="1">
        <v>2307.87</v>
      </c>
      <c r="AS1536" s="1">
        <v>2415.38</v>
      </c>
      <c r="AU1536" s="1">
        <v>2257.6999999999998</v>
      </c>
      <c r="AW1536" s="1">
        <v>2294.08</v>
      </c>
      <c r="AX1536" s="1">
        <v>75.319999999999993</v>
      </c>
      <c r="AY1536" s="1">
        <v>2398.1799999999998</v>
      </c>
      <c r="AZ1536" s="1">
        <v>2157.36</v>
      </c>
      <c r="BA1536" s="1">
        <v>71.52</v>
      </c>
      <c r="BB1536" s="1">
        <v>80.3</v>
      </c>
      <c r="BC1536" s="1">
        <v>78.02</v>
      </c>
      <c r="BD1536" s="1">
        <v>77.88</v>
      </c>
      <c r="BE1536" s="1">
        <v>82.95</v>
      </c>
      <c r="BF1536" s="1">
        <v>79.150000000000006</v>
      </c>
      <c r="BG1536" s="1">
        <v>80.5</v>
      </c>
      <c r="BH1536" s="1">
        <v>77.099999999999994</v>
      </c>
      <c r="BI1536" s="1">
        <v>77.069999999999993</v>
      </c>
      <c r="BJ1536" s="1">
        <v>81.61</v>
      </c>
      <c r="BK1536" s="1">
        <v>71.63</v>
      </c>
      <c r="BL1536" s="1">
        <v>72.38</v>
      </c>
      <c r="BN1536" s="1">
        <v>72.400000000000006</v>
      </c>
    </row>
    <row r="1537" spans="1:66" x14ac:dyDescent="0.3">
      <c r="A1537" s="2"/>
      <c r="C1537" s="14" t="str">
        <f t="shared" si="24"/>
        <v>20201</v>
      </c>
      <c r="D1537" s="3">
        <v>43861</v>
      </c>
      <c r="E1537" s="21">
        <v>1373.7</v>
      </c>
      <c r="F1537" s="21">
        <v>1288.58</v>
      </c>
      <c r="G1537" s="21">
        <v>1383.71</v>
      </c>
      <c r="H1537" s="21">
        <v>1219.54</v>
      </c>
      <c r="I1537" s="21">
        <v>1320.93</v>
      </c>
      <c r="J1537" s="21">
        <v>1358.84</v>
      </c>
      <c r="K1537" s="21">
        <v>1325.83</v>
      </c>
      <c r="L1537" s="21">
        <v>1231.6099999999999</v>
      </c>
      <c r="M1537" s="21">
        <v>1241.57</v>
      </c>
      <c r="N1537" s="21">
        <v>1179.95</v>
      </c>
      <c r="O1537" s="21">
        <v>1322.73</v>
      </c>
      <c r="P1537" s="21">
        <v>1295.99</v>
      </c>
      <c r="Q1537" s="21">
        <v>3596.92</v>
      </c>
      <c r="R1537" s="20">
        <v>75.760000000000005</v>
      </c>
      <c r="S1537" s="20">
        <v>68.95</v>
      </c>
      <c r="T1537" s="21">
        <v>75.78</v>
      </c>
      <c r="U1537" s="1">
        <v>75.62</v>
      </c>
      <c r="V1537" s="1">
        <v>73.540000000000006</v>
      </c>
      <c r="W1537" s="1">
        <v>77.58</v>
      </c>
      <c r="X1537" s="1">
        <v>75.709999999999994</v>
      </c>
      <c r="Y1537" s="1">
        <v>76.44</v>
      </c>
      <c r="Z1537" s="1">
        <v>76.48</v>
      </c>
      <c r="AA1537" s="1">
        <v>75.34</v>
      </c>
      <c r="AB1537" s="1">
        <v>74.34</v>
      </c>
      <c r="AC1537" s="1">
        <v>72.16</v>
      </c>
      <c r="AE1537" s="1">
        <v>81.48</v>
      </c>
      <c r="AF1537" s="1">
        <v>77.7</v>
      </c>
      <c r="AG1537" s="1">
        <v>70.650000000000006</v>
      </c>
      <c r="AK1537" s="1">
        <v>0</v>
      </c>
      <c r="AO1537" s="1">
        <v>0</v>
      </c>
      <c r="AP1537" s="1">
        <v>2000</v>
      </c>
      <c r="AQ1537" s="1">
        <v>2334.16</v>
      </c>
      <c r="AS1537" s="1">
        <v>2303.0300000000002</v>
      </c>
      <c r="AT1537" s="1">
        <v>2529.92</v>
      </c>
      <c r="AU1537" s="1">
        <v>2344.4299999999998</v>
      </c>
      <c r="AW1537" s="1">
        <v>2295.25</v>
      </c>
      <c r="AX1537" s="1">
        <v>76.61</v>
      </c>
      <c r="AY1537" s="1">
        <v>2399.41</v>
      </c>
      <c r="BA1537" s="1">
        <v>74.38</v>
      </c>
      <c r="BB1537" s="1">
        <v>81.19</v>
      </c>
      <c r="BC1537" s="1">
        <v>78.459999999999994</v>
      </c>
      <c r="BD1537" s="1">
        <v>78.58</v>
      </c>
      <c r="BE1537" s="1">
        <v>82.81</v>
      </c>
      <c r="BF1537" s="1">
        <v>80.62</v>
      </c>
      <c r="BG1537" s="1">
        <v>81.209999999999994</v>
      </c>
      <c r="BH1537" s="1">
        <v>77.72</v>
      </c>
      <c r="BI1537" s="1">
        <v>77.14</v>
      </c>
      <c r="BJ1537" s="1">
        <v>81.61</v>
      </c>
      <c r="BK1537" s="1">
        <v>72.260000000000005</v>
      </c>
      <c r="BL1537" s="1">
        <v>72.5</v>
      </c>
      <c r="BN1537" s="1">
        <v>72.44</v>
      </c>
    </row>
    <row r="1538" spans="1:66" x14ac:dyDescent="0.3">
      <c r="A1538" s="2"/>
      <c r="C1538" s="14" t="str">
        <f t="shared" si="24"/>
        <v>20201</v>
      </c>
      <c r="D1538" s="3">
        <v>43860</v>
      </c>
      <c r="E1538" s="21">
        <v>1393.47</v>
      </c>
      <c r="F1538" s="21">
        <v>1288.58</v>
      </c>
      <c r="G1538" s="21">
        <v>1383.71</v>
      </c>
      <c r="H1538" s="21">
        <v>1247.71</v>
      </c>
      <c r="I1538" s="21">
        <v>1315.54</v>
      </c>
      <c r="J1538" s="21">
        <v>1322.25</v>
      </c>
      <c r="K1538" s="21">
        <v>1320.85</v>
      </c>
      <c r="L1538" s="21">
        <v>1231.6099999999999</v>
      </c>
      <c r="M1538" s="21">
        <v>1243.44</v>
      </c>
      <c r="N1538" s="21">
        <v>1175.99</v>
      </c>
      <c r="O1538" s="21">
        <v>1310</v>
      </c>
      <c r="P1538" s="21">
        <v>1295.03</v>
      </c>
      <c r="Q1538" s="21">
        <v>3576.49</v>
      </c>
      <c r="R1538" s="20">
        <v>74.42</v>
      </c>
      <c r="S1538" s="20">
        <v>69.84</v>
      </c>
      <c r="T1538" s="21">
        <v>75.77</v>
      </c>
      <c r="U1538" s="1">
        <v>75.37</v>
      </c>
      <c r="V1538" s="1">
        <v>74</v>
      </c>
      <c r="W1538" s="1">
        <v>76.72</v>
      </c>
      <c r="X1538" s="1">
        <v>76.03</v>
      </c>
      <c r="Y1538" s="1">
        <v>77.44</v>
      </c>
      <c r="Z1538" s="1">
        <v>77.78</v>
      </c>
      <c r="AA1538" s="1">
        <v>74.989999999999995</v>
      </c>
      <c r="AB1538" s="1">
        <v>75.33</v>
      </c>
      <c r="AC1538" s="1">
        <v>72.91</v>
      </c>
      <c r="AE1538" s="1">
        <v>82.89</v>
      </c>
      <c r="AF1538" s="1">
        <v>78.12</v>
      </c>
      <c r="AG1538" s="1">
        <v>70.739999999999995</v>
      </c>
      <c r="AO1538" s="1">
        <v>0</v>
      </c>
      <c r="AP1538" s="1">
        <v>2000</v>
      </c>
      <c r="AQ1538" s="1">
        <v>2451.2800000000002</v>
      </c>
      <c r="AT1538" s="1">
        <v>2529.92</v>
      </c>
      <c r="AU1538" s="1">
        <v>2344.4299999999998</v>
      </c>
      <c r="AW1538" s="1">
        <v>2299.02</v>
      </c>
      <c r="AX1538" s="1">
        <v>75.52</v>
      </c>
      <c r="AY1538" s="1">
        <v>2399.41</v>
      </c>
      <c r="BA1538" s="1">
        <v>75.91</v>
      </c>
      <c r="BB1538" s="1">
        <v>82.5</v>
      </c>
      <c r="BC1538" s="1">
        <v>79.13</v>
      </c>
      <c r="BD1538" s="1">
        <v>79.290000000000006</v>
      </c>
      <c r="BE1538" s="1">
        <v>82.44</v>
      </c>
      <c r="BF1538" s="1">
        <v>79.37</v>
      </c>
      <c r="BG1538" s="1">
        <v>82.8</v>
      </c>
      <c r="BH1538" s="1">
        <v>77.72</v>
      </c>
      <c r="BI1538" s="1">
        <v>77.08</v>
      </c>
      <c r="BJ1538" s="1">
        <v>82.22</v>
      </c>
      <c r="BK1538" s="1">
        <v>72.37</v>
      </c>
      <c r="BL1538" s="1">
        <v>72.91</v>
      </c>
      <c r="BN1538" s="1">
        <v>72.7</v>
      </c>
    </row>
    <row r="1539" spans="1:66" x14ac:dyDescent="0.3">
      <c r="A1539" s="2"/>
      <c r="C1539" s="14" t="str">
        <f t="shared" si="24"/>
        <v>20201</v>
      </c>
      <c r="D1539" s="3">
        <v>43859</v>
      </c>
      <c r="E1539" s="21">
        <v>1381.93</v>
      </c>
      <c r="F1539" s="21">
        <v>1290.54</v>
      </c>
      <c r="G1539" s="21">
        <v>1383.71</v>
      </c>
      <c r="H1539" s="21">
        <v>1247.71</v>
      </c>
      <c r="I1539" s="21">
        <v>1311.62</v>
      </c>
      <c r="J1539" s="21">
        <v>1328.02</v>
      </c>
      <c r="K1539" s="21">
        <v>1320.85</v>
      </c>
      <c r="L1539" s="21">
        <v>1231.6099999999999</v>
      </c>
      <c r="M1539" s="21">
        <v>1248.72</v>
      </c>
      <c r="N1539" s="21">
        <v>1169.3399999999999</v>
      </c>
      <c r="O1539" s="21">
        <v>1316.56</v>
      </c>
      <c r="P1539" s="21">
        <v>1289.5899999999999</v>
      </c>
      <c r="Q1539" s="21">
        <v>3590.83</v>
      </c>
      <c r="R1539" s="20">
        <v>74.12</v>
      </c>
      <c r="S1539" s="20">
        <v>69.2</v>
      </c>
      <c r="T1539" s="21">
        <v>76.45</v>
      </c>
      <c r="U1539" s="1">
        <v>75.13</v>
      </c>
      <c r="V1539" s="1">
        <v>73.98</v>
      </c>
      <c r="W1539" s="1">
        <v>78.61</v>
      </c>
      <c r="X1539" s="1">
        <v>75.959999999999994</v>
      </c>
      <c r="Y1539" s="1">
        <v>77.760000000000005</v>
      </c>
      <c r="Z1539" s="1">
        <v>77.98</v>
      </c>
      <c r="AA1539" s="1">
        <v>74.709999999999994</v>
      </c>
      <c r="AB1539" s="1">
        <v>75.33</v>
      </c>
      <c r="AC1539" s="1">
        <v>73.290000000000006</v>
      </c>
      <c r="AE1539" s="1">
        <v>82.87</v>
      </c>
      <c r="AF1539" s="1">
        <v>78.97</v>
      </c>
      <c r="AG1539" s="1">
        <v>70.25</v>
      </c>
      <c r="AO1539" s="1">
        <v>0</v>
      </c>
      <c r="AP1539" s="1">
        <v>2000</v>
      </c>
      <c r="AQ1539" s="1">
        <v>2451.2800000000002</v>
      </c>
      <c r="AT1539" s="1">
        <v>2529.92</v>
      </c>
      <c r="AU1539" s="1">
        <v>2430</v>
      </c>
      <c r="AW1539" s="1">
        <v>2241.65</v>
      </c>
      <c r="AX1539" s="1">
        <v>75.84</v>
      </c>
      <c r="AY1539" s="1">
        <v>2511.85</v>
      </c>
      <c r="BA1539" s="1">
        <v>73.400000000000006</v>
      </c>
      <c r="BB1539" s="1">
        <v>82.05</v>
      </c>
      <c r="BC1539" s="1">
        <v>79.239999999999995</v>
      </c>
      <c r="BD1539" s="1">
        <v>79.78</v>
      </c>
      <c r="BE1539" s="1">
        <v>81.97</v>
      </c>
      <c r="BF1539" s="1">
        <v>79.97</v>
      </c>
      <c r="BG1539" s="1">
        <v>82.77</v>
      </c>
      <c r="BH1539" s="1">
        <v>79.3</v>
      </c>
      <c r="BI1539" s="1">
        <v>77.08</v>
      </c>
      <c r="BJ1539" s="1">
        <v>81.95</v>
      </c>
      <c r="BK1539" s="1">
        <v>73.13</v>
      </c>
      <c r="BL1539" s="1">
        <v>73.98</v>
      </c>
      <c r="BN1539" s="1">
        <v>73.42</v>
      </c>
    </row>
    <row r="1540" spans="1:66" x14ac:dyDescent="0.3">
      <c r="A1540" s="2"/>
      <c r="C1540" s="14" t="str">
        <f t="shared" si="24"/>
        <v>20201</v>
      </c>
      <c r="D1540" s="3">
        <v>43858</v>
      </c>
      <c r="E1540" s="21">
        <v>1386.88</v>
      </c>
      <c r="F1540" s="21">
        <v>1290.54</v>
      </c>
      <c r="G1540" s="21">
        <v>1383.71</v>
      </c>
      <c r="H1540" s="21">
        <v>1268.53</v>
      </c>
      <c r="I1540" s="21">
        <v>1313.58</v>
      </c>
      <c r="J1540" s="21">
        <v>1338.46</v>
      </c>
      <c r="K1540" s="21">
        <v>1324.15</v>
      </c>
      <c r="L1540" s="21">
        <v>1231.6099999999999</v>
      </c>
      <c r="M1540" s="21">
        <v>1248.72</v>
      </c>
      <c r="N1540" s="21">
        <v>1165.49</v>
      </c>
      <c r="O1540" s="21">
        <v>1320.7</v>
      </c>
      <c r="P1540" s="21">
        <v>1298.99</v>
      </c>
      <c r="Q1540" s="21">
        <v>3600.6</v>
      </c>
      <c r="R1540" s="20">
        <v>75.260000000000005</v>
      </c>
      <c r="S1540" s="20">
        <v>68.55</v>
      </c>
      <c r="T1540" s="21">
        <v>77.56</v>
      </c>
      <c r="U1540" s="1">
        <v>74.180000000000007</v>
      </c>
      <c r="V1540" s="1">
        <v>74.2</v>
      </c>
      <c r="W1540" s="1">
        <v>78.31</v>
      </c>
      <c r="X1540" s="1">
        <v>76.069999999999993</v>
      </c>
      <c r="Y1540" s="1">
        <v>77.47</v>
      </c>
      <c r="Z1540" s="1">
        <v>77.5</v>
      </c>
      <c r="AA1540" s="1">
        <v>75.209999999999994</v>
      </c>
      <c r="AB1540" s="1">
        <v>75.33</v>
      </c>
      <c r="AC1540" s="1">
        <v>72.89</v>
      </c>
      <c r="AE1540" s="1">
        <v>82.56</v>
      </c>
      <c r="AF1540" s="1">
        <v>79.38</v>
      </c>
      <c r="AG1540" s="1">
        <v>70.34</v>
      </c>
      <c r="AO1540" s="1">
        <v>0</v>
      </c>
      <c r="AP1540" s="1">
        <v>2000</v>
      </c>
      <c r="AQ1540" s="1">
        <v>2451.2800000000002</v>
      </c>
      <c r="AS1540" s="1">
        <v>2811.03</v>
      </c>
      <c r="AT1540" s="1">
        <v>2529.92</v>
      </c>
      <c r="AU1540" s="1">
        <v>2322.7600000000002</v>
      </c>
      <c r="AW1540" s="1">
        <v>2198.62</v>
      </c>
      <c r="AX1540" s="1">
        <v>76.540000000000006</v>
      </c>
      <c r="AY1540" s="1">
        <v>2519.88</v>
      </c>
      <c r="BA1540" s="1">
        <v>74.930000000000007</v>
      </c>
      <c r="BB1540" s="1">
        <v>81.94</v>
      </c>
      <c r="BC1540" s="1">
        <v>79.19</v>
      </c>
      <c r="BD1540" s="1">
        <v>79.73</v>
      </c>
      <c r="BE1540" s="1">
        <v>81.52</v>
      </c>
      <c r="BF1540" s="1">
        <v>80.75</v>
      </c>
      <c r="BG1540" s="1">
        <v>83.32</v>
      </c>
      <c r="BH1540" s="1">
        <v>79.319999999999993</v>
      </c>
      <c r="BI1540" s="1">
        <v>77.040000000000006</v>
      </c>
      <c r="BJ1540" s="1">
        <v>81.61</v>
      </c>
      <c r="BK1540" s="1">
        <v>72.97</v>
      </c>
      <c r="BL1540" s="1">
        <v>74.05</v>
      </c>
      <c r="BN1540" s="1">
        <v>73.900000000000006</v>
      </c>
    </row>
    <row r="1541" spans="1:66" x14ac:dyDescent="0.3">
      <c r="A1541" s="2"/>
      <c r="C1541" s="14" t="str">
        <f t="shared" si="24"/>
        <v>20201</v>
      </c>
      <c r="D1541" s="3">
        <v>43857</v>
      </c>
      <c r="E1541" s="21">
        <v>1335.42</v>
      </c>
      <c r="F1541" s="21">
        <v>1282.1500000000001</v>
      </c>
      <c r="G1541" s="21">
        <v>1335.58</v>
      </c>
      <c r="H1541" s="21">
        <v>1276.8499999999999</v>
      </c>
      <c r="I1541" s="21">
        <v>1313.58</v>
      </c>
      <c r="J1541" s="21">
        <v>1332.34</v>
      </c>
      <c r="K1541" s="21">
        <v>1324.15</v>
      </c>
      <c r="L1541" s="21">
        <v>1231.6099999999999</v>
      </c>
      <c r="M1541" s="21">
        <v>1260.93</v>
      </c>
      <c r="N1541" s="21">
        <v>1185.6600000000001</v>
      </c>
      <c r="O1541" s="21">
        <v>1316.26</v>
      </c>
      <c r="P1541" s="21">
        <v>1298.99</v>
      </c>
      <c r="Q1541" s="21">
        <v>3600.6</v>
      </c>
      <c r="R1541" s="20">
        <v>76.7</v>
      </c>
      <c r="S1541" s="20"/>
      <c r="T1541" s="21">
        <v>77.89</v>
      </c>
      <c r="U1541" s="1">
        <v>72.56</v>
      </c>
      <c r="V1541" s="1">
        <v>73.98</v>
      </c>
      <c r="W1541" s="1">
        <v>78.209999999999994</v>
      </c>
      <c r="X1541" s="1">
        <v>76.069999999999993</v>
      </c>
      <c r="Y1541" s="1">
        <v>77.3</v>
      </c>
      <c r="Z1541" s="1">
        <v>77.5</v>
      </c>
      <c r="AA1541" s="1">
        <v>76</v>
      </c>
      <c r="AB1541" s="1">
        <v>75.33</v>
      </c>
      <c r="AE1541" s="1">
        <v>82.55</v>
      </c>
      <c r="AF1541" s="1">
        <v>79.45</v>
      </c>
      <c r="AG1541" s="1">
        <v>70.22</v>
      </c>
      <c r="AM1541" s="1">
        <v>30</v>
      </c>
      <c r="AO1541" s="1">
        <v>0</v>
      </c>
      <c r="AQ1541" s="1">
        <v>2622.79</v>
      </c>
      <c r="AS1541" s="1">
        <v>2575.1</v>
      </c>
      <c r="AT1541" s="1">
        <v>2529.92</v>
      </c>
      <c r="AU1541" s="1">
        <v>2294.23</v>
      </c>
      <c r="AW1541" s="1">
        <v>2198.62</v>
      </c>
      <c r="AX1541" s="1">
        <v>77.05</v>
      </c>
      <c r="AY1541" s="1">
        <v>2435.0700000000002</v>
      </c>
      <c r="AZ1541" s="1">
        <v>2610.2399999999998</v>
      </c>
      <c r="BA1541" s="1">
        <v>75.03</v>
      </c>
      <c r="BB1541" s="1">
        <v>82.64</v>
      </c>
      <c r="BC1541" s="1">
        <v>79.12</v>
      </c>
      <c r="BD1541" s="1">
        <v>79.36</v>
      </c>
      <c r="BE1541" s="1">
        <v>81.92</v>
      </c>
      <c r="BF1541" s="1">
        <v>81.14</v>
      </c>
      <c r="BG1541" s="1">
        <v>83.3</v>
      </c>
      <c r="BH1541" s="1">
        <v>79.209999999999994</v>
      </c>
      <c r="BI1541" s="1">
        <v>78.58</v>
      </c>
      <c r="BK1541" s="1">
        <v>73.17</v>
      </c>
      <c r="BL1541" s="1">
        <v>73.87</v>
      </c>
      <c r="BN1541" s="1">
        <v>73.77</v>
      </c>
    </row>
    <row r="1542" spans="1:66" x14ac:dyDescent="0.3">
      <c r="A1542" s="2"/>
      <c r="C1542" s="14" t="str">
        <f t="shared" ref="C1542:C1605" si="25">YEAR(D1542)&amp;MONTH(D1542)</f>
        <v>20201</v>
      </c>
      <c r="D1542" s="3">
        <v>43854</v>
      </c>
      <c r="E1542" s="21">
        <v>1328.01</v>
      </c>
      <c r="F1542" s="21">
        <v>1280.52</v>
      </c>
      <c r="G1542" s="21">
        <v>1333.03</v>
      </c>
      <c r="H1542" s="21">
        <v>1279.43</v>
      </c>
      <c r="I1542" s="21">
        <v>1305.74</v>
      </c>
      <c r="J1542" s="21">
        <v>1350.37</v>
      </c>
      <c r="K1542" s="21">
        <v>1335.75</v>
      </c>
      <c r="L1542" s="21">
        <v>1231.6099999999999</v>
      </c>
      <c r="M1542" s="21"/>
      <c r="N1542" s="21">
        <v>1188.5</v>
      </c>
      <c r="O1542" s="21">
        <v>1318.26</v>
      </c>
      <c r="P1542" s="21">
        <v>1298.99</v>
      </c>
      <c r="Q1542" s="21">
        <v>3647.85</v>
      </c>
      <c r="R1542" s="20">
        <v>78.08</v>
      </c>
      <c r="S1542" s="20"/>
      <c r="T1542" s="21">
        <v>78.22</v>
      </c>
      <c r="U1542" s="1">
        <v>74.12</v>
      </c>
      <c r="V1542" s="1">
        <v>73.540000000000006</v>
      </c>
      <c r="W1542" s="1">
        <v>78.11</v>
      </c>
      <c r="X1542" s="1">
        <v>77.23</v>
      </c>
      <c r="Y1542" s="1">
        <v>77.900000000000006</v>
      </c>
      <c r="Z1542" s="1">
        <v>78</v>
      </c>
      <c r="AA1542" s="1">
        <v>77.33</v>
      </c>
      <c r="AB1542" s="1">
        <v>75.75</v>
      </c>
      <c r="AE1542" s="1">
        <v>83.61</v>
      </c>
      <c r="AF1542" s="1">
        <v>79.47</v>
      </c>
      <c r="AG1542" s="1">
        <v>70.040000000000006</v>
      </c>
      <c r="AM1542" s="1">
        <v>30</v>
      </c>
      <c r="AQ1542" s="1">
        <v>2685.53</v>
      </c>
      <c r="AS1542" s="1">
        <v>2575.1</v>
      </c>
      <c r="AU1542" s="1">
        <v>2158.4699999999998</v>
      </c>
      <c r="AW1542" s="1">
        <v>2198.62</v>
      </c>
      <c r="AX1542" s="1">
        <v>77.61</v>
      </c>
      <c r="AY1542" s="1">
        <v>2435.0700000000002</v>
      </c>
      <c r="AZ1542" s="1">
        <v>2610.2399999999998</v>
      </c>
      <c r="BA1542" s="1">
        <v>75.98</v>
      </c>
      <c r="BB1542" s="1">
        <v>83.62</v>
      </c>
      <c r="BC1542" s="1">
        <v>80.430000000000007</v>
      </c>
      <c r="BD1542" s="1">
        <v>80.510000000000005</v>
      </c>
      <c r="BE1542" s="1">
        <v>82.36</v>
      </c>
      <c r="BF1542" s="1">
        <v>81.349999999999994</v>
      </c>
      <c r="BG1542" s="1">
        <v>83.61</v>
      </c>
      <c r="BH1542" s="1">
        <v>78.87</v>
      </c>
      <c r="BI1542" s="1">
        <v>78.58</v>
      </c>
      <c r="BK1542" s="1">
        <v>73.510000000000005</v>
      </c>
      <c r="BL1542" s="1">
        <v>73.42</v>
      </c>
      <c r="BN1542" s="1">
        <v>74.28</v>
      </c>
    </row>
    <row r="1543" spans="1:66" x14ac:dyDescent="0.3">
      <c r="A1543" s="2"/>
      <c r="C1543" s="14" t="str">
        <f t="shared" si="25"/>
        <v>20201</v>
      </c>
      <c r="D1543" s="3">
        <v>43853</v>
      </c>
      <c r="E1543" s="21">
        <v>1330.48</v>
      </c>
      <c r="F1543" s="21">
        <v>1280.52</v>
      </c>
      <c r="G1543" s="21">
        <v>1300.3</v>
      </c>
      <c r="H1543" s="21">
        <v>1275.0999999999999</v>
      </c>
      <c r="I1543" s="21">
        <v>1309.6600000000001</v>
      </c>
      <c r="J1543" s="21">
        <v>1341.54</v>
      </c>
      <c r="K1543" s="21">
        <v>1324.13</v>
      </c>
      <c r="L1543" s="21">
        <v>1231.6099999999999</v>
      </c>
      <c r="M1543" s="21"/>
      <c r="N1543" s="21">
        <v>1208.71</v>
      </c>
      <c r="O1543" s="21">
        <v>1327.38</v>
      </c>
      <c r="P1543" s="21">
        <v>1294.54</v>
      </c>
      <c r="Q1543" s="21">
        <v>3646.53</v>
      </c>
      <c r="R1543" s="20">
        <v>78.47</v>
      </c>
      <c r="S1543" s="20"/>
      <c r="T1543" s="21">
        <v>78.2</v>
      </c>
      <c r="U1543" s="1">
        <v>75.22</v>
      </c>
      <c r="V1543" s="1">
        <v>73.790000000000006</v>
      </c>
      <c r="W1543" s="1">
        <v>78.31</v>
      </c>
      <c r="X1543" s="1">
        <v>76.989999999999995</v>
      </c>
      <c r="Y1543" s="1">
        <v>77.989999999999995</v>
      </c>
      <c r="Z1543" s="1">
        <v>78</v>
      </c>
      <c r="AA1543" s="1">
        <v>76.930000000000007</v>
      </c>
      <c r="AB1543" s="1">
        <v>75.89</v>
      </c>
      <c r="AE1543" s="1">
        <v>83.2</v>
      </c>
      <c r="AF1543" s="1">
        <v>79.760000000000005</v>
      </c>
      <c r="AG1543" s="1">
        <v>71.84</v>
      </c>
      <c r="AM1543" s="1">
        <v>30</v>
      </c>
      <c r="AQ1543" s="1">
        <v>2509.84</v>
      </c>
      <c r="AS1543" s="1">
        <v>2575.1</v>
      </c>
      <c r="AU1543" s="1">
        <v>2158.4699999999998</v>
      </c>
      <c r="AW1543" s="1">
        <v>2301.92</v>
      </c>
      <c r="AX1543" s="1">
        <v>77.97</v>
      </c>
      <c r="AY1543" s="1">
        <v>2435.0700000000002</v>
      </c>
      <c r="AZ1543" s="1">
        <v>2610.2399999999998</v>
      </c>
      <c r="BA1543" s="1">
        <v>76.06</v>
      </c>
      <c r="BB1543" s="1">
        <v>83.79</v>
      </c>
      <c r="BC1543" s="1">
        <v>80.14</v>
      </c>
      <c r="BD1543" s="1">
        <v>80.63</v>
      </c>
      <c r="BE1543" s="1">
        <v>81.89</v>
      </c>
      <c r="BF1543" s="1">
        <v>81.63</v>
      </c>
      <c r="BG1543" s="1">
        <v>83.89</v>
      </c>
      <c r="BH1543" s="1">
        <v>79.03</v>
      </c>
      <c r="BI1543" s="1">
        <v>78.58</v>
      </c>
      <c r="BK1543" s="1">
        <v>73.63</v>
      </c>
      <c r="BL1543" s="1">
        <v>73.42</v>
      </c>
      <c r="BN1543" s="1">
        <v>74.38</v>
      </c>
    </row>
    <row r="1544" spans="1:66" x14ac:dyDescent="0.3">
      <c r="A1544" s="2"/>
      <c r="C1544" s="14" t="str">
        <f t="shared" si="25"/>
        <v>20201</v>
      </c>
      <c r="D1544" s="3">
        <v>43852</v>
      </c>
      <c r="E1544" s="21">
        <v>1325.15</v>
      </c>
      <c r="F1544" s="21">
        <v>1278.8800000000001</v>
      </c>
      <c r="G1544" s="21">
        <v>1323.2</v>
      </c>
      <c r="H1544" s="21">
        <v>1299.17</v>
      </c>
      <c r="I1544" s="21">
        <v>1313.58</v>
      </c>
      <c r="J1544" s="21">
        <v>1342.81</v>
      </c>
      <c r="K1544" s="21">
        <v>1324.15</v>
      </c>
      <c r="L1544" s="21">
        <v>1227.99</v>
      </c>
      <c r="M1544" s="21"/>
      <c r="N1544" s="21">
        <v>1217.99</v>
      </c>
      <c r="O1544" s="21">
        <v>1326.8</v>
      </c>
      <c r="P1544" s="21">
        <v>1302.95</v>
      </c>
      <c r="Q1544" s="21">
        <v>3648.98</v>
      </c>
      <c r="R1544" s="20">
        <v>78.510000000000005</v>
      </c>
      <c r="S1544" s="20"/>
      <c r="T1544" s="21">
        <v>78.209999999999994</v>
      </c>
      <c r="U1544" s="1">
        <v>76.05</v>
      </c>
      <c r="V1544" s="1">
        <v>73.81</v>
      </c>
      <c r="W1544" s="1">
        <v>78.36</v>
      </c>
      <c r="X1544" s="1">
        <v>77</v>
      </c>
      <c r="Y1544" s="1">
        <v>78.55</v>
      </c>
      <c r="Z1544" s="1">
        <v>78.709999999999994</v>
      </c>
      <c r="AA1544" s="1">
        <v>77.7</v>
      </c>
      <c r="AB1544" s="1">
        <v>75.88</v>
      </c>
      <c r="AC1544" s="1">
        <v>73.84</v>
      </c>
      <c r="AE1544" s="1">
        <v>83.19</v>
      </c>
      <c r="AG1544" s="1">
        <v>72.03</v>
      </c>
      <c r="AM1544" s="1">
        <v>30</v>
      </c>
      <c r="AP1544" s="1">
        <v>2437.5</v>
      </c>
      <c r="AQ1544" s="1">
        <v>2560.04</v>
      </c>
      <c r="AS1544" s="1">
        <v>2575.1</v>
      </c>
      <c r="AU1544" s="1">
        <v>2158.4699999999998</v>
      </c>
      <c r="AW1544" s="1">
        <v>2384.5500000000002</v>
      </c>
      <c r="AX1544" s="1">
        <v>78</v>
      </c>
      <c r="AY1544" s="1">
        <v>2235</v>
      </c>
      <c r="AZ1544" s="1">
        <v>2610.2399999999998</v>
      </c>
      <c r="BA1544" s="1">
        <v>76.52</v>
      </c>
      <c r="BB1544" s="1">
        <v>83.75</v>
      </c>
      <c r="BC1544" s="1">
        <v>81.31</v>
      </c>
      <c r="BD1544" s="1">
        <v>82.02</v>
      </c>
      <c r="BE1544" s="1">
        <v>82.09</v>
      </c>
      <c r="BF1544" s="1">
        <v>81.95</v>
      </c>
      <c r="BG1544" s="1">
        <v>83.86</v>
      </c>
      <c r="BH1544" s="1">
        <v>79.03</v>
      </c>
      <c r="BI1544" s="1">
        <v>78.58</v>
      </c>
      <c r="BJ1544" s="1">
        <v>83.13</v>
      </c>
      <c r="BK1544" s="1">
        <v>74.13</v>
      </c>
      <c r="BL1544" s="1">
        <v>74.12</v>
      </c>
      <c r="BN1544" s="1">
        <v>74.78</v>
      </c>
    </row>
    <row r="1545" spans="1:66" x14ac:dyDescent="0.3">
      <c r="A1545" s="2"/>
      <c r="C1545" s="14" t="str">
        <f t="shared" si="25"/>
        <v>20201</v>
      </c>
      <c r="D1545" s="3">
        <v>43851</v>
      </c>
      <c r="E1545" s="21">
        <v>1327.13</v>
      </c>
      <c r="F1545" s="21">
        <v>1282.1500000000001</v>
      </c>
      <c r="G1545" s="21">
        <v>1320.75</v>
      </c>
      <c r="H1545" s="21">
        <v>1299.17</v>
      </c>
      <c r="I1545" s="21">
        <v>1313.58</v>
      </c>
      <c r="J1545" s="21">
        <v>1364.69</v>
      </c>
      <c r="K1545" s="21">
        <v>1324.15</v>
      </c>
      <c r="L1545" s="21">
        <v>1282.8599999999999</v>
      </c>
      <c r="M1545" s="21">
        <v>1252.19</v>
      </c>
      <c r="N1545" s="21">
        <v>1207.8</v>
      </c>
      <c r="O1545" s="21">
        <v>1323.25</v>
      </c>
      <c r="P1545" s="21">
        <v>1302.95</v>
      </c>
      <c r="Q1545" s="21">
        <v>3647.27</v>
      </c>
      <c r="R1545" s="20">
        <v>78.42</v>
      </c>
      <c r="S1545" s="20"/>
      <c r="T1545" s="21">
        <v>78.2</v>
      </c>
      <c r="U1545" s="1">
        <v>77.290000000000006</v>
      </c>
      <c r="V1545" s="1">
        <v>73.650000000000006</v>
      </c>
      <c r="W1545" s="1">
        <v>78.819999999999993</v>
      </c>
      <c r="X1545" s="1">
        <v>77</v>
      </c>
      <c r="Y1545" s="1">
        <v>78.55</v>
      </c>
      <c r="Z1545" s="1">
        <v>78.66</v>
      </c>
      <c r="AA1545" s="1">
        <v>77.040000000000006</v>
      </c>
      <c r="AB1545" s="1">
        <v>76.37</v>
      </c>
      <c r="AC1545" s="1">
        <v>73.87</v>
      </c>
      <c r="AE1545" s="1">
        <v>83.01</v>
      </c>
      <c r="AF1545" s="1">
        <v>80.400000000000006</v>
      </c>
      <c r="AG1545" s="1">
        <v>72.41</v>
      </c>
      <c r="AM1545" s="1">
        <v>30</v>
      </c>
      <c r="AP1545" s="1">
        <v>2437.5</v>
      </c>
      <c r="AQ1545" s="1">
        <v>2560.04</v>
      </c>
      <c r="AS1545" s="1">
        <v>2496.46</v>
      </c>
      <c r="AU1545" s="1">
        <v>2208.66</v>
      </c>
      <c r="AW1545" s="1">
        <v>2259.5300000000002</v>
      </c>
      <c r="AX1545" s="1">
        <v>78.430000000000007</v>
      </c>
      <c r="AY1545" s="1">
        <v>2235</v>
      </c>
      <c r="AZ1545" s="1">
        <v>2610.2399999999998</v>
      </c>
      <c r="BA1545" s="1">
        <v>76.45</v>
      </c>
      <c r="BB1545" s="1">
        <v>83.58</v>
      </c>
      <c r="BC1545" s="1">
        <v>81.569999999999993</v>
      </c>
      <c r="BD1545" s="1">
        <v>82.07</v>
      </c>
      <c r="BE1545" s="1">
        <v>81.41</v>
      </c>
      <c r="BF1545" s="1">
        <v>82.81</v>
      </c>
      <c r="BG1545" s="1">
        <v>83.75</v>
      </c>
      <c r="BH1545" s="1">
        <v>78.84</v>
      </c>
      <c r="BI1545" s="1">
        <v>78.58</v>
      </c>
      <c r="BJ1545" s="1">
        <v>84.21</v>
      </c>
      <c r="BK1545" s="1">
        <v>74.13</v>
      </c>
      <c r="BL1545" s="1">
        <v>74.27</v>
      </c>
      <c r="BN1545" s="1">
        <v>74.72</v>
      </c>
    </row>
    <row r="1546" spans="1:66" x14ac:dyDescent="0.3">
      <c r="A1546" s="2"/>
      <c r="C1546" s="14" t="str">
        <f t="shared" si="25"/>
        <v>20201</v>
      </c>
      <c r="D1546" s="3">
        <v>43850</v>
      </c>
      <c r="E1546" s="21">
        <v>1331.71</v>
      </c>
      <c r="F1546" s="21">
        <v>1282.1500000000001</v>
      </c>
      <c r="G1546" s="21">
        <v>1302.6199999999999</v>
      </c>
      <c r="H1546" s="21">
        <v>1297.18</v>
      </c>
      <c r="I1546" s="21">
        <v>1313.58</v>
      </c>
      <c r="J1546" s="21">
        <v>1373.59</v>
      </c>
      <c r="K1546" s="21">
        <v>1324.15</v>
      </c>
      <c r="L1546" s="21">
        <v>1323.4</v>
      </c>
      <c r="M1546" s="21">
        <v>1247.4100000000001</v>
      </c>
      <c r="N1546" s="21">
        <v>1193.43</v>
      </c>
      <c r="O1546" s="21">
        <v>1328.83</v>
      </c>
      <c r="P1546" s="21">
        <v>1302.95</v>
      </c>
      <c r="Q1546" s="21">
        <v>3652.96</v>
      </c>
      <c r="R1546" s="20">
        <v>76.13</v>
      </c>
      <c r="S1546" s="20"/>
      <c r="T1546" s="21">
        <v>78.209999999999994</v>
      </c>
      <c r="U1546" s="1">
        <v>76.930000000000007</v>
      </c>
      <c r="V1546" s="1">
        <v>73.599999999999994</v>
      </c>
      <c r="W1546" s="1">
        <v>78.61</v>
      </c>
      <c r="X1546" s="1">
        <v>76.959999999999994</v>
      </c>
      <c r="Y1546" s="1">
        <v>78.900000000000006</v>
      </c>
      <c r="Z1546" s="1">
        <v>79</v>
      </c>
      <c r="AA1546" s="1">
        <v>76.27</v>
      </c>
      <c r="AB1546" s="1">
        <v>76.260000000000005</v>
      </c>
      <c r="AC1546" s="1">
        <v>73.95</v>
      </c>
      <c r="AE1546" s="1">
        <v>82.99</v>
      </c>
      <c r="AF1546" s="1">
        <v>79.62</v>
      </c>
      <c r="AG1546" s="1">
        <v>72.239999999999995</v>
      </c>
      <c r="AM1546" s="1">
        <v>30</v>
      </c>
      <c r="AP1546" s="1">
        <v>2437.5</v>
      </c>
      <c r="AQ1546" s="1">
        <v>2560.04</v>
      </c>
      <c r="AW1546" s="1">
        <v>2210.12</v>
      </c>
      <c r="AX1546" s="1">
        <v>78.260000000000005</v>
      </c>
      <c r="AY1546" s="1">
        <v>2235</v>
      </c>
      <c r="AZ1546" s="1">
        <v>2404.9299999999998</v>
      </c>
      <c r="BA1546" s="1">
        <v>76.319999999999993</v>
      </c>
      <c r="BB1546" s="1">
        <v>84.21</v>
      </c>
      <c r="BC1546" s="1">
        <v>81.48</v>
      </c>
      <c r="BD1546" s="1">
        <v>81.72</v>
      </c>
      <c r="BE1546" s="1">
        <v>80.27</v>
      </c>
      <c r="BF1546" s="1">
        <v>81.040000000000006</v>
      </c>
      <c r="BG1546" s="1">
        <v>83.52</v>
      </c>
      <c r="BH1546" s="1">
        <v>79.86</v>
      </c>
      <c r="BI1546" s="1">
        <v>78.58</v>
      </c>
      <c r="BJ1546" s="1">
        <v>84.21</v>
      </c>
      <c r="BK1546" s="1">
        <v>74.62</v>
      </c>
      <c r="BL1546" s="1">
        <v>74.69</v>
      </c>
      <c r="BN1546" s="1">
        <v>74.709999999999994</v>
      </c>
    </row>
    <row r="1547" spans="1:66" x14ac:dyDescent="0.3">
      <c r="A1547" s="2"/>
      <c r="C1547" s="14" t="str">
        <f t="shared" si="25"/>
        <v>20201</v>
      </c>
      <c r="D1547" s="3">
        <v>43847</v>
      </c>
      <c r="E1547" s="21">
        <v>1331.71</v>
      </c>
      <c r="F1547" s="21">
        <v>1285.42</v>
      </c>
      <c r="G1547" s="21">
        <v>1302.6199999999999</v>
      </c>
      <c r="H1547" s="21">
        <v>1286.28</v>
      </c>
      <c r="I1547" s="21">
        <v>1303.78</v>
      </c>
      <c r="J1547" s="21">
        <v>1330.72</v>
      </c>
      <c r="K1547" s="21">
        <v>1330.16</v>
      </c>
      <c r="L1547" s="21">
        <v>1259.3800000000001</v>
      </c>
      <c r="M1547" s="21">
        <v>1242.08</v>
      </c>
      <c r="N1547" s="21">
        <v>1216.32</v>
      </c>
      <c r="O1547" s="21">
        <v>1315.56</v>
      </c>
      <c r="P1547" s="21">
        <v>1326.74</v>
      </c>
      <c r="Q1547" s="21">
        <v>3651.6</v>
      </c>
      <c r="R1547" s="20">
        <v>75.84</v>
      </c>
      <c r="S1547" s="20">
        <v>70.91</v>
      </c>
      <c r="T1547" s="21">
        <v>77.930000000000007</v>
      </c>
      <c r="U1547" s="1">
        <v>77.11</v>
      </c>
      <c r="V1547" s="1">
        <v>73.8</v>
      </c>
      <c r="W1547" s="1">
        <v>77.64</v>
      </c>
      <c r="X1547" s="1">
        <v>76.959999999999994</v>
      </c>
      <c r="Y1547" s="1">
        <v>78.900000000000006</v>
      </c>
      <c r="Z1547" s="1">
        <v>78.98</v>
      </c>
      <c r="AA1547" s="1">
        <v>76.16</v>
      </c>
      <c r="AB1547" s="1">
        <v>75.83</v>
      </c>
      <c r="AC1547" s="1">
        <v>74.19</v>
      </c>
      <c r="AE1547" s="1">
        <v>83.39</v>
      </c>
      <c r="AF1547" s="1">
        <v>80.5</v>
      </c>
      <c r="AG1547" s="1">
        <v>72.06</v>
      </c>
      <c r="AM1547" s="1">
        <v>30</v>
      </c>
      <c r="AP1547" s="1">
        <v>2437.5</v>
      </c>
      <c r="AQ1547" s="1">
        <v>2560.04</v>
      </c>
      <c r="AW1547" s="1">
        <v>2210.12</v>
      </c>
      <c r="AX1547" s="1">
        <v>77.260000000000005</v>
      </c>
      <c r="AY1547" s="1">
        <v>2235</v>
      </c>
      <c r="AZ1547" s="1">
        <v>2404.9299999999998</v>
      </c>
      <c r="BA1547" s="1">
        <v>76.17</v>
      </c>
      <c r="BB1547" s="1">
        <v>84.14</v>
      </c>
      <c r="BC1547" s="1">
        <v>81.430000000000007</v>
      </c>
      <c r="BD1547" s="1">
        <v>83.07</v>
      </c>
      <c r="BE1547" s="1">
        <v>79.069999999999993</v>
      </c>
      <c r="BF1547" s="1">
        <v>79.91</v>
      </c>
      <c r="BG1547" s="1">
        <v>83.59</v>
      </c>
      <c r="BH1547" s="1">
        <v>79.819999999999993</v>
      </c>
      <c r="BI1547" s="1">
        <v>78.58</v>
      </c>
      <c r="BJ1547" s="1">
        <v>84.21</v>
      </c>
      <c r="BK1547" s="1">
        <v>74.97</v>
      </c>
      <c r="BL1547" s="1">
        <v>74.69</v>
      </c>
      <c r="BN1547" s="1">
        <v>74.930000000000007</v>
      </c>
    </row>
    <row r="1548" spans="1:66" x14ac:dyDescent="0.3">
      <c r="A1548" s="2"/>
      <c r="C1548" s="14" t="str">
        <f t="shared" si="25"/>
        <v>20201</v>
      </c>
      <c r="D1548" s="3">
        <v>43846</v>
      </c>
      <c r="E1548" s="21">
        <v>1331.34</v>
      </c>
      <c r="F1548" s="21">
        <v>1270.48</v>
      </c>
      <c r="G1548" s="21">
        <v>1318.27</v>
      </c>
      <c r="H1548" s="21">
        <v>1318.88</v>
      </c>
      <c r="I1548" s="21">
        <v>1304.76</v>
      </c>
      <c r="J1548" s="21">
        <v>1372.62</v>
      </c>
      <c r="K1548" s="21">
        <v>1335.64</v>
      </c>
      <c r="L1548" s="21">
        <v>1260.5999999999999</v>
      </c>
      <c r="M1548" s="21">
        <v>1214.6300000000001</v>
      </c>
      <c r="N1548" s="21">
        <v>1214.49</v>
      </c>
      <c r="O1548" s="21">
        <v>1314.57</v>
      </c>
      <c r="P1548" s="21">
        <v>1306.9100000000001</v>
      </c>
      <c r="Q1548" s="21">
        <v>3658.29</v>
      </c>
      <c r="R1548" s="20">
        <v>75.84</v>
      </c>
      <c r="S1548" s="20">
        <v>71.17</v>
      </c>
      <c r="T1548" s="21">
        <v>78.22</v>
      </c>
      <c r="U1548" s="1">
        <v>76.63</v>
      </c>
      <c r="V1548" s="1">
        <v>73.900000000000006</v>
      </c>
      <c r="W1548" s="1">
        <v>78.069999999999993</v>
      </c>
      <c r="X1548" s="1">
        <v>76.91</v>
      </c>
      <c r="Y1548" s="1">
        <v>78.900000000000006</v>
      </c>
      <c r="Z1548" s="1">
        <v>79.209999999999994</v>
      </c>
      <c r="AA1548" s="1">
        <v>76.27</v>
      </c>
      <c r="AB1548" s="1">
        <v>76.38</v>
      </c>
      <c r="AC1548" s="1">
        <v>74.930000000000007</v>
      </c>
      <c r="AE1548" s="1">
        <v>83.13</v>
      </c>
      <c r="AF1548" s="1">
        <v>79.760000000000005</v>
      </c>
      <c r="AG1548" s="1">
        <v>72.11</v>
      </c>
      <c r="AM1548" s="1">
        <v>30</v>
      </c>
      <c r="AP1548" s="1">
        <v>2437.5</v>
      </c>
      <c r="AQ1548" s="1">
        <v>2568.41</v>
      </c>
      <c r="AU1548" s="1">
        <v>2208.66</v>
      </c>
      <c r="AW1548" s="1">
        <v>2064.77</v>
      </c>
      <c r="AX1548" s="1">
        <v>79.17</v>
      </c>
      <c r="AY1548" s="1">
        <v>2173.5100000000002</v>
      </c>
      <c r="AZ1548" s="1">
        <v>2404.9299999999998</v>
      </c>
      <c r="BA1548" s="1">
        <v>76.34</v>
      </c>
      <c r="BB1548" s="1">
        <v>83.49</v>
      </c>
      <c r="BC1548" s="1">
        <v>81.87</v>
      </c>
      <c r="BD1548" s="1">
        <v>81.53</v>
      </c>
      <c r="BE1548" s="1">
        <v>79.599999999999994</v>
      </c>
      <c r="BF1548" s="1">
        <v>81.09</v>
      </c>
      <c r="BG1548" s="1">
        <v>83.84</v>
      </c>
      <c r="BH1548" s="1">
        <v>81.83</v>
      </c>
      <c r="BI1548" s="1">
        <v>78.58</v>
      </c>
      <c r="BJ1548" s="1">
        <v>82.23</v>
      </c>
      <c r="BL1548" s="1">
        <v>74.489999999999995</v>
      </c>
      <c r="BN1548" s="1">
        <v>74.41</v>
      </c>
    </row>
    <row r="1549" spans="1:66" x14ac:dyDescent="0.3">
      <c r="A1549" s="2"/>
      <c r="C1549" s="14" t="str">
        <f t="shared" si="25"/>
        <v>20201</v>
      </c>
      <c r="D1549" s="3">
        <v>43845</v>
      </c>
      <c r="E1549" s="21">
        <v>1323.07</v>
      </c>
      <c r="F1549" s="21">
        <v>1286.24</v>
      </c>
      <c r="G1549" s="21">
        <v>1315.82</v>
      </c>
      <c r="H1549" s="21">
        <v>1316.92</v>
      </c>
      <c r="I1549" s="21">
        <v>1298.8800000000001</v>
      </c>
      <c r="J1549" s="21">
        <v>1373.98</v>
      </c>
      <c r="K1549" s="21">
        <v>1332.37</v>
      </c>
      <c r="L1549" s="21">
        <v>1259.3800000000001</v>
      </c>
      <c r="M1549" s="21">
        <v>1232.17</v>
      </c>
      <c r="N1549" s="21">
        <v>1198.42</v>
      </c>
      <c r="O1549" s="21">
        <v>1327.57</v>
      </c>
      <c r="P1549" s="21">
        <v>1301.8900000000001</v>
      </c>
      <c r="Q1549" s="21">
        <v>3658.29</v>
      </c>
      <c r="R1549" s="20">
        <v>76.13</v>
      </c>
      <c r="S1549" s="20">
        <v>70.959999999999994</v>
      </c>
      <c r="T1549" s="21">
        <v>78.2</v>
      </c>
      <c r="U1549" s="1">
        <v>76.63</v>
      </c>
      <c r="V1549" s="1">
        <v>73.400000000000006</v>
      </c>
      <c r="W1549" s="1">
        <v>78.53</v>
      </c>
      <c r="X1549" s="1">
        <v>76.91</v>
      </c>
      <c r="Y1549" s="1">
        <v>79.14</v>
      </c>
      <c r="Z1549" s="1">
        <v>79.319999999999993</v>
      </c>
      <c r="AA1549" s="1">
        <v>76.08</v>
      </c>
      <c r="AB1549" s="1">
        <v>76.38</v>
      </c>
      <c r="AC1549" s="1">
        <v>74.930000000000007</v>
      </c>
      <c r="AE1549" s="1">
        <v>82.99</v>
      </c>
      <c r="AF1549" s="1">
        <v>79.42</v>
      </c>
      <c r="AG1549" s="1">
        <v>71.78</v>
      </c>
      <c r="AM1549" s="1">
        <v>30</v>
      </c>
      <c r="AQ1549" s="1">
        <v>2560.04</v>
      </c>
      <c r="AU1549" s="1">
        <v>2208.66</v>
      </c>
      <c r="AW1549" s="1">
        <v>2064.77</v>
      </c>
      <c r="AX1549" s="1">
        <v>79.48</v>
      </c>
      <c r="AY1549" s="1">
        <v>2173.5100000000002</v>
      </c>
      <c r="AZ1549" s="1">
        <v>2404.9299999999998</v>
      </c>
      <c r="BA1549" s="1">
        <v>78.150000000000006</v>
      </c>
      <c r="BB1549" s="1">
        <v>84.15</v>
      </c>
      <c r="BC1549" s="1">
        <v>82.15</v>
      </c>
      <c r="BD1549" s="1">
        <v>81.900000000000006</v>
      </c>
      <c r="BE1549" s="1">
        <v>79.72</v>
      </c>
      <c r="BF1549" s="1">
        <v>81.12</v>
      </c>
      <c r="BG1549" s="1">
        <v>83.86</v>
      </c>
      <c r="BH1549" s="1">
        <v>81.819999999999993</v>
      </c>
      <c r="BI1549" s="1">
        <v>78.58</v>
      </c>
      <c r="BJ1549" s="1">
        <v>84.92</v>
      </c>
      <c r="BL1549" s="1">
        <v>74.650000000000006</v>
      </c>
      <c r="BN1549" s="1">
        <v>74.66</v>
      </c>
    </row>
    <row r="1550" spans="1:66" x14ac:dyDescent="0.3">
      <c r="A1550" s="2"/>
      <c r="C1550" s="14" t="str">
        <f t="shared" si="25"/>
        <v>20201</v>
      </c>
      <c r="D1550" s="3">
        <v>43844</v>
      </c>
      <c r="E1550" s="21">
        <v>1326.77</v>
      </c>
      <c r="F1550" s="21">
        <v>1286.24</v>
      </c>
      <c r="G1550" s="21">
        <v>1315.82</v>
      </c>
      <c r="H1550" s="21">
        <v>1321.68</v>
      </c>
      <c r="I1550" s="21">
        <v>1298.8800000000001</v>
      </c>
      <c r="J1550" s="21">
        <v>1361.54</v>
      </c>
      <c r="K1550" s="21">
        <v>1331.54</v>
      </c>
      <c r="L1550" s="21">
        <v>1259.18</v>
      </c>
      <c r="M1550" s="21">
        <v>1221.8</v>
      </c>
      <c r="N1550" s="21">
        <v>1218.25</v>
      </c>
      <c r="O1550" s="21">
        <v>1320.97</v>
      </c>
      <c r="P1550" s="21">
        <v>1289.23</v>
      </c>
      <c r="Q1550" s="21">
        <v>3671.42</v>
      </c>
      <c r="R1550" s="20">
        <v>75.180000000000007</v>
      </c>
      <c r="S1550" s="20">
        <v>70.81</v>
      </c>
      <c r="T1550" s="21">
        <v>78.2</v>
      </c>
      <c r="U1550" s="1">
        <v>76.63</v>
      </c>
      <c r="V1550" s="1">
        <v>73.48</v>
      </c>
      <c r="W1550" s="1">
        <v>78.06</v>
      </c>
      <c r="X1550" s="1">
        <v>76.959999999999994</v>
      </c>
      <c r="Y1550" s="1">
        <v>79.38</v>
      </c>
      <c r="Z1550" s="1">
        <v>79.489999999999995</v>
      </c>
      <c r="AA1550" s="1">
        <v>75.599999999999994</v>
      </c>
      <c r="AB1550" s="1">
        <v>76.34</v>
      </c>
      <c r="AC1550" s="1">
        <v>75.03</v>
      </c>
      <c r="AE1550" s="1">
        <v>83.21</v>
      </c>
      <c r="AF1550" s="1">
        <v>79.48</v>
      </c>
      <c r="AG1550" s="1">
        <v>71.83</v>
      </c>
      <c r="AM1550" s="1">
        <v>30</v>
      </c>
      <c r="AQ1550" s="1">
        <v>2610.2399999999998</v>
      </c>
      <c r="AU1550" s="1">
        <v>2208.66</v>
      </c>
      <c r="AW1550" s="1">
        <v>1987.8</v>
      </c>
      <c r="AX1550" s="1">
        <v>77.739999999999995</v>
      </c>
      <c r="AY1550" s="1">
        <v>2173.5100000000002</v>
      </c>
      <c r="AZ1550" s="1">
        <v>2404.9299999999998</v>
      </c>
      <c r="BA1550" s="1">
        <v>77.180000000000007</v>
      </c>
      <c r="BB1550" s="1">
        <v>84.22</v>
      </c>
      <c r="BC1550" s="1">
        <v>82.49</v>
      </c>
      <c r="BD1550" s="1">
        <v>81.849999999999994</v>
      </c>
      <c r="BE1550" s="1">
        <v>79.56</v>
      </c>
      <c r="BF1550" s="1">
        <v>81.05</v>
      </c>
      <c r="BG1550" s="1">
        <v>83.86</v>
      </c>
      <c r="BH1550" s="1">
        <v>82.09</v>
      </c>
      <c r="BI1550" s="1">
        <v>78.58</v>
      </c>
      <c r="BJ1550" s="1">
        <v>84.92</v>
      </c>
      <c r="BK1550" s="1">
        <v>74.75</v>
      </c>
      <c r="BL1550" s="1">
        <v>74.94</v>
      </c>
      <c r="BN1550" s="1">
        <v>74.790000000000006</v>
      </c>
    </row>
    <row r="1551" spans="1:66" x14ac:dyDescent="0.3">
      <c r="A1551" s="2"/>
      <c r="C1551" s="14" t="str">
        <f t="shared" si="25"/>
        <v>20201</v>
      </c>
      <c r="D1551" s="3">
        <v>43843</v>
      </c>
      <c r="E1551" s="21">
        <v>1318.13</v>
      </c>
      <c r="F1551" s="21">
        <v>1286.24</v>
      </c>
      <c r="G1551" s="21">
        <v>1315.82</v>
      </c>
      <c r="H1551" s="21">
        <v>1309</v>
      </c>
      <c r="I1551" s="21">
        <v>1298.8800000000001</v>
      </c>
      <c r="J1551" s="21">
        <v>1359.44</v>
      </c>
      <c r="K1551" s="21">
        <v>1331.54</v>
      </c>
      <c r="L1551" s="21">
        <v>1259.18</v>
      </c>
      <c r="M1551" s="21">
        <v>1217.03</v>
      </c>
      <c r="N1551" s="21">
        <v>1212.94</v>
      </c>
      <c r="O1551" s="21">
        <v>1318</v>
      </c>
      <c r="P1551" s="21">
        <v>1308.8399999999999</v>
      </c>
      <c r="Q1551" s="21">
        <v>3710.03</v>
      </c>
      <c r="R1551" s="20">
        <v>76.13</v>
      </c>
      <c r="S1551" s="20">
        <v>70.14</v>
      </c>
      <c r="T1551" s="21">
        <v>78.17</v>
      </c>
      <c r="U1551" s="1">
        <v>75.13</v>
      </c>
      <c r="V1551" s="1">
        <v>73.650000000000006</v>
      </c>
      <c r="W1551" s="1">
        <v>78.33</v>
      </c>
      <c r="X1551" s="1">
        <v>76.709999999999994</v>
      </c>
      <c r="Y1551" s="1">
        <v>78.900000000000006</v>
      </c>
      <c r="Z1551" s="1">
        <v>79</v>
      </c>
      <c r="AA1551" s="1">
        <v>75.819999999999993</v>
      </c>
      <c r="AB1551" s="1">
        <v>75.8</v>
      </c>
      <c r="AC1551" s="1">
        <v>75.03</v>
      </c>
      <c r="AE1551" s="1">
        <v>82.96</v>
      </c>
      <c r="AF1551" s="1">
        <v>79.8</v>
      </c>
      <c r="AG1551" s="1">
        <v>71.66</v>
      </c>
      <c r="AQ1551" s="1">
        <v>2543.31</v>
      </c>
      <c r="AU1551" s="1">
        <v>2208.66</v>
      </c>
      <c r="AX1551" s="1">
        <v>78.98</v>
      </c>
      <c r="AY1551" s="1">
        <v>2050.54</v>
      </c>
      <c r="BA1551" s="1">
        <v>76.12</v>
      </c>
      <c r="BB1551" s="1">
        <v>84.68</v>
      </c>
      <c r="BC1551" s="1">
        <v>82.22</v>
      </c>
      <c r="BD1551" s="1">
        <v>81.239999999999995</v>
      </c>
      <c r="BE1551" s="1">
        <v>79.67</v>
      </c>
      <c r="BF1551" s="1">
        <v>81.27</v>
      </c>
      <c r="BG1551" s="1">
        <v>83.61</v>
      </c>
      <c r="BH1551" s="1">
        <v>82.08</v>
      </c>
      <c r="BI1551" s="1">
        <v>78.58</v>
      </c>
      <c r="BJ1551" s="1">
        <v>84.79</v>
      </c>
      <c r="BK1551" s="1">
        <v>74.36</v>
      </c>
      <c r="BL1551" s="1">
        <v>74.44</v>
      </c>
      <c r="BN1551" s="1">
        <v>74.540000000000006</v>
      </c>
    </row>
    <row r="1552" spans="1:66" x14ac:dyDescent="0.3">
      <c r="A1552" s="2"/>
      <c r="C1552" s="14" t="str">
        <f t="shared" si="25"/>
        <v>20201</v>
      </c>
      <c r="D1552" s="3">
        <v>43840</v>
      </c>
      <c r="E1552" s="21">
        <v>1309.49</v>
      </c>
      <c r="F1552" s="21">
        <v>1289.5</v>
      </c>
      <c r="G1552" s="21">
        <v>1318.3</v>
      </c>
      <c r="H1552" s="21">
        <v>1305.0899999999999</v>
      </c>
      <c r="I1552" s="21">
        <v>1316.72</v>
      </c>
      <c r="J1552" s="21">
        <v>1341.87</v>
      </c>
      <c r="K1552" s="21">
        <v>1331.54</v>
      </c>
      <c r="L1552" s="21">
        <v>1294.6600000000001</v>
      </c>
      <c r="M1552" s="21">
        <v>1205.27</v>
      </c>
      <c r="N1552" s="21">
        <v>1205.44</v>
      </c>
      <c r="O1552" s="21">
        <v>1319.12</v>
      </c>
      <c r="P1552" s="21">
        <v>1308.8399999999999</v>
      </c>
      <c r="Q1552" s="21">
        <v>3671.42</v>
      </c>
      <c r="R1552" s="20">
        <v>75.510000000000005</v>
      </c>
      <c r="S1552" s="20">
        <v>69.489999999999995</v>
      </c>
      <c r="T1552" s="21">
        <v>78.260000000000005</v>
      </c>
      <c r="U1552" s="1">
        <v>75.13</v>
      </c>
      <c r="V1552" s="1">
        <v>73.31</v>
      </c>
      <c r="W1552" s="1">
        <v>78.91</v>
      </c>
      <c r="X1552" s="1">
        <v>76.63</v>
      </c>
      <c r="Y1552" s="1">
        <v>78.41</v>
      </c>
      <c r="Z1552" s="1">
        <v>78.489999999999995</v>
      </c>
      <c r="AA1552" s="1">
        <v>75.819999999999993</v>
      </c>
      <c r="AB1552" s="1">
        <v>75.28</v>
      </c>
      <c r="AC1552" s="1">
        <v>72.88</v>
      </c>
      <c r="AE1552" s="1">
        <v>83.27</v>
      </c>
      <c r="AF1552" s="1">
        <v>79.47</v>
      </c>
      <c r="AG1552" s="1">
        <v>72.400000000000006</v>
      </c>
      <c r="AQ1552" s="1">
        <v>2543.31</v>
      </c>
      <c r="AU1552" s="1">
        <v>2208.66</v>
      </c>
      <c r="AX1552" s="1">
        <v>79.05</v>
      </c>
      <c r="AY1552" s="1">
        <v>2050.54</v>
      </c>
      <c r="BA1552" s="1">
        <v>76.13</v>
      </c>
      <c r="BB1552" s="1">
        <v>82.87</v>
      </c>
      <c r="BC1552" s="1">
        <v>81.72</v>
      </c>
      <c r="BD1552" s="1">
        <v>81.040000000000006</v>
      </c>
      <c r="BE1552" s="1">
        <v>80.64</v>
      </c>
      <c r="BF1552" s="1">
        <v>81.58</v>
      </c>
      <c r="BG1552" s="1">
        <v>83.52</v>
      </c>
      <c r="BH1552" s="1">
        <v>81.03</v>
      </c>
      <c r="BI1552" s="1">
        <v>78.58</v>
      </c>
      <c r="BJ1552" s="1">
        <v>84.06</v>
      </c>
      <c r="BK1552" s="1">
        <v>74.180000000000007</v>
      </c>
      <c r="BL1552" s="1">
        <v>74.31</v>
      </c>
      <c r="BN1552" s="1">
        <v>74.39</v>
      </c>
    </row>
    <row r="1553" spans="1:66" x14ac:dyDescent="0.3">
      <c r="A1553" s="2"/>
      <c r="C1553" s="14" t="str">
        <f t="shared" si="25"/>
        <v>20201</v>
      </c>
      <c r="D1553" s="3">
        <v>43839</v>
      </c>
      <c r="E1553" s="21">
        <v>1304.53</v>
      </c>
      <c r="F1553" s="21">
        <v>1278.81</v>
      </c>
      <c r="G1553" s="21">
        <v>1320.75</v>
      </c>
      <c r="H1553" s="21">
        <v>1301.1300000000001</v>
      </c>
      <c r="I1553" s="21">
        <v>1325.34</v>
      </c>
      <c r="J1553" s="21">
        <v>1343.74</v>
      </c>
      <c r="K1553" s="21">
        <v>1338.14</v>
      </c>
      <c r="L1553" s="21">
        <v>1288.92</v>
      </c>
      <c r="M1553" s="21">
        <v>1204.67</v>
      </c>
      <c r="N1553" s="21">
        <v>1183.01</v>
      </c>
      <c r="O1553" s="21">
        <v>1311.25</v>
      </c>
      <c r="P1553" s="21">
        <v>1316.76</v>
      </c>
      <c r="Q1553" s="21">
        <v>3658.92</v>
      </c>
      <c r="R1553" s="20">
        <v>77.599999999999994</v>
      </c>
      <c r="S1553" s="20">
        <v>69.319999999999993</v>
      </c>
      <c r="T1553" s="21">
        <v>77.88</v>
      </c>
      <c r="U1553" s="1">
        <v>75.47</v>
      </c>
      <c r="V1553" s="1">
        <v>73.81</v>
      </c>
      <c r="W1553" s="1">
        <v>78.040000000000006</v>
      </c>
      <c r="X1553" s="1">
        <v>76.400000000000006</v>
      </c>
      <c r="Y1553" s="1">
        <v>78.58</v>
      </c>
      <c r="Z1553" s="1">
        <v>78.66</v>
      </c>
      <c r="AA1553" s="1">
        <v>76.680000000000007</v>
      </c>
      <c r="AB1553" s="1">
        <v>75.569999999999993</v>
      </c>
      <c r="AC1553" s="1">
        <v>74.38</v>
      </c>
      <c r="AE1553" s="1">
        <v>82.69</v>
      </c>
      <c r="AF1553" s="1">
        <v>79.760000000000005</v>
      </c>
      <c r="AG1553" s="1">
        <v>72.510000000000005</v>
      </c>
      <c r="AQ1553" s="1">
        <v>2543.31</v>
      </c>
      <c r="AX1553" s="1">
        <v>79.459999999999994</v>
      </c>
      <c r="BA1553" s="1">
        <v>76.63</v>
      </c>
      <c r="BB1553" s="1">
        <v>83.49</v>
      </c>
      <c r="BC1553" s="1">
        <v>81.73</v>
      </c>
      <c r="BD1553" s="1">
        <v>80.5</v>
      </c>
      <c r="BE1553" s="1">
        <v>81.99</v>
      </c>
      <c r="BF1553" s="1">
        <v>82.76</v>
      </c>
      <c r="BG1553" s="1">
        <v>83.03</v>
      </c>
      <c r="BH1553" s="1">
        <v>83.21</v>
      </c>
      <c r="BI1553" s="1">
        <v>78.58</v>
      </c>
      <c r="BJ1553" s="1">
        <v>83.91</v>
      </c>
      <c r="BK1553" s="1">
        <v>74.63</v>
      </c>
      <c r="BL1553" s="1">
        <v>74.56</v>
      </c>
      <c r="BN1553" s="1">
        <v>74.38</v>
      </c>
    </row>
    <row r="1554" spans="1:66" x14ac:dyDescent="0.3">
      <c r="A1554" s="2"/>
      <c r="C1554" s="14" t="str">
        <f t="shared" si="25"/>
        <v>20201</v>
      </c>
      <c r="D1554" s="3">
        <v>43838</v>
      </c>
      <c r="E1554" s="21">
        <v>1305.77</v>
      </c>
      <c r="F1554" s="21">
        <v>1280.77</v>
      </c>
      <c r="G1554" s="21">
        <v>1323.2</v>
      </c>
      <c r="H1554" s="21">
        <v>1297.18</v>
      </c>
      <c r="I1554" s="21">
        <v>1333.19</v>
      </c>
      <c r="J1554" s="21">
        <v>1320.55</v>
      </c>
      <c r="K1554" s="21">
        <v>1343.97</v>
      </c>
      <c r="L1554" s="21">
        <v>1318.98</v>
      </c>
      <c r="M1554" s="21">
        <v>1178.29</v>
      </c>
      <c r="N1554" s="21">
        <v>1176.1099999999999</v>
      </c>
      <c r="O1554" s="21">
        <v>1318.71</v>
      </c>
      <c r="P1554" s="21">
        <v>1320.72</v>
      </c>
      <c r="Q1554" s="21">
        <v>3658.92</v>
      </c>
      <c r="R1554" s="20">
        <v>76.930000000000007</v>
      </c>
      <c r="S1554" s="20">
        <v>69.03</v>
      </c>
      <c r="T1554" s="21">
        <v>77.88</v>
      </c>
      <c r="U1554" s="1">
        <v>75.83</v>
      </c>
      <c r="V1554" s="1">
        <v>73.81</v>
      </c>
      <c r="W1554" s="1">
        <v>78.16</v>
      </c>
      <c r="X1554" s="1">
        <v>76.09</v>
      </c>
      <c r="Y1554" s="1">
        <v>78.28</v>
      </c>
      <c r="Z1554" s="1">
        <v>78.319999999999993</v>
      </c>
      <c r="AA1554" s="1">
        <v>75.86</v>
      </c>
      <c r="AB1554" s="1">
        <v>75.569999999999993</v>
      </c>
      <c r="AC1554" s="1">
        <v>74.38</v>
      </c>
      <c r="AE1554" s="1">
        <v>82.24</v>
      </c>
      <c r="AF1554" s="1">
        <v>79.760000000000005</v>
      </c>
      <c r="AG1554" s="1">
        <v>72.040000000000006</v>
      </c>
      <c r="AI1554" s="1">
        <v>6</v>
      </c>
      <c r="AN1554" s="1">
        <v>2056.42</v>
      </c>
      <c r="AQ1554" s="1">
        <v>2543.31</v>
      </c>
      <c r="AX1554" s="1">
        <v>79.569999999999993</v>
      </c>
      <c r="BA1554" s="1">
        <v>76.64</v>
      </c>
      <c r="BB1554" s="1">
        <v>83.17</v>
      </c>
      <c r="BC1554" s="1">
        <v>81.94</v>
      </c>
      <c r="BD1554" s="1">
        <v>81.02</v>
      </c>
      <c r="BE1554" s="1">
        <v>80.59</v>
      </c>
      <c r="BF1554" s="1">
        <v>81.319999999999993</v>
      </c>
      <c r="BG1554" s="1">
        <v>82.92</v>
      </c>
      <c r="BH1554" s="1">
        <v>85.37</v>
      </c>
      <c r="BI1554" s="1">
        <v>78.58</v>
      </c>
      <c r="BJ1554" s="1">
        <v>83.91</v>
      </c>
      <c r="BL1554" s="1">
        <v>74.44</v>
      </c>
      <c r="BN1554" s="1">
        <v>74.209999999999994</v>
      </c>
    </row>
    <row r="1555" spans="1:66" x14ac:dyDescent="0.3">
      <c r="A1555" s="2"/>
      <c r="C1555" s="14" t="str">
        <f t="shared" si="25"/>
        <v>20201</v>
      </c>
      <c r="D1555" s="3">
        <v>43837</v>
      </c>
      <c r="E1555" s="21">
        <v>1308.24</v>
      </c>
      <c r="F1555" s="21">
        <v>1280.77</v>
      </c>
      <c r="G1555" s="21">
        <v>1323.2</v>
      </c>
      <c r="H1555" s="21">
        <v>1301.1300000000001</v>
      </c>
      <c r="I1555" s="21">
        <v>1333.19</v>
      </c>
      <c r="J1555" s="21">
        <v>1344.24</v>
      </c>
      <c r="K1555" s="21">
        <v>1342.81</v>
      </c>
      <c r="L1555" s="21"/>
      <c r="M1555" s="21">
        <v>1193.1600000000001</v>
      </c>
      <c r="N1555" s="21">
        <v>1191.03</v>
      </c>
      <c r="O1555" s="21">
        <v>1325.1</v>
      </c>
      <c r="P1555" s="21">
        <v>1320.72</v>
      </c>
      <c r="Q1555" s="21">
        <v>3695.45</v>
      </c>
      <c r="R1555" s="20">
        <v>75.45</v>
      </c>
      <c r="S1555" s="20">
        <v>68.489999999999995</v>
      </c>
      <c r="T1555" s="21">
        <v>77.88</v>
      </c>
      <c r="V1555" s="1">
        <v>73.790000000000006</v>
      </c>
      <c r="W1555" s="1">
        <v>78.16</v>
      </c>
      <c r="X1555" s="1">
        <v>76.78</v>
      </c>
      <c r="Y1555" s="1">
        <v>77.92</v>
      </c>
      <c r="Z1555" s="1">
        <v>78</v>
      </c>
      <c r="AA1555" s="1">
        <v>75.489999999999995</v>
      </c>
      <c r="AB1555" s="1">
        <v>76.67</v>
      </c>
      <c r="AC1555" s="1">
        <v>74.38</v>
      </c>
      <c r="AE1555" s="1">
        <v>83.04</v>
      </c>
      <c r="AF1555" s="1">
        <v>79.900000000000006</v>
      </c>
      <c r="AG1555" s="1">
        <v>71.69</v>
      </c>
      <c r="AI1555" s="1">
        <v>6</v>
      </c>
      <c r="AN1555" s="1">
        <v>2056.42</v>
      </c>
      <c r="AQ1555" s="1">
        <v>2509.84</v>
      </c>
      <c r="AX1555" s="1">
        <v>78.84</v>
      </c>
      <c r="BA1555" s="1">
        <v>76.959999999999994</v>
      </c>
      <c r="BB1555" s="1">
        <v>83.6</v>
      </c>
      <c r="BC1555" s="1">
        <v>82.35</v>
      </c>
      <c r="BD1555" s="1">
        <v>80.319999999999993</v>
      </c>
      <c r="BF1555" s="1">
        <v>82.93</v>
      </c>
      <c r="BG1555" s="1">
        <v>82.98</v>
      </c>
      <c r="BH1555" s="1">
        <v>84.27</v>
      </c>
      <c r="BI1555" s="1">
        <v>78.58</v>
      </c>
      <c r="BJ1555" s="1">
        <v>84.3</v>
      </c>
      <c r="BL1555" s="1">
        <v>73.94</v>
      </c>
      <c r="BN1555" s="1">
        <v>73.209999999999994</v>
      </c>
    </row>
    <row r="1556" spans="1:66" x14ac:dyDescent="0.3">
      <c r="A1556" s="2"/>
      <c r="C1556" s="14" t="str">
        <f t="shared" si="25"/>
        <v>20201</v>
      </c>
      <c r="D1556" s="3">
        <v>43836</v>
      </c>
      <c r="E1556" s="21">
        <v>1337.9</v>
      </c>
      <c r="F1556" s="21">
        <v>1330.96</v>
      </c>
      <c r="G1556" s="21">
        <v>1355.33</v>
      </c>
      <c r="H1556" s="21">
        <v>1299.32</v>
      </c>
      <c r="I1556" s="21">
        <v>1339.72</v>
      </c>
      <c r="J1556" s="21">
        <v>1363.75</v>
      </c>
      <c r="K1556" s="21">
        <v>1347.25</v>
      </c>
      <c r="L1556" s="21">
        <v>1360.74</v>
      </c>
      <c r="M1556" s="21">
        <v>1214.53</v>
      </c>
      <c r="N1556" s="21">
        <v>1211.8699999999999</v>
      </c>
      <c r="O1556" s="21">
        <v>1323.35</v>
      </c>
      <c r="P1556" s="21">
        <v>1320.72</v>
      </c>
      <c r="Q1556" s="21">
        <v>3678.72</v>
      </c>
      <c r="R1556" s="20">
        <v>78.06</v>
      </c>
      <c r="S1556" s="20">
        <v>71.260000000000005</v>
      </c>
      <c r="T1556" s="21">
        <v>77.88</v>
      </c>
      <c r="U1556" s="1">
        <v>76.599999999999994</v>
      </c>
      <c r="V1556" s="1">
        <v>73.790000000000006</v>
      </c>
      <c r="W1556" s="1">
        <v>77.91</v>
      </c>
      <c r="X1556" s="1">
        <v>76.81</v>
      </c>
      <c r="Y1556" s="1">
        <v>77.81</v>
      </c>
      <c r="Z1556" s="1">
        <v>78</v>
      </c>
      <c r="AA1556" s="1">
        <v>75.849999999999994</v>
      </c>
      <c r="AB1556" s="1">
        <v>76.67</v>
      </c>
      <c r="AC1556" s="1">
        <v>74.540000000000006</v>
      </c>
      <c r="AE1556" s="1">
        <v>83.09</v>
      </c>
      <c r="AF1556" s="1">
        <v>79.900000000000006</v>
      </c>
      <c r="AG1556" s="1">
        <v>71.62</v>
      </c>
      <c r="AI1556" s="1">
        <v>6</v>
      </c>
      <c r="AN1556" s="1">
        <v>2056.42</v>
      </c>
      <c r="AX1556" s="1">
        <v>78.989999999999995</v>
      </c>
      <c r="BA1556" s="1">
        <v>76.22</v>
      </c>
      <c r="BB1556" s="1">
        <v>83.56</v>
      </c>
      <c r="BC1556" s="1">
        <v>82.33</v>
      </c>
      <c r="BD1556" s="1">
        <v>80.23</v>
      </c>
      <c r="BF1556" s="1">
        <v>82.93</v>
      </c>
      <c r="BG1556" s="1">
        <v>83.49</v>
      </c>
      <c r="BH1556" s="1">
        <v>83.32</v>
      </c>
      <c r="BI1556" s="1">
        <v>78.58</v>
      </c>
      <c r="BJ1556" s="1">
        <v>83.57</v>
      </c>
      <c r="BL1556" s="1">
        <v>73.94</v>
      </c>
      <c r="BN1556" s="1">
        <v>73.209999999999994</v>
      </c>
    </row>
    <row r="1557" spans="1:66" x14ac:dyDescent="0.3">
      <c r="A1557" s="2"/>
      <c r="C1557" s="14" t="str">
        <f t="shared" si="25"/>
        <v>20201</v>
      </c>
      <c r="D1557" s="3">
        <v>43833</v>
      </c>
      <c r="E1557" s="21">
        <v>1370.8</v>
      </c>
      <c r="F1557" s="21">
        <v>1372.34</v>
      </c>
      <c r="G1557" s="21">
        <v>1399.79</v>
      </c>
      <c r="H1557" s="21">
        <v>1300.8499999999999</v>
      </c>
      <c r="I1557" s="21">
        <v>1356.71</v>
      </c>
      <c r="J1557" s="21">
        <v>1332.66</v>
      </c>
      <c r="K1557" s="21">
        <v>1350.55</v>
      </c>
      <c r="L1557" s="21">
        <v>1240.46</v>
      </c>
      <c r="M1557" s="21">
        <v>1195.8499999999999</v>
      </c>
      <c r="N1557" s="21">
        <v>1232.42</v>
      </c>
      <c r="O1557" s="21">
        <v>1346.29</v>
      </c>
      <c r="P1557" s="21">
        <v>1328.09</v>
      </c>
      <c r="Q1557" s="21">
        <v>3708.42</v>
      </c>
      <c r="R1557" s="20">
        <v>78.17</v>
      </c>
      <c r="S1557" s="20">
        <v>70.930000000000007</v>
      </c>
      <c r="T1557" s="21">
        <v>77.849999999999994</v>
      </c>
      <c r="U1557" s="1">
        <v>77.39</v>
      </c>
      <c r="V1557" s="1">
        <v>73.59</v>
      </c>
      <c r="W1557" s="1">
        <v>78.05</v>
      </c>
      <c r="X1557" s="1">
        <v>77.400000000000006</v>
      </c>
      <c r="Y1557" s="1">
        <v>76.989999999999995</v>
      </c>
      <c r="Z1557" s="1">
        <v>77.27</v>
      </c>
      <c r="AA1557" s="1">
        <v>77.03</v>
      </c>
      <c r="AB1557" s="1">
        <v>77.22</v>
      </c>
      <c r="AC1557" s="1">
        <v>75.069999999999993</v>
      </c>
      <c r="AE1557" s="1">
        <v>83.86</v>
      </c>
      <c r="AF1557" s="1">
        <v>79.89</v>
      </c>
      <c r="AG1557" s="1">
        <v>78.34</v>
      </c>
      <c r="AI1557" s="1">
        <v>6</v>
      </c>
      <c r="AN1557" s="1">
        <v>2056.42</v>
      </c>
      <c r="AW1557" s="1">
        <v>2231.75</v>
      </c>
      <c r="AX1557" s="1">
        <v>83.73</v>
      </c>
      <c r="BA1557" s="1">
        <v>81.59</v>
      </c>
      <c r="BB1557" s="1">
        <v>84.54</v>
      </c>
      <c r="BC1557" s="1">
        <v>82.09</v>
      </c>
      <c r="BD1557" s="1">
        <v>80.17</v>
      </c>
      <c r="BE1557" s="1">
        <v>84.83</v>
      </c>
      <c r="BF1557" s="1">
        <v>83.99</v>
      </c>
      <c r="BG1557" s="1">
        <v>83.52</v>
      </c>
      <c r="BH1557" s="1">
        <v>83.28</v>
      </c>
      <c r="BI1557" s="1">
        <v>78.42</v>
      </c>
      <c r="BJ1557" s="1">
        <v>84.14</v>
      </c>
      <c r="BK1557" s="1">
        <v>73</v>
      </c>
      <c r="BL1557" s="1">
        <v>74.41</v>
      </c>
      <c r="BN1557" s="1">
        <v>74.11</v>
      </c>
    </row>
    <row r="1558" spans="1:66" x14ac:dyDescent="0.3">
      <c r="A1558" s="2"/>
      <c r="C1558" s="14" t="str">
        <f t="shared" si="25"/>
        <v>20201</v>
      </c>
      <c r="D1558" s="3">
        <v>43832</v>
      </c>
      <c r="E1558" s="21">
        <v>1370.8</v>
      </c>
      <c r="F1558" s="21">
        <v>1372.34</v>
      </c>
      <c r="G1558" s="21">
        <v>1399.79</v>
      </c>
      <c r="H1558" s="21">
        <v>1300.8499999999999</v>
      </c>
      <c r="I1558" s="21">
        <v>1356.71</v>
      </c>
      <c r="J1558" s="21">
        <v>1332.66</v>
      </c>
      <c r="K1558" s="21">
        <v>1350.55</v>
      </c>
      <c r="L1558" s="21">
        <v>1240.46</v>
      </c>
      <c r="M1558" s="1">
        <v>1195.8499999999999</v>
      </c>
      <c r="N1558" s="1">
        <v>1232.42</v>
      </c>
      <c r="O1558" s="1">
        <v>1346.29</v>
      </c>
      <c r="P1558" s="1">
        <v>1328.09</v>
      </c>
      <c r="Q1558" s="1">
        <v>3708.42</v>
      </c>
      <c r="R1558" s="1">
        <v>78.17</v>
      </c>
      <c r="S1558" s="1">
        <v>70.930000000000007</v>
      </c>
      <c r="T1558" s="1">
        <v>77.849999999999994</v>
      </c>
      <c r="U1558" s="1">
        <v>77.39</v>
      </c>
      <c r="V1558" s="1">
        <v>73.59</v>
      </c>
      <c r="W1558" s="1">
        <v>78.05</v>
      </c>
      <c r="X1558" s="1">
        <v>77.400000000000006</v>
      </c>
      <c r="Y1558" s="1">
        <v>76.989999999999995</v>
      </c>
      <c r="Z1558" s="1">
        <v>77.27</v>
      </c>
      <c r="AA1558" s="1">
        <v>77.03</v>
      </c>
      <c r="AB1558" s="1">
        <v>77.22</v>
      </c>
      <c r="AC1558" s="1">
        <v>75.069999999999993</v>
      </c>
      <c r="AE1558" s="1">
        <v>83.86</v>
      </c>
      <c r="AF1558" s="1">
        <v>79.89</v>
      </c>
      <c r="AG1558" s="1">
        <v>78.34</v>
      </c>
      <c r="AI1558" s="1">
        <v>6</v>
      </c>
      <c r="AN1558" s="1">
        <v>2056.42</v>
      </c>
      <c r="AW1558" s="1">
        <v>2242.8000000000002</v>
      </c>
      <c r="AX1558" s="1">
        <v>83.73</v>
      </c>
      <c r="BA1558" s="1">
        <v>81.59</v>
      </c>
      <c r="BB1558" s="1">
        <v>84.84</v>
      </c>
      <c r="BC1558" s="1">
        <v>82.07</v>
      </c>
      <c r="BD1558" s="1">
        <v>80.09</v>
      </c>
      <c r="BE1558" s="1">
        <v>84.83</v>
      </c>
      <c r="BF1558" s="1">
        <v>83.99</v>
      </c>
      <c r="BG1558" s="1">
        <v>83.52</v>
      </c>
      <c r="BH1558" s="1">
        <v>83.28</v>
      </c>
      <c r="BI1558" s="1">
        <v>78.42</v>
      </c>
      <c r="BJ1558" s="1">
        <v>84.14</v>
      </c>
      <c r="BL1558" s="1">
        <v>74.41</v>
      </c>
      <c r="BN1558" s="1">
        <v>74.11</v>
      </c>
    </row>
    <row r="1559" spans="1:66" x14ac:dyDescent="0.3">
      <c r="A1559" s="2"/>
      <c r="C1559" s="14" t="str">
        <f t="shared" si="25"/>
        <v>19001</v>
      </c>
      <c r="D1559" s="3"/>
      <c r="E1559" s="21"/>
      <c r="F1559" s="21"/>
      <c r="G1559" s="21"/>
      <c r="H1559" s="21"/>
      <c r="I1559" s="21"/>
      <c r="J1559" s="21"/>
      <c r="K1559" s="21"/>
      <c r="L1559" s="21"/>
    </row>
    <row r="1560" spans="1:66" x14ac:dyDescent="0.3">
      <c r="A1560" s="2"/>
      <c r="C1560" s="14" t="str">
        <f t="shared" si="25"/>
        <v>19001</v>
      </c>
      <c r="D1560" s="3"/>
      <c r="E1560" s="21"/>
      <c r="F1560" s="21"/>
      <c r="G1560" s="21"/>
      <c r="H1560" s="21"/>
      <c r="I1560" s="21"/>
      <c r="J1560" s="21"/>
      <c r="K1560" s="21"/>
      <c r="L1560" s="21"/>
    </row>
    <row r="1561" spans="1:66" x14ac:dyDescent="0.3">
      <c r="A1561" s="2"/>
      <c r="C1561" s="14" t="str">
        <f t="shared" si="25"/>
        <v>19001</v>
      </c>
      <c r="D1561" s="3"/>
      <c r="E1561" s="21"/>
      <c r="F1561" s="21"/>
      <c r="G1561" s="21"/>
      <c r="H1561" s="21"/>
      <c r="I1561" s="21"/>
      <c r="J1561" s="21"/>
      <c r="K1561" s="21"/>
      <c r="L1561" s="21"/>
    </row>
    <row r="1562" spans="1:66" x14ac:dyDescent="0.3">
      <c r="A1562" s="2"/>
      <c r="C1562" s="14" t="str">
        <f t="shared" si="25"/>
        <v>19001</v>
      </c>
      <c r="D1562" s="3"/>
      <c r="E1562" s="21"/>
      <c r="F1562" s="21"/>
      <c r="G1562" s="21"/>
      <c r="H1562" s="21"/>
      <c r="I1562" s="21"/>
      <c r="J1562" s="21"/>
      <c r="K1562" s="21"/>
      <c r="L1562" s="21"/>
    </row>
    <row r="1563" spans="1:66" x14ac:dyDescent="0.3">
      <c r="A1563" s="2"/>
      <c r="C1563" s="14" t="str">
        <f t="shared" si="25"/>
        <v>19001</v>
      </c>
      <c r="D1563" s="3"/>
      <c r="E1563" s="21"/>
      <c r="F1563" s="21"/>
      <c r="G1563" s="21"/>
      <c r="H1563" s="21"/>
      <c r="I1563" s="21"/>
      <c r="J1563" s="21"/>
      <c r="K1563" s="21"/>
      <c r="L1563" s="21"/>
    </row>
    <row r="1564" spans="1:66" x14ac:dyDescent="0.3">
      <c r="A1564" s="2"/>
      <c r="C1564" s="14" t="str">
        <f t="shared" si="25"/>
        <v>19001</v>
      </c>
      <c r="D1564" s="3"/>
      <c r="E1564" s="21"/>
      <c r="F1564" s="21"/>
      <c r="G1564" s="21"/>
      <c r="H1564" s="21"/>
      <c r="I1564" s="21"/>
      <c r="J1564" s="21"/>
      <c r="K1564" s="21"/>
      <c r="L1564" s="21"/>
    </row>
    <row r="1565" spans="1:66" x14ac:dyDescent="0.3">
      <c r="A1565" s="2"/>
      <c r="C1565" s="14" t="str">
        <f t="shared" si="25"/>
        <v>19001</v>
      </c>
      <c r="D1565" s="3"/>
      <c r="E1565" s="21"/>
      <c r="F1565" s="21"/>
      <c r="G1565" s="21"/>
      <c r="H1565" s="21"/>
      <c r="I1565" s="21"/>
      <c r="J1565" s="21"/>
      <c r="K1565" s="21"/>
      <c r="L1565" s="21"/>
    </row>
    <row r="1566" spans="1:66" x14ac:dyDescent="0.3">
      <c r="A1566" s="2"/>
      <c r="C1566" s="14" t="str">
        <f t="shared" si="25"/>
        <v>19001</v>
      </c>
      <c r="D1566" s="3"/>
      <c r="E1566" s="21"/>
      <c r="F1566" s="21"/>
      <c r="G1566" s="21"/>
      <c r="H1566" s="21"/>
      <c r="I1566" s="21"/>
      <c r="J1566" s="21"/>
      <c r="K1566" s="21"/>
      <c r="L1566" s="21"/>
    </row>
    <row r="1567" spans="1:66" x14ac:dyDescent="0.3">
      <c r="A1567" s="2"/>
      <c r="C1567" s="14" t="str">
        <f t="shared" si="25"/>
        <v>19001</v>
      </c>
      <c r="D1567" s="3"/>
      <c r="E1567" s="21"/>
      <c r="F1567" s="21"/>
      <c r="G1567" s="21"/>
      <c r="H1567" s="21"/>
      <c r="I1567" s="21"/>
      <c r="J1567" s="21"/>
      <c r="K1567" s="21"/>
      <c r="L1567" s="21"/>
    </row>
    <row r="1568" spans="1:66" x14ac:dyDescent="0.3">
      <c r="A1568" s="2"/>
      <c r="C1568" s="14" t="str">
        <f t="shared" si="25"/>
        <v>19001</v>
      </c>
      <c r="D1568" s="3"/>
      <c r="E1568" s="21"/>
      <c r="F1568" s="21"/>
      <c r="G1568" s="21"/>
      <c r="H1568" s="21"/>
      <c r="I1568" s="21"/>
      <c r="J1568" s="21"/>
      <c r="K1568" s="21"/>
      <c r="L1568" s="21"/>
    </row>
    <row r="1569" spans="1:12" x14ac:dyDescent="0.3">
      <c r="A1569" s="2"/>
      <c r="C1569" s="14" t="str">
        <f t="shared" si="25"/>
        <v>19001</v>
      </c>
      <c r="D1569" s="3"/>
      <c r="E1569" s="21"/>
      <c r="F1569" s="21"/>
      <c r="G1569" s="21"/>
      <c r="H1569" s="21"/>
      <c r="I1569" s="21"/>
      <c r="J1569" s="21"/>
      <c r="K1569" s="21"/>
      <c r="L1569" s="21"/>
    </row>
    <row r="1570" spans="1:12" x14ac:dyDescent="0.3">
      <c r="A1570" s="2"/>
      <c r="C1570" s="14" t="str">
        <f t="shared" si="25"/>
        <v>19001</v>
      </c>
      <c r="D1570" s="3"/>
      <c r="E1570" s="21"/>
      <c r="F1570" s="21"/>
      <c r="G1570" s="21"/>
      <c r="H1570" s="21"/>
      <c r="I1570" s="21"/>
      <c r="J1570" s="21"/>
      <c r="K1570" s="21"/>
      <c r="L1570" s="21"/>
    </row>
    <row r="1571" spans="1:12" x14ac:dyDescent="0.3">
      <c r="A1571" s="2"/>
      <c r="C1571" s="14" t="str">
        <f t="shared" si="25"/>
        <v>19001</v>
      </c>
      <c r="D1571" s="3"/>
      <c r="E1571" s="21"/>
      <c r="F1571" s="21"/>
      <c r="G1571" s="21"/>
      <c r="H1571" s="21"/>
      <c r="I1571" s="21"/>
      <c r="J1571" s="21"/>
      <c r="K1571" s="21"/>
      <c r="L1571" s="21"/>
    </row>
    <row r="1572" spans="1:12" x14ac:dyDescent="0.3">
      <c r="A1572" s="2"/>
      <c r="C1572" s="14" t="str">
        <f t="shared" si="25"/>
        <v>19001</v>
      </c>
      <c r="D1572" s="3"/>
      <c r="E1572" s="21"/>
      <c r="F1572" s="21"/>
      <c r="G1572" s="21"/>
      <c r="H1572" s="21"/>
      <c r="I1572" s="21"/>
      <c r="J1572" s="21"/>
      <c r="K1572" s="21"/>
      <c r="L1572" s="21"/>
    </row>
    <row r="1573" spans="1:12" x14ac:dyDescent="0.3">
      <c r="A1573" s="2"/>
      <c r="C1573" s="14" t="str">
        <f t="shared" si="25"/>
        <v>19001</v>
      </c>
      <c r="D1573" s="3"/>
      <c r="E1573" s="21"/>
      <c r="F1573" s="21"/>
      <c r="G1573" s="21"/>
      <c r="H1573" s="21"/>
      <c r="I1573" s="21"/>
      <c r="J1573" s="21"/>
      <c r="K1573" s="21"/>
      <c r="L1573" s="21"/>
    </row>
    <row r="1574" spans="1:12" x14ac:dyDescent="0.3">
      <c r="A1574" s="2"/>
      <c r="C1574" s="14" t="str">
        <f t="shared" si="25"/>
        <v>19001</v>
      </c>
      <c r="D1574" s="3"/>
      <c r="E1574" s="21"/>
      <c r="F1574" s="21"/>
      <c r="G1574" s="21"/>
      <c r="H1574" s="21"/>
      <c r="I1574" s="21"/>
      <c r="J1574" s="21"/>
      <c r="K1574" s="21"/>
      <c r="L1574" s="21"/>
    </row>
    <row r="1575" spans="1:12" x14ac:dyDescent="0.3">
      <c r="A1575" s="2"/>
      <c r="C1575" s="14" t="str">
        <f t="shared" si="25"/>
        <v>19001</v>
      </c>
      <c r="D1575" s="3"/>
      <c r="E1575" s="21"/>
      <c r="F1575" s="21"/>
      <c r="G1575" s="21"/>
      <c r="H1575" s="21"/>
      <c r="I1575" s="21"/>
      <c r="J1575" s="21"/>
      <c r="K1575" s="21"/>
      <c r="L1575" s="21"/>
    </row>
    <row r="1576" spans="1:12" x14ac:dyDescent="0.3">
      <c r="A1576" s="2"/>
      <c r="C1576" s="14" t="str">
        <f t="shared" si="25"/>
        <v>19001</v>
      </c>
      <c r="D1576" s="3"/>
      <c r="E1576" s="21"/>
      <c r="F1576" s="21"/>
      <c r="G1576" s="21"/>
      <c r="H1576" s="21"/>
      <c r="I1576" s="21"/>
      <c r="J1576" s="21"/>
      <c r="K1576" s="21"/>
      <c r="L1576" s="21"/>
    </row>
    <row r="1577" spans="1:12" x14ac:dyDescent="0.3">
      <c r="A1577" s="2"/>
      <c r="C1577" s="14" t="str">
        <f t="shared" si="25"/>
        <v>19001</v>
      </c>
      <c r="D1577" s="3"/>
      <c r="E1577" s="21"/>
      <c r="F1577" s="21"/>
      <c r="G1577" s="21"/>
      <c r="H1577" s="21"/>
      <c r="I1577" s="21"/>
      <c r="J1577" s="21"/>
      <c r="K1577" s="21"/>
      <c r="L1577" s="21"/>
    </row>
    <row r="1578" spans="1:12" x14ac:dyDescent="0.3">
      <c r="A1578" s="2"/>
      <c r="C1578" s="14" t="str">
        <f t="shared" si="25"/>
        <v>19001</v>
      </c>
      <c r="D1578" s="3"/>
      <c r="E1578" s="21"/>
      <c r="F1578" s="21"/>
      <c r="G1578" s="21"/>
      <c r="H1578" s="21"/>
      <c r="I1578" s="21"/>
      <c r="J1578" s="21"/>
      <c r="K1578" s="21"/>
      <c r="L1578" s="21"/>
    </row>
    <row r="1579" spans="1:12" x14ac:dyDescent="0.3">
      <c r="A1579" s="2"/>
      <c r="C1579" s="14" t="str">
        <f t="shared" si="25"/>
        <v>19001</v>
      </c>
      <c r="D1579" s="3"/>
      <c r="E1579" s="21"/>
      <c r="F1579" s="21"/>
      <c r="G1579" s="21"/>
      <c r="H1579" s="21"/>
      <c r="I1579" s="21"/>
      <c r="J1579" s="21"/>
      <c r="K1579" s="21"/>
      <c r="L1579" s="21"/>
    </row>
    <row r="1580" spans="1:12" x14ac:dyDescent="0.3">
      <c r="A1580" s="2"/>
      <c r="C1580" s="14" t="str">
        <f t="shared" si="25"/>
        <v>19001</v>
      </c>
      <c r="D1580" s="3"/>
      <c r="E1580" s="21"/>
      <c r="F1580" s="21"/>
      <c r="G1580" s="21"/>
      <c r="H1580" s="21"/>
      <c r="I1580" s="21"/>
      <c r="J1580" s="21"/>
      <c r="K1580" s="21"/>
      <c r="L1580" s="21"/>
    </row>
    <row r="1581" spans="1:12" x14ac:dyDescent="0.3">
      <c r="A1581" s="2"/>
      <c r="C1581" s="14" t="str">
        <f t="shared" si="25"/>
        <v>19001</v>
      </c>
      <c r="D1581" s="3"/>
      <c r="E1581" s="21"/>
      <c r="F1581" s="21"/>
      <c r="G1581" s="21"/>
      <c r="H1581" s="21"/>
      <c r="I1581" s="21"/>
      <c r="J1581" s="21"/>
      <c r="K1581" s="21"/>
      <c r="L1581" s="21"/>
    </row>
    <row r="1582" spans="1:12" x14ac:dyDescent="0.3">
      <c r="A1582" s="2"/>
      <c r="C1582" s="14" t="str">
        <f t="shared" si="25"/>
        <v>19001</v>
      </c>
      <c r="D1582" s="3"/>
      <c r="E1582" s="21"/>
      <c r="F1582" s="21"/>
      <c r="G1582" s="21"/>
      <c r="H1582" s="21"/>
      <c r="I1582" s="21"/>
      <c r="J1582" s="21"/>
      <c r="K1582" s="21"/>
      <c r="L1582" s="21"/>
    </row>
    <row r="1583" spans="1:12" x14ac:dyDescent="0.3">
      <c r="A1583" s="2"/>
      <c r="C1583" s="14" t="str">
        <f t="shared" si="25"/>
        <v>19001</v>
      </c>
      <c r="D1583" s="3"/>
      <c r="E1583" s="21"/>
      <c r="F1583" s="21"/>
      <c r="G1583" s="21"/>
      <c r="H1583" s="21"/>
      <c r="I1583" s="21"/>
      <c r="J1583" s="21"/>
      <c r="K1583" s="21"/>
      <c r="L1583" s="21"/>
    </row>
    <row r="1584" spans="1:12" x14ac:dyDescent="0.3">
      <c r="A1584" s="2"/>
      <c r="C1584" s="14" t="str">
        <f t="shared" si="25"/>
        <v>19001</v>
      </c>
      <c r="D1584" s="3"/>
      <c r="E1584" s="21"/>
      <c r="F1584" s="21"/>
      <c r="G1584" s="21"/>
      <c r="H1584" s="21"/>
      <c r="I1584" s="21"/>
      <c r="J1584" s="21"/>
      <c r="K1584" s="21"/>
      <c r="L1584" s="21"/>
    </row>
    <row r="1585" spans="1:12" x14ac:dyDescent="0.3">
      <c r="A1585" s="2"/>
      <c r="C1585" s="14" t="str">
        <f t="shared" si="25"/>
        <v>19001</v>
      </c>
      <c r="D1585" s="3"/>
      <c r="E1585" s="21"/>
      <c r="F1585" s="21"/>
      <c r="G1585" s="21"/>
      <c r="H1585" s="21"/>
      <c r="I1585" s="21"/>
      <c r="J1585" s="21"/>
      <c r="K1585" s="21"/>
      <c r="L1585" s="21"/>
    </row>
    <row r="1586" spans="1:12" x14ac:dyDescent="0.3">
      <c r="A1586" s="2"/>
      <c r="C1586" s="14" t="str">
        <f t="shared" si="25"/>
        <v>19001</v>
      </c>
      <c r="D1586" s="3"/>
      <c r="E1586" s="21"/>
      <c r="F1586" s="21"/>
      <c r="G1586" s="21"/>
      <c r="H1586" s="21"/>
      <c r="I1586" s="21"/>
      <c r="J1586" s="21"/>
      <c r="K1586" s="21"/>
      <c r="L1586" s="21"/>
    </row>
    <row r="1587" spans="1:12" x14ac:dyDescent="0.3">
      <c r="A1587" s="2"/>
      <c r="C1587" s="14" t="str">
        <f t="shared" si="25"/>
        <v>19001</v>
      </c>
      <c r="D1587" s="3"/>
      <c r="E1587" s="21"/>
      <c r="F1587" s="21"/>
      <c r="G1587" s="21"/>
      <c r="H1587" s="21"/>
      <c r="I1587" s="21"/>
      <c r="J1587" s="21"/>
      <c r="K1587" s="21"/>
      <c r="L1587" s="21"/>
    </row>
    <row r="1588" spans="1:12" x14ac:dyDescent="0.3">
      <c r="A1588" s="2"/>
      <c r="C1588" s="14" t="str">
        <f t="shared" si="25"/>
        <v>19001</v>
      </c>
      <c r="D1588" s="3"/>
      <c r="E1588" s="21"/>
      <c r="F1588" s="21"/>
      <c r="G1588" s="21"/>
      <c r="H1588" s="21"/>
      <c r="I1588" s="21"/>
      <c r="J1588" s="21"/>
      <c r="K1588" s="21"/>
      <c r="L1588" s="21"/>
    </row>
    <row r="1589" spans="1:12" x14ac:dyDescent="0.3">
      <c r="A1589" s="2"/>
      <c r="C1589" s="14" t="str">
        <f t="shared" si="25"/>
        <v>19001</v>
      </c>
      <c r="D1589" s="3"/>
      <c r="E1589" s="21"/>
      <c r="F1589" s="21"/>
      <c r="G1589" s="21"/>
      <c r="H1589" s="21"/>
      <c r="I1589" s="21"/>
      <c r="J1589" s="21"/>
      <c r="K1589" s="21"/>
      <c r="L1589" s="21"/>
    </row>
    <row r="1590" spans="1:12" x14ac:dyDescent="0.3">
      <c r="A1590" s="2"/>
      <c r="C1590" s="14" t="str">
        <f t="shared" si="25"/>
        <v>19001</v>
      </c>
      <c r="D1590" s="3"/>
      <c r="E1590" s="21"/>
      <c r="F1590" s="21"/>
      <c r="G1590" s="21"/>
      <c r="H1590" s="21"/>
      <c r="I1590" s="21"/>
      <c r="J1590" s="21"/>
      <c r="K1590" s="21"/>
      <c r="L1590" s="21"/>
    </row>
    <row r="1591" spans="1:12" x14ac:dyDescent="0.3">
      <c r="A1591" s="2"/>
      <c r="C1591" s="14" t="str">
        <f t="shared" si="25"/>
        <v>19001</v>
      </c>
      <c r="D1591" s="3"/>
      <c r="E1591" s="21"/>
      <c r="F1591" s="21"/>
      <c r="G1591" s="21"/>
      <c r="H1591" s="21"/>
      <c r="I1591" s="21"/>
      <c r="J1591" s="21"/>
      <c r="K1591" s="21"/>
      <c r="L1591" s="21"/>
    </row>
    <row r="1592" spans="1:12" x14ac:dyDescent="0.3">
      <c r="A1592" s="2"/>
      <c r="C1592" s="14" t="str">
        <f t="shared" si="25"/>
        <v>19001</v>
      </c>
      <c r="D1592" s="3"/>
      <c r="E1592" s="21"/>
      <c r="F1592" s="21"/>
      <c r="G1592" s="21"/>
      <c r="H1592" s="21"/>
      <c r="I1592" s="21"/>
      <c r="J1592" s="21"/>
      <c r="K1592" s="21"/>
      <c r="L1592" s="21"/>
    </row>
    <row r="1593" spans="1:12" x14ac:dyDescent="0.3">
      <c r="A1593" s="2"/>
      <c r="C1593" s="14" t="str">
        <f t="shared" si="25"/>
        <v>19001</v>
      </c>
      <c r="D1593" s="3"/>
      <c r="E1593" s="21"/>
      <c r="F1593" s="21"/>
      <c r="G1593" s="21"/>
      <c r="H1593" s="21"/>
      <c r="I1593" s="21"/>
      <c r="J1593" s="21"/>
      <c r="K1593" s="21"/>
      <c r="L1593" s="21"/>
    </row>
    <row r="1594" spans="1:12" x14ac:dyDescent="0.3">
      <c r="A1594" s="2"/>
      <c r="C1594" s="14" t="str">
        <f t="shared" si="25"/>
        <v>19001</v>
      </c>
      <c r="D1594" s="3"/>
      <c r="E1594" s="21"/>
      <c r="F1594" s="21"/>
      <c r="G1594" s="21"/>
      <c r="H1594" s="21"/>
      <c r="I1594" s="21"/>
      <c r="J1594" s="21"/>
      <c r="K1594" s="21"/>
      <c r="L1594" s="21"/>
    </row>
    <row r="1595" spans="1:12" x14ac:dyDescent="0.3">
      <c r="A1595" s="2"/>
      <c r="C1595" s="14" t="str">
        <f t="shared" si="25"/>
        <v>19001</v>
      </c>
      <c r="D1595" s="3"/>
      <c r="E1595" s="21"/>
      <c r="F1595" s="21"/>
      <c r="G1595" s="21"/>
      <c r="H1595" s="21"/>
      <c r="I1595" s="21"/>
      <c r="J1595" s="21"/>
      <c r="K1595" s="21"/>
      <c r="L1595" s="21"/>
    </row>
    <row r="1596" spans="1:12" x14ac:dyDescent="0.3">
      <c r="A1596" s="2"/>
      <c r="C1596" s="14" t="str">
        <f t="shared" si="25"/>
        <v>19001</v>
      </c>
      <c r="D1596" s="3"/>
      <c r="E1596" s="21"/>
      <c r="F1596" s="21"/>
      <c r="G1596" s="21"/>
      <c r="H1596" s="21"/>
      <c r="I1596" s="21"/>
      <c r="J1596" s="21"/>
      <c r="K1596" s="21"/>
      <c r="L1596" s="21"/>
    </row>
    <row r="1597" spans="1:12" x14ac:dyDescent="0.3">
      <c r="A1597" s="2"/>
      <c r="C1597" s="14" t="str">
        <f t="shared" si="25"/>
        <v>19001</v>
      </c>
      <c r="D1597" s="3"/>
      <c r="E1597" s="21"/>
      <c r="F1597" s="21"/>
      <c r="G1597" s="21"/>
      <c r="H1597" s="21"/>
      <c r="I1597" s="21"/>
      <c r="J1597" s="21"/>
      <c r="K1597" s="21"/>
      <c r="L1597" s="21"/>
    </row>
    <row r="1598" spans="1:12" x14ac:dyDescent="0.3">
      <c r="A1598" s="2"/>
      <c r="C1598" s="14" t="str">
        <f t="shared" si="25"/>
        <v>19001</v>
      </c>
      <c r="D1598" s="3"/>
      <c r="E1598" s="21"/>
      <c r="F1598" s="21"/>
      <c r="G1598" s="21"/>
      <c r="H1598" s="21"/>
      <c r="I1598" s="21"/>
      <c r="J1598" s="21"/>
      <c r="K1598" s="21"/>
      <c r="L1598" s="21"/>
    </row>
    <row r="1599" spans="1:12" x14ac:dyDescent="0.3">
      <c r="A1599" s="2"/>
      <c r="C1599" s="14" t="str">
        <f t="shared" si="25"/>
        <v>19001</v>
      </c>
      <c r="D1599" s="3"/>
      <c r="E1599" s="21"/>
      <c r="F1599" s="21"/>
      <c r="G1599" s="21"/>
      <c r="H1599" s="21"/>
      <c r="I1599" s="21"/>
      <c r="J1599" s="21"/>
      <c r="K1599" s="21"/>
      <c r="L1599" s="21"/>
    </row>
    <row r="1600" spans="1:12" x14ac:dyDescent="0.3">
      <c r="A1600" s="2"/>
      <c r="C1600" s="14" t="str">
        <f t="shared" si="25"/>
        <v>19001</v>
      </c>
      <c r="D1600" s="3"/>
      <c r="E1600" s="21"/>
      <c r="F1600" s="21"/>
      <c r="G1600" s="21"/>
      <c r="H1600" s="21"/>
      <c r="I1600" s="21"/>
      <c r="J1600" s="21"/>
      <c r="K1600" s="21"/>
      <c r="L1600" s="21"/>
    </row>
    <row r="1601" spans="1:12" x14ac:dyDescent="0.3">
      <c r="A1601" s="2"/>
      <c r="C1601" s="14" t="str">
        <f t="shared" si="25"/>
        <v>19001</v>
      </c>
      <c r="D1601" s="3"/>
      <c r="E1601" s="21"/>
      <c r="F1601" s="21"/>
      <c r="G1601" s="21"/>
      <c r="H1601" s="21"/>
      <c r="I1601" s="21"/>
      <c r="J1601" s="21"/>
      <c r="K1601" s="21"/>
      <c r="L1601" s="21"/>
    </row>
    <row r="1602" spans="1:12" x14ac:dyDescent="0.3">
      <c r="C1602" s="14" t="str">
        <f t="shared" si="25"/>
        <v>19001</v>
      </c>
    </row>
    <row r="1603" spans="1:12" x14ac:dyDescent="0.3">
      <c r="C1603" s="14" t="str">
        <f t="shared" si="25"/>
        <v>19001</v>
      </c>
    </row>
    <row r="1604" spans="1:12" x14ac:dyDescent="0.3">
      <c r="C1604" s="14" t="str">
        <f t="shared" si="25"/>
        <v>19001</v>
      </c>
    </row>
    <row r="1605" spans="1:12" x14ac:dyDescent="0.3">
      <c r="C1605" s="14" t="str">
        <f t="shared" si="25"/>
        <v>19001</v>
      </c>
    </row>
    <row r="1606" spans="1:12" x14ac:dyDescent="0.3">
      <c r="C1606" s="14" t="str">
        <f t="shared" ref="C1606:C1629" si="26">YEAR(D1606)&amp;MONTH(D1606)</f>
        <v>19001</v>
      </c>
    </row>
    <row r="1607" spans="1:12" x14ac:dyDescent="0.3">
      <c r="C1607" s="14" t="str">
        <f t="shared" si="26"/>
        <v>19001</v>
      </c>
    </row>
    <row r="1608" spans="1:12" x14ac:dyDescent="0.3">
      <c r="C1608" s="14" t="str">
        <f t="shared" si="26"/>
        <v>19001</v>
      </c>
    </row>
    <row r="1609" spans="1:12" x14ac:dyDescent="0.3">
      <c r="C1609" s="14" t="str">
        <f t="shared" si="26"/>
        <v>19001</v>
      </c>
    </row>
    <row r="1610" spans="1:12" x14ac:dyDescent="0.3">
      <c r="C1610" s="14" t="str">
        <f t="shared" si="26"/>
        <v>19001</v>
      </c>
    </row>
    <row r="1611" spans="1:12" x14ac:dyDescent="0.3">
      <c r="C1611" s="14" t="str">
        <f t="shared" si="26"/>
        <v>19001</v>
      </c>
    </row>
    <row r="1612" spans="1:12" x14ac:dyDescent="0.3">
      <c r="C1612" s="14" t="str">
        <f t="shared" si="26"/>
        <v>19001</v>
      </c>
    </row>
    <row r="1613" spans="1:12" x14ac:dyDescent="0.3">
      <c r="C1613" s="14" t="str">
        <f t="shared" si="26"/>
        <v>19001</v>
      </c>
    </row>
    <row r="1614" spans="1:12" x14ac:dyDescent="0.3">
      <c r="C1614" s="14" t="str">
        <f t="shared" si="26"/>
        <v>19001</v>
      </c>
    </row>
    <row r="1615" spans="1:12" x14ac:dyDescent="0.3">
      <c r="C1615" s="14" t="str">
        <f t="shared" si="26"/>
        <v>19001</v>
      </c>
    </row>
    <row r="1616" spans="1:12" x14ac:dyDescent="0.3">
      <c r="C1616" s="14" t="str">
        <f t="shared" si="26"/>
        <v>19001</v>
      </c>
    </row>
    <row r="1617" spans="3:3" x14ac:dyDescent="0.3">
      <c r="C1617" s="14" t="str">
        <f t="shared" si="26"/>
        <v>19001</v>
      </c>
    </row>
    <row r="1618" spans="3:3" x14ac:dyDescent="0.3">
      <c r="C1618" s="14" t="str">
        <f t="shared" si="26"/>
        <v>19001</v>
      </c>
    </row>
    <row r="1619" spans="3:3" x14ac:dyDescent="0.3">
      <c r="C1619" s="14" t="str">
        <f t="shared" si="26"/>
        <v>19001</v>
      </c>
    </row>
    <row r="1620" spans="3:3" x14ac:dyDescent="0.3">
      <c r="C1620" s="14" t="str">
        <f t="shared" si="26"/>
        <v>19001</v>
      </c>
    </row>
    <row r="1621" spans="3:3" x14ac:dyDescent="0.3">
      <c r="C1621" s="14" t="str">
        <f t="shared" si="26"/>
        <v>19001</v>
      </c>
    </row>
    <row r="1622" spans="3:3" x14ac:dyDescent="0.3">
      <c r="C1622" s="14" t="str">
        <f t="shared" si="26"/>
        <v>19001</v>
      </c>
    </row>
    <row r="1623" spans="3:3" x14ac:dyDescent="0.3">
      <c r="C1623" s="14" t="str">
        <f t="shared" si="26"/>
        <v>19001</v>
      </c>
    </row>
    <row r="1624" spans="3:3" x14ac:dyDescent="0.3">
      <c r="C1624" s="14" t="str">
        <f t="shared" si="26"/>
        <v>19001</v>
      </c>
    </row>
    <row r="1625" spans="3:3" x14ac:dyDescent="0.3">
      <c r="C1625" s="14" t="str">
        <f t="shared" si="26"/>
        <v>19001</v>
      </c>
    </row>
    <row r="1626" spans="3:3" x14ac:dyDescent="0.3">
      <c r="C1626" s="14" t="str">
        <f t="shared" si="26"/>
        <v>19001</v>
      </c>
    </row>
    <row r="1627" spans="3:3" x14ac:dyDescent="0.3">
      <c r="C1627" s="14" t="str">
        <f t="shared" si="26"/>
        <v>19001</v>
      </c>
    </row>
    <row r="1628" spans="3:3" x14ac:dyDescent="0.3">
      <c r="C1628" s="14" t="str">
        <f t="shared" si="26"/>
        <v>19001</v>
      </c>
    </row>
    <row r="1629" spans="3:3" x14ac:dyDescent="0.3">
      <c r="C1629" s="14" t="str">
        <f t="shared" si="26"/>
        <v>19001</v>
      </c>
    </row>
  </sheetData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572A0-CB46-48FD-9551-0AF940E104BD}">
  <dimension ref="B1:BM82"/>
  <sheetViews>
    <sheetView topLeftCell="AE1" workbookViewId="0">
      <selection activeCell="AB2" sqref="AB2"/>
    </sheetView>
  </sheetViews>
  <sheetFormatPr defaultRowHeight="14.4" x14ac:dyDescent="0.3"/>
  <cols>
    <col min="4" max="4" width="23.6640625" bestFit="1" customWidth="1"/>
    <col min="5" max="5" width="21.6640625" bestFit="1" customWidth="1"/>
    <col min="6" max="6" width="24.88671875" bestFit="1" customWidth="1"/>
    <col min="7" max="7" width="26.44140625" bestFit="1" customWidth="1"/>
    <col min="8" max="8" width="24" bestFit="1" customWidth="1"/>
    <col min="9" max="9" width="26.33203125" bestFit="1" customWidth="1"/>
    <col min="10" max="10" width="25.5546875" bestFit="1" customWidth="1"/>
    <col min="11" max="11" width="23.5546875" bestFit="1" customWidth="1"/>
    <col min="12" max="12" width="24" bestFit="1" customWidth="1"/>
    <col min="13" max="13" width="22.5546875" bestFit="1" customWidth="1"/>
    <col min="14" max="14" width="18" bestFit="1" customWidth="1"/>
    <col min="15" max="15" width="23.33203125" bestFit="1" customWidth="1"/>
    <col min="16" max="16" width="21.5546875" bestFit="1" customWidth="1"/>
    <col min="17" max="17" width="23.88671875" bestFit="1" customWidth="1"/>
    <col min="18" max="18" width="23.33203125" bestFit="1" customWidth="1"/>
    <col min="19" max="19" width="24.33203125" bestFit="1" customWidth="1"/>
    <col min="20" max="20" width="24.6640625" bestFit="1" customWidth="1"/>
    <col min="21" max="21" width="24.33203125" bestFit="1" customWidth="1"/>
    <col min="27" max="27" width="26.33203125" bestFit="1" customWidth="1"/>
    <col min="28" max="28" width="26.109375" bestFit="1" customWidth="1"/>
    <col min="29" max="29" width="25.5546875" bestFit="1" customWidth="1"/>
    <col min="30" max="30" width="26" bestFit="1" customWidth="1"/>
    <col min="31" max="31" width="24.6640625" bestFit="1" customWidth="1"/>
    <col min="32" max="32" width="23.33203125" bestFit="1" customWidth="1"/>
    <col min="33" max="33" width="20.44140625" bestFit="1" customWidth="1"/>
    <col min="34" max="34" width="25.5546875" bestFit="1" customWidth="1"/>
    <col min="35" max="35" width="24.88671875" bestFit="1" customWidth="1"/>
    <col min="36" max="52" width="11.6640625" customWidth="1"/>
  </cols>
  <sheetData>
    <row r="1" spans="2:65" x14ac:dyDescent="0.3">
      <c r="D1">
        <v>16</v>
      </c>
      <c r="E1">
        <v>17</v>
      </c>
      <c r="F1">
        <v>18</v>
      </c>
      <c r="G1">
        <v>19</v>
      </c>
      <c r="H1">
        <v>20</v>
      </c>
      <c r="I1">
        <v>21</v>
      </c>
      <c r="J1">
        <v>22</v>
      </c>
      <c r="K1">
        <v>23</v>
      </c>
      <c r="L1">
        <v>24</v>
      </c>
      <c r="M1">
        <v>25</v>
      </c>
      <c r="N1">
        <v>26</v>
      </c>
      <c r="O1">
        <v>27</v>
      </c>
      <c r="P1">
        <v>28</v>
      </c>
      <c r="Q1">
        <v>59</v>
      </c>
      <c r="R1">
        <v>61</v>
      </c>
      <c r="S1">
        <v>62</v>
      </c>
      <c r="T1">
        <v>63</v>
      </c>
      <c r="U1">
        <v>64</v>
      </c>
      <c r="AA1" s="18">
        <v>51</v>
      </c>
      <c r="AB1" s="18">
        <v>52</v>
      </c>
      <c r="AC1" s="18">
        <v>53</v>
      </c>
      <c r="AD1" s="18">
        <v>54</v>
      </c>
      <c r="AE1" s="18">
        <v>55</v>
      </c>
      <c r="AF1" s="18">
        <v>56</v>
      </c>
      <c r="AG1" s="18">
        <v>57</v>
      </c>
      <c r="AH1" s="18">
        <v>29</v>
      </c>
      <c r="AI1" s="18">
        <v>30</v>
      </c>
      <c r="AJ1" t="s">
        <v>345</v>
      </c>
      <c r="AN1" t="s">
        <v>228</v>
      </c>
      <c r="AT1" t="s">
        <v>223</v>
      </c>
      <c r="BB1" s="22" t="s">
        <v>227</v>
      </c>
      <c r="BC1" s="22"/>
      <c r="BD1" s="22"/>
      <c r="BE1" s="22"/>
      <c r="BF1" s="22"/>
      <c r="BG1" s="22"/>
      <c r="BI1" s="23" t="s">
        <v>218</v>
      </c>
      <c r="BL1" s="40" t="s">
        <v>362</v>
      </c>
      <c r="BM1" s="40" t="s">
        <v>364</v>
      </c>
    </row>
    <row r="2" spans="2:65" x14ac:dyDescent="0.3">
      <c r="B2" t="s">
        <v>210</v>
      </c>
      <c r="C2" t="s">
        <v>211</v>
      </c>
      <c r="D2" t="s">
        <v>161</v>
      </c>
      <c r="E2" t="s">
        <v>162</v>
      </c>
      <c r="F2" t="s">
        <v>163</v>
      </c>
      <c r="G2" t="s">
        <v>164</v>
      </c>
      <c r="H2" t="s">
        <v>165</v>
      </c>
      <c r="I2" t="s">
        <v>166</v>
      </c>
      <c r="J2" t="s">
        <v>167</v>
      </c>
      <c r="K2" t="s">
        <v>168</v>
      </c>
      <c r="L2" t="s">
        <v>169</v>
      </c>
      <c r="M2" t="s">
        <v>170</v>
      </c>
      <c r="N2" t="s">
        <v>171</v>
      </c>
      <c r="O2" t="s">
        <v>172</v>
      </c>
      <c r="P2" t="s">
        <v>173</v>
      </c>
      <c r="Q2" t="s">
        <v>204</v>
      </c>
      <c r="R2" t="s">
        <v>206</v>
      </c>
      <c r="S2" t="s">
        <v>207</v>
      </c>
      <c r="T2" t="s">
        <v>208</v>
      </c>
      <c r="U2" t="s">
        <v>209</v>
      </c>
      <c r="AA2" s="1" t="s">
        <v>196</v>
      </c>
      <c r="AB2" s="1" t="s">
        <v>197</v>
      </c>
      <c r="AC2" s="1" t="s">
        <v>198</v>
      </c>
      <c r="AD2" s="1" t="s">
        <v>199</v>
      </c>
      <c r="AE2" s="1" t="s">
        <v>200</v>
      </c>
      <c r="AF2" s="1" t="s">
        <v>201</v>
      </c>
      <c r="AG2" s="1" t="s">
        <v>202</v>
      </c>
      <c r="AH2" s="1" t="s">
        <v>174</v>
      </c>
      <c r="AI2" s="1" t="s">
        <v>175</v>
      </c>
      <c r="AJ2" s="15" t="s">
        <v>220</v>
      </c>
      <c r="AK2" s="15" t="s">
        <v>224</v>
      </c>
      <c r="AL2" s="15"/>
      <c r="AN2" s="15" t="s">
        <v>221</v>
      </c>
      <c r="AO2" s="15" t="s">
        <v>222</v>
      </c>
      <c r="AP2" s="15" t="s">
        <v>233</v>
      </c>
      <c r="AQ2" s="15" t="s">
        <v>235</v>
      </c>
      <c r="AR2" s="35" t="s">
        <v>347</v>
      </c>
      <c r="AS2" s="35" t="s">
        <v>348</v>
      </c>
      <c r="AT2" s="15" t="s">
        <v>224</v>
      </c>
      <c r="AU2" s="15" t="s">
        <v>225</v>
      </c>
      <c r="AV2" s="15" t="s">
        <v>234</v>
      </c>
      <c r="AW2" s="15" t="s">
        <v>236</v>
      </c>
      <c r="AX2" s="15" t="s">
        <v>217</v>
      </c>
      <c r="AY2" s="15" t="s">
        <v>216</v>
      </c>
      <c r="BB2" s="23" t="s">
        <v>212</v>
      </c>
      <c r="BC2" s="1" t="s">
        <v>213</v>
      </c>
      <c r="BD2" s="1" t="s">
        <v>214</v>
      </c>
      <c r="BE2" s="1" t="s">
        <v>215</v>
      </c>
      <c r="BF2" s="1" t="s">
        <v>216</v>
      </c>
      <c r="BG2" s="1" t="s">
        <v>217</v>
      </c>
      <c r="BH2" s="15" t="s">
        <v>226</v>
      </c>
      <c r="BI2" t="s">
        <v>219</v>
      </c>
      <c r="BL2" s="40" t="s">
        <v>363</v>
      </c>
      <c r="BM2" s="40" t="s">
        <v>291</v>
      </c>
    </row>
    <row r="3" spans="2:65" x14ac:dyDescent="0.3">
      <c r="B3" s="17" t="str">
        <f>YEAR(C3)&amp;MONTH(C3)</f>
        <v>20211</v>
      </c>
      <c r="C3" s="17">
        <v>44197</v>
      </c>
      <c r="D3" s="19">
        <f ca="1">IFERROR(AVERAGEIF('Preço Soja ESALQ'!$C:$C,'Modelo Soja'!$B3,'Preço Soja ESALQ'!$R:$R),NA())</f>
        <v>137.83375000000001</v>
      </c>
      <c r="E3" s="19">
        <f ca="1">IFERROR(AVERAGEIF('Preço Soja ESALQ'!$C:$C,'Modelo Soja'!$B3,'Preço Soja ESALQ'!S:S),NA())</f>
        <v>146.24916666666664</v>
      </c>
      <c r="F3" s="19">
        <f ca="1">IFERROR(AVERAGEIF('Preço Soja ESALQ'!$C:$C,'Modelo Soja'!$B3,'Preço Soja ESALQ'!T:T),NA())</f>
        <v>153.10150000000002</v>
      </c>
      <c r="G3" s="19" t="e">
        <f ca="1">IFERROR(AVERAGEIF('Preço Soja ESALQ'!$C:$C,'Modelo Soja'!$B3,'Preço Soja ESALQ'!U:U),NA())</f>
        <v>#N/A</v>
      </c>
      <c r="H3" s="19">
        <f ca="1">IFERROR(AVERAGEIF('Preço Soja ESALQ'!$C:$C,'Modelo Soja'!$B3,'Preço Soja ESALQ'!V:V),NA())</f>
        <v>149.92399999999992</v>
      </c>
      <c r="I3" s="19">
        <f ca="1">IFERROR(AVERAGEIF('Preço Soja ESALQ'!$C:$C,'Modelo Soja'!$B3,'Preço Soja ESALQ'!W:W),NA())</f>
        <v>153.14949999999999</v>
      </c>
      <c r="J3" s="19">
        <f ca="1">IFERROR(AVERAGEIF('Preço Soja ESALQ'!$C:$C,'Modelo Soja'!$B3,'Preço Soja ESALQ'!X:X),NA())</f>
        <v>151.56049999999996</v>
      </c>
      <c r="K3" s="19">
        <f ca="1">IFERROR(AVERAGEIF('Preço Soja ESALQ'!$C:$C,'Modelo Soja'!$B3,'Preço Soja ESALQ'!Y:Y),NA())</f>
        <v>152.35150000000004</v>
      </c>
      <c r="L3" s="19">
        <f ca="1">IFERROR(AVERAGEIF('Preço Soja ESALQ'!$C:$C,'Modelo Soja'!$B3,'Preço Soja ESALQ'!Z:Z),NA())</f>
        <v>152.62800000000001</v>
      </c>
      <c r="M3" s="19">
        <f ca="1">IFERROR(AVERAGEIF('Preço Soja ESALQ'!$C:$C,'Modelo Soja'!$B3,'Preço Soja ESALQ'!AA:AA),NA())</f>
        <v>142.34649999999999</v>
      </c>
      <c r="N3" s="19">
        <f ca="1">IFERROR(AVERAGEIF('Preço Soja ESALQ'!$C:$C,'Modelo Soja'!$B3,'Preço Soja ESALQ'!AB:AB),NA())</f>
        <v>151.22199999999995</v>
      </c>
      <c r="O3" s="19">
        <f ca="1">IFERROR(AVERAGEIF('Preço Soja ESALQ'!$C:$C,'Modelo Soja'!$B3,'Preço Soja ESALQ'!AC:AC),NA())</f>
        <v>129.39571428571429</v>
      </c>
      <c r="P3" s="19" t="e">
        <f ca="1">IFERROR(AVERAGEIF('Preço Soja ESALQ'!$C:$C,'Modelo Soja'!$B3,'Preço Soja ESALQ'!AD:AD),NA())</f>
        <v>#N/A</v>
      </c>
      <c r="Q3" s="19">
        <f ca="1">IFERROR(AVERAGEIF('Preço Soja ESALQ'!$C:$C,'Modelo Soja'!$B3,'Preço Soja ESALQ'!BI:BI),NA())</f>
        <v>151.22199999999998</v>
      </c>
      <c r="R3" s="19" t="e">
        <f ca="1">IFERROR(AVERAGEIF('Preço Soja ESALQ'!$C:$C,'Modelo Soja'!$B3,'Preço Soja ESALQ'!BK:BK),NA())</f>
        <v>#N/A</v>
      </c>
      <c r="S3" s="19">
        <f ca="1">IFERROR(AVERAGEIF('Preço Soja ESALQ'!$C:$C,'Modelo Soja'!$B3,'Preço Soja ESALQ'!BL:BL),NA())</f>
        <v>149.04500000000002</v>
      </c>
      <c r="T3" s="19" t="e">
        <f ca="1">IFERROR(AVERAGEIF('Preço Soja ESALQ'!$C:$C,'Modelo Soja'!$B3,'Preço Soja ESALQ'!BM:BM),NA())</f>
        <v>#N/A</v>
      </c>
      <c r="U3" s="19">
        <f ca="1">IFERROR(AVERAGEIF('Preço Soja ESALQ'!$C:$C,'Modelo Soja'!$B3,'Preço Soja ESALQ'!BN:BN),NA())</f>
        <v>148.63050000000004</v>
      </c>
      <c r="AA3" s="19">
        <f ca="1">IFERROR(AVERAGEIF('Preço Soja ESALQ'!$C:$C,'Modelo Soja'!$B3,'Preço Soja ESALQ'!BA:BA),NA())</f>
        <v>155.39099999999999</v>
      </c>
      <c r="AB3" s="19">
        <f ca="1">IFERROR(AVERAGEIF('Preço Soja ESALQ'!$C:$C,'Modelo Soja'!$B3,'Preço Soja ESALQ'!BB:BB),NA())</f>
        <v>164.97649999999999</v>
      </c>
      <c r="AC3" s="19">
        <f ca="1">IFERROR(AVERAGEIF('Preço Soja ESALQ'!$C:$C,'Modelo Soja'!$B3,'Preço Soja ESALQ'!BC:BC),NA())</f>
        <v>163.88200000000001</v>
      </c>
      <c r="AD3" s="19">
        <f ca="1">IFERROR(AVERAGEIF('Preço Soja ESALQ'!$C:$C,'Modelo Soja'!$B3,'Preço Soja ESALQ'!BD:BD),NA())</f>
        <v>160.97000000000006</v>
      </c>
      <c r="AE3" s="19">
        <f ca="1">IFERROR(AVERAGEIF('Preço Soja ESALQ'!$C:$C,'Modelo Soja'!$B3,'Preço Soja ESALQ'!BE:BE),NA())</f>
        <v>159.82150000000001</v>
      </c>
      <c r="AF3" s="19">
        <f ca="1">IFERROR(AVERAGEIF('Preço Soja ESALQ'!$C:$C,'Modelo Soja'!$B3,'Preço Soja ESALQ'!BF:BF),NA())</f>
        <v>160.56444444444443</v>
      </c>
      <c r="AG3" s="19">
        <f ca="1">IFERROR(AVERAGEIF('Preço Soja ESALQ'!$C:$C,'Modelo Soja'!$B3,'Preço Soja ESALQ'!BG:BG),NA())</f>
        <v>161.0275</v>
      </c>
      <c r="AH3" s="19">
        <f ca="1">IFERROR(AVERAGEIF('Preço Soja ESALQ'!$C:$C,'Modelo Soja'!$B3,'Preço Soja ESALQ'!AE:AE),NA())</f>
        <v>159.50700000000001</v>
      </c>
      <c r="AI3" s="19">
        <f ca="1">IFERROR(AVERAGEIF('Preço Soja ESALQ'!$C:$C,'Modelo Soja'!$B3,'Preço Soja ESALQ'!AF:AF),NA())</f>
        <v>161.04714285714286</v>
      </c>
      <c r="AJ3" s="24">
        <f>+[2]summary!C15</f>
        <v>167.86500000000004</v>
      </c>
      <c r="AK3" s="24">
        <f ca="1">+E3+BJ3</f>
        <v>154.74194456100264</v>
      </c>
      <c r="AL3" s="24"/>
      <c r="AN3" s="24">
        <f>+[6]FSORPRA!H2</f>
        <v>237.5</v>
      </c>
      <c r="AO3" s="24">
        <f>+[6]FRONPRA!H2</f>
        <v>176.25</v>
      </c>
      <c r="AP3" s="24">
        <f>VLOOKUP(B3,'Frete ESALQ'!$C$5:$AL$131,36,FALSE)</f>
        <v>86.07</v>
      </c>
      <c r="AQ3" s="24">
        <f>VLOOKUP(B3,'Frete ESALQ'!$C$5:$AW$131,47,FALSE)</f>
        <v>71.63</v>
      </c>
      <c r="AR3" s="24">
        <f>VLOOKUP(B3,'Frete ESALQ'!$C$5:$BH$131,58,FALSE)</f>
        <v>52.83</v>
      </c>
      <c r="AS3" s="24">
        <f>VLOOKUP(B3,'Frete ESALQ'!$C$5:$BH$131,32,FALSE)</f>
        <v>61.11</v>
      </c>
      <c r="AT3" s="24">
        <f>+AJ3-(AN3*0.06)</f>
        <v>153.61500000000004</v>
      </c>
      <c r="AU3" s="24">
        <f>+AJ3-(AO3*0.06)</f>
        <v>157.29000000000005</v>
      </c>
      <c r="AV3" s="24">
        <f>+AJ3-AP3*0.06</f>
        <v>162.70080000000004</v>
      </c>
      <c r="AW3" s="24">
        <f>+AJ3-AQ3*0.06</f>
        <v>163.56720000000004</v>
      </c>
      <c r="AX3" s="24">
        <f ca="1">+AG3-AR3*0.06</f>
        <v>157.85769999999999</v>
      </c>
      <c r="AY3" s="24">
        <f ca="1">+AH3-AS3*0.06</f>
        <v>155.84040000000002</v>
      </c>
      <c r="AZ3">
        <f>MONTH(BA3)</f>
        <v>1</v>
      </c>
      <c r="BA3" s="17">
        <f>+C3</f>
        <v>44197</v>
      </c>
      <c r="BB3" s="22">
        <f ca="1">+AB3-I3</f>
        <v>11.826999999999998</v>
      </c>
      <c r="BC3" s="22">
        <f ca="1">+AC3-K3</f>
        <v>11.530499999999961</v>
      </c>
      <c r="BD3" s="22">
        <f ca="1">+AE3-M3</f>
        <v>17.475000000000023</v>
      </c>
      <c r="BE3" s="22">
        <f ca="1">+AF3-D3</f>
        <v>22.730694444444424</v>
      </c>
      <c r="BF3" s="22">
        <f ca="1">AH3-J3</f>
        <v>7.946500000000043</v>
      </c>
      <c r="BG3" s="22">
        <f ca="1">+AG3-N3</f>
        <v>9.8055000000000518</v>
      </c>
      <c r="BH3" s="25">
        <f t="shared" ref="BH3:BH65" ca="1" si="0">AVERAGE(BB3:BG3)</f>
        <v>13.552532407407417</v>
      </c>
      <c r="BI3" s="26">
        <v>1</v>
      </c>
      <c r="BJ3" s="27">
        <f ca="1">AVERAGEIF($AZ$3:$AZ$64,BI3,$BH$3:$BH$64)</f>
        <v>8.4927778943360082</v>
      </c>
      <c r="BL3" s="41">
        <f>+AN3-10</f>
        <v>227.5</v>
      </c>
      <c r="BM3" s="41">
        <f>+AJ3-(BL3/1000*60)</f>
        <v>154.21500000000003</v>
      </c>
    </row>
    <row r="4" spans="2:65" x14ac:dyDescent="0.3">
      <c r="B4" s="17" t="str">
        <f t="shared" ref="B4:B65" si="1">YEAR(C4)&amp;MONTH(C4)</f>
        <v>20212</v>
      </c>
      <c r="C4" s="17">
        <f>EDATE(C3,1)</f>
        <v>44228</v>
      </c>
      <c r="D4" s="19">
        <f ca="1">IFERROR(AVERAGEIF('Preço Soja ESALQ'!$C:$C,'Modelo Soja'!$B4,'Preço Soja ESALQ'!$R:$R),NA())</f>
        <v>147.77500000000001</v>
      </c>
      <c r="E4" s="19">
        <f ca="1">IFERROR(AVERAGEIF('Preço Soja ESALQ'!$C:$C,'Modelo Soja'!$B4,'Preço Soja ESALQ'!S:S),NA())</f>
        <v>147.96666666666667</v>
      </c>
      <c r="F4" s="19">
        <f ca="1">IFERROR(AVERAGEIF('Preço Soja ESALQ'!$C:$C,'Modelo Soja'!$B4,'Preço Soja ESALQ'!T:T),NA())</f>
        <v>153.81055555555557</v>
      </c>
      <c r="G4" s="19" t="e">
        <f ca="1">IFERROR(AVERAGEIF('Preço Soja ESALQ'!$C:$C,'Modelo Soja'!$B4,'Preço Soja ESALQ'!U:U),NA())</f>
        <v>#N/A</v>
      </c>
      <c r="H4" s="19">
        <f ca="1">IFERROR(AVERAGEIF('Preço Soja ESALQ'!$C:$C,'Modelo Soja'!$B4,'Preço Soja ESALQ'!V:V),NA())</f>
        <v>152.00111111111113</v>
      </c>
      <c r="I4" s="19">
        <f ca="1">IFERROR(AVERAGEIF('Preço Soja ESALQ'!$C:$C,'Modelo Soja'!$B4,'Preço Soja ESALQ'!W:W),NA())</f>
        <v>155.22166666666666</v>
      </c>
      <c r="J4" s="19">
        <f ca="1">IFERROR(AVERAGEIF('Preço Soja ESALQ'!$C:$C,'Modelo Soja'!$B4,'Preço Soja ESALQ'!X:X),NA())</f>
        <v>155.78555555555556</v>
      </c>
      <c r="K4" s="19">
        <f ca="1">IFERROR(AVERAGEIF('Preço Soja ESALQ'!$C:$C,'Modelo Soja'!$B4,'Preço Soja ESALQ'!Y:Y),NA())</f>
        <v>153.97166666666666</v>
      </c>
      <c r="L4" s="19">
        <f ca="1">IFERROR(AVERAGEIF('Preço Soja ESALQ'!$C:$C,'Modelo Soja'!$B4,'Preço Soja ESALQ'!Z:Z),NA())</f>
        <v>154.01222222222225</v>
      </c>
      <c r="M4" s="19">
        <f ca="1">IFERROR(AVERAGEIF('Preço Soja ESALQ'!$C:$C,'Modelo Soja'!$B4,'Preço Soja ESALQ'!AA:AA),NA())</f>
        <v>147.14999999999998</v>
      </c>
      <c r="N4" s="19">
        <f ca="1">IFERROR(AVERAGEIF('Preço Soja ESALQ'!$C:$C,'Modelo Soja'!$B4,'Preço Soja ESALQ'!AB:AB),NA())</f>
        <v>155.75055555555556</v>
      </c>
      <c r="O4" s="19">
        <f ca="1">IFERROR(AVERAGEIF('Preço Soja ESALQ'!$C:$C,'Modelo Soja'!$B4,'Preço Soja ESALQ'!AC:AC),NA())</f>
        <v>145.63833333333332</v>
      </c>
      <c r="P4" s="19" t="e">
        <f ca="1">IFERROR(AVERAGEIF('Preço Soja ESALQ'!$C:$C,'Modelo Soja'!$B4,'Preço Soja ESALQ'!AD:AD),NA())</f>
        <v>#N/A</v>
      </c>
      <c r="Q4" s="19">
        <f ca="1">IFERROR(AVERAGEIF('Preço Soja ESALQ'!$C:$C,'Modelo Soja'!$B4,'Preço Soja ESALQ'!BI:BI),NA())</f>
        <v>155.80166666666665</v>
      </c>
      <c r="R4" s="19" t="e">
        <f ca="1">IFERROR(AVERAGEIF('Preço Soja ESALQ'!$C:$C,'Modelo Soja'!$B4,'Preço Soja ESALQ'!BK:BK),NA())</f>
        <v>#N/A</v>
      </c>
      <c r="S4" s="19">
        <f ca="1">IFERROR(AVERAGEIF('Preço Soja ESALQ'!$C:$C,'Modelo Soja'!$B4,'Preço Soja ESALQ'!BL:BL),NA())</f>
        <v>150.20944444444444</v>
      </c>
      <c r="T4" s="19" t="e">
        <f ca="1">IFERROR(AVERAGEIF('Preço Soja ESALQ'!$C:$C,'Modelo Soja'!$B4,'Preço Soja ESALQ'!BM:BM),NA())</f>
        <v>#N/A</v>
      </c>
      <c r="U4" s="19">
        <f ca="1">IFERROR(AVERAGEIF('Preço Soja ESALQ'!$C:$C,'Modelo Soja'!$B4,'Preço Soja ESALQ'!BN:BN),NA())</f>
        <v>149.9672222222222</v>
      </c>
      <c r="AA4" s="19">
        <f ca="1">IFERROR(AVERAGEIF('Preço Soja ESALQ'!$C:$C,'Modelo Soja'!$B4,'Preço Soja ESALQ'!BA:BA),NA())</f>
        <v>156.51235294117646</v>
      </c>
      <c r="AB4" s="19">
        <f ca="1">IFERROR(AVERAGEIF('Preço Soja ESALQ'!$C:$C,'Modelo Soja'!$B4,'Preço Soja ESALQ'!BB:BB),NA())</f>
        <v>162.46</v>
      </c>
      <c r="AC4" s="19">
        <f ca="1">IFERROR(AVERAGEIF('Preço Soja ESALQ'!$C:$C,'Modelo Soja'!$B4,'Preço Soja ESALQ'!BC:BC),NA())</f>
        <v>161.32666666666665</v>
      </c>
      <c r="AD4" s="19">
        <f ca="1">IFERROR(AVERAGEIF('Preço Soja ESALQ'!$C:$C,'Modelo Soja'!$B4,'Preço Soja ESALQ'!BD:BD),NA())</f>
        <v>158.51499999999999</v>
      </c>
      <c r="AE4" s="19">
        <f ca="1">IFERROR(AVERAGEIF('Preço Soja ESALQ'!$C:$C,'Modelo Soja'!$B4,'Preço Soja ESALQ'!BE:BE),NA())</f>
        <v>156.77777777777783</v>
      </c>
      <c r="AF4" s="19">
        <f ca="1">IFERROR(AVERAGEIF('Preço Soja ESALQ'!$C:$C,'Modelo Soja'!$B4,'Preço Soja ESALQ'!BF:BF),NA())</f>
        <v>156.10666666666665</v>
      </c>
      <c r="AG4" s="19">
        <f ca="1">IFERROR(AVERAGEIF('Preço Soja ESALQ'!$C:$C,'Modelo Soja'!$B4,'Preço Soja ESALQ'!BG:BG),NA())</f>
        <v>163.6283333333333</v>
      </c>
      <c r="AH4" s="19">
        <f ca="1">IFERROR(AVERAGEIF('Preço Soja ESALQ'!$C:$C,'Modelo Soja'!$B4,'Preço Soja ESALQ'!AE:AE),NA())</f>
        <v>162.62555555555554</v>
      </c>
      <c r="AI4" s="19">
        <f ca="1">IFERROR(AVERAGEIF('Preço Soja ESALQ'!$C:$C,'Modelo Soja'!$B4,'Preço Soja ESALQ'!AF:AF),NA())</f>
        <v>156.90647058823529</v>
      </c>
      <c r="AJ4" s="24">
        <f>+[2]summary!C16</f>
        <v>166.38333333333333</v>
      </c>
      <c r="AK4" s="24">
        <f t="shared" ref="AK4:AK65" ca="1" si="2">+E4+BJ4</f>
        <v>153.57666577322937</v>
      </c>
      <c r="AL4" s="24"/>
      <c r="AN4" s="24">
        <f>+[6]FSORPRA!H3</f>
        <v>304.16750000000002</v>
      </c>
      <c r="AO4" s="24">
        <f>+[6]FRONPRA!H3</f>
        <v>247.5</v>
      </c>
      <c r="AP4" s="24">
        <f>VLOOKUP(B4,'Frete ESALQ'!$C$5:$AL$131,36,FALSE)</f>
        <v>131.08000000000001</v>
      </c>
      <c r="AQ4" s="24">
        <f>VLOOKUP(B4,'Frete ESALQ'!$C$5:$AW$131,47,FALSE)</f>
        <v>113.68</v>
      </c>
      <c r="AR4" s="24">
        <f>VLOOKUP(B4,'Frete ESALQ'!$C$5:$BH$131,58,FALSE)</f>
        <v>61.48</v>
      </c>
      <c r="AS4" s="24">
        <f>VLOOKUP(B4,'Frete ESALQ'!$C$5:$BH$131,32,FALSE)</f>
        <v>69.66</v>
      </c>
      <c r="AT4" s="24">
        <f t="shared" ref="AT4:AT65" si="3">+AJ4-(AN4*0.06)</f>
        <v>148.13328333333334</v>
      </c>
      <c r="AU4" s="24">
        <f t="shared" ref="AU4:AU65" si="4">+AJ4-(AO4*0.06)</f>
        <v>151.53333333333333</v>
      </c>
      <c r="AV4" s="24">
        <f t="shared" ref="AV4:AV65" si="5">+AJ4-AP4*0.06</f>
        <v>158.51853333333332</v>
      </c>
      <c r="AW4" s="24">
        <f t="shared" ref="AW4:AW65" si="6">+AJ4-AQ4*0.06</f>
        <v>159.56253333333333</v>
      </c>
      <c r="AX4" s="24">
        <f t="shared" ref="AX4:AX65" ca="1" si="7">+AG4-AR4*0.06</f>
        <v>159.93953333333332</v>
      </c>
      <c r="AY4" s="24">
        <f t="shared" ref="AY4:AY65" ca="1" si="8">+AH4-AS4*0.06</f>
        <v>158.44595555555554</v>
      </c>
      <c r="AZ4">
        <f t="shared" ref="AZ4:AZ65" si="9">MONTH(BA4)</f>
        <v>2</v>
      </c>
      <c r="BA4" s="17">
        <f t="shared" ref="BA4:BA65" si="10">+C4</f>
        <v>44228</v>
      </c>
      <c r="BB4" s="22">
        <f t="shared" ref="BB4:BB65" ca="1" si="11">+AB4-I4</f>
        <v>7.2383333333333439</v>
      </c>
      <c r="BC4" s="22">
        <f t="shared" ref="BC4:BC65" ca="1" si="12">+AC4-K4</f>
        <v>7.3549999999999898</v>
      </c>
      <c r="BD4" s="22">
        <f t="shared" ref="BD4:BD65" ca="1" si="13">+AE4-M4</f>
        <v>9.627777777777851</v>
      </c>
      <c r="BE4" s="22">
        <f t="shared" ref="BE4:BE65" ca="1" si="14">+AF4-D4</f>
        <v>8.3316666666666492</v>
      </c>
      <c r="BF4" s="22">
        <f t="shared" ref="BF4:BF65" ca="1" si="15">AH4-J4</f>
        <v>6.839999999999975</v>
      </c>
      <c r="BG4" s="22">
        <f t="shared" ref="BG4:BG65" ca="1" si="16">+AG4-N4</f>
        <v>7.8777777777777374</v>
      </c>
      <c r="BH4" s="25">
        <f t="shared" ca="1" si="0"/>
        <v>7.8784259259259244</v>
      </c>
      <c r="BI4" s="26">
        <v>2</v>
      </c>
      <c r="BJ4" s="27">
        <f t="shared" ref="BJ4:BJ14" ca="1" si="17">AVERAGEIF($AZ$3:$AZ$64,BI4,$BH$3:$BH$64)</f>
        <v>5.6099991065627028</v>
      </c>
      <c r="BL4" s="41">
        <f t="shared" ref="BL4:BL65" si="18">+AN4-10</f>
        <v>294.16750000000002</v>
      </c>
      <c r="BM4" s="41">
        <f t="shared" ref="BM4:BM65" si="19">+AJ4-(BL4/1000*60)</f>
        <v>148.73328333333333</v>
      </c>
    </row>
    <row r="5" spans="2:65" x14ac:dyDescent="0.3">
      <c r="B5" s="17" t="str">
        <f t="shared" si="1"/>
        <v>20213</v>
      </c>
      <c r="C5" s="17">
        <f t="shared" ref="C5:C65" si="20">EDATE(C4,1)</f>
        <v>44256</v>
      </c>
      <c r="D5" s="19">
        <f ca="1">IFERROR(AVERAGEIF('Preço Soja ESALQ'!$C:$C,'Modelo Soja'!$B5,'Preço Soja ESALQ'!$R:$R),NA())</f>
        <v>155.89434782608694</v>
      </c>
      <c r="E5" s="19">
        <f ca="1">IFERROR(AVERAGEIF('Preço Soja ESALQ'!$C:$C,'Modelo Soja'!$B5,'Preço Soja ESALQ'!S:S),NA())</f>
        <v>152.20304347826089</v>
      </c>
      <c r="F5" s="19">
        <f ca="1">IFERROR(AVERAGEIF('Preço Soja ESALQ'!$C:$C,'Modelo Soja'!$B5,'Preço Soja ESALQ'!T:T),NA())</f>
        <v>157.84826086956519</v>
      </c>
      <c r="G5" s="19">
        <f ca="1">IFERROR(AVERAGEIF('Preço Soja ESALQ'!$C:$C,'Modelo Soja'!$B5,'Preço Soja ESALQ'!U:U),NA())</f>
        <v>161.27357142857139</v>
      </c>
      <c r="H5" s="19">
        <f ca="1">IFERROR(AVERAGEIF('Preço Soja ESALQ'!$C:$C,'Modelo Soja'!$B5,'Preço Soja ESALQ'!V:V),NA())</f>
        <v>157.17130434782604</v>
      </c>
      <c r="I5" s="19">
        <f ca="1">IFERROR(AVERAGEIF('Preço Soja ESALQ'!$C:$C,'Modelo Soja'!$B5,'Preço Soja ESALQ'!W:W),NA())</f>
        <v>159.28608695652179</v>
      </c>
      <c r="J5" s="19">
        <f ca="1">IFERROR(AVERAGEIF('Preço Soja ESALQ'!$C:$C,'Modelo Soja'!$B5,'Preço Soja ESALQ'!X:X),NA())</f>
        <v>161.89608695652177</v>
      </c>
      <c r="K5" s="19">
        <f ca="1">IFERROR(AVERAGEIF('Preço Soja ESALQ'!$C:$C,'Modelo Soja'!$B5,'Preço Soja ESALQ'!Y:Y),NA())</f>
        <v>157.47695652173914</v>
      </c>
      <c r="L5" s="19">
        <f ca="1">IFERROR(AVERAGEIF('Preço Soja ESALQ'!$C:$C,'Modelo Soja'!$B5,'Preço Soja ESALQ'!Z:Z),NA())</f>
        <v>157.63304347826084</v>
      </c>
      <c r="M5" s="19">
        <f ca="1">IFERROR(AVERAGEIF('Preço Soja ESALQ'!$C:$C,'Modelo Soja'!$B5,'Preço Soja ESALQ'!AA:AA),NA())</f>
        <v>158.38260869565215</v>
      </c>
      <c r="N5" s="19">
        <f ca="1">IFERROR(AVERAGEIF('Preço Soja ESALQ'!$C:$C,'Modelo Soja'!$B5,'Preço Soja ESALQ'!AB:AB),NA())</f>
        <v>162.27217391304347</v>
      </c>
      <c r="O5" s="19" t="e">
        <f ca="1">IFERROR(AVERAGEIF('Preço Soja ESALQ'!$C:$C,'Modelo Soja'!$B5,'Preço Soja ESALQ'!AC:AC),NA())</f>
        <v>#N/A</v>
      </c>
      <c r="P5" s="19" t="e">
        <f ca="1">IFERROR(AVERAGEIF('Preço Soja ESALQ'!$C:$C,'Modelo Soja'!$B5,'Preço Soja ESALQ'!AD:AD),NA())</f>
        <v>#N/A</v>
      </c>
      <c r="Q5" s="19">
        <f ca="1">IFERROR(AVERAGEIF('Preço Soja ESALQ'!$C:$C,'Modelo Soja'!$B5,'Preço Soja ESALQ'!BI:BI),NA())</f>
        <v>161.07217391304351</v>
      </c>
      <c r="R5" s="19" t="e">
        <f ca="1">IFERROR(AVERAGEIF('Preço Soja ESALQ'!$C:$C,'Modelo Soja'!$B5,'Preço Soja ESALQ'!BK:BK),NA())</f>
        <v>#N/A</v>
      </c>
      <c r="S5" s="19">
        <f ca="1">IFERROR(AVERAGEIF('Preço Soja ESALQ'!$C:$C,'Modelo Soja'!$B5,'Preço Soja ESALQ'!BL:BL),NA())</f>
        <v>153.60608695652172</v>
      </c>
      <c r="T5" s="19" t="e">
        <f ca="1">IFERROR(AVERAGEIF('Preço Soja ESALQ'!$C:$C,'Modelo Soja'!$B5,'Preço Soja ESALQ'!BM:BM),NA())</f>
        <v>#N/A</v>
      </c>
      <c r="U5" s="19">
        <f ca="1">IFERROR(AVERAGEIF('Preço Soja ESALQ'!$C:$C,'Modelo Soja'!$B5,'Preço Soja ESALQ'!BN:BN),NA())</f>
        <v>153.05956521739131</v>
      </c>
      <c r="AA5" s="19">
        <f ca="1">IFERROR(AVERAGEIF('Preço Soja ESALQ'!$C:$C,'Modelo Soja'!$B5,'Preço Soja ESALQ'!BA:BA),NA())</f>
        <v>161.85434782608698</v>
      </c>
      <c r="AB5" s="19">
        <f ca="1">IFERROR(AVERAGEIF('Preço Soja ESALQ'!$C:$C,'Modelo Soja'!$B5,'Preço Soja ESALQ'!BB:BB),NA())</f>
        <v>165.68565217391304</v>
      </c>
      <c r="AC5" s="19">
        <f ca="1">IFERROR(AVERAGEIF('Preço Soja ESALQ'!$C:$C,'Modelo Soja'!$B5,'Preço Soja ESALQ'!BC:BC),NA())</f>
        <v>162.08043478260871</v>
      </c>
      <c r="AD5" s="19">
        <f ca="1">IFERROR(AVERAGEIF('Preço Soja ESALQ'!$C:$C,'Modelo Soja'!$B5,'Preço Soja ESALQ'!BD:BD),NA())</f>
        <v>160.95130434782607</v>
      </c>
      <c r="AE5" s="19">
        <f ca="1">IFERROR(AVERAGEIF('Preço Soja ESALQ'!$C:$C,'Modelo Soja'!$B5,'Preço Soja ESALQ'!BE:BE),NA())</f>
        <v>163.00142857142856</v>
      </c>
      <c r="AF5" s="19">
        <f ca="1">IFERROR(AVERAGEIF('Preço Soja ESALQ'!$C:$C,'Modelo Soja'!$B5,'Preço Soja ESALQ'!BF:BF),NA())</f>
        <v>158.45478260869567</v>
      </c>
      <c r="AG5" s="19">
        <f ca="1">IFERROR(AVERAGEIF('Preço Soja ESALQ'!$C:$C,'Modelo Soja'!$B5,'Preço Soja ESALQ'!BG:BG),NA())</f>
        <v>168.34695652173914</v>
      </c>
      <c r="AH5" s="19">
        <f ca="1">IFERROR(AVERAGEIF('Preço Soja ESALQ'!$C:$C,'Modelo Soja'!$B5,'Preço Soja ESALQ'!AE:AE),NA())</f>
        <v>167.30173913043478</v>
      </c>
      <c r="AI5" s="19">
        <f ca="1">IFERROR(AVERAGEIF('Preço Soja ESALQ'!$C:$C,'Modelo Soja'!$B5,'Preço Soja ESALQ'!AF:AF),NA())</f>
        <v>160.39652173913046</v>
      </c>
      <c r="AJ5" s="24">
        <f>+[2]summary!C17</f>
        <v>171.86652173913049</v>
      </c>
      <c r="AK5" s="24">
        <f t="shared" ca="1" si="2"/>
        <v>156.93637702408196</v>
      </c>
      <c r="AL5" s="24"/>
      <c r="AN5" s="24">
        <f>+[6]FSORPRA!H4</f>
        <v>320</v>
      </c>
      <c r="AO5" s="24">
        <f>+[6]FRONPRA!H4</f>
        <v>273.75</v>
      </c>
      <c r="AP5" s="24">
        <f>VLOOKUP(B5,'Frete ESALQ'!$C$5:$AL$131,36,FALSE)</f>
        <v>184.08</v>
      </c>
      <c r="AQ5" s="24">
        <f>VLOOKUP(B5,'Frete ESALQ'!$C$5:$AW$131,47,FALSE)</f>
        <v>151.22</v>
      </c>
      <c r="AR5" s="24">
        <f>VLOOKUP(B5,'Frete ESALQ'!$C$5:$BH$131,58,FALSE)</f>
        <v>123.2</v>
      </c>
      <c r="AS5" s="24">
        <f>VLOOKUP(B5,'Frete ESALQ'!$C$5:$BH$131,32,FALSE)</f>
        <v>124.1</v>
      </c>
      <c r="AT5" s="24">
        <f t="shared" si="3"/>
        <v>152.6665217391305</v>
      </c>
      <c r="AU5" s="24">
        <f t="shared" si="4"/>
        <v>155.44152173913048</v>
      </c>
      <c r="AV5" s="24">
        <f t="shared" si="5"/>
        <v>160.82172173913048</v>
      </c>
      <c r="AW5" s="24">
        <f t="shared" si="6"/>
        <v>162.79332173913048</v>
      </c>
      <c r="AX5" s="24">
        <f t="shared" ca="1" si="7"/>
        <v>160.95495652173915</v>
      </c>
      <c r="AY5" s="24">
        <f t="shared" ca="1" si="8"/>
        <v>159.85573913043478</v>
      </c>
      <c r="AZ5">
        <f t="shared" si="9"/>
        <v>3</v>
      </c>
      <c r="BA5" s="17">
        <f t="shared" si="10"/>
        <v>44256</v>
      </c>
      <c r="BB5" s="22">
        <f t="shared" ca="1" si="11"/>
        <v>6.3995652173912561</v>
      </c>
      <c r="BC5" s="22">
        <f t="shared" ca="1" si="12"/>
        <v>4.603478260869565</v>
      </c>
      <c r="BD5" s="22">
        <f t="shared" ca="1" si="13"/>
        <v>4.6188198757764098</v>
      </c>
      <c r="BE5" s="22">
        <f t="shared" ca="1" si="14"/>
        <v>2.5604347826087235</v>
      </c>
      <c r="BF5" s="22">
        <f t="shared" ca="1" si="15"/>
        <v>5.4056521739130119</v>
      </c>
      <c r="BG5" s="22">
        <f t="shared" ca="1" si="16"/>
        <v>6.0747826086956707</v>
      </c>
      <c r="BH5" s="25">
        <f t="shared" ca="1" si="0"/>
        <v>4.9437888198757731</v>
      </c>
      <c r="BI5" s="26">
        <v>3</v>
      </c>
      <c r="BJ5" s="27">
        <f t="shared" ca="1" si="17"/>
        <v>4.7333335458210737</v>
      </c>
      <c r="BL5" s="41">
        <f t="shared" si="18"/>
        <v>310</v>
      </c>
      <c r="BM5" s="41">
        <f t="shared" si="19"/>
        <v>153.2665217391305</v>
      </c>
    </row>
    <row r="6" spans="2:65" x14ac:dyDescent="0.3">
      <c r="B6" s="17" t="str">
        <f t="shared" si="1"/>
        <v>20214</v>
      </c>
      <c r="C6" s="17">
        <f t="shared" si="20"/>
        <v>44287</v>
      </c>
      <c r="D6" s="19">
        <f ca="1">IFERROR(AVERAGEIF('Preço Soja ESALQ'!$C:$C,'Modelo Soja'!$B6,'Preço Soja ESALQ'!$R:$R),NA())</f>
        <v>159.9195</v>
      </c>
      <c r="E6" s="19">
        <f ca="1">IFERROR(AVERAGEIF('Preço Soja ESALQ'!$C:$C,'Modelo Soja'!$B6,'Preço Soja ESALQ'!S:S),NA())</f>
        <v>154.36150000000001</v>
      </c>
      <c r="F6" s="19">
        <f ca="1">IFERROR(AVERAGEIF('Preço Soja ESALQ'!$C:$C,'Modelo Soja'!$B6,'Preço Soja ESALQ'!T:T),NA())</f>
        <v>162.02100000000002</v>
      </c>
      <c r="G6" s="19">
        <f ca="1">IFERROR(AVERAGEIF('Preço Soja ESALQ'!$C:$C,'Modelo Soja'!$B6,'Preço Soja ESALQ'!U:U),NA())</f>
        <v>163.05599999999998</v>
      </c>
      <c r="H6" s="19">
        <f ca="1">IFERROR(AVERAGEIF('Preço Soja ESALQ'!$C:$C,'Modelo Soja'!$B6,'Preço Soja ESALQ'!V:V),NA())</f>
        <v>161.09049999999996</v>
      </c>
      <c r="I6" s="19">
        <f ca="1">IFERROR(AVERAGEIF('Preço Soja ESALQ'!$C:$C,'Modelo Soja'!$B6,'Preço Soja ESALQ'!W:W),NA())</f>
        <v>162.83699999999999</v>
      </c>
      <c r="J6" s="19">
        <f ca="1">IFERROR(AVERAGEIF('Preço Soja ESALQ'!$C:$C,'Modelo Soja'!$B6,'Preço Soja ESALQ'!X:X),NA())</f>
        <v>166.22150000000002</v>
      </c>
      <c r="K6" s="19">
        <f ca="1">IFERROR(AVERAGEIF('Preço Soja ESALQ'!$C:$C,'Modelo Soja'!$B6,'Preço Soja ESALQ'!Y:Y),NA())</f>
        <v>159.71549999999999</v>
      </c>
      <c r="L6" s="19">
        <f ca="1">IFERROR(AVERAGEIF('Preço Soja ESALQ'!$C:$C,'Modelo Soja'!$B6,'Preço Soja ESALQ'!Z:Z),NA())</f>
        <v>159.65249999999997</v>
      </c>
      <c r="M6" s="19">
        <f ca="1">IFERROR(AVERAGEIF('Preço Soja ESALQ'!$C:$C,'Modelo Soja'!$B6,'Preço Soja ESALQ'!AA:AA),NA())</f>
        <v>160.8835</v>
      </c>
      <c r="N6" s="19">
        <f ca="1">IFERROR(AVERAGEIF('Preço Soja ESALQ'!$C:$C,'Modelo Soja'!$B6,'Preço Soja ESALQ'!AB:AB),NA())</f>
        <v>166.88750000000002</v>
      </c>
      <c r="O6" s="19" t="e">
        <f ca="1">IFERROR(AVERAGEIF('Preço Soja ESALQ'!$C:$C,'Modelo Soja'!$B6,'Preço Soja ESALQ'!AC:AC),NA())</f>
        <v>#N/A</v>
      </c>
      <c r="P6" s="19">
        <f ca="1">IFERROR(AVERAGEIF('Preço Soja ESALQ'!$C:$C,'Modelo Soja'!$B6,'Preço Soja ESALQ'!AD:AD),NA())</f>
        <v>161.96</v>
      </c>
      <c r="Q6" s="19">
        <f ca="1">IFERROR(AVERAGEIF('Preço Soja ESALQ'!$C:$C,'Modelo Soja'!$B6,'Preço Soja ESALQ'!BI:BI),NA())</f>
        <v>165.32750000000004</v>
      </c>
      <c r="R6" s="19" t="e">
        <f ca="1">IFERROR(AVERAGEIF('Preço Soja ESALQ'!$C:$C,'Modelo Soja'!$B6,'Preço Soja ESALQ'!BK:BK),NA())</f>
        <v>#N/A</v>
      </c>
      <c r="S6" s="19">
        <f ca="1">IFERROR(AVERAGEIF('Preço Soja ESALQ'!$C:$C,'Modelo Soja'!$B6,'Preço Soja ESALQ'!BL:BL),NA())</f>
        <v>155.82449999999997</v>
      </c>
      <c r="T6" s="19" t="e">
        <f ca="1">IFERROR(AVERAGEIF('Preço Soja ESALQ'!$C:$C,'Modelo Soja'!$B6,'Preço Soja ESALQ'!BM:BM),NA())</f>
        <v>#N/A</v>
      </c>
      <c r="U6" s="19">
        <f ca="1">IFERROR(AVERAGEIF('Preço Soja ESALQ'!$C:$C,'Modelo Soja'!$B6,'Preço Soja ESALQ'!BN:BN),NA())</f>
        <v>155.29000000000002</v>
      </c>
      <c r="AA6" s="19">
        <f ca="1">IFERROR(AVERAGEIF('Preço Soja ESALQ'!$C:$C,'Modelo Soja'!$B6,'Preço Soja ESALQ'!BA:BA),NA())</f>
        <v>166.01350000000002</v>
      </c>
      <c r="AB6" s="19">
        <f ca="1">IFERROR(AVERAGEIF('Preço Soja ESALQ'!$C:$C,'Modelo Soja'!$B6,'Preço Soja ESALQ'!BB:BB),NA())</f>
        <v>171.52</v>
      </c>
      <c r="AC6" s="19">
        <f ca="1">IFERROR(AVERAGEIF('Preço Soja ESALQ'!$C:$C,'Modelo Soja'!$B6,'Preço Soja ESALQ'!BC:BC),NA())</f>
        <v>170.17699999999996</v>
      </c>
      <c r="AD6" s="19">
        <f ca="1">IFERROR(AVERAGEIF('Preço Soja ESALQ'!$C:$C,'Modelo Soja'!$B6,'Preço Soja ESALQ'!BD:BD),NA())</f>
        <v>167.03400000000002</v>
      </c>
      <c r="AE6" s="19">
        <f ca="1">IFERROR(AVERAGEIF('Preço Soja ESALQ'!$C:$C,'Modelo Soja'!$B6,'Preço Soja ESALQ'!BE:BE),NA())</f>
        <v>165.00500000000002</v>
      </c>
      <c r="AF6" s="19">
        <f ca="1">IFERROR(AVERAGEIF('Preço Soja ESALQ'!$C:$C,'Modelo Soja'!$B6,'Preço Soja ESALQ'!BF:BF),NA())</f>
        <v>164.65</v>
      </c>
      <c r="AG6" s="19">
        <f ca="1">IFERROR(AVERAGEIF('Preço Soja ESALQ'!$C:$C,'Modelo Soja'!$B6,'Preço Soja ESALQ'!BG:BG),NA())</f>
        <v>171.36449999999999</v>
      </c>
      <c r="AH6" s="19">
        <f ca="1">IFERROR(AVERAGEIF('Preço Soja ESALQ'!$C:$C,'Modelo Soja'!$B6,'Preço Soja ESALQ'!AE:AE),NA())</f>
        <v>171.26450000000003</v>
      </c>
      <c r="AI6" s="19">
        <f ca="1">IFERROR(AVERAGEIF('Preço Soja ESALQ'!$C:$C,'Modelo Soja'!$B6,'Preço Soja ESALQ'!AF:AF),NA())</f>
        <v>165.32700000000003</v>
      </c>
      <c r="AJ6" s="24">
        <f>+[2]summary!C18</f>
        <v>177.09800000000001</v>
      </c>
      <c r="AK6" s="24">
        <f t="shared" ca="1" si="2"/>
        <v>159.77040109870637</v>
      </c>
      <c r="AL6" s="24"/>
      <c r="AN6" s="24">
        <f>+[6]FSORPRA!H5</f>
        <v>307</v>
      </c>
      <c r="AO6" s="24">
        <f>+[6]FRONPRA!H5</f>
        <v>263</v>
      </c>
      <c r="AP6" s="24">
        <f>VLOOKUP(B6,'Frete ESALQ'!$C$5:$AL$131,36,FALSE)</f>
        <v>94.82</v>
      </c>
      <c r="AQ6" s="24">
        <f>VLOOKUP(B6,'Frete ESALQ'!$C$5:$AW$131,47,FALSE)</f>
        <v>123.97</v>
      </c>
      <c r="AR6" s="24">
        <f>VLOOKUP(B6,'Frete ESALQ'!$C$5:$BH$131,58,FALSE)</f>
        <v>121.3</v>
      </c>
      <c r="AS6" s="24">
        <f>VLOOKUP(B6,'Frete ESALQ'!$C$5:$BH$131,32,FALSE)</f>
        <v>129.03</v>
      </c>
      <c r="AT6" s="24">
        <f t="shared" si="3"/>
        <v>158.67800000000003</v>
      </c>
      <c r="AU6" s="24">
        <f t="shared" si="4"/>
        <v>161.31800000000001</v>
      </c>
      <c r="AV6" s="24">
        <f t="shared" si="5"/>
        <v>171.40880000000001</v>
      </c>
      <c r="AW6" s="24">
        <f t="shared" si="6"/>
        <v>169.65980000000002</v>
      </c>
      <c r="AX6" s="24">
        <f t="shared" ca="1" si="7"/>
        <v>164.0865</v>
      </c>
      <c r="AY6" s="24">
        <f t="shared" ca="1" si="8"/>
        <v>163.52270000000001</v>
      </c>
      <c r="AZ6">
        <f t="shared" si="9"/>
        <v>4</v>
      </c>
      <c r="BA6" s="17">
        <f t="shared" si="10"/>
        <v>44287</v>
      </c>
      <c r="BB6" s="22">
        <f t="shared" ca="1" si="11"/>
        <v>8.6830000000000211</v>
      </c>
      <c r="BC6" s="22">
        <f t="shared" ca="1" si="12"/>
        <v>10.461499999999972</v>
      </c>
      <c r="BD6" s="22">
        <f t="shared" ca="1" si="13"/>
        <v>4.1215000000000259</v>
      </c>
      <c r="BE6" s="22">
        <f t="shared" ca="1" si="14"/>
        <v>4.7305000000000064</v>
      </c>
      <c r="BF6" s="22">
        <f t="shared" ca="1" si="15"/>
        <v>5.0430000000000064</v>
      </c>
      <c r="BG6" s="22">
        <f t="shared" ca="1" si="16"/>
        <v>4.4769999999999754</v>
      </c>
      <c r="BH6" s="25">
        <f t="shared" ca="1" si="0"/>
        <v>6.2527500000000016</v>
      </c>
      <c r="BI6" s="26">
        <v>4</v>
      </c>
      <c r="BJ6" s="27">
        <f t="shared" ca="1" si="17"/>
        <v>5.4089010987063633</v>
      </c>
      <c r="BL6" s="41">
        <f t="shared" si="18"/>
        <v>297</v>
      </c>
      <c r="BM6" s="41">
        <f t="shared" si="19"/>
        <v>159.27800000000002</v>
      </c>
    </row>
    <row r="7" spans="2:65" x14ac:dyDescent="0.3">
      <c r="B7" s="17" t="str">
        <f t="shared" si="1"/>
        <v>20215</v>
      </c>
      <c r="C7" s="17">
        <f t="shared" si="20"/>
        <v>44317</v>
      </c>
      <c r="D7" s="19">
        <f ca="1">IFERROR(AVERAGEIF('Preço Soja ESALQ'!$C:$C,'Modelo Soja'!$B7,'Preço Soja ESALQ'!$R:$R),NA())</f>
        <v>161.36619047619047</v>
      </c>
      <c r="E7" s="19">
        <f ca="1">IFERROR(AVERAGEIF('Preço Soja ESALQ'!$C:$C,'Modelo Soja'!$B7,'Preço Soja ESALQ'!S:S),NA())</f>
        <v>156.33523809523808</v>
      </c>
      <c r="F7" s="19">
        <f ca="1">IFERROR(AVERAGEIF('Preço Soja ESALQ'!$C:$C,'Modelo Soja'!$B7,'Preço Soja ESALQ'!T:T),NA())</f>
        <v>161.93619047619049</v>
      </c>
      <c r="G7" s="19">
        <f ca="1">IFERROR(AVERAGEIF('Preço Soja ESALQ'!$C:$C,'Modelo Soja'!$B7,'Preço Soja ESALQ'!U:U),NA())</f>
        <v>163.9964705882353</v>
      </c>
      <c r="H7" s="19">
        <f ca="1">IFERROR(AVERAGEIF('Preço Soja ESALQ'!$C:$C,'Modelo Soja'!$B7,'Preço Soja ESALQ'!V:V),NA())</f>
        <v>163.56952380952382</v>
      </c>
      <c r="I7" s="19">
        <f ca="1">IFERROR(AVERAGEIF('Preço Soja ESALQ'!$C:$C,'Modelo Soja'!$B7,'Preço Soja ESALQ'!W:W),NA())</f>
        <v>163.15857142857143</v>
      </c>
      <c r="J7" s="19">
        <f ca="1">IFERROR(AVERAGEIF('Preço Soja ESALQ'!$C:$C,'Modelo Soja'!$B7,'Preço Soja ESALQ'!X:X),NA())</f>
        <v>163.88523809523812</v>
      </c>
      <c r="K7" s="19">
        <f ca="1">IFERROR(AVERAGEIF('Preço Soja ESALQ'!$C:$C,'Modelo Soja'!$B7,'Preço Soja ESALQ'!Y:Y),NA())</f>
        <v>159.56047619047618</v>
      </c>
      <c r="L7" s="19">
        <f ca="1">IFERROR(AVERAGEIF('Preço Soja ESALQ'!$C:$C,'Modelo Soja'!$B7,'Preço Soja ESALQ'!Z:Z),NA())</f>
        <v>159.46285714285713</v>
      </c>
      <c r="M7" s="19">
        <f ca="1">IFERROR(AVERAGEIF('Preço Soja ESALQ'!$C:$C,'Modelo Soja'!$B7,'Preço Soja ESALQ'!AA:AA),NA())</f>
        <v>163.64142857142855</v>
      </c>
      <c r="N7" s="19">
        <f ca="1">IFERROR(AVERAGEIF('Preço Soja ESALQ'!$C:$C,'Modelo Soja'!$B7,'Preço Soja ESALQ'!AB:AB),NA())</f>
        <v>164.11142857142855</v>
      </c>
      <c r="O7" s="19" t="e">
        <f ca="1">IFERROR(AVERAGEIF('Preço Soja ESALQ'!$C:$C,'Modelo Soja'!$B7,'Preço Soja ESALQ'!AC:AC),NA())</f>
        <v>#N/A</v>
      </c>
      <c r="P7" s="19" t="e">
        <f ca="1">IFERROR(AVERAGEIF('Preço Soja ESALQ'!$C:$C,'Modelo Soja'!$B7,'Preço Soja ESALQ'!AD:AD),NA())</f>
        <v>#N/A</v>
      </c>
      <c r="Q7" s="19">
        <f ca="1">IFERROR(AVERAGEIF('Preço Soja ESALQ'!$C:$C,'Modelo Soja'!$B7,'Preço Soja ESALQ'!BI:BI),NA())</f>
        <v>165.6638095238095</v>
      </c>
      <c r="R7" s="19">
        <f ca="1">IFERROR(AVERAGEIF('Preço Soja ESALQ'!$C:$C,'Modelo Soja'!$B7,'Preço Soja ESALQ'!BK:BK),NA())</f>
        <v>154.20666666666668</v>
      </c>
      <c r="S7" s="19">
        <f ca="1">IFERROR(AVERAGEIF('Preço Soja ESALQ'!$C:$C,'Modelo Soja'!$B7,'Preço Soja ESALQ'!BL:BL),NA())</f>
        <v>157.235625</v>
      </c>
      <c r="T7" s="19" t="e">
        <f ca="1">IFERROR(AVERAGEIF('Preço Soja ESALQ'!$C:$C,'Modelo Soja'!$B7,'Preço Soja ESALQ'!BM:BM),NA())</f>
        <v>#N/A</v>
      </c>
      <c r="U7" s="19">
        <f ca="1">IFERROR(AVERAGEIF('Preço Soja ESALQ'!$C:$C,'Modelo Soja'!$B7,'Preço Soja ESALQ'!BN:BN),NA())</f>
        <v>158.41750000000002</v>
      </c>
      <c r="AA7" s="19">
        <f ca="1">IFERROR(AVERAGEIF('Preço Soja ESALQ'!$C:$C,'Modelo Soja'!$B7,'Preço Soja ESALQ'!BA:BA),NA())</f>
        <v>167.54809523809521</v>
      </c>
      <c r="AB7" s="19">
        <f ca="1">IFERROR(AVERAGEIF('Preço Soja ESALQ'!$C:$C,'Modelo Soja'!$B7,'Preço Soja ESALQ'!BB:BB),NA())</f>
        <v>171.62571428571425</v>
      </c>
      <c r="AC7" s="19">
        <f ca="1">IFERROR(AVERAGEIF('Preço Soja ESALQ'!$C:$C,'Modelo Soja'!$B7,'Preço Soja ESALQ'!BC:BC),NA())</f>
        <v>171.07714285714286</v>
      </c>
      <c r="AD7" s="19">
        <f ca="1">IFERROR(AVERAGEIF('Preço Soja ESALQ'!$C:$C,'Modelo Soja'!$B7,'Preço Soja ESALQ'!BD:BD),NA())</f>
        <v>168.5266666666667</v>
      </c>
      <c r="AE7" s="19">
        <f ca="1">IFERROR(AVERAGEIF('Preço Soja ESALQ'!$C:$C,'Modelo Soja'!$B7,'Preço Soja ESALQ'!BE:BE),NA())</f>
        <v>166.89666666666665</v>
      </c>
      <c r="AF7" s="19">
        <f ca="1">IFERROR(AVERAGEIF('Preço Soja ESALQ'!$C:$C,'Modelo Soja'!$B7,'Preço Soja ESALQ'!BF:BF),NA())</f>
        <v>169.16952380952384</v>
      </c>
      <c r="AG7" s="19">
        <f ca="1">IFERROR(AVERAGEIF('Preço Soja ESALQ'!$C:$C,'Modelo Soja'!$B7,'Preço Soja ESALQ'!BG:BG),NA())</f>
        <v>172.45000000000005</v>
      </c>
      <c r="AH7" s="19">
        <f ca="1">IFERROR(AVERAGEIF('Preço Soja ESALQ'!$C:$C,'Modelo Soja'!$B7,'Preço Soja ESALQ'!AE:AE),NA())</f>
        <v>171.90285714285716</v>
      </c>
      <c r="AI7" s="19">
        <f ca="1">IFERROR(AVERAGEIF('Preço Soja ESALQ'!$C:$C,'Modelo Soja'!$B7,'Preço Soja ESALQ'!AF:AF),NA())</f>
        <v>167.49952380952385</v>
      </c>
      <c r="AJ7" s="24">
        <f>+[2]summary!C19</f>
        <v>176.39380952380952</v>
      </c>
      <c r="AK7" s="24">
        <f t="shared" ca="1" si="2"/>
        <v>163.45525613275612</v>
      </c>
      <c r="AL7" s="24"/>
      <c r="AN7" s="24">
        <f>+[6]FSORPRA!H6</f>
        <v>289.25</v>
      </c>
      <c r="AO7" s="24">
        <f>+[6]FRONPRA!H6</f>
        <v>265</v>
      </c>
      <c r="AP7" s="24">
        <f>VLOOKUP(B7,'Frete ESALQ'!$C$5:$AL$131,36,FALSE)</f>
        <v>101.73</v>
      </c>
      <c r="AQ7" s="24">
        <f>VLOOKUP(B7,'Frete ESALQ'!$C$5:$AW$131,47,FALSE)</f>
        <v>104.75</v>
      </c>
      <c r="AR7" s="24">
        <f>VLOOKUP(B7,'Frete ESALQ'!$C$5:$BH$131,58,FALSE)</f>
        <v>95</v>
      </c>
      <c r="AS7" s="24">
        <f>VLOOKUP(B7,'Frete ESALQ'!$C$5:$BH$131,32,FALSE)</f>
        <v>98.38</v>
      </c>
      <c r="AT7" s="24">
        <f t="shared" si="3"/>
        <v>159.03880952380953</v>
      </c>
      <c r="AU7" s="24">
        <f t="shared" si="4"/>
        <v>160.49380952380952</v>
      </c>
      <c r="AV7" s="24">
        <f t="shared" si="5"/>
        <v>170.29000952380952</v>
      </c>
      <c r="AW7" s="24">
        <f t="shared" si="6"/>
        <v>170.10880952380953</v>
      </c>
      <c r="AX7" s="24">
        <f t="shared" ca="1" si="7"/>
        <v>166.75000000000006</v>
      </c>
      <c r="AY7" s="24">
        <f t="shared" ca="1" si="8"/>
        <v>166.00005714285714</v>
      </c>
      <c r="AZ7">
        <f t="shared" si="9"/>
        <v>5</v>
      </c>
      <c r="BA7" s="17">
        <f t="shared" si="10"/>
        <v>44317</v>
      </c>
      <c r="BB7" s="22">
        <f t="shared" ca="1" si="11"/>
        <v>8.467142857142818</v>
      </c>
      <c r="BC7" s="22">
        <f t="shared" ca="1" si="12"/>
        <v>11.51666666666668</v>
      </c>
      <c r="BD7" s="22">
        <f t="shared" ca="1" si="13"/>
        <v>3.2552380952380986</v>
      </c>
      <c r="BE7" s="22">
        <f t="shared" ca="1" si="14"/>
        <v>7.8033333333333701</v>
      </c>
      <c r="BF7" s="22">
        <f t="shared" ca="1" si="15"/>
        <v>8.0176190476190357</v>
      </c>
      <c r="BG7" s="22">
        <f t="shared" ca="1" si="16"/>
        <v>8.3385714285714982</v>
      </c>
      <c r="BH7" s="25">
        <f t="shared" ca="1" si="0"/>
        <v>7.8997619047619168</v>
      </c>
      <c r="BI7" s="26">
        <v>5</v>
      </c>
      <c r="BJ7" s="27">
        <f t="shared" ca="1" si="17"/>
        <v>7.1200180375180384</v>
      </c>
      <c r="BL7" s="41">
        <f t="shared" si="18"/>
        <v>279.25</v>
      </c>
      <c r="BM7" s="41">
        <f t="shared" si="19"/>
        <v>159.63880952380953</v>
      </c>
    </row>
    <row r="8" spans="2:65" x14ac:dyDescent="0.3">
      <c r="B8" s="17" t="str">
        <f t="shared" si="1"/>
        <v>20216</v>
      </c>
      <c r="C8" s="17">
        <f t="shared" si="20"/>
        <v>44348</v>
      </c>
      <c r="D8" s="19">
        <f ca="1">IFERROR(AVERAGEIF('Preço Soja ESALQ'!$C:$C,'Modelo Soja'!$B8,'Preço Soja ESALQ'!$R:$R),NA())</f>
        <v>147.84095238095239</v>
      </c>
      <c r="E8" s="19">
        <f ca="1">IFERROR(AVERAGEIF('Preço Soja ESALQ'!$C:$C,'Modelo Soja'!$B8,'Preço Soja ESALQ'!S:S),NA())</f>
        <v>140.56714285714287</v>
      </c>
      <c r="F8" s="19">
        <f ca="1">IFERROR(AVERAGEIF('Preço Soja ESALQ'!$C:$C,'Modelo Soja'!$B8,'Preço Soja ESALQ'!T:T),NA())</f>
        <v>150.37952380952379</v>
      </c>
      <c r="G8" s="19">
        <f ca="1">IFERROR(AVERAGEIF('Preço Soja ESALQ'!$C:$C,'Modelo Soja'!$B8,'Preço Soja ESALQ'!U:U),NA())</f>
        <v>153.49299999999999</v>
      </c>
      <c r="H8" s="19">
        <f ca="1">IFERROR(AVERAGEIF('Preço Soja ESALQ'!$C:$C,'Modelo Soja'!$B8,'Preço Soja ESALQ'!V:V),NA())</f>
        <v>150.14952380952377</v>
      </c>
      <c r="I8" s="19">
        <f ca="1">IFERROR(AVERAGEIF('Preço Soja ESALQ'!$C:$C,'Modelo Soja'!$B8,'Preço Soja ESALQ'!W:W),NA())</f>
        <v>149.67142857142858</v>
      </c>
      <c r="J8" s="19">
        <f ca="1">IFERROR(AVERAGEIF('Preço Soja ESALQ'!$C:$C,'Modelo Soja'!$B8,'Preço Soja ESALQ'!X:X),NA())</f>
        <v>148.56380952380954</v>
      </c>
      <c r="K8" s="19">
        <f ca="1">IFERROR(AVERAGEIF('Preço Soja ESALQ'!$C:$C,'Modelo Soja'!$B8,'Preço Soja ESALQ'!Y:Y),NA())</f>
        <v>145.52857142857141</v>
      </c>
      <c r="L8" s="19">
        <f ca="1">IFERROR(AVERAGEIF('Preço Soja ESALQ'!$C:$C,'Modelo Soja'!$B8,'Preço Soja ESALQ'!Z:Z),NA())</f>
        <v>145.72000000000003</v>
      </c>
      <c r="M8" s="19">
        <f ca="1">IFERROR(AVERAGEIF('Preço Soja ESALQ'!$C:$C,'Modelo Soja'!$B8,'Preço Soja ESALQ'!AA:AA),NA())</f>
        <v>148.76857142857142</v>
      </c>
      <c r="N8" s="19">
        <f ca="1">IFERROR(AVERAGEIF('Preço Soja ESALQ'!$C:$C,'Modelo Soja'!$B8,'Preço Soja ESALQ'!AB:AB),NA())</f>
        <v>148.68380952380954</v>
      </c>
      <c r="O8" s="19" t="e">
        <f ca="1">IFERROR(AVERAGEIF('Preço Soja ESALQ'!$C:$C,'Modelo Soja'!$B8,'Preço Soja ESALQ'!AC:AC),NA())</f>
        <v>#N/A</v>
      </c>
      <c r="P8" s="19" t="e">
        <f ca="1">IFERROR(AVERAGEIF('Preço Soja ESALQ'!$C:$C,'Modelo Soja'!$B8,'Preço Soja ESALQ'!AD:AD),NA())</f>
        <v>#N/A</v>
      </c>
      <c r="Q8" s="19">
        <f ca="1">IFERROR(AVERAGEIF('Preço Soja ESALQ'!$C:$C,'Modelo Soja'!$B8,'Preço Soja ESALQ'!BI:BI),NA())</f>
        <v>151.00809523809525</v>
      </c>
      <c r="R8" s="19">
        <f ca="1">IFERROR(AVERAGEIF('Preço Soja ESALQ'!$C:$C,'Modelo Soja'!$B8,'Preço Soja ESALQ'!BK:BK),NA())</f>
        <v>142.40823529411762</v>
      </c>
      <c r="S8" s="19">
        <f ca="1">IFERROR(AVERAGEIF('Preço Soja ESALQ'!$C:$C,'Modelo Soja'!$B8,'Preço Soja ESALQ'!BL:BL),NA())</f>
        <v>142.99238095238093</v>
      </c>
      <c r="T8" s="19" t="e">
        <f ca="1">IFERROR(AVERAGEIF('Preço Soja ESALQ'!$C:$C,'Modelo Soja'!$B8,'Preço Soja ESALQ'!BM:BM),NA())</f>
        <v>#N/A</v>
      </c>
      <c r="U8" s="19">
        <f ca="1">IFERROR(AVERAGEIF('Preço Soja ESALQ'!$C:$C,'Modelo Soja'!$B8,'Preço Soja ESALQ'!BN:BN),NA())</f>
        <v>142.80809523809526</v>
      </c>
      <c r="AA8" s="19">
        <f ca="1">IFERROR(AVERAGEIF('Preço Soja ESALQ'!$C:$C,'Modelo Soja'!$B8,'Preço Soja ESALQ'!BA:BA),NA())</f>
        <v>151.94421052631577</v>
      </c>
      <c r="AB8" s="19">
        <f ca="1">IFERROR(AVERAGEIF('Preço Soja ESALQ'!$C:$C,'Modelo Soja'!$B8,'Preço Soja ESALQ'!BB:BB),NA())</f>
        <v>158.25380952380954</v>
      </c>
      <c r="AC8" s="19">
        <f ca="1">IFERROR(AVERAGEIF('Preço Soja ESALQ'!$C:$C,'Modelo Soja'!$B8,'Preço Soja ESALQ'!BC:BC),NA())</f>
        <v>156.69190476190477</v>
      </c>
      <c r="AD8" s="19">
        <f ca="1">IFERROR(AVERAGEIF('Preço Soja ESALQ'!$C:$C,'Modelo Soja'!$B8,'Preço Soja ESALQ'!BD:BD),NA())</f>
        <v>154.17761904761906</v>
      </c>
      <c r="AE8" s="19">
        <f ca="1">IFERROR(AVERAGEIF('Preço Soja ESALQ'!$C:$C,'Modelo Soja'!$B8,'Preço Soja ESALQ'!BE:BE),NA())</f>
        <v>155.32095238095241</v>
      </c>
      <c r="AF8" s="19">
        <f ca="1">IFERROR(AVERAGEIF('Preço Soja ESALQ'!$C:$C,'Modelo Soja'!$B8,'Preço Soja ESALQ'!BF:BF),NA())</f>
        <v>155.53380952380954</v>
      </c>
      <c r="AG8" s="19">
        <f ca="1">IFERROR(AVERAGEIF('Preço Soja ESALQ'!$C:$C,'Modelo Soja'!$B8,'Preço Soja ESALQ'!BG:BG),NA())</f>
        <v>156.83523809523808</v>
      </c>
      <c r="AH8" s="19">
        <f ca="1">IFERROR(AVERAGEIF('Preço Soja ESALQ'!$C:$C,'Modelo Soja'!$B8,'Preço Soja ESALQ'!AE:AE),NA())</f>
        <v>156.31571428571431</v>
      </c>
      <c r="AI8" s="19">
        <f ca="1">IFERROR(AVERAGEIF('Preço Soja ESALQ'!$C:$C,'Modelo Soja'!$B8,'Preço Soja ESALQ'!AF:AF),NA())</f>
        <v>154.49333333333337</v>
      </c>
      <c r="AJ8" s="24">
        <f>+[2]summary!C20</f>
        <v>162.0757142857143</v>
      </c>
      <c r="AK8" s="24">
        <f t="shared" ca="1" si="2"/>
        <v>148.4744015873016</v>
      </c>
      <c r="AL8" s="24"/>
      <c r="AN8" s="24">
        <f>+[6]FSORPRA!H7</f>
        <v>295.83249999999998</v>
      </c>
      <c r="AO8" s="24">
        <f>+[6]FRONPRA!H7</f>
        <v>242.5</v>
      </c>
      <c r="AP8" s="24">
        <f>VLOOKUP(B8,'Frete ESALQ'!$C$5:$AL$131,36,FALSE)</f>
        <v>96.49</v>
      </c>
      <c r="AQ8" s="24">
        <f>VLOOKUP(B8,'Frete ESALQ'!$C$5:$AW$131,47,FALSE)</f>
        <v>84.57</v>
      </c>
      <c r="AR8" s="24">
        <f>VLOOKUP(B8,'Frete ESALQ'!$C$5:$BH$131,58,FALSE)</f>
        <v>94.83</v>
      </c>
      <c r="AS8" s="24">
        <f>VLOOKUP(B8,'Frete ESALQ'!$C$5:$BH$131,32,FALSE)</f>
        <v>84</v>
      </c>
      <c r="AT8" s="24">
        <f t="shared" si="3"/>
        <v>144.32576428571429</v>
      </c>
      <c r="AU8" s="24">
        <f t="shared" si="4"/>
        <v>147.52571428571429</v>
      </c>
      <c r="AV8" s="24">
        <f t="shared" si="5"/>
        <v>156.2863142857143</v>
      </c>
      <c r="AW8" s="24">
        <f t="shared" si="6"/>
        <v>157.00151428571431</v>
      </c>
      <c r="AX8" s="24">
        <f t="shared" ca="1" si="7"/>
        <v>151.14543809523809</v>
      </c>
      <c r="AY8" s="24">
        <f t="shared" ca="1" si="8"/>
        <v>151.27571428571432</v>
      </c>
      <c r="AZ8">
        <f t="shared" si="9"/>
        <v>6</v>
      </c>
      <c r="BA8" s="17">
        <f t="shared" si="10"/>
        <v>44348</v>
      </c>
      <c r="BB8" s="22">
        <f t="shared" ca="1" si="11"/>
        <v>8.5823809523809587</v>
      </c>
      <c r="BC8" s="22">
        <f t="shared" ca="1" si="12"/>
        <v>11.163333333333355</v>
      </c>
      <c r="BD8" s="22">
        <f t="shared" ca="1" si="13"/>
        <v>6.5523809523809859</v>
      </c>
      <c r="BE8" s="22">
        <f t="shared" ca="1" si="14"/>
        <v>7.6928571428571502</v>
      </c>
      <c r="BF8" s="22">
        <f t="shared" ca="1" si="15"/>
        <v>7.7519047619047683</v>
      </c>
      <c r="BG8" s="22">
        <f t="shared" ca="1" si="16"/>
        <v>8.1514285714285393</v>
      </c>
      <c r="BH8" s="25">
        <f t="shared" ca="1" si="0"/>
        <v>8.3157142857142929</v>
      </c>
      <c r="BI8" s="26">
        <v>6</v>
      </c>
      <c r="BJ8" s="27">
        <f t="shared" ca="1" si="17"/>
        <v>7.907258730158742</v>
      </c>
      <c r="BL8" s="41">
        <f t="shared" si="18"/>
        <v>285.83249999999998</v>
      </c>
      <c r="BM8" s="41">
        <f t="shared" si="19"/>
        <v>144.92576428571431</v>
      </c>
    </row>
    <row r="9" spans="2:65" x14ac:dyDescent="0.3">
      <c r="B9" s="17" t="str">
        <f t="shared" si="1"/>
        <v>20217</v>
      </c>
      <c r="C9" s="17">
        <f t="shared" si="20"/>
        <v>44378</v>
      </c>
      <c r="D9" s="19">
        <f ca="1">IFERROR(AVERAGEIF('Preço Soja ESALQ'!$C:$C,'Modelo Soja'!$B9,'Preço Soja ESALQ'!$R:$R),NA())</f>
        <v>144.99136363636362</v>
      </c>
      <c r="E9" s="19">
        <f ca="1">IFERROR(AVERAGEIF('Preço Soja ESALQ'!$C:$C,'Modelo Soja'!$B9,'Preço Soja ESALQ'!S:S),NA())</f>
        <v>148.3281818181818</v>
      </c>
      <c r="F9" s="19">
        <f ca="1">IFERROR(AVERAGEIF('Preço Soja ESALQ'!$C:$C,'Modelo Soja'!$B9,'Preço Soja ESALQ'!T:T),NA())</f>
        <v>153.45590909090905</v>
      </c>
      <c r="G9" s="19">
        <f ca="1">IFERROR(AVERAGEIF('Preço Soja ESALQ'!$C:$C,'Modelo Soja'!$B9,'Preço Soja ESALQ'!U:U),NA())</f>
        <v>155.86923076923074</v>
      </c>
      <c r="H9" s="19">
        <f ca="1">IFERROR(AVERAGEIF('Preço Soja ESALQ'!$C:$C,'Modelo Soja'!$B9,'Preço Soja ESALQ'!V:V),NA())</f>
        <v>148.68818181818182</v>
      </c>
      <c r="I9" s="19">
        <f ca="1">IFERROR(AVERAGEIF('Preço Soja ESALQ'!$C:$C,'Modelo Soja'!$B9,'Preço Soja ESALQ'!W:W),NA())</f>
        <v>153.06136363636364</v>
      </c>
      <c r="J9" s="19">
        <f ca="1">IFERROR(AVERAGEIF('Preço Soja ESALQ'!$C:$C,'Modelo Soja'!$B9,'Preço Soja ESALQ'!X:X),NA())</f>
        <v>151.61681818181816</v>
      </c>
      <c r="K9" s="19">
        <f ca="1">IFERROR(AVERAGEIF('Preço Soja ESALQ'!$C:$C,'Modelo Soja'!$B9,'Preço Soja ESALQ'!Y:Y),NA())</f>
        <v>150.8840909090909</v>
      </c>
      <c r="L9" s="19">
        <f ca="1">IFERROR(AVERAGEIF('Preço Soja ESALQ'!$C:$C,'Modelo Soja'!$B9,'Preço Soja ESALQ'!Z:Z),NA())</f>
        <v>150.87545454545455</v>
      </c>
      <c r="M9" s="19">
        <f ca="1">IFERROR(AVERAGEIF('Preço Soja ESALQ'!$C:$C,'Modelo Soja'!$B9,'Preço Soja ESALQ'!AA:AA),NA())</f>
        <v>147.11227272727277</v>
      </c>
      <c r="N9" s="19">
        <f ca="1">IFERROR(AVERAGEIF('Preço Soja ESALQ'!$C:$C,'Modelo Soja'!$B9,'Preço Soja ESALQ'!AB:AB),NA())</f>
        <v>151.49818181818179</v>
      </c>
      <c r="O9" s="19" t="e">
        <f ca="1">IFERROR(AVERAGEIF('Preço Soja ESALQ'!$C:$C,'Modelo Soja'!$B9,'Preço Soja ESALQ'!AC:AC),NA())</f>
        <v>#N/A</v>
      </c>
      <c r="P9" s="19" t="e">
        <f ca="1">IFERROR(AVERAGEIF('Preço Soja ESALQ'!$C:$C,'Modelo Soja'!$B9,'Preço Soja ESALQ'!AD:AD),NA())</f>
        <v>#N/A</v>
      </c>
      <c r="Q9" s="19">
        <f ca="1">IFERROR(AVERAGEIF('Preço Soja ESALQ'!$C:$C,'Modelo Soja'!$B9,'Preço Soja ESALQ'!BI:BI),NA())</f>
        <v>154.21</v>
      </c>
      <c r="R9" s="19">
        <f ca="1">IFERROR(AVERAGEIF('Preço Soja ESALQ'!$C:$C,'Modelo Soja'!$B9,'Preço Soja ESALQ'!BK:BK),NA())</f>
        <v>145.43</v>
      </c>
      <c r="S9" s="19">
        <f ca="1">IFERROR(AVERAGEIF('Preço Soja ESALQ'!$C:$C,'Modelo Soja'!$B9,'Preço Soja ESALQ'!BL:BL),NA())</f>
        <v>146.80136363636359</v>
      </c>
      <c r="T9" s="19" t="e">
        <f ca="1">IFERROR(AVERAGEIF('Preço Soja ESALQ'!$C:$C,'Modelo Soja'!$B9,'Preço Soja ESALQ'!BM:BM),NA())</f>
        <v>#N/A</v>
      </c>
      <c r="U9" s="19">
        <f ca="1">IFERROR(AVERAGEIF('Preço Soja ESALQ'!$C:$C,'Modelo Soja'!$B9,'Preço Soja ESALQ'!BN:BN),NA())</f>
        <v>146.39954545454543</v>
      </c>
      <c r="AA9" s="19">
        <f ca="1">IFERROR(AVERAGEIF('Preço Soja ESALQ'!$C:$C,'Modelo Soja'!$B9,'Preço Soja ESALQ'!BA:BA),NA())</f>
        <v>160.09818181818184</v>
      </c>
      <c r="AB9" s="19">
        <f ca="1">IFERROR(AVERAGEIF('Preço Soja ESALQ'!$C:$C,'Modelo Soja'!$B9,'Preço Soja ESALQ'!BB:BB),NA())</f>
        <v>163.14772727272728</v>
      </c>
      <c r="AC9" s="19">
        <f ca="1">IFERROR(AVERAGEIF('Preço Soja ESALQ'!$C:$C,'Modelo Soja'!$B9,'Preço Soja ESALQ'!BC:BC),NA())</f>
        <v>162.50227272727273</v>
      </c>
      <c r="AD9" s="19">
        <f ca="1">IFERROR(AVERAGEIF('Preço Soja ESALQ'!$C:$C,'Modelo Soja'!$B9,'Preço Soja ESALQ'!BD:BD),NA())</f>
        <v>159.80136363636359</v>
      </c>
      <c r="AE9" s="19">
        <f ca="1">IFERROR(AVERAGEIF('Preço Soja ESALQ'!$C:$C,'Modelo Soja'!$B9,'Preço Soja ESALQ'!BE:BE),NA())</f>
        <v>159.27318181818183</v>
      </c>
      <c r="AF9" s="19">
        <f ca="1">IFERROR(AVERAGEIF('Preço Soja ESALQ'!$C:$C,'Modelo Soja'!$B9,'Preço Soja ESALQ'!BF:BF),NA())</f>
        <v>162.10500000000002</v>
      </c>
      <c r="AG9" s="19">
        <f ca="1">IFERROR(AVERAGEIF('Preço Soja ESALQ'!$C:$C,'Modelo Soja'!$B9,'Preço Soja ESALQ'!BG:BG),NA())</f>
        <v>161.71272727272725</v>
      </c>
      <c r="AH9" s="19">
        <f ca="1">IFERROR(AVERAGEIF('Preço Soja ESALQ'!$C:$C,'Modelo Soja'!$B9,'Preço Soja ESALQ'!AE:AE),NA())</f>
        <v>161.29545454545453</v>
      </c>
      <c r="AI9" s="19">
        <f ca="1">IFERROR(AVERAGEIF('Preço Soja ESALQ'!$C:$C,'Modelo Soja'!$B9,'Preço Soja ESALQ'!AF:AF),NA())</f>
        <v>158.79318181818181</v>
      </c>
      <c r="AJ9" s="24">
        <f>+[2]summary!C21</f>
        <v>167.59681818181818</v>
      </c>
      <c r="AK9" s="24">
        <f t="shared" ca="1" si="2"/>
        <v>157.62258607817301</v>
      </c>
      <c r="AL9" s="24"/>
      <c r="AN9" s="24">
        <f>+[6]FSORPRA!H8</f>
        <v>325</v>
      </c>
      <c r="AO9" s="24">
        <f>+[6]FRONPRA!H8</f>
        <v>270</v>
      </c>
      <c r="AP9" s="24">
        <f>VLOOKUP(B9,'Frete ESALQ'!$C$5:$AL$131,36,FALSE)</f>
        <v>86.17</v>
      </c>
      <c r="AQ9" s="24">
        <f>VLOOKUP(B9,'Frete ESALQ'!$C$5:$AW$131,47,FALSE)</f>
        <v>80.75</v>
      </c>
      <c r="AR9" s="24">
        <f>VLOOKUP(B9,'Frete ESALQ'!$C$5:$BH$131,58,FALSE)</f>
        <v>77.680000000000007</v>
      </c>
      <c r="AS9" s="24">
        <f>VLOOKUP(B9,'Frete ESALQ'!$C$5:$BH$131,32,FALSE)</f>
        <v>72</v>
      </c>
      <c r="AT9" s="24">
        <f t="shared" si="3"/>
        <v>148.09681818181818</v>
      </c>
      <c r="AU9" s="24">
        <f t="shared" si="4"/>
        <v>151.39681818181819</v>
      </c>
      <c r="AV9" s="24">
        <f t="shared" si="5"/>
        <v>162.42661818181818</v>
      </c>
      <c r="AW9" s="24">
        <f t="shared" si="6"/>
        <v>162.75181818181818</v>
      </c>
      <c r="AX9" s="24">
        <f t="shared" ca="1" si="7"/>
        <v>157.05192727272726</v>
      </c>
      <c r="AY9" s="24">
        <f t="shared" ca="1" si="8"/>
        <v>156.97545454545454</v>
      </c>
      <c r="AZ9">
        <f t="shared" si="9"/>
        <v>7</v>
      </c>
      <c r="BA9" s="17">
        <f t="shared" si="10"/>
        <v>44378</v>
      </c>
      <c r="BB9" s="22">
        <f t="shared" ca="1" si="11"/>
        <v>10.086363636363643</v>
      </c>
      <c r="BC9" s="22">
        <f t="shared" ca="1" si="12"/>
        <v>11.618181818181824</v>
      </c>
      <c r="BD9" s="22">
        <f t="shared" ca="1" si="13"/>
        <v>12.160909090909058</v>
      </c>
      <c r="BE9" s="22">
        <f t="shared" ca="1" si="14"/>
        <v>17.113636363636402</v>
      </c>
      <c r="BF9" s="22">
        <f t="shared" ca="1" si="15"/>
        <v>9.6786363636363717</v>
      </c>
      <c r="BG9" s="22">
        <f t="shared" ca="1" si="16"/>
        <v>10.214545454545458</v>
      </c>
      <c r="BH9" s="25">
        <f t="shared" ca="1" si="0"/>
        <v>11.81204545454546</v>
      </c>
      <c r="BI9" s="26">
        <v>7</v>
      </c>
      <c r="BJ9" s="27">
        <f t="shared" ca="1" si="17"/>
        <v>9.294404259991218</v>
      </c>
      <c r="BL9" s="41">
        <f t="shared" si="18"/>
        <v>315</v>
      </c>
      <c r="BM9" s="41">
        <f t="shared" si="19"/>
        <v>148.69681818181817</v>
      </c>
    </row>
    <row r="10" spans="2:65" x14ac:dyDescent="0.3">
      <c r="B10" s="17" t="str">
        <f t="shared" si="1"/>
        <v>20218</v>
      </c>
      <c r="C10" s="17">
        <f t="shared" si="20"/>
        <v>44409</v>
      </c>
      <c r="D10" s="19">
        <f ca="1">IFERROR(AVERAGEIF('Preço Soja ESALQ'!$C:$C,'Modelo Soja'!$B10,'Preço Soja ESALQ'!$R:$R),NA())</f>
        <v>150.31318181818185</v>
      </c>
      <c r="E10" s="19">
        <f ca="1">IFERROR(AVERAGEIF('Preço Soja ESALQ'!$C:$C,'Modelo Soja'!$B10,'Preço Soja ESALQ'!S:S),NA())</f>
        <v>158.16318181818181</v>
      </c>
      <c r="F10" s="19">
        <f ca="1">IFERROR(AVERAGEIF('Preço Soja ESALQ'!$C:$C,'Modelo Soja'!$B10,'Preço Soja ESALQ'!T:T),NA())</f>
        <v>158.63</v>
      </c>
      <c r="G10" s="19">
        <f ca="1">IFERROR(AVERAGEIF('Preço Soja ESALQ'!$C:$C,'Modelo Soja'!$B10,'Preço Soja ESALQ'!U:U),NA())</f>
        <v>160.70375000000001</v>
      </c>
      <c r="H10" s="19">
        <f ca="1">IFERROR(AVERAGEIF('Preço Soja ESALQ'!$C:$C,'Modelo Soja'!$B10,'Preço Soja ESALQ'!V:V),NA())</f>
        <v>156.36863636363634</v>
      </c>
      <c r="I10" s="19">
        <f ca="1">IFERROR(AVERAGEIF('Preço Soja ESALQ'!$C:$C,'Modelo Soja'!$B10,'Preço Soja ESALQ'!W:W),NA())</f>
        <v>159.61772727272728</v>
      </c>
      <c r="J10" s="19">
        <f ca="1">IFERROR(AVERAGEIF('Preço Soja ESALQ'!$C:$C,'Modelo Soja'!$B10,'Preço Soja ESALQ'!X:X),NA())</f>
        <v>156.29999999999995</v>
      </c>
      <c r="K10" s="19">
        <f ca="1">IFERROR(AVERAGEIF('Preço Soja ESALQ'!$C:$C,'Modelo Soja'!$B10,'Preço Soja ESALQ'!Y:Y),NA())</f>
        <v>156.48272727272726</v>
      </c>
      <c r="L10" s="19">
        <f ca="1">IFERROR(AVERAGEIF('Preço Soja ESALQ'!$C:$C,'Modelo Soja'!$B10,'Preço Soja ESALQ'!Z:Z),NA())</f>
        <v>156.60363636363641</v>
      </c>
      <c r="M10" s="19">
        <f ca="1">IFERROR(AVERAGEIF('Preço Soja ESALQ'!$C:$C,'Modelo Soja'!$B10,'Preço Soja ESALQ'!AA:AA),NA())</f>
        <v>152.31863636363633</v>
      </c>
      <c r="N10" s="19">
        <f ca="1">IFERROR(AVERAGEIF('Preço Soja ESALQ'!$C:$C,'Modelo Soja'!$B10,'Preço Soja ESALQ'!AB:AB),NA())</f>
        <v>156.47772727272724</v>
      </c>
      <c r="O10" s="19" t="e">
        <f ca="1">IFERROR(AVERAGEIF('Preço Soja ESALQ'!$C:$C,'Modelo Soja'!$B10,'Preço Soja ESALQ'!AC:AC),NA())</f>
        <v>#N/A</v>
      </c>
      <c r="P10" s="19" t="e">
        <f ca="1">IFERROR(AVERAGEIF('Preço Soja ESALQ'!$C:$C,'Modelo Soja'!$B10,'Preço Soja ESALQ'!AD:AD),NA())</f>
        <v>#N/A</v>
      </c>
      <c r="Q10" s="19">
        <f ca="1">IFERROR(AVERAGEIF('Preço Soja ESALQ'!$C:$C,'Modelo Soja'!$B10,'Preço Soja ESALQ'!BI:BI),NA())</f>
        <v>159.12</v>
      </c>
      <c r="R10" s="19" t="e">
        <f ca="1">IFERROR(AVERAGEIF('Preço Soja ESALQ'!$C:$C,'Modelo Soja'!$B10,'Preço Soja ESALQ'!BK:BK),NA())</f>
        <v>#N/A</v>
      </c>
      <c r="S10" s="19">
        <f ca="1">IFERROR(AVERAGEIF('Preço Soja ESALQ'!$C:$C,'Modelo Soja'!$B10,'Preço Soja ESALQ'!BL:BL),NA())</f>
        <v>152.74045454545458</v>
      </c>
      <c r="T10" s="19" t="e">
        <f ca="1">IFERROR(AVERAGEIF('Preço Soja ESALQ'!$C:$C,'Modelo Soja'!$B10,'Preço Soja ESALQ'!BM:BM),NA())</f>
        <v>#N/A</v>
      </c>
      <c r="U10" s="19">
        <f ca="1">IFERROR(AVERAGEIF('Preço Soja ESALQ'!$C:$C,'Modelo Soja'!$B10,'Preço Soja ESALQ'!BN:BN),NA())</f>
        <v>152.2086363636364</v>
      </c>
      <c r="AA10" s="19">
        <f ca="1">IFERROR(AVERAGEIF('Preço Soja ESALQ'!$C:$C,'Modelo Soja'!$B10,'Preço Soja ESALQ'!BA:BA),NA())</f>
        <v>169.66272727272724</v>
      </c>
      <c r="AB10" s="19">
        <f ca="1">IFERROR(AVERAGEIF('Preço Soja ESALQ'!$C:$C,'Modelo Soja'!$B10,'Preço Soja ESALQ'!BB:BB),NA())</f>
        <v>168.5259090909091</v>
      </c>
      <c r="AC10" s="19">
        <f ca="1">IFERROR(AVERAGEIF('Preço Soja ESALQ'!$C:$C,'Modelo Soja'!$B10,'Preço Soja ESALQ'!BC:BC),NA())</f>
        <v>166.52772727272725</v>
      </c>
      <c r="AD10" s="19">
        <f ca="1">IFERROR(AVERAGEIF('Preço Soja ESALQ'!$C:$C,'Modelo Soja'!$B10,'Preço Soja ESALQ'!BD:BD),NA())</f>
        <v>167.36681818181819</v>
      </c>
      <c r="AE10" s="19">
        <f ca="1">IFERROR(AVERAGEIF('Preço Soja ESALQ'!$C:$C,'Modelo Soja'!$B10,'Preço Soja ESALQ'!BE:BE),NA())</f>
        <v>164.86909090909091</v>
      </c>
      <c r="AF10" s="19">
        <f ca="1">IFERROR(AVERAGEIF('Preço Soja ESALQ'!$C:$C,'Modelo Soja'!$B10,'Preço Soja ESALQ'!BF:BF),NA())</f>
        <v>171.48136363636362</v>
      </c>
      <c r="AG10" s="19">
        <f ca="1">IFERROR(AVERAGEIF('Preço Soja ESALQ'!$C:$C,'Modelo Soja'!$B10,'Preço Soja ESALQ'!BG:BG),NA())</f>
        <v>166.23454545454544</v>
      </c>
      <c r="AH10" s="19">
        <f ca="1">IFERROR(AVERAGEIF('Preço Soja ESALQ'!$C:$C,'Modelo Soja'!$B10,'Preço Soja ESALQ'!AE:AE),NA())</f>
        <v>165.81181818181818</v>
      </c>
      <c r="AI10" s="19">
        <f ca="1">IFERROR(AVERAGEIF('Preço Soja ESALQ'!$C:$C,'Modelo Soja'!$B10,'Preço Soja ESALQ'!AF:AF),NA())</f>
        <v>162.46105263157895</v>
      </c>
      <c r="AJ10" s="24">
        <f>+[2]summary!C22</f>
        <v>171.05772727272731</v>
      </c>
      <c r="AK10" s="24">
        <f t="shared" ca="1" si="2"/>
        <v>167.53059454796411</v>
      </c>
      <c r="AL10" s="24"/>
      <c r="AN10" s="24">
        <f>+[6]FSORPRA!H9</f>
        <v>310</v>
      </c>
      <c r="AO10" s="24">
        <f>+[6]FRONPRA!H9</f>
        <v>273.75</v>
      </c>
      <c r="AP10" s="24">
        <f>VLOOKUP(B10,'Frete ESALQ'!$C$5:$AL$131,36,FALSE)</f>
        <v>80.27</v>
      </c>
      <c r="AQ10" s="24">
        <f>VLOOKUP(B10,'Frete ESALQ'!$C$5:$AW$131,47,FALSE)</f>
        <v>67.33</v>
      </c>
      <c r="AR10" s="24">
        <f>VLOOKUP(B10,'Frete ESALQ'!$C$5:$BH$131,58,FALSE)</f>
        <v>83.38</v>
      </c>
      <c r="AS10" s="24">
        <f>VLOOKUP(B10,'Frete ESALQ'!$C$5:$BH$131,32,FALSE)</f>
        <v>87.23</v>
      </c>
      <c r="AT10" s="24">
        <f t="shared" si="3"/>
        <v>152.45772727272731</v>
      </c>
      <c r="AU10" s="24">
        <f t="shared" si="4"/>
        <v>154.63272727272729</v>
      </c>
      <c r="AV10" s="24">
        <f t="shared" si="5"/>
        <v>166.2415272727273</v>
      </c>
      <c r="AW10" s="24">
        <f t="shared" si="6"/>
        <v>167.01792727272732</v>
      </c>
      <c r="AX10" s="24">
        <f t="shared" ca="1" si="7"/>
        <v>161.23174545454543</v>
      </c>
      <c r="AY10" s="24">
        <f t="shared" ca="1" si="8"/>
        <v>160.57801818181818</v>
      </c>
      <c r="AZ10">
        <f t="shared" si="9"/>
        <v>8</v>
      </c>
      <c r="BA10" s="17">
        <f t="shared" si="10"/>
        <v>44409</v>
      </c>
      <c r="BB10" s="22">
        <f t="shared" ca="1" si="11"/>
        <v>8.9081818181818164</v>
      </c>
      <c r="BC10" s="22">
        <f t="shared" ca="1" si="12"/>
        <v>10.044999999999987</v>
      </c>
      <c r="BD10" s="22">
        <f t="shared" ca="1" si="13"/>
        <v>12.550454545454585</v>
      </c>
      <c r="BE10" s="22">
        <f t="shared" ca="1" si="14"/>
        <v>21.168181818181779</v>
      </c>
      <c r="BF10" s="22">
        <f t="shared" ca="1" si="15"/>
        <v>9.5118181818182279</v>
      </c>
      <c r="BG10" s="22">
        <f t="shared" ca="1" si="16"/>
        <v>9.756818181818204</v>
      </c>
      <c r="BH10" s="25">
        <f t="shared" ca="1" si="0"/>
        <v>11.990075757575767</v>
      </c>
      <c r="BI10" s="26">
        <v>8</v>
      </c>
      <c r="BJ10" s="27">
        <f t="shared" ca="1" si="17"/>
        <v>9.3674127297823038</v>
      </c>
      <c r="BL10" s="41">
        <f t="shared" si="18"/>
        <v>300</v>
      </c>
      <c r="BM10" s="41">
        <f t="shared" si="19"/>
        <v>153.05772727272731</v>
      </c>
    </row>
    <row r="11" spans="2:65" x14ac:dyDescent="0.3">
      <c r="B11" s="17" t="str">
        <f t="shared" si="1"/>
        <v>20219</v>
      </c>
      <c r="C11" s="17">
        <f t="shared" si="20"/>
        <v>44440</v>
      </c>
      <c r="D11" s="19">
        <f ca="1">IFERROR(AVERAGEIF('Preço Soja ESALQ'!$C:$C,'Modelo Soja'!$B11,'Preço Soja ESALQ'!$R:$R),NA())</f>
        <v>151.04714285714286</v>
      </c>
      <c r="E11" s="19">
        <f ca="1">IFERROR(AVERAGEIF('Preço Soja ESALQ'!$C:$C,'Modelo Soja'!$B11,'Preço Soja ESALQ'!S:S),NA())</f>
        <v>158.6657142857143</v>
      </c>
      <c r="F11" s="19">
        <f ca="1">IFERROR(AVERAGEIF('Preço Soja ESALQ'!$C:$C,'Modelo Soja'!$B11,'Preço Soja ESALQ'!T:T),NA())</f>
        <v>159.98809523809524</v>
      </c>
      <c r="G11" s="19">
        <f ca="1">IFERROR(AVERAGEIF('Preço Soja ESALQ'!$C:$C,'Modelo Soja'!$B11,'Preço Soja ESALQ'!U:U),NA())</f>
        <v>164.114</v>
      </c>
      <c r="H11" s="19">
        <f ca="1">IFERROR(AVERAGEIF('Preço Soja ESALQ'!$C:$C,'Modelo Soja'!$B11,'Preço Soja ESALQ'!V:V),NA())</f>
        <v>155.40952380952379</v>
      </c>
      <c r="I11" s="19">
        <f ca="1">IFERROR(AVERAGEIF('Preço Soja ESALQ'!$C:$C,'Modelo Soja'!$B11,'Preço Soja ESALQ'!W:W),NA())</f>
        <v>159.18666666666667</v>
      </c>
      <c r="J11" s="19">
        <f ca="1">IFERROR(AVERAGEIF('Preço Soja ESALQ'!$C:$C,'Modelo Soja'!$B11,'Preço Soja ESALQ'!X:X),NA())</f>
        <v>157.50952380952378</v>
      </c>
      <c r="K11" s="19">
        <f ca="1">IFERROR(AVERAGEIF('Preço Soja ESALQ'!$C:$C,'Modelo Soja'!$B11,'Preço Soja ESALQ'!Y:Y),NA())</f>
        <v>157.94428571428571</v>
      </c>
      <c r="L11" s="19">
        <f ca="1">IFERROR(AVERAGEIF('Preço Soja ESALQ'!$C:$C,'Modelo Soja'!$B11,'Preço Soja ESALQ'!Z:Z),NA())</f>
        <v>157.98190476190476</v>
      </c>
      <c r="M11" s="19">
        <f ca="1">IFERROR(AVERAGEIF('Preço Soja ESALQ'!$C:$C,'Modelo Soja'!$B11,'Preço Soja ESALQ'!AA:AA),NA())</f>
        <v>152.52523809523808</v>
      </c>
      <c r="N11" s="19">
        <f ca="1">IFERROR(AVERAGEIF('Preço Soja ESALQ'!$C:$C,'Modelo Soja'!$B11,'Preço Soja ESALQ'!AB:AB),NA())</f>
        <v>157.57952380952386</v>
      </c>
      <c r="O11" s="19" t="e">
        <f ca="1">IFERROR(AVERAGEIF('Preço Soja ESALQ'!$C:$C,'Modelo Soja'!$B11,'Preço Soja ESALQ'!AC:AC),NA())</f>
        <v>#N/A</v>
      </c>
      <c r="P11" s="19" t="e">
        <f ca="1">IFERROR(AVERAGEIF('Preço Soja ESALQ'!$C:$C,'Modelo Soja'!$B11,'Preço Soja ESALQ'!AD:AD),NA())</f>
        <v>#N/A</v>
      </c>
      <c r="Q11" s="19">
        <f ca="1">IFERROR(AVERAGEIF('Preço Soja ESALQ'!$C:$C,'Modelo Soja'!$B11,'Preço Soja ESALQ'!BI:BI),NA())</f>
        <v>160.67238095238099</v>
      </c>
      <c r="R11" s="19" t="e">
        <f ca="1">IFERROR(AVERAGEIF('Preço Soja ESALQ'!$C:$C,'Modelo Soja'!$B11,'Preço Soja ESALQ'!BK:BK),NA())</f>
        <v>#N/A</v>
      </c>
      <c r="S11" s="19">
        <f ca="1">IFERROR(AVERAGEIF('Preço Soja ESALQ'!$C:$C,'Modelo Soja'!$B11,'Preço Soja ESALQ'!BL:BL),NA())</f>
        <v>153.60619047619048</v>
      </c>
      <c r="T11" s="19" t="e">
        <f ca="1">IFERROR(AVERAGEIF('Preço Soja ESALQ'!$C:$C,'Modelo Soja'!$B11,'Preço Soja ESALQ'!BM:BM),NA())</f>
        <v>#N/A</v>
      </c>
      <c r="U11" s="19">
        <f ca="1">IFERROR(AVERAGEIF('Preço Soja ESALQ'!$C:$C,'Modelo Soja'!$B11,'Preço Soja ESALQ'!BN:BN),NA())</f>
        <v>153.19476190476195</v>
      </c>
      <c r="AA11" s="19">
        <f ca="1">IFERROR(AVERAGEIF('Preço Soja ESALQ'!$C:$C,'Modelo Soja'!$B11,'Preço Soja ESALQ'!BA:BA),NA())</f>
        <v>168.1819047619048</v>
      </c>
      <c r="AB11" s="19">
        <f ca="1">IFERROR(AVERAGEIF('Preço Soja ESALQ'!$C:$C,'Modelo Soja'!$B11,'Preço Soja ESALQ'!BB:BB),NA())</f>
        <v>169.85952380952381</v>
      </c>
      <c r="AC11" s="19">
        <f ca="1">IFERROR(AVERAGEIF('Preço Soja ESALQ'!$C:$C,'Modelo Soja'!$B11,'Preço Soja ESALQ'!BC:BC),NA())</f>
        <v>168.7233333333333</v>
      </c>
      <c r="AD11" s="19">
        <f ca="1">IFERROR(AVERAGEIF('Preço Soja ESALQ'!$C:$C,'Modelo Soja'!$B11,'Preço Soja ESALQ'!BD:BD),NA())</f>
        <v>168.46666666666664</v>
      </c>
      <c r="AE11" s="19">
        <f ca="1">IFERROR(AVERAGEIF('Preço Soja ESALQ'!$C:$C,'Modelo Soja'!$B11,'Preço Soja ESALQ'!BE:BE),NA())</f>
        <v>166.66190476190482</v>
      </c>
      <c r="AF11" s="19">
        <f ca="1">IFERROR(AVERAGEIF('Preço Soja ESALQ'!$C:$C,'Modelo Soja'!$B11,'Preço Soja ESALQ'!BF:BF),NA())</f>
        <v>166.67619047619047</v>
      </c>
      <c r="AG11" s="19">
        <f ca="1">IFERROR(AVERAGEIF('Preço Soja ESALQ'!$C:$C,'Modelo Soja'!$B11,'Preço Soja ESALQ'!BG:BG),NA())</f>
        <v>167.57857142857142</v>
      </c>
      <c r="AH11" s="19">
        <f ca="1">IFERROR(AVERAGEIF('Preço Soja ESALQ'!$C:$C,'Modelo Soja'!$B11,'Preço Soja ESALQ'!AE:AE),NA())</f>
        <v>167.28904761904761</v>
      </c>
      <c r="AI11" s="19">
        <f ca="1">IFERROR(AVERAGEIF('Preço Soja ESALQ'!$C:$C,'Modelo Soja'!$B11,'Preço Soja ESALQ'!AF:AF),NA())</f>
        <v>163.79000000000002</v>
      </c>
      <c r="AJ11" s="24">
        <f>+[2]summary!C23</f>
        <v>172.7342857142857</v>
      </c>
      <c r="AK11" s="24">
        <f t="shared" ca="1" si="2"/>
        <v>168.74381504116801</v>
      </c>
      <c r="AL11" s="24"/>
      <c r="AN11" s="24">
        <f>+[6]FSORPRA!H10</f>
        <v>291.25</v>
      </c>
      <c r="AO11" s="24">
        <f>+[6]FRONPRA!H10</f>
        <v>255</v>
      </c>
      <c r="AP11" s="24">
        <f>VLOOKUP(B11,'Frete ESALQ'!$C$5:$AL$131,36,FALSE)</f>
        <v>68</v>
      </c>
      <c r="AQ11" s="24">
        <f>VLOOKUP(B11,'Frete ESALQ'!$C$5:$AW$131,47,FALSE)</f>
        <v>68</v>
      </c>
      <c r="AR11" s="24">
        <f>VLOOKUP(B11,'Frete ESALQ'!$C$5:$BH$131,58,FALSE)</f>
        <v>91.24</v>
      </c>
      <c r="AS11" s="24">
        <f>VLOOKUP(B11,'Frete ESALQ'!$C$5:$BH$131,32,FALSE)</f>
        <v>96.6</v>
      </c>
      <c r="AT11" s="24">
        <f t="shared" si="3"/>
        <v>155.25928571428571</v>
      </c>
      <c r="AU11" s="24">
        <f t="shared" si="4"/>
        <v>157.43428571428569</v>
      </c>
      <c r="AV11" s="24">
        <f t="shared" si="5"/>
        <v>168.65428571428569</v>
      </c>
      <c r="AW11" s="24">
        <f t="shared" si="6"/>
        <v>168.65428571428569</v>
      </c>
      <c r="AX11" s="24">
        <f t="shared" ca="1" si="7"/>
        <v>162.10417142857142</v>
      </c>
      <c r="AY11" s="24">
        <f t="shared" ca="1" si="8"/>
        <v>161.49304761904762</v>
      </c>
      <c r="AZ11">
        <f t="shared" si="9"/>
        <v>9</v>
      </c>
      <c r="BA11" s="17">
        <f t="shared" si="10"/>
        <v>44440</v>
      </c>
      <c r="BB11" s="22">
        <f t="shared" ca="1" si="11"/>
        <v>10.67285714285714</v>
      </c>
      <c r="BC11" s="22">
        <f t="shared" ca="1" si="12"/>
        <v>10.779047619047589</v>
      </c>
      <c r="BD11" s="22">
        <f t="shared" ca="1" si="13"/>
        <v>14.136666666666741</v>
      </c>
      <c r="BE11" s="22">
        <f t="shared" ca="1" si="14"/>
        <v>15.629047619047611</v>
      </c>
      <c r="BF11" s="22">
        <f t="shared" ca="1" si="15"/>
        <v>9.7795238095238233</v>
      </c>
      <c r="BG11" s="22">
        <f t="shared" ca="1" si="16"/>
        <v>9.999047619047559</v>
      </c>
      <c r="BH11" s="25">
        <f t="shared" ca="1" si="0"/>
        <v>11.832698412698411</v>
      </c>
      <c r="BI11" s="26">
        <v>9</v>
      </c>
      <c r="BJ11" s="27">
        <f t="shared" ca="1" si="17"/>
        <v>10.078100755453697</v>
      </c>
      <c r="BL11" s="41">
        <f t="shared" si="18"/>
        <v>281.25</v>
      </c>
      <c r="BM11" s="41">
        <f t="shared" si="19"/>
        <v>155.8592857142857</v>
      </c>
    </row>
    <row r="12" spans="2:65" x14ac:dyDescent="0.3">
      <c r="B12" s="17" t="str">
        <f t="shared" si="1"/>
        <v>202110</v>
      </c>
      <c r="C12" s="17">
        <f t="shared" si="20"/>
        <v>44470</v>
      </c>
      <c r="D12" s="19">
        <f ca="1">IFERROR(AVERAGEIF('Preço Soja ESALQ'!$C:$C,'Modelo Soja'!$B12,'Preço Soja ESALQ'!$R:$R),NA())</f>
        <v>153.38200000000001</v>
      </c>
      <c r="E12" s="19">
        <f ca="1">IFERROR(AVERAGEIF('Preço Soja ESALQ'!$C:$C,'Modelo Soja'!$B12,'Preço Soja ESALQ'!S:S),NA())</f>
        <v>153.91800000000001</v>
      </c>
      <c r="F12" s="19">
        <f ca="1">IFERROR(AVERAGEIF('Preço Soja ESALQ'!$C:$C,'Modelo Soja'!$B12,'Preço Soja ESALQ'!T:T),NA())</f>
        <v>159.38350000000003</v>
      </c>
      <c r="G12" s="19" t="e">
        <f ca="1">IFERROR(AVERAGEIF('Preço Soja ESALQ'!$C:$C,'Modelo Soja'!$B12,'Preço Soja ESALQ'!U:U),NA())</f>
        <v>#N/A</v>
      </c>
      <c r="H12" s="19">
        <f ca="1">IFERROR(AVERAGEIF('Preço Soja ESALQ'!$C:$C,'Modelo Soja'!$B12,'Preço Soja ESALQ'!V:V),NA())</f>
        <v>155.57149999999996</v>
      </c>
      <c r="I12" s="19">
        <f ca="1">IFERROR(AVERAGEIF('Preço Soja ESALQ'!$C:$C,'Modelo Soja'!$B12,'Preço Soja ESALQ'!W:W),NA())</f>
        <v>160.95999999999998</v>
      </c>
      <c r="J12" s="19">
        <f ca="1">IFERROR(AVERAGEIF('Preço Soja ESALQ'!$C:$C,'Modelo Soja'!$B12,'Preço Soja ESALQ'!X:X),NA())</f>
        <v>158.68649999999997</v>
      </c>
      <c r="K12" s="19">
        <f ca="1">IFERROR(AVERAGEIF('Preço Soja ESALQ'!$C:$C,'Modelo Soja'!$B12,'Preço Soja ESALQ'!Y:Y),NA())</f>
        <v>159.53549999999998</v>
      </c>
      <c r="L12" s="19">
        <f ca="1">IFERROR(AVERAGEIF('Preço Soja ESALQ'!$C:$C,'Modelo Soja'!$B12,'Preço Soja ESALQ'!Z:Z),NA())</f>
        <v>159.60849999999999</v>
      </c>
      <c r="M12" s="19">
        <f ca="1">IFERROR(AVERAGEIF('Preço Soja ESALQ'!$C:$C,'Modelo Soja'!$B12,'Preço Soja ESALQ'!AA:AA),NA())</f>
        <v>154.39499999999998</v>
      </c>
      <c r="N12" s="19">
        <f ca="1">IFERROR(AVERAGEIF('Preço Soja ESALQ'!$C:$C,'Modelo Soja'!$B12,'Preço Soja ESALQ'!AB:AB),NA())</f>
        <v>158.93899999999999</v>
      </c>
      <c r="O12" s="19" t="e">
        <f ca="1">IFERROR(AVERAGEIF('Preço Soja ESALQ'!$C:$C,'Modelo Soja'!$B12,'Preço Soja ESALQ'!AC:AC),NA())</f>
        <v>#N/A</v>
      </c>
      <c r="P12" s="19" t="e">
        <f ca="1">IFERROR(AVERAGEIF('Preço Soja ESALQ'!$C:$C,'Modelo Soja'!$B12,'Preço Soja ESALQ'!AD:AD),NA())</f>
        <v>#N/A</v>
      </c>
      <c r="Q12" s="19">
        <f ca="1">IFERROR(AVERAGEIF('Preço Soja ESALQ'!$C:$C,'Modelo Soja'!$B12,'Preço Soja ESALQ'!BI:BI),NA())</f>
        <v>160.69300000000001</v>
      </c>
      <c r="R12" s="19">
        <f ca="1">IFERROR(AVERAGEIF('Preço Soja ESALQ'!$C:$C,'Modelo Soja'!$B12,'Preço Soja ESALQ'!BK:BK),NA())</f>
        <v>154.75571428571428</v>
      </c>
      <c r="S12" s="19">
        <f ca="1">IFERROR(AVERAGEIF('Preço Soja ESALQ'!$C:$C,'Modelo Soja'!$B12,'Preço Soja ESALQ'!BL:BL),NA())</f>
        <v>154.79399999999995</v>
      </c>
      <c r="T12" s="19" t="e">
        <f ca="1">IFERROR(AVERAGEIF('Preço Soja ESALQ'!$C:$C,'Modelo Soja'!$B12,'Preço Soja ESALQ'!BM:BM),NA())</f>
        <v>#N/A</v>
      </c>
      <c r="U12" s="19">
        <f ca="1">IFERROR(AVERAGEIF('Preço Soja ESALQ'!$C:$C,'Modelo Soja'!$B12,'Preço Soja ESALQ'!BN:BN),NA())</f>
        <v>154.37400000000002</v>
      </c>
      <c r="AA12" s="19">
        <f ca="1">IFERROR(AVERAGEIF('Preço Soja ESALQ'!$C:$C,'Modelo Soja'!$B12,'Preço Soja ESALQ'!BA:BA),NA())</f>
        <v>162.72549999999998</v>
      </c>
      <c r="AB12" s="19">
        <f ca="1">IFERROR(AVERAGEIF('Preço Soja ESALQ'!$C:$C,'Modelo Soja'!$B12,'Preço Soja ESALQ'!BB:BB),NA())</f>
        <v>169.1885</v>
      </c>
      <c r="AC12" s="19">
        <f ca="1">IFERROR(AVERAGEIF('Preço Soja ESALQ'!$C:$C,'Modelo Soja'!$B12,'Preço Soja ESALQ'!BC:BC),NA())</f>
        <v>167.59049999999996</v>
      </c>
      <c r="AD12" s="19">
        <f ca="1">IFERROR(AVERAGEIF('Preço Soja ESALQ'!$C:$C,'Modelo Soja'!$B12,'Preço Soja ESALQ'!BD:BD),NA())</f>
        <v>166.60849999999999</v>
      </c>
      <c r="AE12" s="19">
        <f ca="1">IFERROR(AVERAGEIF('Preço Soja ESALQ'!$C:$C,'Modelo Soja'!$B12,'Preço Soja ESALQ'!BE:BE),NA())</f>
        <v>164.3485</v>
      </c>
      <c r="AF12" s="19">
        <f ca="1">IFERROR(AVERAGEIF('Preço Soja ESALQ'!$C:$C,'Modelo Soja'!$B12,'Preço Soja ESALQ'!BF:BF),NA())</f>
        <v>164.88400000000001</v>
      </c>
      <c r="AG12" s="19">
        <f ca="1">IFERROR(AVERAGEIF('Preço Soja ESALQ'!$C:$C,'Modelo Soja'!$B12,'Preço Soja ESALQ'!BG:BG),NA())</f>
        <v>168.14750000000001</v>
      </c>
      <c r="AH12" s="19">
        <f ca="1">IFERROR(AVERAGEIF('Preço Soja ESALQ'!$C:$C,'Modelo Soja'!$B12,'Preço Soja ESALQ'!AE:AE),NA())</f>
        <v>167.86750000000001</v>
      </c>
      <c r="AI12" s="19">
        <f ca="1">IFERROR(AVERAGEIF('Preço Soja ESALQ'!$C:$C,'Modelo Soja'!$B12,'Preço Soja ESALQ'!AF:AF),NA())</f>
        <v>162.3955</v>
      </c>
      <c r="AJ12" s="24">
        <f>+[2]summary!C24</f>
        <v>171.167</v>
      </c>
      <c r="AK12" s="24">
        <f t="shared" ca="1" si="2"/>
        <v>163.51306745090659</v>
      </c>
      <c r="AL12" s="24"/>
      <c r="AN12" s="24">
        <f>+[6]FSORPRA!H11</f>
        <v>313</v>
      </c>
      <c r="AO12" s="24">
        <f>+[6]FRONPRA!H11</f>
        <v>232</v>
      </c>
      <c r="AP12" s="24">
        <f>VLOOKUP(B12,'Frete ESALQ'!$C$5:$AL$131,36,FALSE)</f>
        <v>68</v>
      </c>
      <c r="AQ12" s="24">
        <f>VLOOKUP(B12,'Frete ESALQ'!$C$5:$AW$131,47,FALSE)</f>
        <v>72</v>
      </c>
      <c r="AR12" s="24">
        <f>VLOOKUP(B12,'Frete ESALQ'!$C$5:$BH$131,58,FALSE)</f>
        <v>85.59</v>
      </c>
      <c r="AS12" s="24">
        <f>VLOOKUP(B12,'Frete ESALQ'!$C$5:$BH$131,32,FALSE)</f>
        <v>91.5</v>
      </c>
      <c r="AT12" s="24">
        <f t="shared" si="3"/>
        <v>152.387</v>
      </c>
      <c r="AU12" s="24">
        <f t="shared" si="4"/>
        <v>157.24700000000001</v>
      </c>
      <c r="AV12" s="24">
        <f t="shared" si="5"/>
        <v>167.08699999999999</v>
      </c>
      <c r="AW12" s="24">
        <f t="shared" si="6"/>
        <v>166.84700000000001</v>
      </c>
      <c r="AX12" s="24">
        <f t="shared" ca="1" si="7"/>
        <v>163.0121</v>
      </c>
      <c r="AY12" s="24">
        <f t="shared" ca="1" si="8"/>
        <v>162.3775</v>
      </c>
      <c r="AZ12">
        <f t="shared" si="9"/>
        <v>10</v>
      </c>
      <c r="BA12" s="17">
        <f t="shared" si="10"/>
        <v>44470</v>
      </c>
      <c r="BB12" s="22">
        <f t="shared" ca="1" si="11"/>
        <v>8.2285000000000252</v>
      </c>
      <c r="BC12" s="22">
        <f t="shared" ca="1" si="12"/>
        <v>8.0549999999999784</v>
      </c>
      <c r="BD12" s="22">
        <f t="shared" ca="1" si="13"/>
        <v>9.9535000000000196</v>
      </c>
      <c r="BE12" s="22">
        <f t="shared" ca="1" si="14"/>
        <v>11.50200000000001</v>
      </c>
      <c r="BF12" s="22">
        <f t="shared" ca="1" si="15"/>
        <v>9.18100000000004</v>
      </c>
      <c r="BG12" s="22">
        <f t="shared" ca="1" si="16"/>
        <v>9.208500000000015</v>
      </c>
      <c r="BH12" s="25">
        <f t="shared" ca="1" si="0"/>
        <v>9.3547500000000152</v>
      </c>
      <c r="BI12" s="26">
        <v>10</v>
      </c>
      <c r="BJ12" s="27">
        <f t="shared" ca="1" si="17"/>
        <v>9.5950674509065745</v>
      </c>
      <c r="BL12" s="41">
        <f t="shared" si="18"/>
        <v>303</v>
      </c>
      <c r="BM12" s="41">
        <f t="shared" si="19"/>
        <v>152.98699999999999</v>
      </c>
    </row>
    <row r="13" spans="2:65" x14ac:dyDescent="0.3">
      <c r="B13" s="17" t="str">
        <f t="shared" si="1"/>
        <v>202111</v>
      </c>
      <c r="C13" s="17">
        <f t="shared" si="20"/>
        <v>44501</v>
      </c>
      <c r="D13" s="19">
        <f ca="1">IFERROR(AVERAGEIF('Preço Soja ESALQ'!$C:$C,'Modelo Soja'!$B13,'Preço Soja ESALQ'!$R:$R),NA())</f>
        <v>148.86600000000001</v>
      </c>
      <c r="E13" s="19">
        <f ca="1">IFERROR(AVERAGEIF('Preço Soja ESALQ'!$C:$C,'Modelo Soja'!$B13,'Preço Soja ESALQ'!S:S),NA())</f>
        <v>145.11600000000004</v>
      </c>
      <c r="F13" s="19">
        <f ca="1">IFERROR(AVERAGEIF('Preço Soja ESALQ'!$C:$C,'Modelo Soja'!$B13,'Preço Soja ESALQ'!T:T),NA())</f>
        <v>154.8485</v>
      </c>
      <c r="G13" s="19" t="e">
        <f ca="1">IFERROR(AVERAGEIF('Preço Soja ESALQ'!$C:$C,'Modelo Soja'!$B13,'Preço Soja ESALQ'!U:U),NA())</f>
        <v>#N/A</v>
      </c>
      <c r="H13" s="19">
        <f ca="1">IFERROR(AVERAGEIF('Preço Soja ESALQ'!$C:$C,'Modelo Soja'!$B13,'Preço Soja ESALQ'!V:V),NA())</f>
        <v>151.60549999999998</v>
      </c>
      <c r="I13" s="19">
        <f ca="1">IFERROR(AVERAGEIF('Preço Soja ESALQ'!$C:$C,'Modelo Soja'!$B13,'Preço Soja ESALQ'!W:W),NA())</f>
        <v>155.65249999999997</v>
      </c>
      <c r="J13" s="19">
        <f ca="1">IFERROR(AVERAGEIF('Preço Soja ESALQ'!$C:$C,'Modelo Soja'!$B13,'Preço Soja ESALQ'!X:X),NA())</f>
        <v>157.34700000000001</v>
      </c>
      <c r="K13" s="19">
        <f ca="1">IFERROR(AVERAGEIF('Preço Soja ESALQ'!$C:$C,'Modelo Soja'!$B13,'Preço Soja ESALQ'!Y:Y),NA())</f>
        <v>154.15049999999997</v>
      </c>
      <c r="L13" s="19">
        <f ca="1">IFERROR(AVERAGEIF('Preço Soja ESALQ'!$C:$C,'Modelo Soja'!$B13,'Preço Soja ESALQ'!Z:Z),NA())</f>
        <v>154.20050000000001</v>
      </c>
      <c r="M13" s="19">
        <f ca="1">IFERROR(AVERAGEIF('Preço Soja ESALQ'!$C:$C,'Modelo Soja'!$B13,'Preço Soja ESALQ'!AA:AA),NA())</f>
        <v>151.16000000000003</v>
      </c>
      <c r="N13" s="19">
        <f ca="1">IFERROR(AVERAGEIF('Preço Soja ESALQ'!$C:$C,'Modelo Soja'!$B13,'Preço Soja ESALQ'!AB:AB),NA())</f>
        <v>156.90600000000001</v>
      </c>
      <c r="O13" s="19" t="e">
        <f ca="1">IFERROR(AVERAGEIF('Preço Soja ESALQ'!$C:$C,'Modelo Soja'!$B13,'Preço Soja ESALQ'!AC:AC),NA())</f>
        <v>#N/A</v>
      </c>
      <c r="P13" s="19" t="e">
        <f ca="1">IFERROR(AVERAGEIF('Preço Soja ESALQ'!$C:$C,'Modelo Soja'!$B13,'Preço Soja ESALQ'!AD:AD),NA())</f>
        <v>#N/A</v>
      </c>
      <c r="Q13" s="19">
        <f ca="1">IFERROR(AVERAGEIF('Preço Soja ESALQ'!$C:$C,'Modelo Soja'!$B13,'Preço Soja ESALQ'!BI:BI),NA())</f>
        <v>157.92700000000002</v>
      </c>
      <c r="R13" s="19">
        <f ca="1">IFERROR(AVERAGEIF('Preço Soja ESALQ'!$C:$C,'Modelo Soja'!$B13,'Preço Soja ESALQ'!BK:BK),NA())</f>
        <v>153.38999999999999</v>
      </c>
      <c r="S13" s="19">
        <f ca="1">IFERROR(AVERAGEIF('Preço Soja ESALQ'!$C:$C,'Modelo Soja'!$B13,'Preço Soja ESALQ'!BL:BL),NA())</f>
        <v>149.82300000000001</v>
      </c>
      <c r="T13" s="19" t="e">
        <f ca="1">IFERROR(AVERAGEIF('Preço Soja ESALQ'!$C:$C,'Modelo Soja'!$B13,'Preço Soja ESALQ'!BM:BM),NA())</f>
        <v>#N/A</v>
      </c>
      <c r="U13" s="19">
        <f ca="1">IFERROR(AVERAGEIF('Preço Soja ESALQ'!$C:$C,'Modelo Soja'!$B13,'Preço Soja ESALQ'!BN:BN),NA())</f>
        <v>149.69099999999997</v>
      </c>
      <c r="AA13" s="19">
        <f ca="1">IFERROR(AVERAGEIF('Preço Soja ESALQ'!$C:$C,'Modelo Soja'!$B13,'Preço Soja ESALQ'!BA:BA),NA())</f>
        <v>153.76249999999999</v>
      </c>
      <c r="AB13" s="19">
        <f ca="1">IFERROR(AVERAGEIF('Preço Soja ESALQ'!$C:$C,'Modelo Soja'!$B13,'Preço Soja ESALQ'!BB:BB),NA())</f>
        <v>162.59099999999998</v>
      </c>
      <c r="AC13" s="19">
        <f ca="1">IFERROR(AVERAGEIF('Preço Soja ESALQ'!$C:$C,'Modelo Soja'!$B13,'Preço Soja ESALQ'!BC:BC),NA())</f>
        <v>161.86949999999999</v>
      </c>
      <c r="AD13" s="19">
        <f ca="1">IFERROR(AVERAGEIF('Preço Soja ESALQ'!$C:$C,'Modelo Soja'!$B13,'Preço Soja ESALQ'!BD:BD),NA())</f>
        <v>160.60650000000001</v>
      </c>
      <c r="AE13" s="19">
        <f ca="1">IFERROR(AVERAGEIF('Preço Soja ESALQ'!$C:$C,'Modelo Soja'!$B13,'Preço Soja ESALQ'!BE:BE),NA())</f>
        <v>157.19250000000002</v>
      </c>
      <c r="AF13" s="19">
        <f ca="1">IFERROR(AVERAGEIF('Preço Soja ESALQ'!$C:$C,'Modelo Soja'!$B13,'Preço Soja ESALQ'!BF:BF),NA())</f>
        <v>157.42950000000002</v>
      </c>
      <c r="AG13" s="19">
        <f ca="1">IFERROR(AVERAGEIF('Preço Soja ESALQ'!$C:$C,'Modelo Soja'!$B13,'Preço Soja ESALQ'!BG:BG),NA())</f>
        <v>164.7465</v>
      </c>
      <c r="AH13" s="19">
        <f ca="1">IFERROR(AVERAGEIF('Preço Soja ESALQ'!$C:$C,'Modelo Soja'!$B13,'Preço Soja ESALQ'!AE:AE),NA())</f>
        <v>164.21600000000004</v>
      </c>
      <c r="AI13" s="19">
        <f ca="1">IFERROR(AVERAGEIF('Preço Soja ESALQ'!$C:$C,'Modelo Soja'!$B13,'Preço Soja ESALQ'!AF:AF),NA())</f>
        <v>158.29499999999996</v>
      </c>
      <c r="AJ13" s="24">
        <f>+[2]summary!C25</f>
        <v>165.79350000000005</v>
      </c>
      <c r="AK13" s="24">
        <f t="shared" ca="1" si="2"/>
        <v>154.27313294346982</v>
      </c>
      <c r="AL13" s="24"/>
      <c r="AN13" s="24">
        <f>+[6]FSORPRA!H12</f>
        <v>318.75</v>
      </c>
      <c r="AO13" s="24">
        <f>+[6]FRONPRA!H12</f>
        <v>243.75</v>
      </c>
      <c r="AP13" s="24">
        <f>VLOOKUP(B13,'Frete ESALQ'!$C$5:$AL$131,36,FALSE)</f>
        <v>68</v>
      </c>
      <c r="AQ13" s="24">
        <f>VLOOKUP(B13,'Frete ESALQ'!$C$5:$AW$131,47,FALSE)</f>
        <v>70</v>
      </c>
      <c r="AR13" s="24">
        <f>VLOOKUP(B13,'Frete ESALQ'!$C$5:$BH$131,58,FALSE)</f>
        <v>76.08</v>
      </c>
      <c r="AS13" s="24">
        <f>VLOOKUP(B13,'Frete ESALQ'!$C$5:$BH$131,32,FALSE)</f>
        <v>73.5</v>
      </c>
      <c r="AT13" s="24">
        <f t="shared" si="3"/>
        <v>146.66850000000005</v>
      </c>
      <c r="AU13" s="24">
        <f t="shared" si="4"/>
        <v>151.16850000000005</v>
      </c>
      <c r="AV13" s="24">
        <f t="shared" si="5"/>
        <v>161.71350000000004</v>
      </c>
      <c r="AW13" s="24">
        <f t="shared" si="6"/>
        <v>161.59350000000006</v>
      </c>
      <c r="AX13" s="24">
        <f t="shared" ca="1" si="7"/>
        <v>160.18170000000001</v>
      </c>
      <c r="AY13" s="24">
        <f t="shared" ca="1" si="8"/>
        <v>159.80600000000004</v>
      </c>
      <c r="AZ13">
        <f t="shared" si="9"/>
        <v>11</v>
      </c>
      <c r="BA13" s="17">
        <f t="shared" si="10"/>
        <v>44501</v>
      </c>
      <c r="BB13" s="22">
        <f t="shared" ca="1" si="11"/>
        <v>6.9385000000000048</v>
      </c>
      <c r="BC13" s="22">
        <f t="shared" ca="1" si="12"/>
        <v>7.7190000000000225</v>
      </c>
      <c r="BD13" s="22">
        <f t="shared" ca="1" si="13"/>
        <v>6.0324999999999989</v>
      </c>
      <c r="BE13" s="22">
        <f t="shared" ca="1" si="14"/>
        <v>8.5635000000000048</v>
      </c>
      <c r="BF13" s="22">
        <f t="shared" ca="1" si="15"/>
        <v>6.8690000000000282</v>
      </c>
      <c r="BG13" s="22">
        <f t="shared" ca="1" si="16"/>
        <v>7.8404999999999916</v>
      </c>
      <c r="BH13" s="25">
        <f t="shared" ca="1" si="0"/>
        <v>7.3271666666666748</v>
      </c>
      <c r="BI13" s="26">
        <v>11</v>
      </c>
      <c r="BJ13" s="27">
        <f t="shared" ca="1" si="17"/>
        <v>9.1571329434697866</v>
      </c>
      <c r="BL13" s="41">
        <f t="shared" si="18"/>
        <v>308.75</v>
      </c>
      <c r="BM13" s="41">
        <f t="shared" si="19"/>
        <v>147.26850000000005</v>
      </c>
    </row>
    <row r="14" spans="2:65" x14ac:dyDescent="0.3">
      <c r="B14" s="17" t="str">
        <f t="shared" si="1"/>
        <v>202112</v>
      </c>
      <c r="C14" s="17">
        <f t="shared" si="20"/>
        <v>44531</v>
      </c>
      <c r="D14" s="19">
        <f ca="1">IFERROR(AVERAGEIF('Preço Soja ESALQ'!$C:$C,'Modelo Soja'!$B14,'Preço Soja ESALQ'!$R:$R),NA())</f>
        <v>147.99761904761903</v>
      </c>
      <c r="E14" s="19">
        <f ca="1">IFERROR(AVERAGEIF('Preço Soja ESALQ'!$C:$C,'Modelo Soja'!$B14,'Preço Soja ESALQ'!S:S),NA())</f>
        <v>143.005</v>
      </c>
      <c r="F14" s="19">
        <f ca="1">IFERROR(AVERAGEIF('Preço Soja ESALQ'!$C:$C,'Modelo Soja'!$B14,'Preço Soja ESALQ'!T:T),NA())</f>
        <v>158.5052380952381</v>
      </c>
      <c r="G14" s="19" t="e">
        <f ca="1">IFERROR(AVERAGEIF('Preço Soja ESALQ'!$C:$C,'Modelo Soja'!$B14,'Preço Soja ESALQ'!U:U),NA())</f>
        <v>#N/A</v>
      </c>
      <c r="H14" s="19">
        <f ca="1">IFERROR(AVERAGEIF('Preço Soja ESALQ'!$C:$C,'Modelo Soja'!$B14,'Preço Soja ESALQ'!V:V),NA())</f>
        <v>152.33380952380952</v>
      </c>
      <c r="I14" s="19">
        <f ca="1">IFERROR(AVERAGEIF('Preço Soja ESALQ'!$C:$C,'Modelo Soja'!$B14,'Preço Soja ESALQ'!W:W),NA())</f>
        <v>158.88095238095244</v>
      </c>
      <c r="J14" s="19">
        <f ca="1">IFERROR(AVERAGEIF('Preço Soja ESALQ'!$C:$C,'Modelo Soja'!$B14,'Preço Soja ESALQ'!X:X),NA())</f>
        <v>161.57761904761907</v>
      </c>
      <c r="K14" s="19">
        <f ca="1">IFERROR(AVERAGEIF('Preço Soja ESALQ'!$C:$C,'Modelo Soja'!$B14,'Preço Soja ESALQ'!Y:Y),NA())</f>
        <v>158.45619047619044</v>
      </c>
      <c r="L14" s="19">
        <f ca="1">IFERROR(AVERAGEIF('Preço Soja ESALQ'!$C:$C,'Modelo Soja'!$B14,'Preço Soja ESALQ'!Z:Z),NA())</f>
        <v>158.54714285714286</v>
      </c>
      <c r="M14" s="19">
        <f ca="1">IFERROR(AVERAGEIF('Preço Soja ESALQ'!$C:$C,'Modelo Soja'!$B14,'Preço Soja ESALQ'!AA:AA),NA())</f>
        <v>155.00857142857146</v>
      </c>
      <c r="N14" s="19">
        <f ca="1">IFERROR(AVERAGEIF('Preço Soja ESALQ'!$C:$C,'Modelo Soja'!$B14,'Preço Soja ESALQ'!AB:AB),NA())</f>
        <v>161.47523809523813</v>
      </c>
      <c r="O14" s="19">
        <f ca="1">IFERROR(AVERAGEIF('Preço Soja ESALQ'!$C:$C,'Modelo Soja'!$B14,'Preço Soja ESALQ'!AC:AC),NA())</f>
        <v>159.79</v>
      </c>
      <c r="P14" s="19" t="e">
        <f ca="1">IFERROR(AVERAGEIF('Preço Soja ESALQ'!$C:$C,'Modelo Soja'!$B14,'Preço Soja ESALQ'!AD:AD),NA())</f>
        <v>#N/A</v>
      </c>
      <c r="Q14" s="19">
        <f ca="1">IFERROR(AVERAGEIF('Preço Soja ESALQ'!$C:$C,'Modelo Soja'!$B14,'Preço Soja ESALQ'!BI:BI),NA())</f>
        <v>160.89571428571423</v>
      </c>
      <c r="R14" s="19">
        <f ca="1">IFERROR(AVERAGEIF('Preço Soja ESALQ'!$C:$C,'Modelo Soja'!$B14,'Preço Soja ESALQ'!BK:BK),NA())</f>
        <v>149.51249999999999</v>
      </c>
      <c r="S14" s="19">
        <f ca="1">IFERROR(AVERAGEIF('Preço Soja ESALQ'!$C:$C,'Modelo Soja'!$B14,'Preço Soja ESALQ'!BL:BL),NA())</f>
        <v>154.32809523809522</v>
      </c>
      <c r="T14" s="19" t="e">
        <f ca="1">IFERROR(AVERAGEIF('Preço Soja ESALQ'!$C:$C,'Modelo Soja'!$B14,'Preço Soja ESALQ'!BM:BM),NA())</f>
        <v>#N/A</v>
      </c>
      <c r="U14" s="19">
        <f ca="1">IFERROR(AVERAGEIF('Preço Soja ESALQ'!$C:$C,'Modelo Soja'!$B14,'Preço Soja ESALQ'!BN:BN),NA())</f>
        <v>154.23523809523812</v>
      </c>
      <c r="AA14" s="19">
        <f ca="1">IFERROR(AVERAGEIF('Preço Soja ESALQ'!$C:$C,'Modelo Soja'!$B14,'Preço Soja ESALQ'!BA:BA),NA())</f>
        <v>153.44523809523812</v>
      </c>
      <c r="AB14" s="19">
        <f ca="1">IFERROR(AVERAGEIF('Preço Soja ESALQ'!$C:$C,'Modelo Soja'!$B14,'Preço Soja ESALQ'!BB:BB),NA())</f>
        <v>166.92428571428573</v>
      </c>
      <c r="AC14" s="19">
        <f ca="1">IFERROR(AVERAGEIF('Preço Soja ESALQ'!$C:$C,'Modelo Soja'!$B14,'Preço Soja ESALQ'!BC:BC),NA())</f>
        <v>165.8909523809524</v>
      </c>
      <c r="AD14" s="19">
        <f ca="1">IFERROR(AVERAGEIF('Preço Soja ESALQ'!$C:$C,'Modelo Soja'!$B14,'Preço Soja ESALQ'!BD:BD),NA())</f>
        <v>165.33523809523808</v>
      </c>
      <c r="AE14" s="19">
        <f ca="1">IFERROR(AVERAGEIF('Preço Soja ESALQ'!$C:$C,'Modelo Soja'!$B14,'Preço Soja ESALQ'!BE:BE),NA())</f>
        <v>160.60095238095241</v>
      </c>
      <c r="AF14" s="19">
        <f ca="1">IFERROR(AVERAGEIF('Preço Soja ESALQ'!$C:$C,'Modelo Soja'!$B14,'Preço Soja ESALQ'!BF:BF),NA())</f>
        <v>155.61421052631579</v>
      </c>
      <c r="AG14" s="19">
        <f ca="1">IFERROR(AVERAGEIF('Preço Soja ESALQ'!$C:$C,'Modelo Soja'!$B14,'Preço Soja ESALQ'!BG:BG),NA())</f>
        <v>168.9595238095238</v>
      </c>
      <c r="AH14" s="19">
        <f ca="1">IFERROR(AVERAGEIF('Preço Soja ESALQ'!$C:$C,'Modelo Soja'!$B14,'Preço Soja ESALQ'!AE:AE),NA())</f>
        <v>167.73523809523809</v>
      </c>
      <c r="AI14" s="19">
        <f ca="1">IFERROR(AVERAGEIF('Preço Soja ESALQ'!$C:$C,'Modelo Soja'!$B14,'Preço Soja ESALQ'!AF:AF),NA())</f>
        <v>161.51</v>
      </c>
      <c r="AJ14" s="24">
        <f>+[2]summary!C26</f>
        <v>170.25190476190477</v>
      </c>
      <c r="AK14" s="24">
        <f t="shared" ca="1" si="2"/>
        <v>152.74385877192981</v>
      </c>
      <c r="AL14" s="24"/>
      <c r="AN14" s="24">
        <f>+[6]FSORPRA!H13</f>
        <v>352</v>
      </c>
      <c r="AO14" s="24">
        <f>+[6]FRONPRA!H13</f>
        <v>266</v>
      </c>
      <c r="AP14" s="24">
        <f>VLOOKUP(B14,'Frete ESALQ'!$C$5:$AL$131,36,FALSE)</f>
        <v>76.2</v>
      </c>
      <c r="AQ14" s="24">
        <f>VLOOKUP(B14,'Frete ESALQ'!$C$5:$AW$131,47,FALSE)</f>
        <v>67.67</v>
      </c>
      <c r="AR14" s="24">
        <f>VLOOKUP(B14,'Frete ESALQ'!$C$5:$BH$131,58,FALSE)</f>
        <v>92.96</v>
      </c>
      <c r="AS14" s="24">
        <f>VLOOKUP(B14,'Frete ESALQ'!$C$5:$BH$131,32,FALSE)</f>
        <v>91.67</v>
      </c>
      <c r="AT14" s="24">
        <f t="shared" si="3"/>
        <v>149.13190476190476</v>
      </c>
      <c r="AU14" s="24">
        <f t="shared" si="4"/>
        <v>154.29190476190476</v>
      </c>
      <c r="AV14" s="24">
        <f t="shared" si="5"/>
        <v>165.67990476190477</v>
      </c>
      <c r="AW14" s="24">
        <f t="shared" si="6"/>
        <v>166.19170476190476</v>
      </c>
      <c r="AX14" s="24">
        <f t="shared" ca="1" si="7"/>
        <v>163.38192380952381</v>
      </c>
      <c r="AY14" s="24">
        <f t="shared" ca="1" si="8"/>
        <v>162.23503809523808</v>
      </c>
      <c r="AZ14">
        <f t="shared" si="9"/>
        <v>12</v>
      </c>
      <c r="BA14" s="17">
        <f t="shared" si="10"/>
        <v>44531</v>
      </c>
      <c r="BB14" s="22">
        <f t="shared" ca="1" si="11"/>
        <v>8.0433333333332939</v>
      </c>
      <c r="BC14" s="22">
        <f t="shared" ca="1" si="12"/>
        <v>7.434761904761956</v>
      </c>
      <c r="BD14" s="22">
        <f t="shared" ca="1" si="13"/>
        <v>5.5923809523809496</v>
      </c>
      <c r="BE14" s="22">
        <f t="shared" ca="1" si="14"/>
        <v>7.6165914786967619</v>
      </c>
      <c r="BF14" s="22">
        <f t="shared" ca="1" si="15"/>
        <v>6.157619047619022</v>
      </c>
      <c r="BG14" s="22">
        <f t="shared" ca="1" si="16"/>
        <v>7.4842857142856758</v>
      </c>
      <c r="BH14" s="25">
        <f t="shared" ca="1" si="0"/>
        <v>7.0548287385129429</v>
      </c>
      <c r="BI14" s="26">
        <v>12</v>
      </c>
      <c r="BJ14" s="27">
        <f t="shared" ca="1" si="17"/>
        <v>9.7388587719298165</v>
      </c>
      <c r="BL14" s="41">
        <f t="shared" si="18"/>
        <v>342</v>
      </c>
      <c r="BM14" s="41">
        <f t="shared" si="19"/>
        <v>149.73190476190476</v>
      </c>
    </row>
    <row r="15" spans="2:65" x14ac:dyDescent="0.3">
      <c r="B15" s="17" t="str">
        <f t="shared" si="1"/>
        <v>20221</v>
      </c>
      <c r="C15" s="17">
        <f t="shared" si="20"/>
        <v>44562</v>
      </c>
      <c r="D15" s="19">
        <f ca="1">IFERROR(AVERAGEIF('Preço Soja ESALQ'!$C:$C,'Modelo Soja'!$B15,'Preço Soja ESALQ'!$R:$R),NA())</f>
        <v>161.9347619047619</v>
      </c>
      <c r="E15" s="19">
        <f ca="1">IFERROR(AVERAGEIF('Preço Soja ESALQ'!$C:$C,'Modelo Soja'!$B15,'Preço Soja ESALQ'!S:S),NA())</f>
        <v>155.6123809523809</v>
      </c>
      <c r="F15" s="19">
        <f ca="1">IFERROR(AVERAGEIF('Preço Soja ESALQ'!$C:$C,'Modelo Soja'!$B15,'Preço Soja ESALQ'!T:T),NA())</f>
        <v>167.26714285714283</v>
      </c>
      <c r="G15" s="19" t="e">
        <f ca="1">IFERROR(AVERAGEIF('Preço Soja ESALQ'!$C:$C,'Modelo Soja'!$B15,'Preço Soja ESALQ'!U:U),NA())</f>
        <v>#N/A</v>
      </c>
      <c r="H15" s="19">
        <f ca="1">IFERROR(AVERAGEIF('Preço Soja ESALQ'!$C:$C,'Modelo Soja'!$B15,'Preço Soja ESALQ'!V:V),NA())</f>
        <v>160.92714285714288</v>
      </c>
      <c r="I15" s="19">
        <f ca="1">IFERROR(AVERAGEIF('Preço Soja ESALQ'!$C:$C,'Modelo Soja'!$B15,'Preço Soja ESALQ'!W:W),NA())</f>
        <v>167.65428571428569</v>
      </c>
      <c r="J15" s="19">
        <f ca="1">IFERROR(AVERAGEIF('Preço Soja ESALQ'!$C:$C,'Modelo Soja'!$B15,'Preço Soja ESALQ'!X:X),NA())</f>
        <v>175.10476190476189</v>
      </c>
      <c r="K15" s="19">
        <f ca="1">IFERROR(AVERAGEIF('Preço Soja ESALQ'!$C:$C,'Modelo Soja'!$B15,'Preço Soja ESALQ'!Y:Y),NA())</f>
        <v>166.45476190476191</v>
      </c>
      <c r="L15" s="19">
        <f ca="1">IFERROR(AVERAGEIF('Preço Soja ESALQ'!$C:$C,'Modelo Soja'!$B15,'Preço Soja ESALQ'!Z:Z),NA())</f>
        <v>166.59333333333331</v>
      </c>
      <c r="M15" s="19">
        <f ca="1">IFERROR(AVERAGEIF('Preço Soja ESALQ'!$C:$C,'Modelo Soja'!$B15,'Preço Soja ESALQ'!AA:AA),NA())</f>
        <v>165.0985714285714</v>
      </c>
      <c r="N15" s="19">
        <f ca="1">IFERROR(AVERAGEIF('Preço Soja ESALQ'!$C:$C,'Modelo Soja'!$B15,'Preço Soja ESALQ'!AB:AB),NA())</f>
        <v>175.0704761904762</v>
      </c>
      <c r="O15" s="19">
        <f ca="1">IFERROR(AVERAGEIF('Preço Soja ESALQ'!$C:$C,'Modelo Soja'!$B15,'Preço Soja ESALQ'!AC:AC),NA())</f>
        <v>162.0241176470588</v>
      </c>
      <c r="P15" s="19" t="e">
        <f ca="1">IFERROR(AVERAGEIF('Preço Soja ESALQ'!$C:$C,'Modelo Soja'!$B15,'Preço Soja ESALQ'!AD:AD),NA())</f>
        <v>#N/A</v>
      </c>
      <c r="Q15" s="19">
        <f ca="1">IFERROR(AVERAGEIF('Preço Soja ESALQ'!$C:$C,'Modelo Soja'!$B15,'Preço Soja ESALQ'!BI:BI),NA())</f>
        <v>168.57999999999998</v>
      </c>
      <c r="R15" s="19" t="e">
        <f ca="1">IFERROR(AVERAGEIF('Preço Soja ESALQ'!$C:$C,'Modelo Soja'!$B15,'Preço Soja ESALQ'!BK:BK),NA())</f>
        <v>#N/A</v>
      </c>
      <c r="S15" s="19">
        <f ca="1">IFERROR(AVERAGEIF('Preço Soja ESALQ'!$C:$C,'Modelo Soja'!$B15,'Preço Soja ESALQ'!BL:BL),NA())</f>
        <v>161.62699999999998</v>
      </c>
      <c r="T15" s="19" t="e">
        <f ca="1">IFERROR(AVERAGEIF('Preço Soja ESALQ'!$C:$C,'Modelo Soja'!$B15,'Preço Soja ESALQ'!BM:BM),NA())</f>
        <v>#N/A</v>
      </c>
      <c r="U15" s="19">
        <f ca="1">IFERROR(AVERAGEIF('Preço Soja ESALQ'!$C:$C,'Modelo Soja'!$B15,'Preço Soja ESALQ'!BN:BN),NA())</f>
        <v>161.32761904761901</v>
      </c>
      <c r="AA15" s="19">
        <f ca="1">IFERROR(AVERAGEIF('Preço Soja ESALQ'!$C:$C,'Modelo Soja'!$B15,'Preço Soja ESALQ'!BA:BA),NA())</f>
        <v>166.47722222222222</v>
      </c>
      <c r="AB15" s="19">
        <f ca="1">IFERROR(AVERAGEIF('Preço Soja ESALQ'!$C:$C,'Modelo Soja'!$B15,'Preço Soja ESALQ'!BB:BB),NA())</f>
        <v>177.30904761904762</v>
      </c>
      <c r="AC15" s="19">
        <f ca="1">IFERROR(AVERAGEIF('Preço Soja ESALQ'!$C:$C,'Modelo Soja'!$B15,'Preço Soja ESALQ'!BC:BC),NA())</f>
        <v>175.35619047619051</v>
      </c>
      <c r="AD15" s="19">
        <f ca="1">IFERROR(AVERAGEIF('Preço Soja ESALQ'!$C:$C,'Modelo Soja'!$B15,'Preço Soja ESALQ'!BD:BD),NA())</f>
        <v>174.68380952380951</v>
      </c>
      <c r="AE15" s="19">
        <f ca="1">IFERROR(AVERAGEIF('Preço Soja ESALQ'!$C:$C,'Modelo Soja'!$B15,'Preço Soja ESALQ'!BE:BE),NA())</f>
        <v>169.86809523809521</v>
      </c>
      <c r="AF15" s="19">
        <f ca="1">IFERROR(AVERAGEIF('Preço Soja ESALQ'!$C:$C,'Modelo Soja'!$B15,'Preço Soja ESALQ'!BF:BF),NA())</f>
        <v>168.42333333333335</v>
      </c>
      <c r="AG15" s="19">
        <f ca="1">IFERROR(AVERAGEIF('Preço Soja ESALQ'!$C:$C,'Modelo Soja'!$B15,'Preço Soja ESALQ'!BG:BG),NA())</f>
        <v>184.06238095238098</v>
      </c>
      <c r="AH15" s="19">
        <f ca="1">IFERROR(AVERAGEIF('Preço Soja ESALQ'!$C:$C,'Modelo Soja'!$B15,'Preço Soja ESALQ'!AE:AE),NA())</f>
        <v>183.01047619047617</v>
      </c>
      <c r="AI15" s="19">
        <f ca="1">IFERROR(AVERAGEIF('Preço Soja ESALQ'!$C:$C,'Modelo Soja'!$B15,'Preço Soja ESALQ'!AF:AF),NA())</f>
        <v>169.78619047619046</v>
      </c>
      <c r="AJ15" s="24">
        <f>+[2]summary!C27</f>
        <v>179.6652380952381</v>
      </c>
      <c r="AK15" s="24">
        <f t="shared" ca="1" si="2"/>
        <v>164.1051588467169</v>
      </c>
      <c r="AL15" s="24"/>
      <c r="AN15" s="24">
        <f>+[6]FSORPRA!H14</f>
        <v>375.625</v>
      </c>
      <c r="AO15" s="24">
        <f>+[6]FRONPRA!H14</f>
        <v>285</v>
      </c>
      <c r="AP15" s="24">
        <f>VLOOKUP(B15,'Frete ESALQ'!$C$5:$AL$131,36,FALSE)</f>
        <v>74.849999999999994</v>
      </c>
      <c r="AQ15" s="24">
        <f>VLOOKUP(B15,'Frete ESALQ'!$C$5:$AW$131,47,FALSE)</f>
        <v>71.75</v>
      </c>
      <c r="AR15" s="24">
        <f>VLOOKUP(B15,'Frete ESALQ'!$C$5:$BH$131,58,FALSE)</f>
        <v>121.72</v>
      </c>
      <c r="AS15" s="24">
        <f>VLOOKUP(B15,'Frete ESALQ'!$C$5:$BH$131,32,FALSE)</f>
        <v>127.6</v>
      </c>
      <c r="AT15" s="24">
        <f t="shared" si="3"/>
        <v>157.1277380952381</v>
      </c>
      <c r="AU15" s="24">
        <f t="shared" si="4"/>
        <v>162.5652380952381</v>
      </c>
      <c r="AV15" s="24">
        <f t="shared" si="5"/>
        <v>175.17423809523808</v>
      </c>
      <c r="AW15" s="24">
        <f t="shared" si="6"/>
        <v>175.36023809523809</v>
      </c>
      <c r="AX15" s="24">
        <f t="shared" ca="1" si="7"/>
        <v>176.75918095238097</v>
      </c>
      <c r="AY15" s="24">
        <f t="shared" ca="1" si="8"/>
        <v>175.35447619047616</v>
      </c>
      <c r="AZ15">
        <f t="shared" si="9"/>
        <v>1</v>
      </c>
      <c r="BA15" s="17">
        <f t="shared" si="10"/>
        <v>44562</v>
      </c>
      <c r="BB15" s="22">
        <f t="shared" ca="1" si="11"/>
        <v>9.6547619047619264</v>
      </c>
      <c r="BC15" s="22">
        <f t="shared" ca="1" si="12"/>
        <v>8.9014285714285961</v>
      </c>
      <c r="BD15" s="22">
        <f t="shared" ca="1" si="13"/>
        <v>4.7695238095238039</v>
      </c>
      <c r="BE15" s="22">
        <f t="shared" ca="1" si="14"/>
        <v>6.4885714285714471</v>
      </c>
      <c r="BF15" s="22">
        <f t="shared" ca="1" si="15"/>
        <v>7.9057142857142821</v>
      </c>
      <c r="BG15" s="22">
        <f t="shared" ca="1" si="16"/>
        <v>8.9919047619047774</v>
      </c>
      <c r="BH15" s="25">
        <f t="shared" ca="1" si="0"/>
        <v>7.7853174603174722</v>
      </c>
      <c r="BJ15" s="27">
        <f ca="1">+BJ3</f>
        <v>8.4927778943360082</v>
      </c>
      <c r="BL15" s="41">
        <f t="shared" si="18"/>
        <v>365.625</v>
      </c>
      <c r="BM15" s="41">
        <f t="shared" si="19"/>
        <v>157.7277380952381</v>
      </c>
    </row>
    <row r="16" spans="2:65" x14ac:dyDescent="0.3">
      <c r="B16" s="17" t="str">
        <f t="shared" si="1"/>
        <v>20222</v>
      </c>
      <c r="C16" s="17">
        <f t="shared" si="20"/>
        <v>44593</v>
      </c>
      <c r="D16" s="19">
        <f ca="1">IFERROR(AVERAGEIF('Preço Soja ESALQ'!$C:$C,'Modelo Soja'!$B16,'Preço Soja ESALQ'!$R:$R),NA())</f>
        <v>178.27263157894734</v>
      </c>
      <c r="E16" s="19">
        <f ca="1">IFERROR(AVERAGEIF('Preço Soja ESALQ'!$C:$C,'Modelo Soja'!$B16,'Preço Soja ESALQ'!S:S),NA())</f>
        <v>169.05631578947367</v>
      </c>
      <c r="F16" s="19">
        <f ca="1">IFERROR(AVERAGEIF('Preço Soja ESALQ'!$C:$C,'Modelo Soja'!$B16,'Preço Soja ESALQ'!T:T),NA())</f>
        <v>184.48999999999998</v>
      </c>
      <c r="G16" s="19">
        <f ca="1">IFERROR(AVERAGEIF('Preço Soja ESALQ'!$C:$C,'Modelo Soja'!$B16,'Preço Soja ESALQ'!U:U),NA())</f>
        <v>179.76</v>
      </c>
      <c r="H16" s="19">
        <f ca="1">IFERROR(AVERAGEIF('Preço Soja ESALQ'!$C:$C,'Modelo Soja'!$B16,'Preço Soja ESALQ'!V:V),NA())</f>
        <v>177.4957894736842</v>
      </c>
      <c r="I16" s="19">
        <f ca="1">IFERROR(AVERAGEIF('Preço Soja ESALQ'!$C:$C,'Modelo Soja'!$B16,'Preço Soja ESALQ'!W:W),NA())</f>
        <v>185.69315789473683</v>
      </c>
      <c r="J16" s="19">
        <f ca="1">IFERROR(AVERAGEIF('Preço Soja ESALQ'!$C:$C,'Modelo Soja'!$B16,'Preço Soja ESALQ'!X:X),NA())</f>
        <v>192.15315789473689</v>
      </c>
      <c r="K16" s="19">
        <f ca="1">IFERROR(AVERAGEIF('Preço Soja ESALQ'!$C:$C,'Modelo Soja'!$B16,'Preço Soja ESALQ'!Y:Y),NA())</f>
        <v>186.1042105263158</v>
      </c>
      <c r="L16" s="19">
        <f ca="1">IFERROR(AVERAGEIF('Preço Soja ESALQ'!$C:$C,'Modelo Soja'!$B16,'Preço Soja ESALQ'!Z:Z),NA())</f>
        <v>186.49789473684211</v>
      </c>
      <c r="M16" s="19">
        <f ca="1">IFERROR(AVERAGEIF('Preço Soja ESALQ'!$C:$C,'Modelo Soja'!$B16,'Preço Soja ESALQ'!AA:AA),NA())</f>
        <v>180.49210526315792</v>
      </c>
      <c r="N16" s="19">
        <f ca="1">IFERROR(AVERAGEIF('Preço Soja ESALQ'!$C:$C,'Modelo Soja'!$B16,'Preço Soja ESALQ'!AB:AB),NA())</f>
        <v>191.77473684210528</v>
      </c>
      <c r="O16" s="19">
        <f ca="1">IFERROR(AVERAGEIF('Preço Soja ESALQ'!$C:$C,'Modelo Soja'!$B16,'Preço Soja ESALQ'!AC:AC),NA())</f>
        <v>173.17307692307696</v>
      </c>
      <c r="P16" s="19" t="e">
        <f ca="1">IFERROR(AVERAGEIF('Preço Soja ESALQ'!$C:$C,'Modelo Soja'!$B16,'Preço Soja ESALQ'!AD:AD),NA())</f>
        <v>#N/A</v>
      </c>
      <c r="Q16" s="19">
        <f ca="1">IFERROR(AVERAGEIF('Preço Soja ESALQ'!$C:$C,'Modelo Soja'!$B16,'Preço Soja ESALQ'!BI:BI),NA())</f>
        <v>184.69894736842107</v>
      </c>
      <c r="R16" s="19">
        <f ca="1">IFERROR(AVERAGEIF('Preço Soja ESALQ'!$C:$C,'Modelo Soja'!$B16,'Preço Soja ESALQ'!BK:BK),NA())</f>
        <v>183.80625000000001</v>
      </c>
      <c r="S16" s="19">
        <f ca="1">IFERROR(AVERAGEIF('Preço Soja ESALQ'!$C:$C,'Modelo Soja'!$B16,'Preço Soja ESALQ'!BL:BL),NA())</f>
        <v>180.26368421052635</v>
      </c>
      <c r="T16" s="19" t="e">
        <f ca="1">IFERROR(AVERAGEIF('Preço Soja ESALQ'!$C:$C,'Modelo Soja'!$B16,'Preço Soja ESALQ'!BM:BM),NA())</f>
        <v>#N/A</v>
      </c>
      <c r="U16" s="19">
        <f ca="1">IFERROR(AVERAGEIF('Preço Soja ESALQ'!$C:$C,'Modelo Soja'!$B16,'Preço Soja ESALQ'!BN:BN),NA())</f>
        <v>179.36368421052632</v>
      </c>
      <c r="AA16" s="19">
        <f ca="1">IFERROR(AVERAGEIF('Preço Soja ESALQ'!$C:$C,'Modelo Soja'!$B16,'Preço Soja ESALQ'!BA:BA),NA())</f>
        <v>181.20105263157899</v>
      </c>
      <c r="AB16" s="19">
        <f ca="1">IFERROR(AVERAGEIF('Preço Soja ESALQ'!$C:$C,'Modelo Soja'!$B16,'Preço Soja ESALQ'!BB:BB),NA())</f>
        <v>192.25684210526319</v>
      </c>
      <c r="AC16" s="19">
        <f ca="1">IFERROR(AVERAGEIF('Preço Soja ESALQ'!$C:$C,'Modelo Soja'!$B16,'Preço Soja ESALQ'!BC:BC),NA())</f>
        <v>192.11421052631576</v>
      </c>
      <c r="AD16" s="19">
        <f ca="1">IFERROR(AVERAGEIF('Preço Soja ESALQ'!$C:$C,'Modelo Soja'!$B16,'Preço Soja ESALQ'!BD:BD),NA())</f>
        <v>189.49894736842103</v>
      </c>
      <c r="AE16" s="19">
        <f ca="1">IFERROR(AVERAGEIF('Preço Soja ESALQ'!$C:$C,'Modelo Soja'!$B16,'Preço Soja ESALQ'!BE:BE),NA())</f>
        <v>186.18368421052634</v>
      </c>
      <c r="AF16" s="19">
        <f ca="1">IFERROR(AVERAGEIF('Preço Soja ESALQ'!$C:$C,'Modelo Soja'!$B16,'Preço Soja ESALQ'!BF:BF),NA())</f>
        <v>181.84157894736842</v>
      </c>
      <c r="AG16" s="19">
        <f ca="1">IFERROR(AVERAGEIF('Preço Soja ESALQ'!$C:$C,'Modelo Soja'!$B16,'Preço Soja ESALQ'!BG:BG),NA())</f>
        <v>201.24052631578948</v>
      </c>
      <c r="AH16" s="19">
        <f ca="1">IFERROR(AVERAGEIF('Preço Soja ESALQ'!$C:$C,'Modelo Soja'!$B16,'Preço Soja ESALQ'!AE:AE),NA())</f>
        <v>200.35999999999996</v>
      </c>
      <c r="AI16" s="19">
        <f ca="1">IFERROR(AVERAGEIF('Preço Soja ESALQ'!$C:$C,'Modelo Soja'!$B16,'Preço Soja ESALQ'!AF:AF),NA())</f>
        <v>185.99052631578945</v>
      </c>
      <c r="AJ16" s="24">
        <f>+[2]summary!C28</f>
        <v>195.02</v>
      </c>
      <c r="AK16" s="24">
        <f t="shared" ca="1" si="2"/>
        <v>174.66631489603637</v>
      </c>
      <c r="AL16" s="24"/>
      <c r="AN16" s="24">
        <f>+[6]FSORPRA!H15</f>
        <v>396.25</v>
      </c>
      <c r="AO16" s="24">
        <f>+[6]FRONPRA!H15</f>
        <v>293.75</v>
      </c>
      <c r="AP16" s="24">
        <f>VLOOKUP(B16,'Frete ESALQ'!$C$5:$AL$131,36,FALSE)</f>
        <v>99.95</v>
      </c>
      <c r="AQ16" s="24">
        <f>VLOOKUP(B16,'Frete ESALQ'!$C$5:$AW$131,47,FALSE)</f>
        <v>70</v>
      </c>
      <c r="AR16" s="24">
        <f>VLOOKUP(B16,'Frete ESALQ'!$C$5:$BH$131,58,FALSE)</f>
        <v>92.53</v>
      </c>
      <c r="AS16" s="24">
        <f>VLOOKUP(B16,'Frete ESALQ'!$C$5:$BH$131,32,FALSE)</f>
        <v>102.79</v>
      </c>
      <c r="AT16" s="24">
        <f t="shared" si="3"/>
        <v>171.245</v>
      </c>
      <c r="AU16" s="24">
        <f t="shared" si="4"/>
        <v>177.39500000000001</v>
      </c>
      <c r="AV16" s="24">
        <f t="shared" si="5"/>
        <v>189.02300000000002</v>
      </c>
      <c r="AW16" s="24">
        <f t="shared" si="6"/>
        <v>190.82000000000002</v>
      </c>
      <c r="AX16" s="24">
        <f t="shared" ca="1" si="7"/>
        <v>195.68872631578949</v>
      </c>
      <c r="AY16" s="24">
        <f t="shared" ca="1" si="8"/>
        <v>194.19259999999997</v>
      </c>
      <c r="AZ16">
        <f t="shared" si="9"/>
        <v>2</v>
      </c>
      <c r="BA16" s="17">
        <f t="shared" si="10"/>
        <v>44593</v>
      </c>
      <c r="BB16" s="22">
        <f t="shared" ca="1" si="11"/>
        <v>6.5636842105263611</v>
      </c>
      <c r="BC16" s="22">
        <f t="shared" ca="1" si="12"/>
        <v>6.0099999999999625</v>
      </c>
      <c r="BD16" s="22">
        <f t="shared" ca="1" si="13"/>
        <v>5.6915789473684129</v>
      </c>
      <c r="BE16" s="22">
        <f t="shared" ca="1" si="14"/>
        <v>3.5689473684210782</v>
      </c>
      <c r="BF16" s="22">
        <f t="shared" ca="1" si="15"/>
        <v>8.206842105263064</v>
      </c>
      <c r="BG16" s="22">
        <f t="shared" ca="1" si="16"/>
        <v>9.4657894736841968</v>
      </c>
      <c r="BH16" s="25">
        <f t="shared" ca="1" si="0"/>
        <v>6.5844736842105123</v>
      </c>
      <c r="BJ16" s="27">
        <f t="shared" ref="BJ16:BJ65" ca="1" si="21">+BJ4</f>
        <v>5.6099991065627028</v>
      </c>
      <c r="BL16" s="41">
        <f t="shared" si="18"/>
        <v>386.25</v>
      </c>
      <c r="BM16" s="41">
        <f t="shared" si="19"/>
        <v>171.84500000000003</v>
      </c>
    </row>
    <row r="17" spans="2:65" x14ac:dyDescent="0.3">
      <c r="B17" s="17" t="str">
        <f t="shared" si="1"/>
        <v>20223</v>
      </c>
      <c r="C17" s="17">
        <f t="shared" si="20"/>
        <v>44621</v>
      </c>
      <c r="D17" s="19">
        <f ca="1">IFERROR(AVERAGEIF('Preço Soja ESALQ'!$C:$C,'Modelo Soja'!$B17,'Preço Soja ESALQ'!$R:$R),NA())</f>
        <v>181.88090909090911</v>
      </c>
      <c r="E17" s="19">
        <f ca="1">IFERROR(AVERAGEIF('Preço Soja ESALQ'!$C:$C,'Modelo Soja'!$B17,'Preço Soja ESALQ'!S:S),NA())</f>
        <v>171.88772727272729</v>
      </c>
      <c r="F17" s="19">
        <f ca="1">IFERROR(AVERAGEIF('Preço Soja ESALQ'!$C:$C,'Modelo Soja'!$B17,'Preço Soja ESALQ'!T:T),NA())</f>
        <v>189.63454545454545</v>
      </c>
      <c r="G17" s="19" t="e">
        <f ca="1">IFERROR(AVERAGEIF('Preço Soja ESALQ'!$C:$C,'Modelo Soja'!$B17,'Preço Soja ESALQ'!U:U),NA())</f>
        <v>#N/A</v>
      </c>
      <c r="H17" s="19">
        <f ca="1">IFERROR(AVERAGEIF('Preço Soja ESALQ'!$C:$C,'Modelo Soja'!$B17,'Preço Soja ESALQ'!V:V),NA())</f>
        <v>180.18681818181815</v>
      </c>
      <c r="I17" s="19">
        <f ca="1">IFERROR(AVERAGEIF('Preço Soja ESALQ'!$C:$C,'Modelo Soja'!$B17,'Preço Soja ESALQ'!W:W),NA())</f>
        <v>193.20681818181814</v>
      </c>
      <c r="J17" s="19">
        <f ca="1">IFERROR(AVERAGEIF('Preço Soja ESALQ'!$C:$C,'Modelo Soja'!$B17,'Preço Soja ESALQ'!X:X),NA())</f>
        <v>197.81136363636361</v>
      </c>
      <c r="K17" s="19">
        <f ca="1">IFERROR(AVERAGEIF('Preço Soja ESALQ'!$C:$C,'Modelo Soja'!$B17,'Preço Soja ESALQ'!Y:Y),NA())</f>
        <v>191.34545454545452</v>
      </c>
      <c r="L17" s="19">
        <f ca="1">IFERROR(AVERAGEIF('Preço Soja ESALQ'!$C:$C,'Modelo Soja'!$B17,'Preço Soja ESALQ'!Z:Z),NA())</f>
        <v>192.12136363636364</v>
      </c>
      <c r="M17" s="19">
        <f ca="1">IFERROR(AVERAGEIF('Preço Soja ESALQ'!$C:$C,'Modelo Soja'!$B17,'Preço Soja ESALQ'!AA:AA),NA())</f>
        <v>184.23454545454544</v>
      </c>
      <c r="N17" s="19">
        <f ca="1">IFERROR(AVERAGEIF('Preço Soja ESALQ'!$C:$C,'Modelo Soja'!$B17,'Preço Soja ESALQ'!AB:AB),NA())</f>
        <v>197.51000000000002</v>
      </c>
      <c r="O17" s="19">
        <f ca="1">IFERROR(AVERAGEIF('Preço Soja ESALQ'!$C:$C,'Modelo Soja'!$B17,'Preço Soja ESALQ'!AC:AC),NA())</f>
        <v>180.66799999999998</v>
      </c>
      <c r="P17" s="19" t="e">
        <f ca="1">IFERROR(AVERAGEIF('Preço Soja ESALQ'!$C:$C,'Modelo Soja'!$B17,'Preço Soja ESALQ'!AD:AD),NA())</f>
        <v>#N/A</v>
      </c>
      <c r="Q17" s="19">
        <f ca="1">IFERROR(AVERAGEIF('Preço Soja ESALQ'!$C:$C,'Modelo Soja'!$B17,'Preço Soja ESALQ'!BI:BI),NA())</f>
        <v>194.41590909090911</v>
      </c>
      <c r="R17" s="19">
        <f ca="1">IFERROR(AVERAGEIF('Preço Soja ESALQ'!$C:$C,'Modelo Soja'!$B17,'Preço Soja ESALQ'!BK:BK),NA())</f>
        <v>186.76777777777778</v>
      </c>
      <c r="S17" s="19">
        <f ca="1">IFERROR(AVERAGEIF('Preço Soja ESALQ'!$C:$C,'Modelo Soja'!$B17,'Preço Soja ESALQ'!BL:BL),NA())</f>
        <v>185.88590909090905</v>
      </c>
      <c r="T17" s="19" t="e">
        <f ca="1">IFERROR(AVERAGEIF('Preço Soja ESALQ'!$C:$C,'Modelo Soja'!$B17,'Preço Soja ESALQ'!BM:BM),NA())</f>
        <v>#N/A</v>
      </c>
      <c r="U17" s="19">
        <f ca="1">IFERROR(AVERAGEIF('Preço Soja ESALQ'!$C:$C,'Modelo Soja'!$B17,'Preço Soja ESALQ'!BN:BN),NA())</f>
        <v>185.10590909090911</v>
      </c>
      <c r="AA17" s="19">
        <f ca="1">IFERROR(AVERAGEIF('Preço Soja ESALQ'!$C:$C,'Modelo Soja'!$B17,'Preço Soja ESALQ'!BA:BA),NA())</f>
        <v>183.58409090909092</v>
      </c>
      <c r="AB17" s="19">
        <f ca="1">IFERROR(AVERAGEIF('Preço Soja ESALQ'!$C:$C,'Modelo Soja'!$B17,'Preço Soja ESALQ'!BB:BB),NA())</f>
        <v>196.94000000000003</v>
      </c>
      <c r="AC17" s="19">
        <f ca="1">IFERROR(AVERAGEIF('Preço Soja ESALQ'!$C:$C,'Modelo Soja'!$B17,'Preço Soja ESALQ'!BC:BC),NA())</f>
        <v>195.18772727272724</v>
      </c>
      <c r="AD17" s="19">
        <f ca="1">IFERROR(AVERAGEIF('Preço Soja ESALQ'!$C:$C,'Modelo Soja'!$B17,'Preço Soja ESALQ'!BD:BD),NA())</f>
        <v>193.66772727272729</v>
      </c>
      <c r="AE17" s="19">
        <f ca="1">IFERROR(AVERAGEIF('Preço Soja ESALQ'!$C:$C,'Modelo Soja'!$B17,'Preço Soja ESALQ'!BE:BE),NA())</f>
        <v>188.65181818181819</v>
      </c>
      <c r="AF17" s="19">
        <f ca="1">IFERROR(AVERAGEIF('Preço Soja ESALQ'!$C:$C,'Modelo Soja'!$B17,'Preço Soja ESALQ'!BF:BF),NA())</f>
        <v>184.48181818181817</v>
      </c>
      <c r="AG17" s="19">
        <f ca="1">IFERROR(AVERAGEIF('Preço Soja ESALQ'!$C:$C,'Modelo Soja'!$B17,'Preço Soja ESALQ'!BG:BG),NA())</f>
        <v>203.21363636363637</v>
      </c>
      <c r="AH17" s="19">
        <f ca="1">IFERROR(AVERAGEIF('Preço Soja ESALQ'!$C:$C,'Modelo Soja'!$B17,'Preço Soja ESALQ'!AE:AE),NA())</f>
        <v>202.68409090909091</v>
      </c>
      <c r="AI17" s="19">
        <f ca="1">IFERROR(AVERAGEIF('Preço Soja ESALQ'!$C:$C,'Modelo Soja'!$B17,'Preço Soja ESALQ'!AF:AF),NA())</f>
        <v>190.23909090909092</v>
      </c>
      <c r="AJ17" s="24">
        <f>+[2]summary!C29</f>
        <v>199.60227272727272</v>
      </c>
      <c r="AK17" s="24">
        <f t="shared" ca="1" si="2"/>
        <v>176.62106081854836</v>
      </c>
      <c r="AL17" s="24"/>
      <c r="AN17" s="24">
        <f>+[6]FSORPRA!H16</f>
        <v>420.625</v>
      </c>
      <c r="AO17" s="24">
        <f>+[6]FRONPRA!H16</f>
        <v>320</v>
      </c>
      <c r="AP17" s="24">
        <f>VLOOKUP(B17,'Frete ESALQ'!$C$5:$AL$131,36,FALSE)</f>
        <v>146.59</v>
      </c>
      <c r="AQ17" s="24">
        <f>VLOOKUP(B17,'Frete ESALQ'!$C$5:$AW$131,47,FALSE)</f>
        <v>118.4</v>
      </c>
      <c r="AR17" s="24">
        <f>VLOOKUP(B17,'Frete ESALQ'!$C$5:$BH$131,58,FALSE)</f>
        <v>102.63</v>
      </c>
      <c r="AS17" s="24">
        <f>VLOOKUP(B17,'Frete ESALQ'!$C$5:$BH$131,32,FALSE)</f>
        <v>110.96</v>
      </c>
      <c r="AT17" s="24">
        <f t="shared" si="3"/>
        <v>174.36477272727271</v>
      </c>
      <c r="AU17" s="24">
        <f t="shared" si="4"/>
        <v>180.40227272727273</v>
      </c>
      <c r="AV17" s="24">
        <f t="shared" si="5"/>
        <v>190.80687272727272</v>
      </c>
      <c r="AW17" s="24">
        <f t="shared" si="6"/>
        <v>192.49827272727271</v>
      </c>
      <c r="AX17" s="24">
        <f t="shared" ca="1" si="7"/>
        <v>197.05583636363636</v>
      </c>
      <c r="AY17" s="24">
        <f t="shared" ca="1" si="8"/>
        <v>196.02649090909091</v>
      </c>
      <c r="AZ17">
        <f t="shared" si="9"/>
        <v>3</v>
      </c>
      <c r="BA17" s="17">
        <f t="shared" si="10"/>
        <v>44621</v>
      </c>
      <c r="BB17" s="22">
        <f t="shared" ca="1" si="11"/>
        <v>3.7331818181818903</v>
      </c>
      <c r="BC17" s="22">
        <f t="shared" ca="1" si="12"/>
        <v>3.8422727272727286</v>
      </c>
      <c r="BD17" s="22">
        <f t="shared" ca="1" si="13"/>
        <v>4.4172727272727457</v>
      </c>
      <c r="BE17" s="22">
        <f t="shared" ca="1" si="14"/>
        <v>2.600909090909056</v>
      </c>
      <c r="BF17" s="22">
        <f t="shared" ca="1" si="15"/>
        <v>4.8727272727273032</v>
      </c>
      <c r="BG17" s="22">
        <f t="shared" ca="1" si="16"/>
        <v>5.703636363636349</v>
      </c>
      <c r="BH17" s="25">
        <f t="shared" ca="1" si="0"/>
        <v>4.1950000000000118</v>
      </c>
      <c r="BJ17" s="27">
        <f t="shared" ca="1" si="21"/>
        <v>4.7333335458210737</v>
      </c>
      <c r="BL17" s="41">
        <f t="shared" si="18"/>
        <v>410.625</v>
      </c>
      <c r="BM17" s="41">
        <f t="shared" si="19"/>
        <v>174.9647727272727</v>
      </c>
    </row>
    <row r="18" spans="2:65" x14ac:dyDescent="0.3">
      <c r="B18" s="17" t="str">
        <f t="shared" si="1"/>
        <v>20224</v>
      </c>
      <c r="C18" s="17">
        <f t="shared" si="20"/>
        <v>44652</v>
      </c>
      <c r="D18" s="19">
        <f ca="1">IFERROR(AVERAGEIF('Preço Soja ESALQ'!$C:$C,'Modelo Soja'!$B18,'Preço Soja ESALQ'!$R:$R),NA())</f>
        <v>166.51473684210524</v>
      </c>
      <c r="E18" s="19">
        <f ca="1">IFERROR(AVERAGEIF('Preço Soja ESALQ'!$C:$C,'Modelo Soja'!$B18,'Preço Soja ESALQ'!S:S),NA())</f>
        <v>158.18157894736842</v>
      </c>
      <c r="F18" s="19">
        <f ca="1">IFERROR(AVERAGEIF('Preço Soja ESALQ'!$C:$C,'Modelo Soja'!$B18,'Preço Soja ESALQ'!T:T),NA())</f>
        <v>173.30263157894734</v>
      </c>
      <c r="G18" s="19" t="e">
        <f ca="1">IFERROR(AVERAGEIF('Preço Soja ESALQ'!$C:$C,'Modelo Soja'!$B18,'Preço Soja ESALQ'!U:U),NA())</f>
        <v>#N/A</v>
      </c>
      <c r="H18" s="19">
        <f ca="1">IFERROR(AVERAGEIF('Preço Soja ESALQ'!$C:$C,'Modelo Soja'!$B18,'Preço Soja ESALQ'!V:V),NA())</f>
        <v>162.63210526315785</v>
      </c>
      <c r="I18" s="19">
        <f ca="1">IFERROR(AVERAGEIF('Preço Soja ESALQ'!$C:$C,'Modelo Soja'!$B18,'Preço Soja ESALQ'!W:W),NA())</f>
        <v>175.62210526315789</v>
      </c>
      <c r="J18" s="19">
        <f ca="1">IFERROR(AVERAGEIF('Preço Soja ESALQ'!$C:$C,'Modelo Soja'!$B18,'Preço Soja ESALQ'!X:X),NA())</f>
        <v>181.08263157894737</v>
      </c>
      <c r="K18" s="19">
        <f ca="1">IFERROR(AVERAGEIF('Preço Soja ESALQ'!$C:$C,'Modelo Soja'!$B18,'Preço Soja ESALQ'!Y:Y),NA())</f>
        <v>172.79526315789474</v>
      </c>
      <c r="L18" s="19">
        <f ca="1">IFERROR(AVERAGEIF('Preço Soja ESALQ'!$C:$C,'Modelo Soja'!$B18,'Preço Soja ESALQ'!Z:Z),NA())</f>
        <v>172.94210526315788</v>
      </c>
      <c r="M18" s="19">
        <f ca="1">IFERROR(AVERAGEIF('Preço Soja ESALQ'!$C:$C,'Modelo Soja'!$B18,'Preço Soja ESALQ'!AA:AA),NA())</f>
        <v>168.90736842105264</v>
      </c>
      <c r="N18" s="19">
        <f ca="1">IFERROR(AVERAGEIF('Preço Soja ESALQ'!$C:$C,'Modelo Soja'!$B18,'Preço Soja ESALQ'!AB:AB),NA())</f>
        <v>180.85210526315791</v>
      </c>
      <c r="O18" s="19" t="e">
        <f ca="1">IFERROR(AVERAGEIF('Preço Soja ESALQ'!$C:$C,'Modelo Soja'!$B18,'Preço Soja ESALQ'!AC:AC),NA())</f>
        <v>#N/A</v>
      </c>
      <c r="P18" s="19">
        <f ca="1">IFERROR(AVERAGEIF('Preço Soja ESALQ'!$C:$C,'Modelo Soja'!$B18,'Preço Soja ESALQ'!AD:AD),NA())</f>
        <v>187.67</v>
      </c>
      <c r="Q18" s="19">
        <f ca="1">IFERROR(AVERAGEIF('Preço Soja ESALQ'!$C:$C,'Modelo Soja'!$B18,'Preço Soja ESALQ'!BI:BI),NA())</f>
        <v>176.04210526315785</v>
      </c>
      <c r="R18" s="19">
        <f ca="1">IFERROR(AVERAGEIF('Preço Soja ESALQ'!$C:$C,'Modelo Soja'!$B18,'Preço Soja ESALQ'!BK:BK),NA())</f>
        <v>163.89250000000001</v>
      </c>
      <c r="S18" s="19">
        <f ca="1">IFERROR(AVERAGEIF('Preço Soja ESALQ'!$C:$C,'Modelo Soja'!$B18,'Preço Soja ESALQ'!BL:BL),NA())</f>
        <v>168.35526315789474</v>
      </c>
      <c r="T18" s="19" t="e">
        <f ca="1">IFERROR(AVERAGEIF('Preço Soja ESALQ'!$C:$C,'Modelo Soja'!$B18,'Preço Soja ESALQ'!BM:BM),NA())</f>
        <v>#N/A</v>
      </c>
      <c r="U18" s="19">
        <f ca="1">IFERROR(AVERAGEIF('Preço Soja ESALQ'!$C:$C,'Modelo Soja'!$B18,'Preço Soja ESALQ'!BN:BN),NA())</f>
        <v>167.92105263157896</v>
      </c>
      <c r="AA18" s="19">
        <f ca="1">IFERROR(AVERAGEIF('Preço Soja ESALQ'!$C:$C,'Modelo Soja'!$B18,'Preço Soja ESALQ'!BA:BA),NA())</f>
        <v>166.62052631578948</v>
      </c>
      <c r="AB18" s="19">
        <f ca="1">IFERROR(AVERAGEIF('Preço Soja ESALQ'!$C:$C,'Modelo Soja'!$B18,'Preço Soja ESALQ'!BB:BB),NA())</f>
        <v>183.36105263157893</v>
      </c>
      <c r="AC18" s="19">
        <f ca="1">IFERROR(AVERAGEIF('Preço Soja ESALQ'!$C:$C,'Modelo Soja'!$B18,'Preço Soja ESALQ'!BC:BC),NA())</f>
        <v>180.02578947368426</v>
      </c>
      <c r="AD18" s="19">
        <f ca="1">IFERROR(AVERAGEIF('Preço Soja ESALQ'!$C:$C,'Modelo Soja'!$B18,'Preço Soja ESALQ'!BD:BD),NA())</f>
        <v>180.4105263157895</v>
      </c>
      <c r="AE18" s="19">
        <f ca="1">IFERROR(AVERAGEIF('Preço Soja ESALQ'!$C:$C,'Modelo Soja'!$B18,'Preço Soja ESALQ'!BE:BE),NA())</f>
        <v>173.94368421052633</v>
      </c>
      <c r="AF18" s="19">
        <f ca="1">IFERROR(AVERAGEIF('Preço Soja ESALQ'!$C:$C,'Modelo Soja'!$B18,'Preço Soja ESALQ'!BF:BF),NA())</f>
        <v>170.17684210526312</v>
      </c>
      <c r="AG18" s="19">
        <f ca="1">IFERROR(AVERAGEIF('Preço Soja ESALQ'!$C:$C,'Modelo Soja'!$B18,'Preço Soja ESALQ'!BG:BG),NA())</f>
        <v>187.00157894736842</v>
      </c>
      <c r="AH18" s="19">
        <f ca="1">IFERROR(AVERAGEIF('Preço Soja ESALQ'!$C:$C,'Modelo Soja'!$B18,'Preço Soja ESALQ'!AE:AE),NA())</f>
        <v>186.4515789473684</v>
      </c>
      <c r="AI18" s="19">
        <f ca="1">IFERROR(AVERAGEIF('Preço Soja ESALQ'!$C:$C,'Modelo Soja'!$B18,'Preço Soja ESALQ'!AF:AF),NA())</f>
        <v>175.76631578947368</v>
      </c>
      <c r="AJ18" s="24">
        <f>+[2]summary!C30</f>
        <v>186.36210526315796</v>
      </c>
      <c r="AK18" s="24">
        <f t="shared" ca="1" si="2"/>
        <v>163.59048004607479</v>
      </c>
      <c r="AL18" s="24"/>
      <c r="AN18" s="24">
        <f>+[6]FSORPRA!H17</f>
        <v>474.4</v>
      </c>
      <c r="AO18" s="24">
        <f>+[6]FRONPRA!H17</f>
        <v>317</v>
      </c>
      <c r="AP18" s="24">
        <f>VLOOKUP(B18,'Frete ESALQ'!$C$5:$AL$131,36,FALSE)</f>
        <v>127.59</v>
      </c>
      <c r="AQ18" s="24">
        <f>VLOOKUP(B18,'Frete ESALQ'!$C$5:$AW$131,47,FALSE)</f>
        <v>105.25</v>
      </c>
      <c r="AR18" s="24">
        <f>VLOOKUP(B18,'Frete ESALQ'!$C$5:$BH$131,58,FALSE)</f>
        <v>99.55</v>
      </c>
      <c r="AS18" s="24">
        <f>VLOOKUP(B18,'Frete ESALQ'!$C$5:$BH$131,32,FALSE)</f>
        <v>107.48</v>
      </c>
      <c r="AT18" s="24">
        <f t="shared" si="3"/>
        <v>157.89810526315796</v>
      </c>
      <c r="AU18" s="24">
        <f t="shared" si="4"/>
        <v>167.34210526315795</v>
      </c>
      <c r="AV18" s="24">
        <f t="shared" si="5"/>
        <v>178.70670526315797</v>
      </c>
      <c r="AW18" s="24">
        <f t="shared" si="6"/>
        <v>180.04710526315796</v>
      </c>
      <c r="AX18" s="24">
        <f t="shared" ca="1" si="7"/>
        <v>181.0285789473684</v>
      </c>
      <c r="AY18" s="24">
        <f t="shared" ca="1" si="8"/>
        <v>180.0027789473684</v>
      </c>
      <c r="AZ18">
        <f t="shared" si="9"/>
        <v>4</v>
      </c>
      <c r="BA18" s="17">
        <f t="shared" si="10"/>
        <v>44652</v>
      </c>
      <c r="BB18" s="22">
        <f t="shared" ca="1" si="11"/>
        <v>7.7389473684210373</v>
      </c>
      <c r="BC18" s="22">
        <f t="shared" ca="1" si="12"/>
        <v>7.2305263157895183</v>
      </c>
      <c r="BD18" s="22">
        <f t="shared" ca="1" si="13"/>
        <v>5.0363157894736901</v>
      </c>
      <c r="BE18" s="22">
        <f t="shared" ca="1" si="14"/>
        <v>3.6621052631578834</v>
      </c>
      <c r="BF18" s="22">
        <f t="shared" ca="1" si="15"/>
        <v>5.3689473684210327</v>
      </c>
      <c r="BG18" s="22">
        <f t="shared" ca="1" si="16"/>
        <v>6.1494736842105056</v>
      </c>
      <c r="BH18" s="25">
        <f t="shared" ca="1" si="0"/>
        <v>5.8643859649122776</v>
      </c>
      <c r="BJ18" s="27">
        <f t="shared" ca="1" si="21"/>
        <v>5.4089010987063633</v>
      </c>
      <c r="BL18" s="41">
        <f t="shared" si="18"/>
        <v>464.4</v>
      </c>
      <c r="BM18" s="41">
        <f t="shared" si="19"/>
        <v>158.49810526315795</v>
      </c>
    </row>
    <row r="19" spans="2:65" x14ac:dyDescent="0.3">
      <c r="B19" s="17" t="str">
        <f t="shared" si="1"/>
        <v>20225</v>
      </c>
      <c r="C19" s="17">
        <f t="shared" si="20"/>
        <v>44682</v>
      </c>
      <c r="D19" s="19">
        <f ca="1">IFERROR(AVERAGEIF('Preço Soja ESALQ'!$C:$C,'Modelo Soja'!$B19,'Preço Soja ESALQ'!$R:$R),NA())</f>
        <v>174.50136363636364</v>
      </c>
      <c r="E19" s="19">
        <f ca="1">IFERROR(AVERAGEIF('Preço Soja ESALQ'!$C:$C,'Modelo Soja'!$B19,'Preço Soja ESALQ'!S:S),NA())</f>
        <v>161.64045454545453</v>
      </c>
      <c r="F19" s="19">
        <f ca="1">IFERROR(AVERAGEIF('Preço Soja ESALQ'!$C:$C,'Modelo Soja'!$B19,'Preço Soja ESALQ'!T:T),NA())</f>
        <v>179.90954545454545</v>
      </c>
      <c r="G19" s="19" t="e">
        <f ca="1">IFERROR(AVERAGEIF('Preço Soja ESALQ'!$C:$C,'Modelo Soja'!$B19,'Preço Soja ESALQ'!U:U),NA())</f>
        <v>#N/A</v>
      </c>
      <c r="H19" s="19">
        <f ca="1">IFERROR(AVERAGEIF('Preço Soja ESALQ'!$C:$C,'Modelo Soja'!$B19,'Preço Soja ESALQ'!V:V),NA())</f>
        <v>168.375</v>
      </c>
      <c r="I19" s="19">
        <f ca="1">IFERROR(AVERAGEIF('Preço Soja ESALQ'!$C:$C,'Modelo Soja'!$B19,'Preço Soja ESALQ'!W:W),NA())</f>
        <v>181.14818181818183</v>
      </c>
      <c r="J19" s="19">
        <f ca="1">IFERROR(AVERAGEIF('Preço Soja ESALQ'!$C:$C,'Modelo Soja'!$B19,'Preço Soja ESALQ'!X:X),NA())</f>
        <v>184.02954545454543</v>
      </c>
      <c r="K19" s="19">
        <f ca="1">IFERROR(AVERAGEIF('Preço Soja ESALQ'!$C:$C,'Modelo Soja'!$B19,'Preço Soja ESALQ'!Y:Y),NA())</f>
        <v>177.66818181818186</v>
      </c>
      <c r="L19" s="19">
        <f ca="1">IFERROR(AVERAGEIF('Preço Soja ESALQ'!$C:$C,'Modelo Soja'!$B19,'Preço Soja ESALQ'!Z:Z),NA())</f>
        <v>177.72499999999999</v>
      </c>
      <c r="M19" s="19">
        <f ca="1">IFERROR(AVERAGEIF('Preço Soja ESALQ'!$C:$C,'Modelo Soja'!$B19,'Preço Soja ESALQ'!AA:AA),NA())</f>
        <v>177.18454545454543</v>
      </c>
      <c r="N19" s="19">
        <f ca="1">IFERROR(AVERAGEIF('Preço Soja ESALQ'!$C:$C,'Modelo Soja'!$B19,'Preço Soja ESALQ'!AB:AB),NA())</f>
        <v>183.38954545454541</v>
      </c>
      <c r="O19" s="19" t="e">
        <f ca="1">IFERROR(AVERAGEIF('Preço Soja ESALQ'!$C:$C,'Modelo Soja'!$B19,'Preço Soja ESALQ'!AC:AC),NA())</f>
        <v>#N/A</v>
      </c>
      <c r="P19" s="19" t="e">
        <f ca="1">IFERROR(AVERAGEIF('Preço Soja ESALQ'!$C:$C,'Modelo Soja'!$B19,'Preço Soja ESALQ'!AD:AD),NA())</f>
        <v>#N/A</v>
      </c>
      <c r="Q19" s="19">
        <f ca="1">IFERROR(AVERAGEIF('Preço Soja ESALQ'!$C:$C,'Modelo Soja'!$B19,'Preço Soja ESALQ'!BI:BI),NA())</f>
        <v>182.2477272727273</v>
      </c>
      <c r="R19" s="19" t="e">
        <f ca="1">IFERROR(AVERAGEIF('Preço Soja ESALQ'!$C:$C,'Modelo Soja'!$B19,'Preço Soja ESALQ'!BK:BK),NA())</f>
        <v>#N/A</v>
      </c>
      <c r="S19" s="19">
        <f ca="1">IFERROR(AVERAGEIF('Preço Soja ESALQ'!$C:$C,'Modelo Soja'!$B19,'Preço Soja ESALQ'!BL:BL),NA())</f>
        <v>172.35636363636365</v>
      </c>
      <c r="T19" s="19" t="e">
        <f ca="1">IFERROR(AVERAGEIF('Preço Soja ESALQ'!$C:$C,'Modelo Soja'!$B19,'Preço Soja ESALQ'!BM:BM),NA())</f>
        <v>#N/A</v>
      </c>
      <c r="U19" s="19">
        <f ca="1">IFERROR(AVERAGEIF('Preço Soja ESALQ'!$C:$C,'Modelo Soja'!$B19,'Preço Soja ESALQ'!BN:BN),NA())</f>
        <v>172.19272727272727</v>
      </c>
      <c r="AA19" s="19">
        <f ca="1">IFERROR(AVERAGEIF('Preço Soja ESALQ'!$C:$C,'Modelo Soja'!$B19,'Preço Soja ESALQ'!BA:BA),NA())</f>
        <v>173.76409090909092</v>
      </c>
      <c r="AB19" s="19">
        <f ca="1">IFERROR(AVERAGEIF('Preço Soja ESALQ'!$C:$C,'Modelo Soja'!$B19,'Preço Soja ESALQ'!BB:BB),NA())</f>
        <v>189.33181818181819</v>
      </c>
      <c r="AC19" s="19">
        <f ca="1">IFERROR(AVERAGEIF('Preço Soja ESALQ'!$C:$C,'Modelo Soja'!$B19,'Preço Soja ESALQ'!BC:BC),NA())</f>
        <v>187.32136363636363</v>
      </c>
      <c r="AD19" s="19">
        <f ca="1">IFERROR(AVERAGEIF('Preço Soja ESALQ'!$C:$C,'Modelo Soja'!$B19,'Preço Soja ESALQ'!BD:BD),NA())</f>
        <v>187.31454545454545</v>
      </c>
      <c r="AE19" s="19">
        <f ca="1">IFERROR(AVERAGEIF('Preço Soja ESALQ'!$C:$C,'Modelo Soja'!$B19,'Preço Soja ESALQ'!BE:BE),NA())</f>
        <v>182.03954545454545</v>
      </c>
      <c r="AF19" s="19">
        <f ca="1">IFERROR(AVERAGEIF('Preço Soja ESALQ'!$C:$C,'Modelo Soja'!$B19,'Preço Soja ESALQ'!BF:BF),NA())</f>
        <v>178.26272727272726</v>
      </c>
      <c r="AG19" s="19">
        <f ca="1">IFERROR(AVERAGEIF('Preço Soja ESALQ'!$C:$C,'Modelo Soja'!$B19,'Preço Soja ESALQ'!BG:BG),NA())</f>
        <v>192.21454545454546</v>
      </c>
      <c r="AH19" s="19">
        <f ca="1">IFERROR(AVERAGEIF('Preço Soja ESALQ'!$C:$C,'Modelo Soja'!$B19,'Preço Soja ESALQ'!AE:AE),NA())</f>
        <v>191.71000000000004</v>
      </c>
      <c r="AI19" s="19">
        <f ca="1">IFERROR(AVERAGEIF('Preço Soja ESALQ'!$C:$C,'Modelo Soja'!$B19,'Preço Soja ESALQ'!AF:AF),NA())</f>
        <v>182.53545454545454</v>
      </c>
      <c r="AJ19" s="24">
        <f>+[2]summary!C31</f>
        <v>193.38090909090914</v>
      </c>
      <c r="AK19" s="24">
        <f t="shared" ca="1" si="2"/>
        <v>168.76047258297257</v>
      </c>
      <c r="AL19" s="24"/>
      <c r="AN19" s="24">
        <f>+[6]FSORPRA!H18</f>
        <v>465</v>
      </c>
      <c r="AO19" s="24">
        <f>+[6]FRONPRA!H18</f>
        <v>330</v>
      </c>
      <c r="AP19" s="24">
        <f>VLOOKUP(B19,'Frete ESALQ'!$C$5:$AL$131,36,FALSE)</f>
        <v>127.5</v>
      </c>
      <c r="AQ19" s="24">
        <f>VLOOKUP(B19,'Frete ESALQ'!$C$5:$AW$131,47,FALSE)</f>
        <v>109.2</v>
      </c>
      <c r="AR19" s="24">
        <f>VLOOKUP(B19,'Frete ESALQ'!$C$5:$BH$131,58,FALSE)</f>
        <v>122.4</v>
      </c>
      <c r="AS19" s="24">
        <f>VLOOKUP(B19,'Frete ESALQ'!$C$5:$BH$131,32,FALSE)</f>
        <v>130.56</v>
      </c>
      <c r="AT19" s="24">
        <f t="shared" si="3"/>
        <v>165.48090909090914</v>
      </c>
      <c r="AU19" s="24">
        <f t="shared" si="4"/>
        <v>173.58090909090913</v>
      </c>
      <c r="AV19" s="24">
        <f t="shared" si="5"/>
        <v>185.73090909090914</v>
      </c>
      <c r="AW19" s="24">
        <f t="shared" si="6"/>
        <v>186.82890909090915</v>
      </c>
      <c r="AX19" s="24">
        <f t="shared" ca="1" si="7"/>
        <v>184.87054545454546</v>
      </c>
      <c r="AY19" s="24">
        <f t="shared" ca="1" si="8"/>
        <v>183.87640000000005</v>
      </c>
      <c r="AZ19">
        <f t="shared" si="9"/>
        <v>5</v>
      </c>
      <c r="BA19" s="17">
        <f t="shared" si="10"/>
        <v>44682</v>
      </c>
      <c r="BB19" s="22">
        <f t="shared" ca="1" si="11"/>
        <v>8.1836363636363672</v>
      </c>
      <c r="BC19" s="22">
        <f t="shared" ca="1" si="12"/>
        <v>9.6531818181817641</v>
      </c>
      <c r="BD19" s="22">
        <f t="shared" ca="1" si="13"/>
        <v>4.8550000000000182</v>
      </c>
      <c r="BE19" s="22">
        <f t="shared" ca="1" si="14"/>
        <v>3.761363636363626</v>
      </c>
      <c r="BF19" s="22">
        <f t="shared" ca="1" si="15"/>
        <v>7.6804545454546087</v>
      </c>
      <c r="BG19" s="22">
        <f t="shared" ca="1" si="16"/>
        <v>8.8250000000000455</v>
      </c>
      <c r="BH19" s="25">
        <f t="shared" ca="1" si="0"/>
        <v>7.1597727272727383</v>
      </c>
      <c r="BJ19" s="27">
        <f t="shared" ca="1" si="21"/>
        <v>7.1200180375180384</v>
      </c>
      <c r="BL19" s="41">
        <f t="shared" si="18"/>
        <v>455</v>
      </c>
      <c r="BM19" s="41">
        <f t="shared" si="19"/>
        <v>166.08090909090913</v>
      </c>
    </row>
    <row r="20" spans="2:65" x14ac:dyDescent="0.3">
      <c r="B20" s="17" t="str">
        <f t="shared" si="1"/>
        <v>20226</v>
      </c>
      <c r="C20" s="17">
        <f t="shared" si="20"/>
        <v>44713</v>
      </c>
      <c r="D20" s="19">
        <f ca="1">IFERROR(AVERAGEIF('Preço Soja ESALQ'!$C:$C,'Modelo Soja'!$B20,'Preço Soja ESALQ'!$R:$R),NA())</f>
        <v>171.45428571428567</v>
      </c>
      <c r="E20" s="19">
        <f ca="1">IFERROR(AVERAGEIF('Preço Soja ESALQ'!$C:$C,'Modelo Soja'!$B20,'Preço Soja ESALQ'!S:S),NA())</f>
        <v>157.58904761904759</v>
      </c>
      <c r="F20" s="19">
        <f ca="1">IFERROR(AVERAGEIF('Preço Soja ESALQ'!$C:$C,'Modelo Soja'!$B20,'Preço Soja ESALQ'!T:T),NA())</f>
        <v>178.71333333333331</v>
      </c>
      <c r="G20" s="19" t="e">
        <f ca="1">IFERROR(AVERAGEIF('Preço Soja ESALQ'!$C:$C,'Modelo Soja'!$B20,'Preço Soja ESALQ'!U:U),NA())</f>
        <v>#N/A</v>
      </c>
      <c r="H20" s="19">
        <f ca="1">IFERROR(AVERAGEIF('Preço Soja ESALQ'!$C:$C,'Modelo Soja'!$B20,'Preço Soja ESALQ'!V:V),NA())</f>
        <v>166.27904761904762</v>
      </c>
      <c r="I20" s="19">
        <f ca="1">IFERROR(AVERAGEIF('Preço Soja ESALQ'!$C:$C,'Modelo Soja'!$B20,'Preço Soja ESALQ'!W:W),NA())</f>
        <v>180.32761904761904</v>
      </c>
      <c r="J20" s="19">
        <f ca="1">IFERROR(AVERAGEIF('Preço Soja ESALQ'!$C:$C,'Modelo Soja'!$B20,'Preço Soja ESALQ'!X:X),NA())</f>
        <v>180.51476190476191</v>
      </c>
      <c r="K20" s="19">
        <f ca="1">IFERROR(AVERAGEIF('Preço Soja ESALQ'!$C:$C,'Modelo Soja'!$B20,'Preço Soja ESALQ'!Y:Y),NA())</f>
        <v>175.31380952380951</v>
      </c>
      <c r="L20" s="19">
        <f ca="1">IFERROR(AVERAGEIF('Preço Soja ESALQ'!$C:$C,'Modelo Soja'!$B20,'Preço Soja ESALQ'!Z:Z),NA())</f>
        <v>171.87095238095236</v>
      </c>
      <c r="M20" s="19">
        <f ca="1">IFERROR(AVERAGEIF('Preço Soja ESALQ'!$C:$C,'Modelo Soja'!$B20,'Preço Soja ESALQ'!AA:AA),NA())</f>
        <v>174.62809523809526</v>
      </c>
      <c r="N20" s="19">
        <f ca="1">IFERROR(AVERAGEIF('Preço Soja ESALQ'!$C:$C,'Modelo Soja'!$B20,'Preço Soja ESALQ'!AB:AB),NA())</f>
        <v>179.90666666666664</v>
      </c>
      <c r="O20" s="19" t="e">
        <f ca="1">IFERROR(AVERAGEIF('Preço Soja ESALQ'!$C:$C,'Modelo Soja'!$B20,'Preço Soja ESALQ'!AC:AC),NA())</f>
        <v>#N/A</v>
      </c>
      <c r="P20" s="19" t="e">
        <f ca="1">IFERROR(AVERAGEIF('Preço Soja ESALQ'!$C:$C,'Modelo Soja'!$B20,'Preço Soja ESALQ'!AD:AD),NA())</f>
        <v>#N/A</v>
      </c>
      <c r="Q20" s="19">
        <f ca="1">IFERROR(AVERAGEIF('Preço Soja ESALQ'!$C:$C,'Modelo Soja'!$B20,'Preço Soja ESALQ'!BI:BI),NA())</f>
        <v>180.67142857142855</v>
      </c>
      <c r="R20" s="19">
        <f ca="1">IFERROR(AVERAGEIF('Preço Soja ESALQ'!$C:$C,'Modelo Soja'!$B20,'Preço Soja ESALQ'!BK:BK),NA())</f>
        <v>170.3133333333333</v>
      </c>
      <c r="S20" s="19">
        <f ca="1">IFERROR(AVERAGEIF('Preço Soja ESALQ'!$C:$C,'Modelo Soja'!$B20,'Preço Soja ESALQ'!BL:BL),NA())</f>
        <v>170.66047619047617</v>
      </c>
      <c r="T20" s="19" t="e">
        <f ca="1">IFERROR(AVERAGEIF('Preço Soja ESALQ'!$C:$C,'Modelo Soja'!$B20,'Preço Soja ESALQ'!BM:BM),NA())</f>
        <v>#N/A</v>
      </c>
      <c r="U20" s="19">
        <f ca="1">IFERROR(AVERAGEIF('Preço Soja ESALQ'!$C:$C,'Modelo Soja'!$B20,'Preço Soja ESALQ'!BN:BN),NA())</f>
        <v>170.16</v>
      </c>
      <c r="AA20" s="19">
        <f ca="1">IFERROR(AVERAGEIF('Preço Soja ESALQ'!$C:$C,'Modelo Soja'!$B20,'Preço Soja ESALQ'!BA:BA),NA())</f>
        <v>171.58238095238093</v>
      </c>
      <c r="AB20" s="19">
        <f ca="1">IFERROR(AVERAGEIF('Preço Soja ESALQ'!$C:$C,'Modelo Soja'!$B20,'Preço Soja ESALQ'!BB:BB),NA())</f>
        <v>190.44238095238094</v>
      </c>
      <c r="AC20" s="19">
        <f ca="1">IFERROR(AVERAGEIF('Preço Soja ESALQ'!$C:$C,'Modelo Soja'!$B20,'Preço Soja ESALQ'!BC:BC),NA())</f>
        <v>187.9942857142857</v>
      </c>
      <c r="AD20" s="19">
        <f ca="1">IFERROR(AVERAGEIF('Preço Soja ESALQ'!$C:$C,'Modelo Soja'!$B20,'Preço Soja ESALQ'!BD:BD),NA())</f>
        <v>187.74238095238096</v>
      </c>
      <c r="AE20" s="19">
        <f ca="1">IFERROR(AVERAGEIF('Preço Soja ESALQ'!$C:$C,'Modelo Soja'!$B20,'Preço Soja ESALQ'!BE:BE),NA())</f>
        <v>179.52476190476187</v>
      </c>
      <c r="AF20" s="19">
        <f ca="1">IFERROR(AVERAGEIF('Preço Soja ESALQ'!$C:$C,'Modelo Soja'!$B20,'Preço Soja ESALQ'!BF:BF),NA())</f>
        <v>176.38523809523815</v>
      </c>
      <c r="AG20" s="19">
        <f ca="1">IFERROR(AVERAGEIF('Preço Soja ESALQ'!$C:$C,'Modelo Soja'!$B20,'Preço Soja ESALQ'!BG:BG),NA())</f>
        <v>190.38523809523809</v>
      </c>
      <c r="AH20" s="19">
        <f ca="1">IFERROR(AVERAGEIF('Preço Soja ESALQ'!$C:$C,'Modelo Soja'!$B20,'Preço Soja ESALQ'!AE:AE),NA())</f>
        <v>188.76619047619045</v>
      </c>
      <c r="AI20" s="19">
        <f ca="1">IFERROR(AVERAGEIF('Preço Soja ESALQ'!$C:$C,'Modelo Soja'!$B20,'Preço Soja ESALQ'!AF:AF),NA())</f>
        <v>183.74904761904759</v>
      </c>
      <c r="AJ20" s="24">
        <f>+[2]summary!C32</f>
        <v>194.96952380952379</v>
      </c>
      <c r="AK20" s="24">
        <f t="shared" ca="1" si="2"/>
        <v>165.49630634920632</v>
      </c>
      <c r="AL20" s="24"/>
      <c r="AN20" s="24">
        <f>+[6]FSORPRA!H19</f>
        <v>535</v>
      </c>
      <c r="AO20" s="24">
        <f>+[6]FRONPRA!H19</f>
        <v>373.75</v>
      </c>
      <c r="AP20" s="24">
        <f>VLOOKUP(B20,'Frete ESALQ'!$C$5:$AL$131,36,FALSE)</f>
        <v>110</v>
      </c>
      <c r="AQ20" s="24">
        <f>VLOOKUP(B20,'Frete ESALQ'!$C$5:$AW$131,47,FALSE)</f>
        <v>115.3</v>
      </c>
      <c r="AR20" s="24">
        <f>VLOOKUP(B20,'Frete ESALQ'!$C$5:$BH$131,58,FALSE)</f>
        <v>92.46</v>
      </c>
      <c r="AS20" s="24">
        <f>VLOOKUP(B20,'Frete ESALQ'!$C$5:$BH$131,32,FALSE)</f>
        <v>101.66</v>
      </c>
      <c r="AT20" s="24">
        <f t="shared" si="3"/>
        <v>162.8695238095238</v>
      </c>
      <c r="AU20" s="24">
        <f t="shared" si="4"/>
        <v>172.54452380952378</v>
      </c>
      <c r="AV20" s="24">
        <f t="shared" si="5"/>
        <v>188.3695238095238</v>
      </c>
      <c r="AW20" s="24">
        <f t="shared" si="6"/>
        <v>188.05152380952379</v>
      </c>
      <c r="AX20" s="24">
        <f t="shared" ca="1" si="7"/>
        <v>184.83763809523811</v>
      </c>
      <c r="AY20" s="24">
        <f t="shared" ca="1" si="8"/>
        <v>182.66659047619044</v>
      </c>
      <c r="AZ20">
        <f t="shared" si="9"/>
        <v>6</v>
      </c>
      <c r="BA20" s="17">
        <f t="shared" si="10"/>
        <v>44713</v>
      </c>
      <c r="BB20" s="22">
        <f t="shared" ca="1" si="11"/>
        <v>10.114761904761906</v>
      </c>
      <c r="BC20" s="22">
        <f t="shared" ca="1" si="12"/>
        <v>12.680476190476185</v>
      </c>
      <c r="BD20" s="22">
        <f t="shared" ca="1" si="13"/>
        <v>4.8966666666666185</v>
      </c>
      <c r="BE20" s="22">
        <f t="shared" ca="1" si="14"/>
        <v>4.9309523809524762</v>
      </c>
      <c r="BF20" s="22">
        <f t="shared" ca="1" si="15"/>
        <v>8.2514285714285336</v>
      </c>
      <c r="BG20" s="22">
        <f t="shared" ca="1" si="16"/>
        <v>10.478571428571456</v>
      </c>
      <c r="BH20" s="25">
        <f t="shared" ca="1" si="0"/>
        <v>8.5588095238095292</v>
      </c>
      <c r="BJ20" s="27">
        <f t="shared" ca="1" si="21"/>
        <v>7.907258730158742</v>
      </c>
      <c r="BL20" s="41">
        <f t="shared" si="18"/>
        <v>525</v>
      </c>
      <c r="BM20" s="41">
        <f t="shared" si="19"/>
        <v>163.46952380952379</v>
      </c>
    </row>
    <row r="21" spans="2:65" x14ac:dyDescent="0.3">
      <c r="B21" s="17" t="str">
        <f t="shared" si="1"/>
        <v>20227</v>
      </c>
      <c r="C21" s="17">
        <f t="shared" si="20"/>
        <v>44743</v>
      </c>
      <c r="D21" s="19">
        <f ca="1">IFERROR(AVERAGEIF('Preço Soja ESALQ'!$C:$C,'Modelo Soja'!$B21,'Preço Soja ESALQ'!$R:$R),NA())</f>
        <v>167.03428571428577</v>
      </c>
      <c r="E21" s="19">
        <f ca="1">IFERROR(AVERAGEIF('Preço Soja ESALQ'!$C:$C,'Modelo Soja'!$B21,'Preço Soja ESALQ'!S:S),NA())</f>
        <v>154.04095238095238</v>
      </c>
      <c r="F21" s="19">
        <f ca="1">IFERROR(AVERAGEIF('Preço Soja ESALQ'!$C:$C,'Modelo Soja'!$B21,'Preço Soja ESALQ'!T:T),NA())</f>
        <v>173.39523809523811</v>
      </c>
      <c r="G21" s="19" t="e">
        <f ca="1">IFERROR(AVERAGEIF('Preço Soja ESALQ'!$C:$C,'Modelo Soja'!$B21,'Preço Soja ESALQ'!U:U),NA())</f>
        <v>#N/A</v>
      </c>
      <c r="H21" s="19">
        <f ca="1">IFERROR(AVERAGEIF('Preço Soja ESALQ'!$C:$C,'Modelo Soja'!$B21,'Preço Soja ESALQ'!V:V),NA())</f>
        <v>159.19666666666666</v>
      </c>
      <c r="I21" s="19">
        <f ca="1">IFERROR(AVERAGEIF('Preço Soja ESALQ'!$C:$C,'Modelo Soja'!$B21,'Preço Soja ESALQ'!W:W),NA())</f>
        <v>176.65285714285719</v>
      </c>
      <c r="J21" s="19">
        <f ca="1">IFERROR(AVERAGEIF('Preço Soja ESALQ'!$C:$C,'Modelo Soja'!$B21,'Preço Soja ESALQ'!X:X),NA())</f>
        <v>176.26428571428573</v>
      </c>
      <c r="K21" s="19">
        <f ca="1">IFERROR(AVERAGEIF('Preço Soja ESALQ'!$C:$C,'Modelo Soja'!$B21,'Preço Soja ESALQ'!Y:Y),NA())</f>
        <v>171.20285714285711</v>
      </c>
      <c r="L21" s="19">
        <f ca="1">IFERROR(AVERAGEIF('Preço Soja ESALQ'!$C:$C,'Modelo Soja'!$B21,'Preço Soja ESALQ'!Z:Z),NA())</f>
        <v>171.94761904761907</v>
      </c>
      <c r="M21" s="19">
        <f ca="1">IFERROR(AVERAGEIF('Preço Soja ESALQ'!$C:$C,'Modelo Soja'!$B21,'Preço Soja ESALQ'!AA:AA),NA())</f>
        <v>168.90952380952382</v>
      </c>
      <c r="N21" s="19">
        <f ca="1">IFERROR(AVERAGEIF('Preço Soja ESALQ'!$C:$C,'Modelo Soja'!$B21,'Preço Soja ESALQ'!AB:AB),NA())</f>
        <v>176.23857142857145</v>
      </c>
      <c r="O21" s="19">
        <f ca="1">IFERROR(AVERAGEIF('Preço Soja ESALQ'!$C:$C,'Modelo Soja'!$B21,'Preço Soja ESALQ'!AC:AC),NA())</f>
        <v>165.06</v>
      </c>
      <c r="P21" s="19" t="e">
        <f ca="1">IFERROR(AVERAGEIF('Preço Soja ESALQ'!$C:$C,'Modelo Soja'!$B21,'Preço Soja ESALQ'!AD:AD),NA())</f>
        <v>#N/A</v>
      </c>
      <c r="Q21" s="19">
        <f ca="1">IFERROR(AVERAGEIF('Preço Soja ESALQ'!$C:$C,'Modelo Soja'!$B21,'Preço Soja ESALQ'!BI:BI),NA())</f>
        <v>178.63666666666666</v>
      </c>
      <c r="R21" s="19">
        <f ca="1">IFERROR(AVERAGEIF('Preço Soja ESALQ'!$C:$C,'Modelo Soja'!$B21,'Preço Soja ESALQ'!BK:BK),NA())</f>
        <v>164.37166666666673</v>
      </c>
      <c r="S21" s="19">
        <f ca="1">IFERROR(AVERAGEIF('Preço Soja ESALQ'!$C:$C,'Modelo Soja'!$B21,'Preço Soja ESALQ'!BL:BL),NA())</f>
        <v>166.16619047619048</v>
      </c>
      <c r="T21" s="19" t="e">
        <f ca="1">IFERROR(AVERAGEIF('Preço Soja ESALQ'!$C:$C,'Modelo Soja'!$B21,'Preço Soja ESALQ'!BM:BM),NA())</f>
        <v>#N/A</v>
      </c>
      <c r="U21" s="19">
        <f ca="1">IFERROR(AVERAGEIF('Preço Soja ESALQ'!$C:$C,'Modelo Soja'!$B21,'Preço Soja ESALQ'!BN:BN),NA())</f>
        <v>164.51000000000002</v>
      </c>
      <c r="AA21" s="19">
        <f ca="1">IFERROR(AVERAGEIF('Preço Soja ESALQ'!$C:$C,'Modelo Soja'!$B21,'Preço Soja ESALQ'!BA:BA),NA())</f>
        <v>168.46809523809523</v>
      </c>
      <c r="AB21" s="19">
        <f ca="1">IFERROR(AVERAGEIF('Preço Soja ESALQ'!$C:$C,'Modelo Soja'!$B21,'Preço Soja ESALQ'!BB:BB),NA())</f>
        <v>185.39238095238099</v>
      </c>
      <c r="AC21" s="19">
        <f ca="1">IFERROR(AVERAGEIF('Preço Soja ESALQ'!$C:$C,'Modelo Soja'!$B21,'Preço Soja ESALQ'!BC:BC),NA())</f>
        <v>182.46952380952382</v>
      </c>
      <c r="AD21" s="19">
        <f ca="1">IFERROR(AVERAGEIF('Preço Soja ESALQ'!$C:$C,'Modelo Soja'!$B21,'Preço Soja ESALQ'!BD:BD),NA())</f>
        <v>182.38142857142859</v>
      </c>
      <c r="AE21" s="19">
        <f ca="1">IFERROR(AVERAGEIF('Preço Soja ESALQ'!$C:$C,'Modelo Soja'!$B21,'Preço Soja ESALQ'!BE:BE),NA())</f>
        <v>174.85428571428571</v>
      </c>
      <c r="AF21" s="19">
        <f ca="1">IFERROR(AVERAGEIF('Preço Soja ESALQ'!$C:$C,'Modelo Soja'!$B21,'Preço Soja ESALQ'!BF:BF),NA())</f>
        <v>172.25428571428571</v>
      </c>
      <c r="AG21" s="19">
        <f ca="1">IFERROR(AVERAGEIF('Preço Soja ESALQ'!$C:$C,'Modelo Soja'!$B21,'Preço Soja ESALQ'!BG:BG),NA())</f>
        <v>187.23714285714283</v>
      </c>
      <c r="AH21" s="19">
        <f ca="1">IFERROR(AVERAGEIF('Preço Soja ESALQ'!$C:$C,'Modelo Soja'!$B21,'Preço Soja ESALQ'!AE:AE),NA())</f>
        <v>185.89999999999998</v>
      </c>
      <c r="AI21" s="19">
        <f ca="1">IFERROR(AVERAGEIF('Preço Soja ESALQ'!$C:$C,'Modelo Soja'!$B21,'Preço Soja ESALQ'!AF:AF),NA())</f>
        <v>178.01999999999998</v>
      </c>
      <c r="AJ21" s="24">
        <f>+[2]summary!C33</f>
        <v>190.74428571428575</v>
      </c>
      <c r="AK21" s="24">
        <f t="shared" ca="1" si="2"/>
        <v>163.33535664094359</v>
      </c>
      <c r="AL21" s="24"/>
      <c r="AN21" s="24">
        <f>+[6]FSORPRA!H20</f>
        <v>530</v>
      </c>
      <c r="AO21" s="24">
        <f>+[6]FRONPRA!H20</f>
        <v>398</v>
      </c>
      <c r="AP21" s="24">
        <f>VLOOKUP(B21,'Frete ESALQ'!$C$5:$AL$131,36,FALSE)</f>
        <v>147.75</v>
      </c>
      <c r="AQ21" s="24">
        <f>VLOOKUP(B21,'Frete ESALQ'!$C$5:$AW$131,47,FALSE)</f>
        <v>125</v>
      </c>
      <c r="AR21" s="24">
        <f>VLOOKUP(B21,'Frete ESALQ'!$C$5:$BH$131,58,FALSE)</f>
        <v>121</v>
      </c>
      <c r="AS21" s="24">
        <f>VLOOKUP(B21,'Frete ESALQ'!$C$5:$BH$131,32,FALSE)</f>
        <v>100</v>
      </c>
      <c r="AT21" s="24">
        <f t="shared" si="3"/>
        <v>158.94428571428574</v>
      </c>
      <c r="AU21" s="24">
        <f t="shared" si="4"/>
        <v>166.86428571428576</v>
      </c>
      <c r="AV21" s="24">
        <f t="shared" si="5"/>
        <v>181.87928571428574</v>
      </c>
      <c r="AW21" s="24">
        <f t="shared" si="6"/>
        <v>183.24428571428575</v>
      </c>
      <c r="AX21" s="24">
        <f t="shared" ca="1" si="7"/>
        <v>179.97714285714284</v>
      </c>
      <c r="AY21" s="24">
        <f t="shared" ca="1" si="8"/>
        <v>179.89999999999998</v>
      </c>
      <c r="AZ21">
        <f t="shared" si="9"/>
        <v>7</v>
      </c>
      <c r="BA21" s="17">
        <f t="shared" si="10"/>
        <v>44743</v>
      </c>
      <c r="BB21" s="22">
        <f t="shared" ca="1" si="11"/>
        <v>8.7395238095238028</v>
      </c>
      <c r="BC21" s="22">
        <f t="shared" ca="1" si="12"/>
        <v>11.266666666666708</v>
      </c>
      <c r="BD21" s="22">
        <f t="shared" ca="1" si="13"/>
        <v>5.94476190476189</v>
      </c>
      <c r="BE21" s="22">
        <f t="shared" ca="1" si="14"/>
        <v>5.219999999999942</v>
      </c>
      <c r="BF21" s="22">
        <f t="shared" ca="1" si="15"/>
        <v>9.6357142857142435</v>
      </c>
      <c r="BG21" s="22">
        <f t="shared" ca="1" si="16"/>
        <v>10.998571428571381</v>
      </c>
      <c r="BH21" s="25">
        <f t="shared" ca="1" si="0"/>
        <v>8.6342063492063286</v>
      </c>
      <c r="BJ21" s="27">
        <f t="shared" ca="1" si="21"/>
        <v>9.294404259991218</v>
      </c>
      <c r="BL21" s="41">
        <f t="shared" si="18"/>
        <v>520</v>
      </c>
      <c r="BM21" s="41">
        <f t="shared" si="19"/>
        <v>159.54428571428576</v>
      </c>
    </row>
    <row r="22" spans="2:65" x14ac:dyDescent="0.3">
      <c r="B22" s="17" t="str">
        <f t="shared" si="1"/>
        <v>20228</v>
      </c>
      <c r="C22" s="17">
        <f t="shared" si="20"/>
        <v>44774</v>
      </c>
      <c r="D22" s="19">
        <f ca="1">IFERROR(AVERAGEIF('Preço Soja ESALQ'!$C:$C,'Modelo Soja'!$B22,'Preço Soja ESALQ'!$R:$R),NA())</f>
        <v>163.98173913043482</v>
      </c>
      <c r="E22" s="19">
        <f ca="1">IFERROR(AVERAGEIF('Preço Soja ESALQ'!$C:$C,'Modelo Soja'!$B22,'Preço Soja ESALQ'!S:S),NA())</f>
        <v>154.3686956521739</v>
      </c>
      <c r="F22" s="19">
        <f ca="1">IFERROR(AVERAGEIF('Preço Soja ESALQ'!$C:$C,'Modelo Soja'!$B22,'Preço Soja ESALQ'!T:T),NA())</f>
        <v>169.04043478260871</v>
      </c>
      <c r="G22" s="19" t="e">
        <f ca="1">IFERROR(AVERAGEIF('Preço Soja ESALQ'!$C:$C,'Modelo Soja'!$B22,'Preço Soja ESALQ'!U:U),NA())</f>
        <v>#N/A</v>
      </c>
      <c r="H22" s="19">
        <f ca="1">IFERROR(AVERAGEIF('Preço Soja ESALQ'!$C:$C,'Modelo Soja'!$B22,'Preço Soja ESALQ'!V:V),NA())</f>
        <v>160.30478260869563</v>
      </c>
      <c r="I22" s="19">
        <f ca="1">IFERROR(AVERAGEIF('Preço Soja ESALQ'!$C:$C,'Modelo Soja'!$B22,'Preço Soja ESALQ'!W:W),NA())</f>
        <v>173.9508695652174</v>
      </c>
      <c r="J22" s="19">
        <f ca="1">IFERROR(AVERAGEIF('Preço Soja ESALQ'!$C:$C,'Modelo Soja'!$B22,'Preço Soja ESALQ'!X:X),NA())</f>
        <v>173.86913043478262</v>
      </c>
      <c r="K22" s="19">
        <f ca="1">IFERROR(AVERAGEIF('Preço Soja ESALQ'!$C:$C,'Modelo Soja'!$B22,'Preço Soja ESALQ'!Y:Y),NA())</f>
        <v>166.01304347826087</v>
      </c>
      <c r="L22" s="19">
        <f ca="1">IFERROR(AVERAGEIF('Preço Soja ESALQ'!$C:$C,'Modelo Soja'!$B22,'Preço Soja ESALQ'!Z:Z),NA())</f>
        <v>167.36565217391308</v>
      </c>
      <c r="M22" s="19">
        <f ca="1">IFERROR(AVERAGEIF('Preço Soja ESALQ'!$C:$C,'Modelo Soja'!$B22,'Preço Soja ESALQ'!AA:AA),NA())</f>
        <v>166.19478260869565</v>
      </c>
      <c r="N22" s="19">
        <f ca="1">IFERROR(AVERAGEIF('Preço Soja ESALQ'!$C:$C,'Modelo Soja'!$B22,'Preço Soja ESALQ'!AB:AB),NA())</f>
        <v>173.47391304347823</v>
      </c>
      <c r="O22" s="19">
        <f ca="1">IFERROR(AVERAGEIF('Preço Soja ESALQ'!$C:$C,'Modelo Soja'!$B22,'Preço Soja ESALQ'!AC:AC),NA())</f>
        <v>164.4946153846154</v>
      </c>
      <c r="P22" s="19" t="e">
        <f ca="1">IFERROR(AVERAGEIF('Preço Soja ESALQ'!$C:$C,'Modelo Soja'!$B22,'Preço Soja ESALQ'!AD:AD),NA())</f>
        <v>#N/A</v>
      </c>
      <c r="Q22" s="19">
        <f ca="1">IFERROR(AVERAGEIF('Preço Soja ESALQ'!$C:$C,'Modelo Soja'!$B22,'Preço Soja ESALQ'!BI:BI),NA())</f>
        <v>176.56043478260872</v>
      </c>
      <c r="R22" s="19">
        <f ca="1">IFERROR(AVERAGEIF('Preço Soja ESALQ'!$C:$C,'Modelo Soja'!$B22,'Preço Soja ESALQ'!BK:BK),NA())</f>
        <v>161.35772727272726</v>
      </c>
      <c r="S22" s="19">
        <f ca="1">IFERROR(AVERAGEIF('Preço Soja ESALQ'!$C:$C,'Modelo Soja'!$B22,'Preço Soja ESALQ'!BL:BL),NA())</f>
        <v>161.98652173913047</v>
      </c>
      <c r="T22" s="19" t="e">
        <f ca="1">IFERROR(AVERAGEIF('Preço Soja ESALQ'!$C:$C,'Modelo Soja'!$B22,'Preço Soja ESALQ'!BM:BM),NA())</f>
        <v>#N/A</v>
      </c>
      <c r="U22" s="19">
        <f ca="1">IFERROR(AVERAGEIF('Preço Soja ESALQ'!$C:$C,'Modelo Soja'!$B22,'Preço Soja ESALQ'!BN:BN),NA())</f>
        <v>160.79695652173911</v>
      </c>
      <c r="AA22" s="19">
        <f ca="1">IFERROR(AVERAGEIF('Preço Soja ESALQ'!$C:$C,'Modelo Soja'!$B22,'Preço Soja ESALQ'!BA:BA),NA())</f>
        <v>165.79086956521743</v>
      </c>
      <c r="AB22" s="19">
        <f ca="1">IFERROR(AVERAGEIF('Preço Soja ESALQ'!$C:$C,'Modelo Soja'!$B22,'Preço Soja ESALQ'!BB:BB),NA())</f>
        <v>182.79695652173916</v>
      </c>
      <c r="AC22" s="19">
        <f ca="1">IFERROR(AVERAGEIF('Preço Soja ESALQ'!$C:$C,'Modelo Soja'!$B22,'Preço Soja ESALQ'!BC:BC),NA())</f>
        <v>180.71130434782614</v>
      </c>
      <c r="AD22" s="19">
        <f ca="1">IFERROR(AVERAGEIF('Preço Soja ESALQ'!$C:$C,'Modelo Soja'!$B22,'Preço Soja ESALQ'!BD:BD),NA())</f>
        <v>179.62434782608693</v>
      </c>
      <c r="AE22" s="19">
        <f ca="1">IFERROR(AVERAGEIF('Preço Soja ESALQ'!$C:$C,'Modelo Soja'!$B22,'Preço Soja ESALQ'!BE:BE),NA())</f>
        <v>171.09347826086957</v>
      </c>
      <c r="AF22" s="19">
        <f ca="1">IFERROR(AVERAGEIF('Preço Soja ESALQ'!$C:$C,'Modelo Soja'!$B22,'Preço Soja ESALQ'!BF:BF),NA())</f>
        <v>170.12391304347824</v>
      </c>
      <c r="AG22" s="19">
        <f ca="1">IFERROR(AVERAGEIF('Preço Soja ESALQ'!$C:$C,'Modelo Soja'!$B22,'Preço Soja ESALQ'!BG:BG),NA())</f>
        <v>183.34130434782611</v>
      </c>
      <c r="AH22" s="19">
        <f ca="1">IFERROR(AVERAGEIF('Preço Soja ESALQ'!$C:$C,'Modelo Soja'!$B22,'Preço Soja ESALQ'!AE:AE),NA())</f>
        <v>181.68652173913043</v>
      </c>
      <c r="AI22" s="19">
        <f ca="1">IFERROR(AVERAGEIF('Preço Soja ESALQ'!$C:$C,'Modelo Soja'!$B22,'Preço Soja ESALQ'!AF:AF),NA())</f>
        <v>174.09086956521739</v>
      </c>
      <c r="AJ22" s="24">
        <f>+[2]summary!C34</f>
        <v>187.17956521739134</v>
      </c>
      <c r="AK22" s="24">
        <f t="shared" ca="1" si="2"/>
        <v>163.7361083819562</v>
      </c>
      <c r="AL22" s="24"/>
      <c r="AN22" s="24">
        <f>+[6]FSORPRA!H21</f>
        <v>474.875</v>
      </c>
      <c r="AO22" s="24">
        <f>+[6]FRONPRA!H21</f>
        <v>355</v>
      </c>
      <c r="AP22" s="24">
        <f>VLOOKUP(B22,'Frete ESALQ'!$C$5:$AL$131,36,FALSE)</f>
        <v>140.82</v>
      </c>
      <c r="AQ22" s="24">
        <f>VLOOKUP(B22,'Frete ESALQ'!$C$5:$AW$131,47,FALSE)</f>
        <v>126.75</v>
      </c>
      <c r="AR22" s="24">
        <f>VLOOKUP(B22,'Frete ESALQ'!$C$5:$BH$131,58,FALSE)</f>
        <v>111.58</v>
      </c>
      <c r="AS22" s="24">
        <f>VLOOKUP(B22,'Frete ESALQ'!$C$5:$BH$131,32,FALSE)</f>
        <v>116.89</v>
      </c>
      <c r="AT22" s="24">
        <f t="shared" si="3"/>
        <v>158.68706521739134</v>
      </c>
      <c r="AU22" s="24">
        <f t="shared" si="4"/>
        <v>165.87956521739133</v>
      </c>
      <c r="AV22" s="24">
        <f t="shared" si="5"/>
        <v>178.73036521739135</v>
      </c>
      <c r="AW22" s="24">
        <f t="shared" si="6"/>
        <v>179.57456521739135</v>
      </c>
      <c r="AX22" s="24">
        <f t="shared" ca="1" si="7"/>
        <v>176.64650434782612</v>
      </c>
      <c r="AY22" s="24">
        <f t="shared" ca="1" si="8"/>
        <v>174.67312173913044</v>
      </c>
      <c r="AZ22">
        <f t="shared" si="9"/>
        <v>8</v>
      </c>
      <c r="BA22" s="17">
        <f t="shared" si="10"/>
        <v>44774</v>
      </c>
      <c r="BB22" s="22">
        <f t="shared" ca="1" si="11"/>
        <v>8.8460869565217592</v>
      </c>
      <c r="BC22" s="22">
        <f t="shared" ca="1" si="12"/>
        <v>14.698260869565274</v>
      </c>
      <c r="BD22" s="22">
        <f t="shared" ca="1" si="13"/>
        <v>4.8986956521739273</v>
      </c>
      <c r="BE22" s="22">
        <f t="shared" ca="1" si="14"/>
        <v>6.1421739130434219</v>
      </c>
      <c r="BF22" s="22">
        <f t="shared" ca="1" si="15"/>
        <v>7.817391304347808</v>
      </c>
      <c r="BG22" s="22">
        <f t="shared" ca="1" si="16"/>
        <v>9.8673913043478763</v>
      </c>
      <c r="BH22" s="25">
        <f t="shared" ca="1" si="0"/>
        <v>8.7116666666666784</v>
      </c>
      <c r="BJ22" s="27">
        <f t="shared" ca="1" si="21"/>
        <v>9.3674127297823038</v>
      </c>
      <c r="BL22" s="41">
        <f t="shared" si="18"/>
        <v>464.875</v>
      </c>
      <c r="BM22" s="41">
        <f t="shared" si="19"/>
        <v>159.28706521739133</v>
      </c>
    </row>
    <row r="23" spans="2:65" x14ac:dyDescent="0.3">
      <c r="B23" s="17" t="str">
        <f t="shared" si="1"/>
        <v>20229</v>
      </c>
      <c r="C23" s="17">
        <f t="shared" si="20"/>
        <v>44805</v>
      </c>
      <c r="D23" s="19">
        <f ca="1">IFERROR(AVERAGEIF('Preço Soja ESALQ'!$C:$C,'Modelo Soja'!$B23,'Preço Soja ESALQ'!$R:$R),NA())</f>
        <v>163.99619047619043</v>
      </c>
      <c r="E23" s="19">
        <f ca="1">IFERROR(AVERAGEIF('Preço Soja ESALQ'!$C:$C,'Modelo Soja'!$B23,'Preço Soja ESALQ'!S:S),NA())</f>
        <v>153.99904761904759</v>
      </c>
      <c r="F23" s="19">
        <f ca="1">IFERROR(AVERAGEIF('Preço Soja ESALQ'!$C:$C,'Modelo Soja'!$B23,'Preço Soja ESALQ'!T:T),NA())</f>
        <v>169.02285714285719</v>
      </c>
      <c r="G23" s="19" t="e">
        <f ca="1">IFERROR(AVERAGEIF('Preço Soja ESALQ'!$C:$C,'Modelo Soja'!$B23,'Preço Soja ESALQ'!U:U),NA())</f>
        <v>#N/A</v>
      </c>
      <c r="H23" s="19">
        <f ca="1">IFERROR(AVERAGEIF('Preço Soja ESALQ'!$C:$C,'Modelo Soja'!$B23,'Preço Soja ESALQ'!V:V),NA())</f>
        <v>161.04619047619045</v>
      </c>
      <c r="I23" s="19">
        <f ca="1">IFERROR(AVERAGEIF('Preço Soja ESALQ'!$C:$C,'Modelo Soja'!$B23,'Preço Soja ESALQ'!W:W),NA())</f>
        <v>172.73523809523812</v>
      </c>
      <c r="J23" s="19">
        <f ca="1">IFERROR(AVERAGEIF('Preço Soja ESALQ'!$C:$C,'Modelo Soja'!$B23,'Preço Soja ESALQ'!X:X),NA())</f>
        <v>171.40333333333334</v>
      </c>
      <c r="K23" s="19">
        <f ca="1">IFERROR(AVERAGEIF('Preço Soja ESALQ'!$C:$C,'Modelo Soja'!$B23,'Preço Soja ESALQ'!Y:Y),NA())</f>
        <v>165.4314285714286</v>
      </c>
      <c r="L23" s="19">
        <f ca="1">IFERROR(AVERAGEIF('Preço Soja ESALQ'!$C:$C,'Modelo Soja'!$B23,'Preço Soja ESALQ'!Z:Z),NA())</f>
        <v>166.27523809523811</v>
      </c>
      <c r="M23" s="19">
        <f ca="1">IFERROR(AVERAGEIF('Preço Soja ESALQ'!$C:$C,'Modelo Soja'!$B23,'Preço Soja ESALQ'!AA:AA),NA())</f>
        <v>165.93714285714287</v>
      </c>
      <c r="N23" s="19">
        <f ca="1">IFERROR(AVERAGEIF('Preço Soja ESALQ'!$C:$C,'Modelo Soja'!$B23,'Preço Soja ESALQ'!AB:AB),NA())</f>
        <v>171.04142857142858</v>
      </c>
      <c r="O23" s="19">
        <f ca="1">IFERROR(AVERAGEIF('Preço Soja ESALQ'!$C:$C,'Modelo Soja'!$B23,'Preço Soja ESALQ'!AC:AC),NA())</f>
        <v>163.85899999999998</v>
      </c>
      <c r="P23" s="19" t="e">
        <f ca="1">IFERROR(AVERAGEIF('Preço Soja ESALQ'!$C:$C,'Modelo Soja'!$B23,'Preço Soja ESALQ'!AD:AD),NA())</f>
        <v>#N/A</v>
      </c>
      <c r="Q23" s="19">
        <f ca="1">IFERROR(AVERAGEIF('Preço Soja ESALQ'!$C:$C,'Modelo Soja'!$B23,'Preço Soja ESALQ'!BI:BI),NA())</f>
        <v>174.67761904761906</v>
      </c>
      <c r="R23" s="19">
        <f ca="1">IFERROR(AVERAGEIF('Preço Soja ESALQ'!$C:$C,'Modelo Soja'!$B23,'Preço Soja ESALQ'!BK:BK),NA())</f>
        <v>162.31619047619046</v>
      </c>
      <c r="S23" s="19">
        <f ca="1">IFERROR(AVERAGEIF('Preço Soja ESALQ'!$C:$C,'Modelo Soja'!$B23,'Preço Soja ESALQ'!BL:BL),NA())</f>
        <v>162.0085714285714</v>
      </c>
      <c r="T23" s="19" t="e">
        <f ca="1">IFERROR(AVERAGEIF('Preço Soja ESALQ'!$C:$C,'Modelo Soja'!$B23,'Preço Soja ESALQ'!BM:BM),NA())</f>
        <v>#N/A</v>
      </c>
      <c r="U23" s="19">
        <f ca="1">IFERROR(AVERAGEIF('Preço Soja ESALQ'!$C:$C,'Modelo Soja'!$B23,'Preço Soja ESALQ'!BN:BN),NA())</f>
        <v>161.38285714285715</v>
      </c>
      <c r="AA23" s="19">
        <f ca="1">IFERROR(AVERAGEIF('Preço Soja ESALQ'!$C:$C,'Modelo Soja'!$B23,'Preço Soja ESALQ'!BA:BA),NA())</f>
        <v>165.68047619047618</v>
      </c>
      <c r="AB23" s="19">
        <f ca="1">IFERROR(AVERAGEIF('Preço Soja ESALQ'!$C:$C,'Modelo Soja'!$B23,'Preço Soja ESALQ'!BB:BB),NA())</f>
        <v>182.28142857142856</v>
      </c>
      <c r="AC23" s="19">
        <f ca="1">IFERROR(AVERAGEIF('Preço Soja ESALQ'!$C:$C,'Modelo Soja'!$B23,'Preço Soja ESALQ'!BC:BC),NA())</f>
        <v>180.66476190476189</v>
      </c>
      <c r="AD23" s="19">
        <f ca="1">IFERROR(AVERAGEIF('Preço Soja ESALQ'!$C:$C,'Modelo Soja'!$B23,'Preço Soja ESALQ'!BD:BD),NA())</f>
        <v>179.56428571428566</v>
      </c>
      <c r="AE23" s="19">
        <f ca="1">IFERROR(AVERAGEIF('Preço Soja ESALQ'!$C:$C,'Modelo Soja'!$B23,'Preço Soja ESALQ'!BE:BE),NA())</f>
        <v>171.94095238095238</v>
      </c>
      <c r="AF23" s="19">
        <f ca="1">IFERROR(AVERAGEIF('Preço Soja ESALQ'!$C:$C,'Modelo Soja'!$B23,'Preço Soja ESALQ'!BF:BF),NA())</f>
        <v>174.02380952380952</v>
      </c>
      <c r="AG23" s="19">
        <f ca="1">IFERROR(AVERAGEIF('Preço Soja ESALQ'!$C:$C,'Modelo Soja'!$B23,'Preço Soja ESALQ'!BG:BG),NA())</f>
        <v>180.87952380952379</v>
      </c>
      <c r="AH23" s="19">
        <f ca="1">IFERROR(AVERAGEIF('Preço Soja ESALQ'!$C:$C,'Modelo Soja'!$B23,'Preço Soja ESALQ'!AE:AE),NA())</f>
        <v>179.64571428571426</v>
      </c>
      <c r="AI23" s="19">
        <f ca="1">IFERROR(AVERAGEIF('Preço Soja ESALQ'!$C:$C,'Modelo Soja'!$B23,'Preço Soja ESALQ'!AF:AF),NA())</f>
        <v>173.10095238095241</v>
      </c>
      <c r="AJ23" s="24">
        <f>+[2]summary!C35</f>
        <v>187.26380952380947</v>
      </c>
      <c r="AK23" s="24">
        <f t="shared" ca="1" si="2"/>
        <v>164.07714837450129</v>
      </c>
      <c r="AL23" s="24"/>
      <c r="AN23" s="24">
        <f>+[6]FSORPRA!H22</f>
        <v>434</v>
      </c>
      <c r="AO23" s="24">
        <f>+[6]FRONPRA!H22</f>
        <v>298</v>
      </c>
      <c r="AP23" s="29">
        <f>(AP22+AP24)/2</f>
        <v>138.12</v>
      </c>
      <c r="AQ23" s="29">
        <f>(AQ22+AQ24)/2</f>
        <v>111.375</v>
      </c>
      <c r="AR23" s="29">
        <f>(AR22+AR24)/2</f>
        <v>114.9</v>
      </c>
      <c r="AS23" s="29">
        <f>(AS22+AS24)/2</f>
        <v>119.68</v>
      </c>
      <c r="AT23" s="24">
        <f t="shared" si="3"/>
        <v>161.22380952380948</v>
      </c>
      <c r="AU23" s="24">
        <f t="shared" si="4"/>
        <v>169.38380952380948</v>
      </c>
      <c r="AV23" s="24">
        <f t="shared" si="5"/>
        <v>178.97660952380946</v>
      </c>
      <c r="AW23" s="24">
        <f t="shared" si="6"/>
        <v>180.58130952380947</v>
      </c>
      <c r="AX23" s="24">
        <f t="shared" ca="1" si="7"/>
        <v>173.98552380952378</v>
      </c>
      <c r="AY23" s="24">
        <f t="shared" ca="1" si="8"/>
        <v>172.46491428571426</v>
      </c>
      <c r="AZ23">
        <f t="shared" si="9"/>
        <v>9</v>
      </c>
      <c r="BA23" s="17">
        <f t="shared" si="10"/>
        <v>44805</v>
      </c>
      <c r="BB23" s="22">
        <f t="shared" ca="1" si="11"/>
        <v>9.5461904761904464</v>
      </c>
      <c r="BC23" s="22">
        <f t="shared" ca="1" si="12"/>
        <v>15.233333333333292</v>
      </c>
      <c r="BD23" s="22">
        <f t="shared" ca="1" si="13"/>
        <v>6.0038095238095082</v>
      </c>
      <c r="BE23" s="22">
        <f t="shared" ca="1" si="14"/>
        <v>10.027619047619083</v>
      </c>
      <c r="BF23" s="22">
        <f t="shared" ca="1" si="15"/>
        <v>8.2423809523809268</v>
      </c>
      <c r="BG23" s="22">
        <f t="shared" ca="1" si="16"/>
        <v>9.8380952380952067</v>
      </c>
      <c r="BH23" s="25">
        <f t="shared" ca="1" si="0"/>
        <v>9.8152380952380778</v>
      </c>
      <c r="BJ23" s="27">
        <f t="shared" ca="1" si="21"/>
        <v>10.078100755453697</v>
      </c>
      <c r="BL23" s="41">
        <f t="shared" si="18"/>
        <v>424</v>
      </c>
      <c r="BM23" s="41">
        <f t="shared" si="19"/>
        <v>161.82380952380947</v>
      </c>
    </row>
    <row r="24" spans="2:65" x14ac:dyDescent="0.3">
      <c r="B24" s="17" t="str">
        <f t="shared" si="1"/>
        <v>202210</v>
      </c>
      <c r="C24" s="17">
        <f t="shared" si="20"/>
        <v>44835</v>
      </c>
      <c r="D24" s="19">
        <f ca="1">IFERROR(AVERAGEIF('Preço Soja ESALQ'!$C:$C,'Modelo Soja'!$B24,'Preço Soja ESALQ'!$R:$R),NA())</f>
        <v>162.20350000000002</v>
      </c>
      <c r="E24" s="19">
        <f ca="1">IFERROR(AVERAGEIF('Preço Soja ESALQ'!$C:$C,'Modelo Soja'!$B24,'Preço Soja ESALQ'!S:S),NA())</f>
        <v>151.64949999999999</v>
      </c>
      <c r="F24" s="19">
        <f ca="1">IFERROR(AVERAGEIF('Preço Soja ESALQ'!$C:$C,'Modelo Soja'!$B24,'Preço Soja ESALQ'!T:T),NA())</f>
        <v>167.29749999999999</v>
      </c>
      <c r="G24" s="19" t="e">
        <f ca="1">IFERROR(AVERAGEIF('Preço Soja ESALQ'!$C:$C,'Modelo Soja'!$B24,'Preço Soja ESALQ'!U:U),NA())</f>
        <v>#N/A</v>
      </c>
      <c r="H24" s="19">
        <f ca="1">IFERROR(AVERAGEIF('Preço Soja ESALQ'!$C:$C,'Modelo Soja'!$B24,'Preço Soja ESALQ'!V:V),NA())</f>
        <v>159.97050000000002</v>
      </c>
      <c r="I24" s="19">
        <f ca="1">IFERROR(AVERAGEIF('Preço Soja ESALQ'!$C:$C,'Modelo Soja'!$B24,'Preço Soja ESALQ'!W:W),NA())</f>
        <v>171.5615</v>
      </c>
      <c r="J24" s="19">
        <f ca="1">IFERROR(AVERAGEIF('Preço Soja ESALQ'!$C:$C,'Modelo Soja'!$B24,'Preço Soja ESALQ'!X:X),NA())</f>
        <v>169.95499999999998</v>
      </c>
      <c r="K24" s="19">
        <f ca="1">IFERROR(AVERAGEIF('Preço Soja ESALQ'!$C:$C,'Modelo Soja'!$B24,'Preço Soja ESALQ'!Y:Y),NA())</f>
        <v>165.8015</v>
      </c>
      <c r="L24" s="19">
        <f ca="1">IFERROR(AVERAGEIF('Preço Soja ESALQ'!$C:$C,'Modelo Soja'!$B24,'Preço Soja ESALQ'!Z:Z),NA())</f>
        <v>166.44350000000003</v>
      </c>
      <c r="M24" s="19">
        <f ca="1">IFERROR(AVERAGEIF('Preço Soja ESALQ'!$C:$C,'Modelo Soja'!$B24,'Preço Soja ESALQ'!AA:AA),NA())</f>
        <v>163.96249999999998</v>
      </c>
      <c r="N24" s="19">
        <f ca="1">IFERROR(AVERAGEIF('Preço Soja ESALQ'!$C:$C,'Modelo Soja'!$B24,'Preço Soja ESALQ'!AB:AB),NA())</f>
        <v>169.5855</v>
      </c>
      <c r="O24" s="19">
        <f ca="1">IFERROR(AVERAGEIF('Preço Soja ESALQ'!$C:$C,'Modelo Soja'!$B24,'Preço Soja ESALQ'!AC:AC),NA())</f>
        <v>166.12</v>
      </c>
      <c r="P24" s="19" t="e">
        <f ca="1">IFERROR(AVERAGEIF('Preço Soja ESALQ'!$C:$C,'Modelo Soja'!$B24,'Preço Soja ESALQ'!AD:AD),NA())</f>
        <v>#N/A</v>
      </c>
      <c r="Q24" s="19">
        <f ca="1">IFERROR(AVERAGEIF('Preço Soja ESALQ'!$C:$C,'Modelo Soja'!$B24,'Preço Soja ESALQ'!BI:BI),NA())</f>
        <v>172.48400000000001</v>
      </c>
      <c r="R24" s="19">
        <f ca="1">IFERROR(AVERAGEIF('Preço Soja ESALQ'!$C:$C,'Modelo Soja'!$B24,'Preço Soja ESALQ'!BK:BK),NA())</f>
        <v>163.81199999999998</v>
      </c>
      <c r="S24" s="19">
        <f ca="1">IFERROR(AVERAGEIF('Preço Soja ESALQ'!$C:$C,'Modelo Soja'!$B24,'Preço Soja ESALQ'!BL:BL),NA())</f>
        <v>161.98849999999999</v>
      </c>
      <c r="T24" s="19" t="e">
        <f ca="1">IFERROR(AVERAGEIF('Preço Soja ESALQ'!$C:$C,'Modelo Soja'!$B24,'Preço Soja ESALQ'!BM:BM),NA())</f>
        <v>#N/A</v>
      </c>
      <c r="U24" s="19">
        <f ca="1">IFERROR(AVERAGEIF('Preço Soja ESALQ'!$C:$C,'Modelo Soja'!$B24,'Preço Soja ESALQ'!BN:BN),NA())</f>
        <v>160.81300000000005</v>
      </c>
      <c r="AA24" s="19">
        <f ca="1">IFERROR(AVERAGEIF('Preço Soja ESALQ'!$C:$C,'Modelo Soja'!$B24,'Preço Soja ESALQ'!BA:BA),NA())</f>
        <v>164.5395</v>
      </c>
      <c r="AB24" s="19">
        <f ca="1">IFERROR(AVERAGEIF('Preço Soja ESALQ'!$C:$C,'Modelo Soja'!$B24,'Preço Soja ESALQ'!BB:BB),NA())</f>
        <v>181.452</v>
      </c>
      <c r="AC24" s="19">
        <f ca="1">IFERROR(AVERAGEIF('Preço Soja ESALQ'!$C:$C,'Modelo Soja'!$B24,'Preço Soja ESALQ'!BC:BC),NA())</f>
        <v>178.71449999999999</v>
      </c>
      <c r="AD24" s="19">
        <f ca="1">IFERROR(AVERAGEIF('Preço Soja ESALQ'!$C:$C,'Modelo Soja'!$B24,'Preço Soja ESALQ'!BD:BD),NA())</f>
        <v>177.57499999999999</v>
      </c>
      <c r="AE24" s="19">
        <f ca="1">IFERROR(AVERAGEIF('Preço Soja ESALQ'!$C:$C,'Modelo Soja'!$B24,'Preço Soja ESALQ'!BE:BE),NA())</f>
        <v>170.44650000000001</v>
      </c>
      <c r="AF24" s="19">
        <f ca="1">IFERROR(AVERAGEIF('Preço Soja ESALQ'!$C:$C,'Modelo Soja'!$B24,'Preço Soja ESALQ'!BF:BF),NA())</f>
        <v>171.17950000000002</v>
      </c>
      <c r="AG24" s="19">
        <f ca="1">IFERROR(AVERAGEIF('Preço Soja ESALQ'!$C:$C,'Modelo Soja'!$B24,'Preço Soja ESALQ'!BG:BG),NA())</f>
        <v>179.0385</v>
      </c>
      <c r="AH24" s="19">
        <f ca="1">IFERROR(AVERAGEIF('Preço Soja ESALQ'!$C:$C,'Modelo Soja'!$B24,'Preço Soja ESALQ'!AE:AE),NA())</f>
        <v>178.37700000000001</v>
      </c>
      <c r="AI24" s="19">
        <f ca="1">IFERROR(AVERAGEIF('Preço Soja ESALQ'!$C:$C,'Modelo Soja'!$B24,'Preço Soja ESALQ'!AF:AF),NA())</f>
        <v>171.52900000000005</v>
      </c>
      <c r="AJ24" s="24">
        <f>+[2]summary!C36</f>
        <v>183.72800000000001</v>
      </c>
      <c r="AK24" s="24">
        <f t="shared" ca="1" si="2"/>
        <v>161.24456745090657</v>
      </c>
      <c r="AL24" s="24"/>
      <c r="AN24" s="24">
        <f>+[6]FSORPRA!H23</f>
        <v>400</v>
      </c>
      <c r="AO24" s="24">
        <f>+[6]FRONPRA!H23</f>
        <v>280</v>
      </c>
      <c r="AP24" s="24">
        <f>VLOOKUP(B24,'Frete ESALQ'!$C$5:$AL$131,36,FALSE)</f>
        <v>135.41999999999999</v>
      </c>
      <c r="AQ24" s="24">
        <f>VLOOKUP(B24,'Frete ESALQ'!$C$5:$AW$131,47,FALSE)</f>
        <v>96</v>
      </c>
      <c r="AR24" s="24">
        <f>VLOOKUP(B24,'Frete ESALQ'!$C$5:$BH$131,58,FALSE)</f>
        <v>118.22</v>
      </c>
      <c r="AS24" s="24">
        <f>VLOOKUP(B24,'Frete ESALQ'!$C$5:$BH$131,32,FALSE)</f>
        <v>122.47</v>
      </c>
      <c r="AT24" s="24">
        <f t="shared" si="3"/>
        <v>159.72800000000001</v>
      </c>
      <c r="AU24" s="24">
        <f t="shared" si="4"/>
        <v>166.928</v>
      </c>
      <c r="AV24" s="24">
        <f t="shared" si="5"/>
        <v>175.6028</v>
      </c>
      <c r="AW24" s="24">
        <f t="shared" si="6"/>
        <v>177.96800000000002</v>
      </c>
      <c r="AX24" s="24">
        <f t="shared" ca="1" si="7"/>
        <v>171.9453</v>
      </c>
      <c r="AY24" s="24">
        <f t="shared" ca="1" si="8"/>
        <v>171.02880000000002</v>
      </c>
      <c r="AZ24">
        <f t="shared" si="9"/>
        <v>10</v>
      </c>
      <c r="BA24" s="17">
        <f t="shared" si="10"/>
        <v>44835</v>
      </c>
      <c r="BB24" s="22">
        <f t="shared" ca="1" si="11"/>
        <v>9.890500000000003</v>
      </c>
      <c r="BC24" s="22">
        <f t="shared" ca="1" si="12"/>
        <v>12.912999999999982</v>
      </c>
      <c r="BD24" s="22">
        <f t="shared" ca="1" si="13"/>
        <v>6.4840000000000373</v>
      </c>
      <c r="BE24" s="22">
        <f t="shared" ca="1" si="14"/>
        <v>8.9759999999999991</v>
      </c>
      <c r="BF24" s="22">
        <f t="shared" ca="1" si="15"/>
        <v>8.4220000000000255</v>
      </c>
      <c r="BG24" s="22">
        <f t="shared" ca="1" si="16"/>
        <v>9.453000000000003</v>
      </c>
      <c r="BH24" s="25">
        <f t="shared" ca="1" si="0"/>
        <v>9.356416666666675</v>
      </c>
      <c r="BJ24" s="27">
        <f t="shared" ca="1" si="21"/>
        <v>9.5950674509065745</v>
      </c>
      <c r="BL24" s="41">
        <f t="shared" si="18"/>
        <v>390</v>
      </c>
      <c r="BM24" s="41">
        <f t="shared" si="19"/>
        <v>160.328</v>
      </c>
    </row>
    <row r="25" spans="2:65" x14ac:dyDescent="0.3">
      <c r="B25" s="17" t="str">
        <f t="shared" si="1"/>
        <v>202211</v>
      </c>
      <c r="C25" s="17">
        <f t="shared" si="20"/>
        <v>44866</v>
      </c>
      <c r="D25" s="19">
        <f ca="1">IFERROR(AVERAGEIF('Preço Soja ESALQ'!$C:$C,'Modelo Soja'!$B25,'Preço Soja ESALQ'!$R:$R),NA())</f>
        <v>161.99299999999997</v>
      </c>
      <c r="E25" s="19">
        <f ca="1">IFERROR(AVERAGEIF('Preço Soja ESALQ'!$C:$C,'Modelo Soja'!$B25,'Preço Soja ESALQ'!S:S),NA())</f>
        <v>149.82500000000002</v>
      </c>
      <c r="F25" s="19">
        <f ca="1">IFERROR(AVERAGEIF('Preço Soja ESALQ'!$C:$C,'Modelo Soja'!$B25,'Preço Soja ESALQ'!T:T),NA())</f>
        <v>170.21699999999998</v>
      </c>
      <c r="G25" s="19" t="e">
        <f ca="1">IFERROR(AVERAGEIF('Preço Soja ESALQ'!$C:$C,'Modelo Soja'!$B25,'Preço Soja ESALQ'!U:U),NA())</f>
        <v>#N/A</v>
      </c>
      <c r="H25" s="19">
        <f ca="1">IFERROR(AVERAGEIF('Preço Soja ESALQ'!$C:$C,'Modelo Soja'!$B25,'Preço Soja ESALQ'!V:V),NA())</f>
        <v>164.13749999999999</v>
      </c>
      <c r="I25" s="19">
        <f ca="1">IFERROR(AVERAGEIF('Preço Soja ESALQ'!$C:$C,'Modelo Soja'!$B25,'Preço Soja ESALQ'!W:W),NA())</f>
        <v>173.76894736842104</v>
      </c>
      <c r="J25" s="19">
        <f ca="1">IFERROR(AVERAGEIF('Preço Soja ESALQ'!$C:$C,'Modelo Soja'!$B25,'Preço Soja ESALQ'!X:X),NA())</f>
        <v>172.0395</v>
      </c>
      <c r="K25" s="19">
        <f ca="1">IFERROR(AVERAGEIF('Preço Soja ESALQ'!$C:$C,'Modelo Soja'!$B25,'Preço Soja ESALQ'!Y:Y),NA())</f>
        <v>168.53849999999994</v>
      </c>
      <c r="L25" s="19">
        <f ca="1">IFERROR(AVERAGEIF('Preço Soja ESALQ'!$C:$C,'Modelo Soja'!$B25,'Preço Soja ESALQ'!Z:Z),NA())</f>
        <v>168.63850000000002</v>
      </c>
      <c r="M25" s="19">
        <f ca="1">IFERROR(AVERAGEIF('Preço Soja ESALQ'!$C:$C,'Modelo Soja'!$B25,'Preço Soja ESALQ'!AA:AA),NA())</f>
        <v>164.441</v>
      </c>
      <c r="N25" s="19">
        <f ca="1">IFERROR(AVERAGEIF('Preço Soja ESALQ'!$C:$C,'Modelo Soja'!$B25,'Preço Soja ESALQ'!AB:AB),NA())</f>
        <v>171.85150000000004</v>
      </c>
      <c r="O25" s="19">
        <f ca="1">IFERROR(AVERAGEIF('Preço Soja ESALQ'!$C:$C,'Modelo Soja'!$B25,'Preço Soja ESALQ'!AC:AC),NA())</f>
        <v>162.6</v>
      </c>
      <c r="P25" s="19" t="e">
        <f ca="1">IFERROR(AVERAGEIF('Preço Soja ESALQ'!$C:$C,'Modelo Soja'!$B25,'Preço Soja ESALQ'!AD:AD),NA())</f>
        <v>#N/A</v>
      </c>
      <c r="Q25" s="19">
        <f ca="1">IFERROR(AVERAGEIF('Preço Soja ESALQ'!$C:$C,'Modelo Soja'!$B25,'Preço Soja ESALQ'!BI:BI),NA())</f>
        <v>174.56000000000003</v>
      </c>
      <c r="R25" s="19">
        <f ca="1">IFERROR(AVERAGEIF('Preço Soja ESALQ'!$C:$C,'Modelo Soja'!$B25,'Preço Soja ESALQ'!BK:BK),NA())</f>
        <v>165.27999999999997</v>
      </c>
      <c r="S25" s="19">
        <f ca="1">IFERROR(AVERAGEIF('Preço Soja ESALQ'!$C:$C,'Modelo Soja'!$B25,'Preço Soja ESALQ'!BL:BL),NA())</f>
        <v>164.0047368421053</v>
      </c>
      <c r="T25" s="19" t="e">
        <f ca="1">IFERROR(AVERAGEIF('Preço Soja ESALQ'!$C:$C,'Modelo Soja'!$B25,'Preço Soja ESALQ'!BM:BM),NA())</f>
        <v>#N/A</v>
      </c>
      <c r="U25" s="19">
        <f ca="1">IFERROR(AVERAGEIF('Preço Soja ESALQ'!$C:$C,'Modelo Soja'!$B25,'Preço Soja ESALQ'!BN:BN),NA())</f>
        <v>163.49421052631581</v>
      </c>
      <c r="AA25" s="19">
        <f ca="1">IFERROR(AVERAGEIF('Preço Soja ESALQ'!$C:$C,'Modelo Soja'!$B25,'Preço Soja ESALQ'!BA:BA),NA())</f>
        <v>162.54263157894735</v>
      </c>
      <c r="AB25" s="19">
        <f ca="1">IFERROR(AVERAGEIF('Preço Soja ESALQ'!$C:$C,'Modelo Soja'!$B25,'Preço Soja ESALQ'!BB:BB),NA())</f>
        <v>185.39999999999995</v>
      </c>
      <c r="AC25" s="19">
        <f ca="1">IFERROR(AVERAGEIF('Preço Soja ESALQ'!$C:$C,'Modelo Soja'!$B25,'Preço Soja ESALQ'!BC:BC),NA())</f>
        <v>180.39450000000002</v>
      </c>
      <c r="AD25" s="19">
        <f ca="1">IFERROR(AVERAGEIF('Preço Soja ESALQ'!$C:$C,'Modelo Soja'!$B25,'Preço Soja ESALQ'!BD:BD),NA())</f>
        <v>179.61849999999998</v>
      </c>
      <c r="AE25" s="19">
        <f ca="1">IFERROR(AVERAGEIF('Preço Soja ESALQ'!$C:$C,'Modelo Soja'!$B25,'Preço Soja ESALQ'!BE:BE),NA())</f>
        <v>173.53526315789469</v>
      </c>
      <c r="AF25" s="19">
        <f ca="1">IFERROR(AVERAGEIF('Preço Soja ESALQ'!$C:$C,'Modelo Soja'!$B25,'Preço Soja ESALQ'!BF:BF),NA())</f>
        <v>171.00210526315786</v>
      </c>
      <c r="AG25" s="19">
        <f ca="1">IFERROR(AVERAGEIF('Preço Soja ESALQ'!$C:$C,'Modelo Soja'!$B25,'Preço Soja ESALQ'!BG:BG),NA())</f>
        <v>180.79200000000003</v>
      </c>
      <c r="AH25" s="19">
        <f ca="1">IFERROR(AVERAGEIF('Preço Soja ESALQ'!$C:$C,'Modelo Soja'!$B25,'Preço Soja ESALQ'!AE:AE),NA())</f>
        <v>179.76349999999996</v>
      </c>
      <c r="AI25" s="19">
        <f ca="1">IFERROR(AVERAGEIF('Preço Soja ESALQ'!$C:$C,'Modelo Soja'!$B25,'Preço Soja ESALQ'!AF:AF),NA())</f>
        <v>173.17599999999999</v>
      </c>
      <c r="AJ25" s="24">
        <f>+[2]summary!C37</f>
        <v>186.1275</v>
      </c>
      <c r="AK25" s="24">
        <f t="shared" ca="1" si="2"/>
        <v>158.98213294346979</v>
      </c>
      <c r="AL25" s="24"/>
      <c r="AN25" s="24">
        <f>+[6]FSORPRA!H24</f>
        <v>385</v>
      </c>
      <c r="AO25" s="24">
        <f>+[6]FRONPRA!H24</f>
        <v>290</v>
      </c>
      <c r="AP25" s="24">
        <f>VLOOKUP(B25,'Frete ESALQ'!$C$5:$AL$131,36,FALSE)</f>
        <v>120</v>
      </c>
      <c r="AQ25" s="24">
        <f>VLOOKUP(B25,'Frete ESALQ'!$C$5:$AW$131,47,FALSE)</f>
        <v>97.5</v>
      </c>
      <c r="AR25" s="24">
        <f>VLOOKUP(B25,'Frete ESALQ'!$C$5:$BH$131,58,FALSE)</f>
        <v>137</v>
      </c>
      <c r="AS25" s="24">
        <f>VLOOKUP(B25,'Frete ESALQ'!$C$5:$BH$131,32,FALSE)</f>
        <v>133</v>
      </c>
      <c r="AT25" s="24">
        <f t="shared" si="3"/>
        <v>163.0275</v>
      </c>
      <c r="AU25" s="24">
        <f t="shared" si="4"/>
        <v>168.72749999999999</v>
      </c>
      <c r="AV25" s="24">
        <f t="shared" si="5"/>
        <v>178.92750000000001</v>
      </c>
      <c r="AW25" s="24">
        <f t="shared" si="6"/>
        <v>180.2775</v>
      </c>
      <c r="AX25" s="24">
        <f t="shared" ca="1" si="7"/>
        <v>172.57200000000003</v>
      </c>
      <c r="AY25" s="24">
        <f t="shared" ca="1" si="8"/>
        <v>171.78349999999998</v>
      </c>
      <c r="AZ25">
        <f t="shared" si="9"/>
        <v>11</v>
      </c>
      <c r="BA25" s="17">
        <f t="shared" si="10"/>
        <v>44866</v>
      </c>
      <c r="BB25" s="22">
        <f t="shared" ca="1" si="11"/>
        <v>11.63105263157891</v>
      </c>
      <c r="BC25" s="22">
        <f t="shared" ca="1" si="12"/>
        <v>11.85600000000008</v>
      </c>
      <c r="BD25" s="22">
        <f t="shared" ca="1" si="13"/>
        <v>9.0942631578946873</v>
      </c>
      <c r="BE25" s="22">
        <f t="shared" ca="1" si="14"/>
        <v>9.0091052631578918</v>
      </c>
      <c r="BF25" s="22">
        <f t="shared" ca="1" si="15"/>
        <v>7.7239999999999611</v>
      </c>
      <c r="BG25" s="22">
        <f t="shared" ca="1" si="16"/>
        <v>8.9404999999999859</v>
      </c>
      <c r="BH25" s="25">
        <f t="shared" ca="1" si="0"/>
        <v>9.7091535087719194</v>
      </c>
      <c r="BJ25" s="27">
        <f t="shared" ca="1" si="21"/>
        <v>9.1571329434697866</v>
      </c>
      <c r="BL25" s="41">
        <f t="shared" si="18"/>
        <v>375</v>
      </c>
      <c r="BM25" s="41">
        <f t="shared" si="19"/>
        <v>163.6275</v>
      </c>
    </row>
    <row r="26" spans="2:65" x14ac:dyDescent="0.3">
      <c r="B26" s="17" t="str">
        <f t="shared" si="1"/>
        <v>202212</v>
      </c>
      <c r="C26" s="17">
        <f t="shared" si="20"/>
        <v>44896</v>
      </c>
      <c r="D26" s="19">
        <f ca="1">IFERROR(AVERAGEIF('Preço Soja ESALQ'!$C:$C,'Modelo Soja'!$B26,'Preço Soja ESALQ'!$R:$R),NA())</f>
        <v>165.54650000000001</v>
      </c>
      <c r="E26" s="19">
        <f ca="1">IFERROR(AVERAGEIF('Preço Soja ESALQ'!$C:$C,'Modelo Soja'!$B26,'Preço Soja ESALQ'!S:S),NA())</f>
        <v>147.44842105263157</v>
      </c>
      <c r="F26" s="19">
        <f ca="1">IFERROR(AVERAGEIF('Preço Soja ESALQ'!$C:$C,'Modelo Soja'!$B26,'Preço Soja ESALQ'!T:T),NA())</f>
        <v>165.54476190476191</v>
      </c>
      <c r="G26" s="19" t="e">
        <f ca="1">IFERROR(AVERAGEIF('Preço Soja ESALQ'!$C:$C,'Modelo Soja'!$B26,'Preço Soja ESALQ'!U:U),NA())</f>
        <v>#N/A</v>
      </c>
      <c r="H26" s="19">
        <f ca="1">IFERROR(AVERAGEIF('Preço Soja ESALQ'!$C:$C,'Modelo Soja'!$B26,'Preço Soja ESALQ'!V:V),NA())</f>
        <v>159.4014285714286</v>
      </c>
      <c r="I26" s="19">
        <f ca="1">IFERROR(AVERAGEIF('Preço Soja ESALQ'!$C:$C,'Modelo Soja'!$B26,'Preço Soja ESALQ'!W:W),NA())</f>
        <v>169.44095238095238</v>
      </c>
      <c r="J26" s="19">
        <f ca="1">IFERROR(AVERAGEIF('Preço Soja ESALQ'!$C:$C,'Modelo Soja'!$B26,'Preço Soja ESALQ'!X:X),NA())</f>
        <v>170.91285714285715</v>
      </c>
      <c r="K26" s="19">
        <f ca="1">IFERROR(AVERAGEIF('Preço Soja ESALQ'!$C:$C,'Modelo Soja'!$B26,'Preço Soja ESALQ'!Y:Y),NA())</f>
        <v>164.87000000000003</v>
      </c>
      <c r="L26" s="19">
        <f ca="1">IFERROR(AVERAGEIF('Preço Soja ESALQ'!$C:$C,'Modelo Soja'!$B26,'Preço Soja ESALQ'!Z:Z),NA())</f>
        <v>164.57857142857142</v>
      </c>
      <c r="M26" s="19">
        <f ca="1">IFERROR(AVERAGEIF('Preço Soja ESALQ'!$C:$C,'Modelo Soja'!$B26,'Preço Soja ESALQ'!AA:AA),NA())</f>
        <v>164.22571428571433</v>
      </c>
      <c r="N26" s="19">
        <f ca="1">IFERROR(AVERAGEIF('Preço Soja ESALQ'!$C:$C,'Modelo Soja'!$B26,'Preço Soja ESALQ'!AB:AB),NA())</f>
        <v>170.82000000000002</v>
      </c>
      <c r="O26" s="19">
        <f ca="1">IFERROR(AVERAGEIF('Preço Soja ESALQ'!$C:$C,'Modelo Soja'!$B26,'Preço Soja ESALQ'!AC:AC),NA())</f>
        <v>163.27000000000001</v>
      </c>
      <c r="P26" s="19" t="e">
        <f ca="1">IFERROR(AVERAGEIF('Preço Soja ESALQ'!$C:$C,'Modelo Soja'!$B26,'Preço Soja ESALQ'!AD:AD),NA())</f>
        <v>#N/A</v>
      </c>
      <c r="Q26" s="19">
        <f ca="1">IFERROR(AVERAGEIF('Preço Soja ESALQ'!$C:$C,'Modelo Soja'!$B26,'Preço Soja ESALQ'!BI:BI),NA())</f>
        <v>172.7428571428571</v>
      </c>
      <c r="R26" s="19">
        <f ca="1">IFERROR(AVERAGEIF('Preço Soja ESALQ'!$C:$C,'Modelo Soja'!$B26,'Preço Soja ESALQ'!BK:BK),NA())</f>
        <v>159.80937500000002</v>
      </c>
      <c r="S26" s="19">
        <f ca="1">IFERROR(AVERAGEIF('Preço Soja ESALQ'!$C:$C,'Modelo Soja'!$B26,'Preço Soja ESALQ'!BL:BL),NA())</f>
        <v>159.03952380952381</v>
      </c>
      <c r="T26" s="19" t="e">
        <f ca="1">IFERROR(AVERAGEIF('Preço Soja ESALQ'!$C:$C,'Modelo Soja'!$B26,'Preço Soja ESALQ'!BM:BM),NA())</f>
        <v>#N/A</v>
      </c>
      <c r="U26" s="19">
        <f ca="1">IFERROR(AVERAGEIF('Preço Soja ESALQ'!$C:$C,'Modelo Soja'!$B26,'Preço Soja ESALQ'!BN:BN),NA())</f>
        <v>158.52571428571432</v>
      </c>
      <c r="AA26" s="19">
        <f ca="1">IFERROR(AVERAGEIF('Preço Soja ESALQ'!$C:$C,'Modelo Soja'!$B26,'Preço Soja ESALQ'!BA:BA),NA())</f>
        <v>162.69750000000002</v>
      </c>
      <c r="AB26" s="19">
        <f ca="1">IFERROR(AVERAGEIF('Preço Soja ESALQ'!$C:$C,'Modelo Soja'!$B26,'Preço Soja ESALQ'!BB:BB),NA())</f>
        <v>179.96809523809526</v>
      </c>
      <c r="AC26" s="19">
        <f ca="1">IFERROR(AVERAGEIF('Preço Soja ESALQ'!$C:$C,'Modelo Soja'!$B26,'Preço Soja ESALQ'!BC:BC),NA())</f>
        <v>176.61761904761903</v>
      </c>
      <c r="AD26" s="19">
        <f ca="1">IFERROR(AVERAGEIF('Preço Soja ESALQ'!$C:$C,'Modelo Soja'!$B26,'Preço Soja ESALQ'!BD:BD),NA())</f>
        <v>173.51047619047617</v>
      </c>
      <c r="AE26" s="19">
        <f ca="1">IFERROR(AVERAGEIF('Preço Soja ESALQ'!$C:$C,'Modelo Soja'!$B26,'Preço Soja ESALQ'!BE:BE),NA())</f>
        <v>177.304</v>
      </c>
      <c r="AF26" s="19">
        <f ca="1">IFERROR(AVERAGEIF('Preço Soja ESALQ'!$C:$C,'Modelo Soja'!$B26,'Preço Soja ESALQ'!BF:BF),NA())</f>
        <v>172.88649999999998</v>
      </c>
      <c r="AG26" s="19">
        <f ca="1">IFERROR(AVERAGEIF('Preço Soja ESALQ'!$C:$C,'Modelo Soja'!$B26,'Preço Soja ESALQ'!BG:BG),NA())</f>
        <v>180.21333333333331</v>
      </c>
      <c r="AH26" s="19">
        <f ca="1">IFERROR(AVERAGEIF('Preço Soja ESALQ'!$C:$C,'Modelo Soja'!$B26,'Preço Soja ESALQ'!AE:AE),NA())</f>
        <v>179.04999999999998</v>
      </c>
      <c r="AI26" s="19">
        <f ca="1">IFERROR(AVERAGEIF('Preço Soja ESALQ'!$C:$C,'Modelo Soja'!$B26,'Preço Soja ESALQ'!AF:AF),NA())</f>
        <v>166.62904761904761</v>
      </c>
      <c r="AJ26" s="24">
        <f>+[2]summary!C38</f>
        <v>182.05333333333331</v>
      </c>
      <c r="AK26" s="24">
        <f t="shared" ca="1" si="2"/>
        <v>157.18727982456139</v>
      </c>
      <c r="AL26" s="24"/>
      <c r="AN26" s="24">
        <f>+[6]FSORPRA!H25</f>
        <v>457.5</v>
      </c>
      <c r="AO26" s="24">
        <f>+[6]FRONPRA!H25</f>
        <v>288.75</v>
      </c>
      <c r="AP26" s="29">
        <f>+(AP25*2+AP28)/3</f>
        <v>131.63999999999999</v>
      </c>
      <c r="AQ26" s="29">
        <f>+(AQ25*2+AQ28)/3</f>
        <v>111.66666666666667</v>
      </c>
      <c r="AR26" s="29">
        <f>+(AR25*2+AR28)/3</f>
        <v>136</v>
      </c>
      <c r="AS26" s="29">
        <f>+(AS25*2+AS28)/3</f>
        <v>136.91333333333333</v>
      </c>
      <c r="AT26" s="24">
        <f t="shared" si="3"/>
        <v>154.60333333333332</v>
      </c>
      <c r="AU26" s="24">
        <f t="shared" si="4"/>
        <v>164.72833333333332</v>
      </c>
      <c r="AV26" s="24">
        <f t="shared" si="5"/>
        <v>174.1549333333333</v>
      </c>
      <c r="AW26" s="24">
        <f t="shared" si="6"/>
        <v>175.35333333333332</v>
      </c>
      <c r="AX26" s="24">
        <f t="shared" ca="1" si="7"/>
        <v>172.05333333333331</v>
      </c>
      <c r="AY26" s="24">
        <f t="shared" ca="1" si="8"/>
        <v>170.83519999999999</v>
      </c>
      <c r="AZ26">
        <f t="shared" si="9"/>
        <v>12</v>
      </c>
      <c r="BA26" s="17">
        <f t="shared" si="10"/>
        <v>44896</v>
      </c>
      <c r="BB26" s="22">
        <f t="shared" ca="1" si="11"/>
        <v>10.527142857142877</v>
      </c>
      <c r="BC26" s="22">
        <f t="shared" ca="1" si="12"/>
        <v>11.747619047618997</v>
      </c>
      <c r="BD26" s="22">
        <f t="shared" ca="1" si="13"/>
        <v>13.07828571428567</v>
      </c>
      <c r="BE26" s="22">
        <f t="shared" ca="1" si="14"/>
        <v>7.339999999999975</v>
      </c>
      <c r="BF26" s="22">
        <f t="shared" ca="1" si="15"/>
        <v>8.1371428571428339</v>
      </c>
      <c r="BG26" s="22">
        <f t="shared" ca="1" si="16"/>
        <v>9.3933333333332882</v>
      </c>
      <c r="BH26" s="25">
        <f t="shared" ca="1" si="0"/>
        <v>10.037253968253941</v>
      </c>
      <c r="BJ26" s="27">
        <f t="shared" ca="1" si="21"/>
        <v>9.7388587719298165</v>
      </c>
      <c r="BL26" s="41">
        <f t="shared" si="18"/>
        <v>447.5</v>
      </c>
      <c r="BM26" s="41">
        <f t="shared" si="19"/>
        <v>155.20333333333332</v>
      </c>
    </row>
    <row r="27" spans="2:65" x14ac:dyDescent="0.3">
      <c r="B27" s="17" t="str">
        <f t="shared" si="1"/>
        <v>20231</v>
      </c>
      <c r="C27" s="17">
        <f t="shared" si="20"/>
        <v>44927</v>
      </c>
      <c r="D27" s="19">
        <f ca="1">IFERROR(AVERAGEIF('Preço Soja ESALQ'!$C:$C,'Modelo Soja'!$B27,'Preço Soja ESALQ'!$R:$R),NA())</f>
        <v>160.88318181818184</v>
      </c>
      <c r="E27" s="19">
        <f ca="1">IFERROR(AVERAGEIF('Preço Soja ESALQ'!$C:$C,'Modelo Soja'!$B27,'Preço Soja ESALQ'!S:S),NA())</f>
        <v>142.95523809523806</v>
      </c>
      <c r="F27" s="19">
        <f ca="1">IFERROR(AVERAGEIF('Preço Soja ESALQ'!$C:$C,'Modelo Soja'!$B27,'Preço Soja ESALQ'!T:T),NA())</f>
        <v>162.28181818181818</v>
      </c>
      <c r="G27" s="19" t="e">
        <f ca="1">IFERROR(AVERAGEIF('Preço Soja ESALQ'!$C:$C,'Modelo Soja'!$B27,'Preço Soja ESALQ'!U:U),NA())</f>
        <v>#N/A</v>
      </c>
      <c r="H27" s="19">
        <f ca="1">IFERROR(AVERAGEIF('Preço Soja ESALQ'!$C:$C,'Modelo Soja'!$B27,'Preço Soja ESALQ'!V:V),NA())</f>
        <v>158.14454545454544</v>
      </c>
      <c r="I27" s="19">
        <f ca="1">IFERROR(AVERAGEIF('Preço Soja ESALQ'!$C:$C,'Modelo Soja'!$B27,'Preço Soja ESALQ'!W:W),NA())</f>
        <v>164.61863636363634</v>
      </c>
      <c r="J27" s="19">
        <f ca="1">IFERROR(AVERAGEIF('Preço Soja ESALQ'!$C:$C,'Modelo Soja'!$B27,'Preço Soja ESALQ'!X:X),NA())</f>
        <v>169.29681818181822</v>
      </c>
      <c r="K27" s="19">
        <f ca="1">IFERROR(AVERAGEIF('Preço Soja ESALQ'!$C:$C,'Modelo Soja'!$B27,'Preço Soja ESALQ'!Y:Y),NA())</f>
        <v>161.61636363636364</v>
      </c>
      <c r="L27" s="19">
        <f ca="1">IFERROR(AVERAGEIF('Preço Soja ESALQ'!$C:$C,'Modelo Soja'!$B27,'Preço Soja ESALQ'!Z:Z),NA())</f>
        <v>161.56681818181818</v>
      </c>
      <c r="M27" s="19">
        <f ca="1">IFERROR(AVERAGEIF('Preço Soja ESALQ'!$C:$C,'Modelo Soja'!$B27,'Preço Soja ESALQ'!AA:AA),NA())</f>
        <v>161.84227272727276</v>
      </c>
      <c r="N27" s="19">
        <f ca="1">IFERROR(AVERAGEIF('Preço Soja ESALQ'!$C:$C,'Modelo Soja'!$B27,'Preço Soja ESALQ'!AB:AB),NA())</f>
        <v>168.61090909090913</v>
      </c>
      <c r="O27" s="19">
        <f ca="1">IFERROR(AVERAGEIF('Preço Soja ESALQ'!$C:$C,'Modelo Soja'!$B27,'Preço Soja ESALQ'!AC:AC),NA())</f>
        <v>160.52666666666667</v>
      </c>
      <c r="P27" s="19" t="e">
        <f ca="1">IFERROR(AVERAGEIF('Preço Soja ESALQ'!$C:$C,'Modelo Soja'!$B27,'Preço Soja ESALQ'!AD:AD),NA())</f>
        <v>#N/A</v>
      </c>
      <c r="Q27" s="19">
        <f ca="1">IFERROR(AVERAGEIF('Preço Soja ESALQ'!$C:$C,'Modelo Soja'!$B27,'Preço Soja ESALQ'!BI:BI),NA())</f>
        <v>171.24863636363634</v>
      </c>
      <c r="R27" s="19">
        <f ca="1">IFERROR(AVERAGEIF('Preço Soja ESALQ'!$C:$C,'Modelo Soja'!$B27,'Preço Soja ESALQ'!BK:BK),NA())</f>
        <v>155.76136363636363</v>
      </c>
      <c r="S27" s="19">
        <f ca="1">IFERROR(AVERAGEIF('Preço Soja ESALQ'!$C:$C,'Modelo Soja'!$B27,'Preço Soja ESALQ'!BL:BL),NA())</f>
        <v>154.74136363636362</v>
      </c>
      <c r="T27" s="19" t="e">
        <f ca="1">IFERROR(AVERAGEIF('Preço Soja ESALQ'!$C:$C,'Modelo Soja'!$B27,'Preço Soja ESALQ'!BM:BM),NA())</f>
        <v>#N/A</v>
      </c>
      <c r="U27" s="19">
        <f ca="1">IFERROR(AVERAGEIF('Preço Soja ESALQ'!$C:$C,'Modelo Soja'!$B27,'Preço Soja ESALQ'!BN:BN),NA())</f>
        <v>154.20909090909092</v>
      </c>
      <c r="AA27" s="19">
        <f ca="1">IFERROR(AVERAGEIF('Preço Soja ESALQ'!$C:$C,'Modelo Soja'!$B27,'Preço Soja ESALQ'!BA:BA),NA())</f>
        <v>156.05095238095242</v>
      </c>
      <c r="AB27" s="19">
        <f ca="1">IFERROR(AVERAGEIF('Preço Soja ESALQ'!$C:$C,'Modelo Soja'!$B27,'Preço Soja ESALQ'!BB:BB),NA())</f>
        <v>172.83454545454541</v>
      </c>
      <c r="AC27" s="19">
        <f ca="1">IFERROR(AVERAGEIF('Preço Soja ESALQ'!$C:$C,'Modelo Soja'!$B27,'Preço Soja ESALQ'!BC:BC),NA())</f>
        <v>168.98772727272728</v>
      </c>
      <c r="AD27" s="19">
        <f ca="1">IFERROR(AVERAGEIF('Preço Soja ESALQ'!$C:$C,'Modelo Soja'!$B27,'Preço Soja ESALQ'!BD:BD),NA())</f>
        <v>167.72272727272724</v>
      </c>
      <c r="AE27" s="19">
        <f ca="1">IFERROR(AVERAGEIF('Preço Soja ESALQ'!$C:$C,'Modelo Soja'!$B27,'Preço Soja ESALQ'!BE:BE),NA())</f>
        <v>167.19772727272726</v>
      </c>
      <c r="AF27" s="19">
        <f ca="1">IFERROR(AVERAGEIF('Preço Soja ESALQ'!$C:$C,'Modelo Soja'!$B27,'Preço Soja ESALQ'!BF:BF),NA())</f>
        <v>166.49409090909094</v>
      </c>
      <c r="AG27" s="19">
        <f ca="1">IFERROR(AVERAGEIF('Preço Soja ESALQ'!$C:$C,'Modelo Soja'!$B27,'Preço Soja ESALQ'!BG:BG),NA())</f>
        <v>177.7527272727273</v>
      </c>
      <c r="AH27" s="19">
        <f ca="1">IFERROR(AVERAGEIF('Preço Soja ESALQ'!$C:$C,'Modelo Soja'!$B27,'Preço Soja ESALQ'!AE:AE),NA())</f>
        <v>176.57500000000002</v>
      </c>
      <c r="AI27" s="19">
        <f ca="1">IFERROR(AVERAGEIF('Preço Soja ESALQ'!$C:$C,'Modelo Soja'!$B27,'Preço Soja ESALQ'!AF:AF),NA())</f>
        <v>164.47499999999994</v>
      </c>
      <c r="AJ27" s="24">
        <f>+[2]summary!C39</f>
        <v>177.03181818181818</v>
      </c>
      <c r="AK27" s="24">
        <f t="shared" ca="1" si="2"/>
        <v>151.44801598957406</v>
      </c>
      <c r="AL27" s="24"/>
      <c r="AN27" s="24">
        <f>+[6]FSORPRA!H26</f>
        <v>450</v>
      </c>
      <c r="AO27" s="24">
        <f>+[6]FRONPRA!H26</f>
        <v>340</v>
      </c>
      <c r="AP27" s="29">
        <f>+(AP28*2+AP25)/3</f>
        <v>143.28</v>
      </c>
      <c r="AQ27" s="29">
        <f>+(AQ28*2+AQ25)/3</f>
        <v>125.83333333333333</v>
      </c>
      <c r="AR27" s="29">
        <f>+(AR28*2+AR25)/3</f>
        <v>135</v>
      </c>
      <c r="AS27" s="29">
        <f>+(AS28*2+AS25)/3</f>
        <v>140.82666666666668</v>
      </c>
      <c r="AT27" s="24">
        <f t="shared" si="3"/>
        <v>150.03181818181818</v>
      </c>
      <c r="AU27" s="24">
        <f t="shared" si="4"/>
        <v>156.63181818181818</v>
      </c>
      <c r="AV27" s="24">
        <f t="shared" si="5"/>
        <v>168.43501818181818</v>
      </c>
      <c r="AW27" s="24">
        <f t="shared" si="6"/>
        <v>169.48181818181817</v>
      </c>
      <c r="AX27" s="24">
        <f t="shared" ca="1" si="7"/>
        <v>169.6527272727273</v>
      </c>
      <c r="AY27" s="24">
        <f t="shared" ca="1" si="8"/>
        <v>168.12540000000001</v>
      </c>
      <c r="AZ27">
        <f t="shared" si="9"/>
        <v>1</v>
      </c>
      <c r="BA27" s="17">
        <f t="shared" si="10"/>
        <v>44927</v>
      </c>
      <c r="BB27" s="22">
        <f t="shared" ca="1" si="11"/>
        <v>8.2159090909090651</v>
      </c>
      <c r="BC27" s="22">
        <f t="shared" ca="1" si="12"/>
        <v>7.3713636363636397</v>
      </c>
      <c r="BD27" s="22">
        <f t="shared" ca="1" si="13"/>
        <v>5.3554545454545064</v>
      </c>
      <c r="BE27" s="22">
        <f t="shared" ca="1" si="14"/>
        <v>5.6109090909091037</v>
      </c>
      <c r="BF27" s="22">
        <f t="shared" ca="1" si="15"/>
        <v>7.2781818181817926</v>
      </c>
      <c r="BG27" s="22">
        <f t="shared" ca="1" si="16"/>
        <v>9.1418181818181665</v>
      </c>
      <c r="BH27" s="25">
        <f t="shared" ca="1" si="0"/>
        <v>7.162272727272712</v>
      </c>
      <c r="BJ27" s="27">
        <f t="shared" ca="1" si="21"/>
        <v>8.4927778943360082</v>
      </c>
      <c r="BL27" s="41">
        <f t="shared" si="18"/>
        <v>440</v>
      </c>
      <c r="BM27" s="41">
        <f t="shared" si="19"/>
        <v>150.63181818181818</v>
      </c>
    </row>
    <row r="28" spans="2:65" x14ac:dyDescent="0.3">
      <c r="B28" s="17" t="str">
        <f t="shared" si="1"/>
        <v>20232</v>
      </c>
      <c r="C28" s="17">
        <f t="shared" si="20"/>
        <v>44958</v>
      </c>
      <c r="D28" s="19">
        <f ca="1">IFERROR(AVERAGEIF('Preço Soja ESALQ'!$C:$C,'Modelo Soja'!$B28,'Preço Soja ESALQ'!$R:$R),NA())</f>
        <v>156.9083333333333</v>
      </c>
      <c r="E28" s="19">
        <f ca="1">IFERROR(AVERAGEIF('Preço Soja ESALQ'!$C:$C,'Modelo Soja'!$B28,'Preço Soja ESALQ'!S:S),NA())</f>
        <v>142.02444444444444</v>
      </c>
      <c r="F28" s="19">
        <f ca="1">IFERROR(AVERAGEIF('Preço Soja ESALQ'!$C:$C,'Modelo Soja'!$B28,'Preço Soja ESALQ'!T:T),NA())</f>
        <v>157.95055555555555</v>
      </c>
      <c r="G28" s="19" t="e">
        <f ca="1">IFERROR(AVERAGEIF('Preço Soja ESALQ'!$C:$C,'Modelo Soja'!$B28,'Preço Soja ESALQ'!U:U),NA())</f>
        <v>#N/A</v>
      </c>
      <c r="H28" s="19">
        <f ca="1">IFERROR(AVERAGEIF('Preço Soja ESALQ'!$C:$C,'Modelo Soja'!$B28,'Preço Soja ESALQ'!V:V),NA())</f>
        <v>152.85499999999999</v>
      </c>
      <c r="I28" s="19">
        <f ca="1">IFERROR(AVERAGEIF('Preço Soja ESALQ'!$C:$C,'Modelo Soja'!$B28,'Preço Soja ESALQ'!W:W),NA())</f>
        <v>160.27666666666664</v>
      </c>
      <c r="J28" s="19">
        <f ca="1">IFERROR(AVERAGEIF('Preço Soja ESALQ'!$C:$C,'Modelo Soja'!$B28,'Preço Soja ESALQ'!X:X),NA())</f>
        <v>164.99944444444444</v>
      </c>
      <c r="K28" s="19">
        <f ca="1">IFERROR(AVERAGEIF('Preço Soja ESALQ'!$C:$C,'Modelo Soja'!$B28,'Preço Soja ESALQ'!Y:Y),NA())</f>
        <v>158.00222222222226</v>
      </c>
      <c r="L28" s="19">
        <f ca="1">IFERROR(AVERAGEIF('Preço Soja ESALQ'!$C:$C,'Modelo Soja'!$B28,'Preço Soja ESALQ'!Z:Z),NA())</f>
        <v>158.65444444444447</v>
      </c>
      <c r="M28" s="19">
        <f ca="1">IFERROR(AVERAGEIF('Preço Soja ESALQ'!$C:$C,'Modelo Soja'!$B28,'Preço Soja ESALQ'!AA:AA),NA())</f>
        <v>159.34777777777776</v>
      </c>
      <c r="N28" s="19">
        <f ca="1">IFERROR(AVERAGEIF('Preço Soja ESALQ'!$C:$C,'Modelo Soja'!$B28,'Preço Soja ESALQ'!AB:AB),NA())</f>
        <v>164.28888888888889</v>
      </c>
      <c r="O28" s="19">
        <f ca="1">IFERROR(AVERAGEIF('Preço Soja ESALQ'!$C:$C,'Modelo Soja'!$B28,'Preço Soja ESALQ'!AC:AC),NA())</f>
        <v>154.89000000000001</v>
      </c>
      <c r="P28" s="19" t="e">
        <f ca="1">IFERROR(AVERAGEIF('Preço Soja ESALQ'!$C:$C,'Modelo Soja'!$B28,'Preço Soja ESALQ'!AD:AD),NA())</f>
        <v>#N/A</v>
      </c>
      <c r="Q28" s="19">
        <f ca="1">IFERROR(AVERAGEIF('Preço Soja ESALQ'!$C:$C,'Modelo Soja'!$B28,'Preço Soja ESALQ'!BI:BI),NA())</f>
        <v>165.19611111111112</v>
      </c>
      <c r="R28" s="19">
        <f ca="1">IFERROR(AVERAGEIF('Preço Soja ESALQ'!$C:$C,'Modelo Soja'!$B28,'Preço Soja ESALQ'!BK:BK),NA())</f>
        <v>152.10888888888888</v>
      </c>
      <c r="S28" s="19">
        <f ca="1">IFERROR(AVERAGEIF('Preço Soja ESALQ'!$C:$C,'Modelo Soja'!$B28,'Preço Soja ESALQ'!BL:BL),NA())</f>
        <v>151.05176470588233</v>
      </c>
      <c r="T28" s="19" t="e">
        <f ca="1">IFERROR(AVERAGEIF('Preço Soja ESALQ'!$C:$C,'Modelo Soja'!$B28,'Preço Soja ESALQ'!BM:BM),NA())</f>
        <v>#N/A</v>
      </c>
      <c r="U28" s="19">
        <f ca="1">IFERROR(AVERAGEIF('Preço Soja ESALQ'!$C:$C,'Modelo Soja'!$B28,'Preço Soja ESALQ'!BN:BN),NA())</f>
        <v>150.79666666666668</v>
      </c>
      <c r="AA28" s="19">
        <f ca="1">IFERROR(AVERAGEIF('Preço Soja ESALQ'!$C:$C,'Modelo Soja'!$B28,'Preço Soja ESALQ'!BA:BA),NA())</f>
        <v>155.39705882352939</v>
      </c>
      <c r="AB28" s="19">
        <f ca="1">IFERROR(AVERAGEIF('Preço Soja ESALQ'!$C:$C,'Modelo Soja'!$B28,'Preço Soja ESALQ'!BB:BB),NA())</f>
        <v>167.40222222222224</v>
      </c>
      <c r="AC28" s="19">
        <f ca="1">IFERROR(AVERAGEIF('Preço Soja ESALQ'!$C:$C,'Modelo Soja'!$B28,'Preço Soja ESALQ'!BC:BC),NA())</f>
        <v>161.69055555555553</v>
      </c>
      <c r="AD28" s="19">
        <f ca="1">IFERROR(AVERAGEIF('Preço Soja ESALQ'!$C:$C,'Modelo Soja'!$B28,'Preço Soja ESALQ'!BD:BD),NA())</f>
        <v>162.79277777777776</v>
      </c>
      <c r="AE28" s="19">
        <f ca="1">IFERROR(AVERAGEIF('Preço Soja ESALQ'!$C:$C,'Modelo Soja'!$B28,'Preço Soja ESALQ'!BE:BE),NA())</f>
        <v>162.24888888888893</v>
      </c>
      <c r="AF28" s="19">
        <f ca="1">IFERROR(AVERAGEIF('Preço Soja ESALQ'!$C:$C,'Modelo Soja'!$B28,'Preço Soja ESALQ'!BF:BF),NA())</f>
        <v>160.24111111111108</v>
      </c>
      <c r="AG28" s="19">
        <f ca="1">IFERROR(AVERAGEIF('Preço Soja ESALQ'!$C:$C,'Modelo Soja'!$B28,'Preço Soja ESALQ'!BG:BG),NA())</f>
        <v>170.63500000000002</v>
      </c>
      <c r="AH28" s="19">
        <f ca="1">IFERROR(AVERAGEIF('Preço Soja ESALQ'!$C:$C,'Modelo Soja'!$B28,'Preço Soja ESALQ'!AE:AE),NA())</f>
        <v>169.97611111111112</v>
      </c>
      <c r="AI28" s="19">
        <f ca="1">IFERROR(AVERAGEIF('Preço Soja ESALQ'!$C:$C,'Modelo Soja'!$B28,'Preço Soja ESALQ'!AF:AF),NA())</f>
        <v>161.26333333333332</v>
      </c>
      <c r="AJ28" s="24">
        <f>+[2]summary!C40</f>
        <v>172.60611111111112</v>
      </c>
      <c r="AK28" s="24">
        <f t="shared" ca="1" si="2"/>
        <v>147.63444355100714</v>
      </c>
      <c r="AL28" s="24"/>
      <c r="AN28" s="24">
        <f>+[6]FSORPRA!H27</f>
        <v>518.5</v>
      </c>
      <c r="AO28" s="24">
        <f>+[6]FRONPRA!H27</f>
        <v>392.5</v>
      </c>
      <c r="AP28" s="24">
        <f>VLOOKUP(B28,'Frete ESALQ'!$C$5:$AL$131,36,FALSE)</f>
        <v>154.91999999999999</v>
      </c>
      <c r="AQ28" s="24">
        <f>VLOOKUP(B28,'Frete ESALQ'!$C$5:$AW$131,47,FALSE)</f>
        <v>140</v>
      </c>
      <c r="AR28" s="24">
        <f>VLOOKUP(B28,'Frete ESALQ'!$C$5:$BH$131,58,FALSE)</f>
        <v>134</v>
      </c>
      <c r="AS28" s="24">
        <f>VLOOKUP(B28,'Frete ESALQ'!$C$5:$BH$131,32,FALSE)</f>
        <v>144.74</v>
      </c>
      <c r="AT28" s="24">
        <f t="shared" si="3"/>
        <v>141.49611111111113</v>
      </c>
      <c r="AU28" s="24">
        <f t="shared" si="4"/>
        <v>149.05611111111111</v>
      </c>
      <c r="AV28" s="24">
        <f t="shared" si="5"/>
        <v>163.31091111111112</v>
      </c>
      <c r="AW28" s="24">
        <f t="shared" si="6"/>
        <v>164.20611111111111</v>
      </c>
      <c r="AX28" s="24">
        <f t="shared" ca="1" si="7"/>
        <v>162.59500000000003</v>
      </c>
      <c r="AY28" s="24">
        <f t="shared" ca="1" si="8"/>
        <v>161.29171111111111</v>
      </c>
      <c r="AZ28">
        <f t="shared" si="9"/>
        <v>2</v>
      </c>
      <c r="BA28" s="17">
        <f t="shared" si="10"/>
        <v>44958</v>
      </c>
      <c r="BB28" s="22">
        <f t="shared" ca="1" si="11"/>
        <v>7.1255555555555929</v>
      </c>
      <c r="BC28" s="22">
        <f t="shared" ca="1" si="12"/>
        <v>3.6883333333332757</v>
      </c>
      <c r="BD28" s="22">
        <f t="shared" ca="1" si="13"/>
        <v>2.9011111111111632</v>
      </c>
      <c r="BE28" s="22">
        <f t="shared" ca="1" si="14"/>
        <v>3.3327777777777783</v>
      </c>
      <c r="BF28" s="22">
        <f t="shared" ca="1" si="15"/>
        <v>4.9766666666666879</v>
      </c>
      <c r="BG28" s="22">
        <f t="shared" ca="1" si="16"/>
        <v>6.3461111111111279</v>
      </c>
      <c r="BH28" s="25">
        <f t="shared" ca="1" si="0"/>
        <v>4.7284259259259374</v>
      </c>
      <c r="BJ28" s="27">
        <f t="shared" ca="1" si="21"/>
        <v>5.6099991065627028</v>
      </c>
      <c r="BL28" s="41">
        <f t="shared" si="18"/>
        <v>508.5</v>
      </c>
      <c r="BM28" s="41">
        <f t="shared" si="19"/>
        <v>142.09611111111113</v>
      </c>
    </row>
    <row r="29" spans="2:65" x14ac:dyDescent="0.3">
      <c r="B29" s="17" t="str">
        <f t="shared" si="1"/>
        <v>20233</v>
      </c>
      <c r="C29" s="17">
        <f t="shared" si="20"/>
        <v>44986</v>
      </c>
      <c r="D29" s="19">
        <f ca="1">IFERROR(AVERAGEIF('Preço Soja ESALQ'!$C:$C,'Modelo Soja'!$B29,'Preço Soja ESALQ'!$R:$R),NA())</f>
        <v>144.53521739130437</v>
      </c>
      <c r="E29" s="19">
        <f ca="1">IFERROR(AVERAGEIF('Preço Soja ESALQ'!$C:$C,'Modelo Soja'!$B29,'Preço Soja ESALQ'!S:S),NA())</f>
        <v>132.63866666666669</v>
      </c>
      <c r="F29" s="19">
        <f ca="1">IFERROR(AVERAGEIF('Preço Soja ESALQ'!$C:$C,'Modelo Soja'!$B29,'Preço Soja ESALQ'!T:T),NA())</f>
        <v>146.58173913043478</v>
      </c>
      <c r="G29" s="19" t="e">
        <f ca="1">IFERROR(AVERAGEIF('Preço Soja ESALQ'!$C:$C,'Modelo Soja'!$B29,'Preço Soja ESALQ'!U:U),NA())</f>
        <v>#N/A</v>
      </c>
      <c r="H29" s="19">
        <f ca="1">IFERROR(AVERAGEIF('Preço Soja ESALQ'!$C:$C,'Modelo Soja'!$B29,'Preço Soja ESALQ'!V:V),NA())</f>
        <v>141.10086956521741</v>
      </c>
      <c r="I29" s="19">
        <f ca="1">IFERROR(AVERAGEIF('Preço Soja ESALQ'!$C:$C,'Modelo Soja'!$B29,'Preço Soja ESALQ'!W:W),NA())</f>
        <v>151.36478260869563</v>
      </c>
      <c r="J29" s="19">
        <f ca="1">IFERROR(AVERAGEIF('Preço Soja ESALQ'!$C:$C,'Modelo Soja'!$B29,'Preço Soja ESALQ'!X:X),NA())</f>
        <v>156.19695652173911</v>
      </c>
      <c r="K29" s="19">
        <f ca="1">IFERROR(AVERAGEIF('Preço Soja ESALQ'!$C:$C,'Modelo Soja'!$B29,'Preço Soja ESALQ'!Y:Y),NA())</f>
        <v>147.50608695652176</v>
      </c>
      <c r="L29" s="19">
        <f ca="1">IFERROR(AVERAGEIF('Preço Soja ESALQ'!$C:$C,'Modelo Soja'!$B29,'Preço Soja ESALQ'!Z:Z),NA())</f>
        <v>148.06608695652173</v>
      </c>
      <c r="M29" s="19">
        <f ca="1">IFERROR(AVERAGEIF('Preço Soja ESALQ'!$C:$C,'Modelo Soja'!$B29,'Preço Soja ESALQ'!AA:AA),NA())</f>
        <v>147.00304347826091</v>
      </c>
      <c r="N29" s="19">
        <f ca="1">IFERROR(AVERAGEIF('Preço Soja ESALQ'!$C:$C,'Modelo Soja'!$B29,'Preço Soja ESALQ'!AB:AB),NA())</f>
        <v>156.15260869565216</v>
      </c>
      <c r="O29" s="19">
        <f ca="1">IFERROR(AVERAGEIF('Preço Soja ESALQ'!$C:$C,'Modelo Soja'!$B29,'Preço Soja ESALQ'!AC:AC),NA())</f>
        <v>144.91</v>
      </c>
      <c r="P29" s="19" t="e">
        <f ca="1">IFERROR(AVERAGEIF('Preço Soja ESALQ'!$C:$C,'Modelo Soja'!$B29,'Preço Soja ESALQ'!AD:AD),NA())</f>
        <v>#N/A</v>
      </c>
      <c r="Q29" s="19">
        <f ca="1">IFERROR(AVERAGEIF('Preço Soja ESALQ'!$C:$C,'Modelo Soja'!$B29,'Preço Soja ESALQ'!BI:BI),NA())</f>
        <v>154.96260869565222</v>
      </c>
      <c r="R29" s="19">
        <f ca="1">IFERROR(AVERAGEIF('Preço Soja ESALQ'!$C:$C,'Modelo Soja'!$B29,'Preço Soja ESALQ'!BK:BK),NA())</f>
        <v>140.97782608695653</v>
      </c>
      <c r="S29" s="19">
        <f ca="1">IFERROR(AVERAGEIF('Preço Soja ESALQ'!$C:$C,'Modelo Soja'!$B29,'Preço Soja ESALQ'!BL:BL),NA())</f>
        <v>141.00304347826085</v>
      </c>
      <c r="T29" s="19" t="e">
        <f ca="1">IFERROR(AVERAGEIF('Preço Soja ESALQ'!$C:$C,'Modelo Soja'!$B29,'Preço Soja ESALQ'!BM:BM),NA())</f>
        <v>#N/A</v>
      </c>
      <c r="U29" s="19">
        <f ca="1">IFERROR(AVERAGEIF('Preço Soja ESALQ'!$C:$C,'Modelo Soja'!$B29,'Preço Soja ESALQ'!BN:BN),NA())</f>
        <v>140.2308695652174</v>
      </c>
      <c r="AA29" s="19">
        <f ca="1">IFERROR(AVERAGEIF('Preço Soja ESALQ'!$C:$C,'Modelo Soja'!$B29,'Preço Soja ESALQ'!BA:BA),NA())</f>
        <v>146.98347826086956</v>
      </c>
      <c r="AB29" s="19">
        <f ca="1">IFERROR(AVERAGEIF('Preço Soja ESALQ'!$C:$C,'Modelo Soja'!$B29,'Preço Soja ESALQ'!BB:BB),NA())</f>
        <v>157.77434782608694</v>
      </c>
      <c r="AC29" s="19">
        <f ca="1">IFERROR(AVERAGEIF('Preço Soja ESALQ'!$C:$C,'Modelo Soja'!$B29,'Preço Soja ESALQ'!BC:BC),NA())</f>
        <v>151.45956521739129</v>
      </c>
      <c r="AD29" s="19">
        <f ca="1">IFERROR(AVERAGEIF('Preço Soja ESALQ'!$C:$C,'Modelo Soja'!$B29,'Preço Soja ESALQ'!BD:BD),NA())</f>
        <v>152.01347826086959</v>
      </c>
      <c r="AE29" s="19">
        <f ca="1">IFERROR(AVERAGEIF('Preço Soja ESALQ'!$C:$C,'Modelo Soja'!$B29,'Preço Soja ESALQ'!BE:BE),NA())</f>
        <v>150.41695652173911</v>
      </c>
      <c r="AF29" s="19">
        <f ca="1">IFERROR(AVERAGEIF('Preço Soja ESALQ'!$C:$C,'Modelo Soja'!$B29,'Preço Soja ESALQ'!BF:BF),NA())</f>
        <v>148.58608695652177</v>
      </c>
      <c r="AG29" s="19">
        <f ca="1">IFERROR(AVERAGEIF('Preço Soja ESALQ'!$C:$C,'Modelo Soja'!$B29,'Preço Soja ESALQ'!BG:BG),NA())</f>
        <v>160.71434782608694</v>
      </c>
      <c r="AH29" s="19">
        <f ca="1">IFERROR(AVERAGEIF('Preço Soja ESALQ'!$C:$C,'Modelo Soja'!$B29,'Preço Soja ESALQ'!AE:AE),NA())</f>
        <v>159.23521739130433</v>
      </c>
      <c r="AI29" s="19">
        <f ca="1">IFERROR(AVERAGEIF('Preço Soja ESALQ'!$C:$C,'Modelo Soja'!$B29,'Preço Soja ESALQ'!AF:AF),NA())</f>
        <v>150.92956521739134</v>
      </c>
      <c r="AJ29" s="24">
        <f>+[2]summary!C41</f>
        <v>162.12478260869568</v>
      </c>
      <c r="AK29" s="24">
        <f t="shared" ca="1" si="2"/>
        <v>137.37200021248776</v>
      </c>
      <c r="AL29" s="24"/>
      <c r="AN29" s="24">
        <f>+[6]FSORPRA!H28</f>
        <v>441.6</v>
      </c>
      <c r="AO29" s="24">
        <f>+[6]FRONPRA!H28</f>
        <v>326</v>
      </c>
      <c r="AP29" s="24">
        <f>VLOOKUP(B29,'Frete ESALQ'!$C$5:$AL$131,36,FALSE)</f>
        <v>181.34</v>
      </c>
      <c r="AQ29" s="24">
        <f>VLOOKUP(B29,'Frete ESALQ'!$C$5:$AW$131,47,FALSE)</f>
        <v>184.33</v>
      </c>
      <c r="AR29" s="24">
        <f>VLOOKUP(B29,'Frete ESALQ'!$C$5:$BH$131,58,FALSE)</f>
        <v>124.85</v>
      </c>
      <c r="AS29" s="24">
        <f>VLOOKUP(B29,'Frete ESALQ'!$C$5:$BH$131,32,FALSE)</f>
        <v>134.22</v>
      </c>
      <c r="AT29" s="24">
        <f t="shared" si="3"/>
        <v>135.62878260869567</v>
      </c>
      <c r="AU29" s="24">
        <f t="shared" si="4"/>
        <v>142.56478260869568</v>
      </c>
      <c r="AV29" s="24">
        <f t="shared" si="5"/>
        <v>151.24438260869567</v>
      </c>
      <c r="AW29" s="24">
        <f t="shared" si="6"/>
        <v>151.06498260869569</v>
      </c>
      <c r="AX29" s="24">
        <f t="shared" ca="1" si="7"/>
        <v>153.22334782608692</v>
      </c>
      <c r="AY29" s="24">
        <f t="shared" ca="1" si="8"/>
        <v>151.18201739130433</v>
      </c>
      <c r="AZ29">
        <f t="shared" si="9"/>
        <v>3</v>
      </c>
      <c r="BA29" s="17">
        <f t="shared" si="10"/>
        <v>44986</v>
      </c>
      <c r="BB29" s="22">
        <f t="shared" ca="1" si="11"/>
        <v>6.4095652173913038</v>
      </c>
      <c r="BC29" s="22">
        <f t="shared" ca="1" si="12"/>
        <v>3.9534782608695309</v>
      </c>
      <c r="BD29" s="22">
        <f t="shared" ca="1" si="13"/>
        <v>3.4139130434782032</v>
      </c>
      <c r="BE29" s="22">
        <f t="shared" ca="1" si="14"/>
        <v>4.0508695652173969</v>
      </c>
      <c r="BF29" s="22">
        <f t="shared" ca="1" si="15"/>
        <v>3.0382608695652209</v>
      </c>
      <c r="BG29" s="22">
        <f t="shared" ca="1" si="16"/>
        <v>4.5617391304347734</v>
      </c>
      <c r="BH29" s="25">
        <f t="shared" ca="1" si="0"/>
        <v>4.2379710144927385</v>
      </c>
      <c r="BJ29" s="27">
        <f t="shared" ca="1" si="21"/>
        <v>4.7333335458210737</v>
      </c>
      <c r="BL29" s="41">
        <f t="shared" si="18"/>
        <v>431.6</v>
      </c>
      <c r="BM29" s="41">
        <f t="shared" si="19"/>
        <v>136.22878260869567</v>
      </c>
    </row>
    <row r="30" spans="2:65" x14ac:dyDescent="0.3">
      <c r="B30" s="17" t="str">
        <f t="shared" si="1"/>
        <v>20234</v>
      </c>
      <c r="C30" s="17">
        <f t="shared" si="20"/>
        <v>45017</v>
      </c>
      <c r="D30" s="19">
        <f ca="1">IFERROR(AVERAGEIF('Preço Soja ESALQ'!$C:$C,'Modelo Soja'!$B30,'Preço Soja ESALQ'!$R:$R),NA())</f>
        <v>128.40555555555557</v>
      </c>
      <c r="E30" s="19">
        <f ca="1">IFERROR(AVERAGEIF('Preço Soja ESALQ'!$C:$C,'Modelo Soja'!$B30,'Preço Soja ESALQ'!S:S),NA())</f>
        <v>114.83444444444444</v>
      </c>
      <c r="F30" s="19">
        <f ca="1">IFERROR(AVERAGEIF('Preço Soja ESALQ'!$C:$C,'Modelo Soja'!$B30,'Preço Soja ESALQ'!T:T),NA())</f>
        <v>130.74055555555555</v>
      </c>
      <c r="G30" s="19" t="e">
        <f ca="1">IFERROR(AVERAGEIF('Preço Soja ESALQ'!$C:$C,'Modelo Soja'!$B30,'Preço Soja ESALQ'!U:U),NA())</f>
        <v>#N/A</v>
      </c>
      <c r="H30" s="19">
        <f ca="1">IFERROR(AVERAGEIF('Preço Soja ESALQ'!$C:$C,'Modelo Soja'!$B30,'Preço Soja ESALQ'!V:V),NA())</f>
        <v>122.88000000000001</v>
      </c>
      <c r="I30" s="19">
        <f ca="1">IFERROR(AVERAGEIF('Preço Soja ESALQ'!$C:$C,'Modelo Soja'!$B30,'Preço Soja ESALQ'!W:W),NA())</f>
        <v>134.66888888888886</v>
      </c>
      <c r="J30" s="19">
        <f ca="1">IFERROR(AVERAGEIF('Preço Soja ESALQ'!$C:$C,'Modelo Soja'!$B30,'Preço Soja ESALQ'!X:X),NA())</f>
        <v>139.74333333333331</v>
      </c>
      <c r="K30" s="19">
        <f ca="1">IFERROR(AVERAGEIF('Preço Soja ESALQ'!$C:$C,'Modelo Soja'!$B30,'Preço Soja ESALQ'!Y:Y),NA())</f>
        <v>130.99166666666667</v>
      </c>
      <c r="L30" s="19">
        <f ca="1">IFERROR(AVERAGEIF('Preço Soja ESALQ'!$C:$C,'Modelo Soja'!$B30,'Preço Soja ESALQ'!Z:Z),NA())</f>
        <v>131.48111111111109</v>
      </c>
      <c r="M30" s="19">
        <f ca="1">IFERROR(AVERAGEIF('Preço Soja ESALQ'!$C:$C,'Modelo Soja'!$B30,'Preço Soja ESALQ'!AA:AA),NA())</f>
        <v>129.72555555555556</v>
      </c>
      <c r="N30" s="19">
        <f ca="1">IFERROR(AVERAGEIF('Preço Soja ESALQ'!$C:$C,'Modelo Soja'!$B30,'Preço Soja ESALQ'!AB:AB),NA())</f>
        <v>139.05722222222224</v>
      </c>
      <c r="O30" s="19">
        <f ca="1">IFERROR(AVERAGEIF('Preço Soja ESALQ'!$C:$C,'Modelo Soja'!$B30,'Preço Soja ESALQ'!AC:AC),NA())</f>
        <v>117.07249999999999</v>
      </c>
      <c r="P30" s="19" t="e">
        <f ca="1">IFERROR(AVERAGEIF('Preço Soja ESALQ'!$C:$C,'Modelo Soja'!$B30,'Preço Soja ESALQ'!AD:AD),NA())</f>
        <v>#N/A</v>
      </c>
      <c r="Q30" s="19">
        <f ca="1">IFERROR(AVERAGEIF('Preço Soja ESALQ'!$C:$C,'Modelo Soja'!$B30,'Preço Soja ESALQ'!BI:BI),NA())</f>
        <v>137.05222222222221</v>
      </c>
      <c r="R30" s="19">
        <f ca="1">IFERROR(AVERAGEIF('Preço Soja ESALQ'!$C:$C,'Modelo Soja'!$B30,'Preço Soja ESALQ'!BK:BK),NA())</f>
        <v>122.59388888888887</v>
      </c>
      <c r="S30" s="19">
        <f ca="1">IFERROR(AVERAGEIF('Preço Soja ESALQ'!$C:$C,'Modelo Soja'!$B30,'Preço Soja ESALQ'!BL:BL),NA())</f>
        <v>124.26555555555554</v>
      </c>
      <c r="T30" s="19" t="e">
        <f ca="1">IFERROR(AVERAGEIF('Preço Soja ESALQ'!$C:$C,'Modelo Soja'!$B30,'Preço Soja ESALQ'!BM:BM),NA())</f>
        <v>#N/A</v>
      </c>
      <c r="U30" s="19">
        <f ca="1">IFERROR(AVERAGEIF('Preço Soja ESALQ'!$C:$C,'Modelo Soja'!$B30,'Preço Soja ESALQ'!BN:BN),NA())</f>
        <v>124.09444444444446</v>
      </c>
      <c r="AA30" s="19">
        <f ca="1">IFERROR(AVERAGEIF('Preço Soja ESALQ'!$C:$C,'Modelo Soja'!$B30,'Preço Soja ESALQ'!BA:BA),NA())</f>
        <v>130.31166666666664</v>
      </c>
      <c r="AB30" s="19">
        <f ca="1">IFERROR(AVERAGEIF('Preço Soja ESALQ'!$C:$C,'Modelo Soja'!$B30,'Preço Soja ESALQ'!BB:BB),NA())</f>
        <v>140.78111111111107</v>
      </c>
      <c r="AC30" s="19">
        <f ca="1">IFERROR(AVERAGEIF('Preço Soja ESALQ'!$C:$C,'Modelo Soja'!$B30,'Preço Soja ESALQ'!BC:BC),NA())</f>
        <v>135.59111111111108</v>
      </c>
      <c r="AD30" s="19">
        <f ca="1">IFERROR(AVERAGEIF('Preço Soja ESALQ'!$C:$C,'Modelo Soja'!$B30,'Preço Soja ESALQ'!BD:BD),NA())</f>
        <v>136.76777777777778</v>
      </c>
      <c r="AE30" s="19">
        <f ca="1">IFERROR(AVERAGEIF('Preço Soja ESALQ'!$C:$C,'Modelo Soja'!$B30,'Preço Soja ESALQ'!BE:BE),NA())</f>
        <v>132.8388888888889</v>
      </c>
      <c r="AF30" s="19">
        <f ca="1">IFERROR(AVERAGEIF('Preço Soja ESALQ'!$C:$C,'Modelo Soja'!$B30,'Preço Soja ESALQ'!BF:BF),NA())</f>
        <v>129.80444444444444</v>
      </c>
      <c r="AG30" s="19">
        <f ca="1">IFERROR(AVERAGEIF('Preço Soja ESALQ'!$C:$C,'Modelo Soja'!$B30,'Preço Soja ESALQ'!BG:BG),NA())</f>
        <v>142.87833333333333</v>
      </c>
      <c r="AH30" s="19">
        <f ca="1">IFERROR(AVERAGEIF('Preço Soja ESALQ'!$C:$C,'Modelo Soja'!$B30,'Preço Soja ESALQ'!AE:AE),NA())</f>
        <v>142.9327777777778</v>
      </c>
      <c r="AI30" s="19">
        <f ca="1">IFERROR(AVERAGEIF('Preço Soja ESALQ'!$C:$C,'Modelo Soja'!$B30,'Preço Soja ESALQ'!AF:AF),NA())</f>
        <v>134.26333333333332</v>
      </c>
      <c r="AJ30" s="24">
        <f>+[2]summary!C42</f>
        <v>145.23666666666665</v>
      </c>
      <c r="AK30" s="24">
        <f t="shared" ca="1" si="2"/>
        <v>120.24334554315081</v>
      </c>
      <c r="AL30" s="24"/>
      <c r="AN30" s="24">
        <f>+[6]FSORPRA!H29</f>
        <v>468.25</v>
      </c>
      <c r="AO30" s="24">
        <f>+[6]FRONPRA!H29</f>
        <v>350</v>
      </c>
      <c r="AP30" s="24">
        <f>VLOOKUP(B30,'Frete ESALQ'!$C$5:$AL$131,36,FALSE)</f>
        <v>193.29</v>
      </c>
      <c r="AQ30" s="24">
        <f>VLOOKUP(B30,'Frete ESALQ'!$C$5:$AW$131,47,FALSE)</f>
        <v>162.6</v>
      </c>
      <c r="AR30" s="24">
        <f>VLOOKUP(B30,'Frete ESALQ'!$C$5:$BH$131,58,FALSE)</f>
        <v>132.5</v>
      </c>
      <c r="AS30" s="24">
        <f>VLOOKUP(B30,'Frete ESALQ'!$C$5:$BH$131,32,FALSE)</f>
        <v>130</v>
      </c>
      <c r="AT30" s="24">
        <f t="shared" si="3"/>
        <v>117.14166666666665</v>
      </c>
      <c r="AU30" s="24">
        <f t="shared" si="4"/>
        <v>124.23666666666665</v>
      </c>
      <c r="AV30" s="24">
        <f t="shared" si="5"/>
        <v>133.63926666666666</v>
      </c>
      <c r="AW30" s="24">
        <f t="shared" si="6"/>
        <v>135.48066666666665</v>
      </c>
      <c r="AX30" s="24">
        <f t="shared" ca="1" si="7"/>
        <v>134.92833333333334</v>
      </c>
      <c r="AY30" s="24">
        <f t="shared" ca="1" si="8"/>
        <v>135.13277777777779</v>
      </c>
      <c r="AZ30">
        <f t="shared" si="9"/>
        <v>4</v>
      </c>
      <c r="BA30" s="17">
        <f t="shared" si="10"/>
        <v>45017</v>
      </c>
      <c r="BB30" s="22">
        <f t="shared" ca="1" si="11"/>
        <v>6.1122222222222149</v>
      </c>
      <c r="BC30" s="22">
        <f t="shared" ca="1" si="12"/>
        <v>4.5994444444444014</v>
      </c>
      <c r="BD30" s="22">
        <f t="shared" ca="1" si="13"/>
        <v>3.1133333333333439</v>
      </c>
      <c r="BE30" s="22">
        <f t="shared" ca="1" si="14"/>
        <v>1.3988888888888766</v>
      </c>
      <c r="BF30" s="22">
        <f t="shared" ca="1" si="15"/>
        <v>3.18944444444449</v>
      </c>
      <c r="BG30" s="22">
        <f t="shared" ca="1" si="16"/>
        <v>3.8211111111110938</v>
      </c>
      <c r="BH30" s="25">
        <f t="shared" ca="1" si="0"/>
        <v>3.7057407407407368</v>
      </c>
      <c r="BJ30" s="27">
        <f t="shared" ca="1" si="21"/>
        <v>5.4089010987063633</v>
      </c>
      <c r="BL30" s="41">
        <f t="shared" si="18"/>
        <v>458.25</v>
      </c>
      <c r="BM30" s="41">
        <f t="shared" si="19"/>
        <v>117.74166666666665</v>
      </c>
    </row>
    <row r="31" spans="2:65" x14ac:dyDescent="0.3">
      <c r="B31" s="17" t="str">
        <f t="shared" si="1"/>
        <v>20235</v>
      </c>
      <c r="C31" s="17">
        <f t="shared" si="20"/>
        <v>45047</v>
      </c>
      <c r="D31" s="19">
        <f ca="1">IFERROR(AVERAGEIF('Preço Soja ESALQ'!$C:$C,'Modelo Soja'!$B31,'Preço Soja ESALQ'!$R:$R),NA())</f>
        <v>117.60818181818182</v>
      </c>
      <c r="E31" s="19">
        <f ca="1">IFERROR(AVERAGEIF('Preço Soja ESALQ'!$C:$C,'Modelo Soja'!$B31,'Preço Soja ESALQ'!S:S),NA())</f>
        <v>105.53636363636365</v>
      </c>
      <c r="F31" s="19">
        <f ca="1">IFERROR(AVERAGEIF('Preço Soja ESALQ'!$C:$C,'Modelo Soja'!$B31,'Preço Soja ESALQ'!T:T),NA())</f>
        <v>122.57</v>
      </c>
      <c r="G31" s="19" t="e">
        <f ca="1">IFERROR(AVERAGEIF('Preço Soja ESALQ'!$C:$C,'Modelo Soja'!$B31,'Preço Soja ESALQ'!U:U),NA())</f>
        <v>#N/A</v>
      </c>
      <c r="H31" s="19">
        <f ca="1">IFERROR(AVERAGEIF('Preço Soja ESALQ'!$C:$C,'Modelo Soja'!$B31,'Preço Soja ESALQ'!V:V),NA())</f>
        <v>113.23227272727273</v>
      </c>
      <c r="I31" s="19">
        <f ca="1">IFERROR(AVERAGEIF('Preço Soja ESALQ'!$C:$C,'Modelo Soja'!$B31,'Preço Soja ESALQ'!W:W),NA())</f>
        <v>126.25772727272728</v>
      </c>
      <c r="J31" s="19">
        <f ca="1">IFERROR(AVERAGEIF('Preço Soja ESALQ'!$C:$C,'Modelo Soja'!$B31,'Preço Soja ESALQ'!X:X),NA())</f>
        <v>123.49636363636365</v>
      </c>
      <c r="K31" s="19">
        <f ca="1">IFERROR(AVERAGEIF('Preço Soja ESALQ'!$C:$C,'Modelo Soja'!$B31,'Preço Soja ESALQ'!Y:Y),NA())</f>
        <v>123.69181818181822</v>
      </c>
      <c r="L31" s="19">
        <f ca="1">IFERROR(AVERAGEIF('Preço Soja ESALQ'!$C:$C,'Modelo Soja'!$B31,'Preço Soja ESALQ'!Z:Z),NA())</f>
        <v>124.00818181818181</v>
      </c>
      <c r="M31" s="19">
        <f ca="1">IFERROR(AVERAGEIF('Preço Soja ESALQ'!$C:$C,'Modelo Soja'!$B31,'Preço Soja ESALQ'!AA:AA),NA())</f>
        <v>120.08090909090906</v>
      </c>
      <c r="N31" s="19">
        <f ca="1">IFERROR(AVERAGEIF('Preço Soja ESALQ'!$C:$C,'Modelo Soja'!$B31,'Preço Soja ESALQ'!AB:AB),NA())</f>
        <v>123.51818181818184</v>
      </c>
      <c r="O31" s="19">
        <f ca="1">IFERROR(AVERAGEIF('Preço Soja ESALQ'!$C:$C,'Modelo Soja'!$B31,'Preço Soja ESALQ'!AC:AC),NA())</f>
        <v>118.08833333333332</v>
      </c>
      <c r="P31" s="19" t="e">
        <f ca="1">IFERROR(AVERAGEIF('Preço Soja ESALQ'!$C:$C,'Modelo Soja'!$B31,'Preço Soja ESALQ'!AD:AD),NA())</f>
        <v>#N/A</v>
      </c>
      <c r="Q31" s="19">
        <f ca="1">IFERROR(AVERAGEIF('Preço Soja ESALQ'!$C:$C,'Modelo Soja'!$B31,'Preço Soja ESALQ'!BI:BI),NA())</f>
        <v>125.42909090909089</v>
      </c>
      <c r="R31" s="19">
        <f ca="1">IFERROR(AVERAGEIF('Preço Soja ESALQ'!$C:$C,'Modelo Soja'!$B31,'Preço Soja ESALQ'!BK:BK),NA())</f>
        <v>115.77863636363635</v>
      </c>
      <c r="S31" s="19">
        <f ca="1">IFERROR(AVERAGEIF('Preço Soja ESALQ'!$C:$C,'Modelo Soja'!$B31,'Preço Soja ESALQ'!BL:BL),NA())</f>
        <v>116.57090909090907</v>
      </c>
      <c r="T31" s="19" t="e">
        <f ca="1">IFERROR(AVERAGEIF('Preço Soja ESALQ'!$C:$C,'Modelo Soja'!$B31,'Preço Soja ESALQ'!BM:BM),NA())</f>
        <v>#N/A</v>
      </c>
      <c r="U31" s="19">
        <f ca="1">IFERROR(AVERAGEIF('Preço Soja ESALQ'!$C:$C,'Modelo Soja'!$B31,'Preço Soja ESALQ'!BN:BN),NA())</f>
        <v>116.31272727272727</v>
      </c>
      <c r="AA31" s="19">
        <f ca="1">IFERROR(AVERAGEIF('Preço Soja ESALQ'!$C:$C,'Modelo Soja'!$B31,'Preço Soja ESALQ'!BA:BA),NA())</f>
        <v>118.63473684210526</v>
      </c>
      <c r="AB31" s="19">
        <f ca="1">IFERROR(AVERAGEIF('Preço Soja ESALQ'!$C:$C,'Modelo Soja'!$B31,'Preço Soja ESALQ'!BB:BB),NA())</f>
        <v>132.12818181818182</v>
      </c>
      <c r="AC31" s="19">
        <f ca="1">IFERROR(AVERAGEIF('Preço Soja ESALQ'!$C:$C,'Modelo Soja'!$B31,'Preço Soja ESALQ'!BC:BC),NA())</f>
        <v>129.28727272727272</v>
      </c>
      <c r="AD31" s="19">
        <f ca="1">IFERROR(AVERAGEIF('Preço Soja ESALQ'!$C:$C,'Modelo Soja'!$B31,'Preço Soja ESALQ'!BD:BD),NA())</f>
        <v>127.80318181818183</v>
      </c>
      <c r="AE31" s="19">
        <f ca="1">IFERROR(AVERAGEIF('Preço Soja ESALQ'!$C:$C,'Modelo Soja'!$B31,'Preço Soja ESALQ'!BE:BE),NA())</f>
        <v>124.05409090909092</v>
      </c>
      <c r="AF31" s="19">
        <f ca="1">IFERROR(AVERAGEIF('Preço Soja ESALQ'!$C:$C,'Modelo Soja'!$B31,'Preço Soja ESALQ'!BF:BF),NA())</f>
        <v>121.92318181818183</v>
      </c>
      <c r="AG31" s="19">
        <f ca="1">IFERROR(AVERAGEIF('Preço Soja ESALQ'!$C:$C,'Modelo Soja'!$B31,'Preço Soja ESALQ'!BG:BG),NA())</f>
        <v>133.06045454545455</v>
      </c>
      <c r="AH31" s="19">
        <f ca="1">IFERROR(AVERAGEIF('Preço Soja ESALQ'!$C:$C,'Modelo Soja'!$B31,'Preço Soja ESALQ'!AE:AE),NA())</f>
        <v>130.47</v>
      </c>
      <c r="AI31" s="19">
        <f ca="1">IFERROR(AVERAGEIF('Preço Soja ESALQ'!$C:$C,'Modelo Soja'!$B31,'Preço Soja ESALQ'!AF:AF),NA())</f>
        <v>126.46363636363638</v>
      </c>
      <c r="AJ31" s="24">
        <f>+[2]summary!C43</f>
        <v>138.10909090909092</v>
      </c>
      <c r="AK31" s="24">
        <f t="shared" ca="1" si="2"/>
        <v>112.65638167388168</v>
      </c>
      <c r="AL31" s="24"/>
      <c r="AN31" s="24">
        <f>+[6]FSORPRA!H30</f>
        <v>465</v>
      </c>
      <c r="AO31" s="24">
        <f>+[6]FRONPRA!H30</f>
        <v>347.75</v>
      </c>
      <c r="AP31" s="29">
        <f>(AP30+AP32)/2</f>
        <v>176.5</v>
      </c>
      <c r="AQ31" s="29">
        <f>(AQ30+AQ32)/2</f>
        <v>154.63499999999999</v>
      </c>
      <c r="AR31" s="29">
        <f>(AR30+AR32)/2</f>
        <v>122.91499999999999</v>
      </c>
      <c r="AS31" s="29">
        <f>(AS30+AS32)/2</f>
        <v>125</v>
      </c>
      <c r="AT31" s="24">
        <f t="shared" si="3"/>
        <v>110.20909090909092</v>
      </c>
      <c r="AU31" s="24">
        <f t="shared" si="4"/>
        <v>117.24409090909093</v>
      </c>
      <c r="AV31" s="24">
        <f t="shared" si="5"/>
        <v>127.51909090909092</v>
      </c>
      <c r="AW31" s="24">
        <f t="shared" si="6"/>
        <v>128.83099090909093</v>
      </c>
      <c r="AX31" s="24">
        <f t="shared" ca="1" si="7"/>
        <v>125.68555454545455</v>
      </c>
      <c r="AY31" s="24">
        <f t="shared" ca="1" si="8"/>
        <v>122.97</v>
      </c>
      <c r="AZ31">
        <f t="shared" si="9"/>
        <v>5</v>
      </c>
      <c r="BA31" s="17">
        <f t="shared" si="10"/>
        <v>45047</v>
      </c>
      <c r="BB31" s="22">
        <f t="shared" ca="1" si="11"/>
        <v>5.8704545454545354</v>
      </c>
      <c r="BC31" s="22">
        <f t="shared" ca="1" si="12"/>
        <v>5.5954545454545013</v>
      </c>
      <c r="BD31" s="22">
        <f t="shared" ca="1" si="13"/>
        <v>3.9731818181818568</v>
      </c>
      <c r="BE31" s="22">
        <f t="shared" ca="1" si="14"/>
        <v>4.3150000000000119</v>
      </c>
      <c r="BF31" s="22">
        <f t="shared" ca="1" si="15"/>
        <v>6.973636363636345</v>
      </c>
      <c r="BG31" s="22">
        <f t="shared" ca="1" si="16"/>
        <v>9.542272727272703</v>
      </c>
      <c r="BH31" s="25">
        <f t="shared" ca="1" si="0"/>
        <v>6.0449999999999919</v>
      </c>
      <c r="BJ31" s="27">
        <f t="shared" ca="1" si="21"/>
        <v>7.1200180375180384</v>
      </c>
      <c r="BL31" s="41">
        <f t="shared" si="18"/>
        <v>455</v>
      </c>
      <c r="BM31" s="41">
        <f t="shared" si="19"/>
        <v>110.80909090909093</v>
      </c>
    </row>
    <row r="32" spans="2:65" x14ac:dyDescent="0.3">
      <c r="B32" s="17" t="str">
        <f t="shared" si="1"/>
        <v>20236</v>
      </c>
      <c r="C32" s="17">
        <f t="shared" si="20"/>
        <v>45078</v>
      </c>
      <c r="D32" s="19">
        <f ca="1">IFERROR(AVERAGEIF('Preço Soja ESALQ'!$C:$C,'Modelo Soja'!$B32,'Preço Soja ESALQ'!$R:$R),NA())</f>
        <v>115.68809523809526</v>
      </c>
      <c r="E32" s="19">
        <f ca="1">IFERROR(AVERAGEIF('Preço Soja ESALQ'!$C:$C,'Modelo Soja'!$B32,'Preço Soja ESALQ'!S:S),NA())</f>
        <v>101.6247619047619</v>
      </c>
      <c r="F32" s="19">
        <f ca="1">IFERROR(AVERAGEIF('Preço Soja ESALQ'!$C:$C,'Modelo Soja'!$B32,'Preço Soja ESALQ'!T:T),NA())</f>
        <v>118.76952380952382</v>
      </c>
      <c r="G32" s="19" t="e">
        <f ca="1">IFERROR(AVERAGEIF('Preço Soja ESALQ'!$C:$C,'Modelo Soja'!$B32,'Preço Soja ESALQ'!U:U),NA())</f>
        <v>#N/A</v>
      </c>
      <c r="H32" s="19">
        <f ca="1">IFERROR(AVERAGEIF('Preço Soja ESALQ'!$C:$C,'Modelo Soja'!$B32,'Preço Soja ESALQ'!V:V),NA())</f>
        <v>110.25809523809524</v>
      </c>
      <c r="I32" s="19">
        <f ca="1">IFERROR(AVERAGEIF('Preço Soja ESALQ'!$C:$C,'Modelo Soja'!$B32,'Preço Soja ESALQ'!W:W),NA())</f>
        <v>122.29095238095235</v>
      </c>
      <c r="J32" s="19">
        <f ca="1">IFERROR(AVERAGEIF('Preço Soja ESALQ'!$C:$C,'Modelo Soja'!$B32,'Preço Soja ESALQ'!X:X),NA())</f>
        <v>123.19857142857143</v>
      </c>
      <c r="K32" s="19">
        <f ca="1">IFERROR(AVERAGEIF('Preço Soja ESALQ'!$C:$C,'Modelo Soja'!$B32,'Preço Soja ESALQ'!Y:Y),NA())</f>
        <v>119.21428571428574</v>
      </c>
      <c r="L32" s="19">
        <f ca="1">IFERROR(AVERAGEIF('Preço Soja ESALQ'!$C:$C,'Modelo Soja'!$B32,'Preço Soja ESALQ'!Z:Z),NA())</f>
        <v>119.33714285714288</v>
      </c>
      <c r="M32" s="19">
        <f ca="1">IFERROR(AVERAGEIF('Preço Soja ESALQ'!$C:$C,'Modelo Soja'!$B32,'Preço Soja ESALQ'!AA:AA),NA())</f>
        <v>116.8590476190476</v>
      </c>
      <c r="N32" s="19">
        <f ca="1">IFERROR(AVERAGEIF('Preço Soja ESALQ'!$C:$C,'Modelo Soja'!$B32,'Preço Soja ESALQ'!AB:AB),NA())</f>
        <v>123.95095238095234</v>
      </c>
      <c r="O32" s="19">
        <f ca="1">IFERROR(AVERAGEIF('Preço Soja ESALQ'!$C:$C,'Modelo Soja'!$B32,'Preço Soja ESALQ'!AC:AC),NA())</f>
        <v>117.554</v>
      </c>
      <c r="P32" s="19" t="e">
        <f ca="1">IFERROR(AVERAGEIF('Preço Soja ESALQ'!$C:$C,'Modelo Soja'!$B32,'Preço Soja ESALQ'!AD:AD),NA())</f>
        <v>#N/A</v>
      </c>
      <c r="Q32" s="19">
        <f ca="1">IFERROR(AVERAGEIF('Preço Soja ESALQ'!$C:$C,'Modelo Soja'!$B32,'Preço Soja ESALQ'!BI:BI),NA())</f>
        <v>124.57095238095238</v>
      </c>
      <c r="R32" s="19">
        <f ca="1">IFERROR(AVERAGEIF('Preço Soja ESALQ'!$C:$C,'Modelo Soja'!$B32,'Preço Soja ESALQ'!BK:BK),NA())</f>
        <v>111.60523809523809</v>
      </c>
      <c r="S32" s="19">
        <f ca="1">IFERROR(AVERAGEIF('Preço Soja ESALQ'!$C:$C,'Modelo Soja'!$B32,'Preço Soja ESALQ'!BL:BL),NA())</f>
        <v>112.2557142857143</v>
      </c>
      <c r="T32" s="19" t="e">
        <f ca="1">IFERROR(AVERAGEIF('Preço Soja ESALQ'!$C:$C,'Modelo Soja'!$B32,'Preço Soja ESALQ'!BM:BM),NA())</f>
        <v>#N/A</v>
      </c>
      <c r="U32" s="19">
        <f ca="1">IFERROR(AVERAGEIF('Preço Soja ESALQ'!$C:$C,'Modelo Soja'!$B32,'Preço Soja ESALQ'!BN:BN),NA())</f>
        <v>112.51999999999998</v>
      </c>
      <c r="AA32" s="19">
        <f ca="1">IFERROR(AVERAGEIF('Preço Soja ESALQ'!$C:$C,'Modelo Soja'!$B32,'Preço Soja ESALQ'!BA:BA),NA())</f>
        <v>114.74476190476192</v>
      </c>
      <c r="AB32" s="19">
        <f ca="1">IFERROR(AVERAGEIF('Preço Soja ESALQ'!$C:$C,'Modelo Soja'!$B32,'Preço Soja ESALQ'!BB:BB),NA())</f>
        <v>129.66952380952381</v>
      </c>
      <c r="AC32" s="19">
        <f ca="1">IFERROR(AVERAGEIF('Preço Soja ESALQ'!$C:$C,'Modelo Soja'!$B32,'Preço Soja ESALQ'!BC:BC),NA())</f>
        <v>125.83761904761903</v>
      </c>
      <c r="AD32" s="19">
        <f ca="1">IFERROR(AVERAGEIF('Preço Soja ESALQ'!$C:$C,'Modelo Soja'!$B32,'Preço Soja ESALQ'!BD:BD),NA())</f>
        <v>124.43142857142857</v>
      </c>
      <c r="AE32" s="19">
        <f ca="1">IFERROR(AVERAGEIF('Preço Soja ESALQ'!$C:$C,'Modelo Soja'!$B32,'Preço Soja ESALQ'!BE:BE),NA())</f>
        <v>121.89523809523808</v>
      </c>
      <c r="AF32" s="19">
        <f ca="1">IFERROR(AVERAGEIF('Preço Soja ESALQ'!$C:$C,'Modelo Soja'!$B32,'Preço Soja ESALQ'!BF:BF),NA())</f>
        <v>119.87476190476194</v>
      </c>
      <c r="AG32" s="19">
        <f ca="1">IFERROR(AVERAGEIF('Preço Soja ESALQ'!$C:$C,'Modelo Soja'!$B32,'Preço Soja ESALQ'!BG:BG),NA())</f>
        <v>132.98809523809524</v>
      </c>
      <c r="AH32" s="19">
        <f ca="1">IFERROR(AVERAGEIF('Preço Soja ESALQ'!$C:$C,'Modelo Soja'!$B32,'Preço Soja ESALQ'!AE:AE),NA())</f>
        <v>130.41428571428574</v>
      </c>
      <c r="AI32" s="19">
        <f ca="1">IFERROR(AVERAGEIF('Preço Soja ESALQ'!$C:$C,'Modelo Soja'!$B32,'Preço Soja ESALQ'!AF:AF),NA())</f>
        <v>123.64047619047618</v>
      </c>
      <c r="AJ32" s="24">
        <f>+[2]summary!C44</f>
        <v>136.45238095238093</v>
      </c>
      <c r="AK32" s="24">
        <f t="shared" ca="1" si="2"/>
        <v>109.53202063492064</v>
      </c>
      <c r="AL32" s="24"/>
      <c r="AN32" s="24">
        <f>+[6]FSORPRA!H31</f>
        <v>502</v>
      </c>
      <c r="AO32" s="24">
        <f>+[6]FRONPRA!H31</f>
        <v>357</v>
      </c>
      <c r="AP32" s="24">
        <f>VLOOKUP(B32,'Frete ESALQ'!$C$5:$AL$131,36,FALSE)</f>
        <v>159.71</v>
      </c>
      <c r="AQ32" s="24">
        <f>VLOOKUP(B32,'Frete ESALQ'!$C$5:$AW$131,47,FALSE)</f>
        <v>146.66999999999999</v>
      </c>
      <c r="AR32" s="24">
        <f>VLOOKUP(B32,'Frete ESALQ'!$C$5:$BH$131,58,FALSE)</f>
        <v>113.33</v>
      </c>
      <c r="AS32" s="24">
        <f>VLOOKUP(B32,'Frete ESALQ'!$C$5:$BH$131,32,FALSE)</f>
        <v>120</v>
      </c>
      <c r="AT32" s="24">
        <f t="shared" si="3"/>
        <v>106.33238095238093</v>
      </c>
      <c r="AU32" s="24">
        <f t="shared" si="4"/>
        <v>115.03238095238093</v>
      </c>
      <c r="AV32" s="24">
        <f t="shared" si="5"/>
        <v>126.86978095238094</v>
      </c>
      <c r="AW32" s="24">
        <f t="shared" si="6"/>
        <v>127.65218095238093</v>
      </c>
      <c r="AX32" s="24">
        <f t="shared" ca="1" si="7"/>
        <v>126.18829523809524</v>
      </c>
      <c r="AY32" s="24">
        <f t="shared" ca="1" si="8"/>
        <v>123.21428571428574</v>
      </c>
      <c r="AZ32">
        <f t="shared" si="9"/>
        <v>6</v>
      </c>
      <c r="BA32" s="17">
        <f t="shared" si="10"/>
        <v>45078</v>
      </c>
      <c r="BB32" s="22">
        <f t="shared" ca="1" si="11"/>
        <v>7.3785714285714619</v>
      </c>
      <c r="BC32" s="22">
        <f t="shared" ca="1" si="12"/>
        <v>6.6233333333332922</v>
      </c>
      <c r="BD32" s="22">
        <f t="shared" ca="1" si="13"/>
        <v>5.0361904761904839</v>
      </c>
      <c r="BE32" s="22">
        <f t="shared" ca="1" si="14"/>
        <v>4.1866666666666816</v>
      </c>
      <c r="BF32" s="22">
        <f t="shared" ca="1" si="15"/>
        <v>7.2157142857143128</v>
      </c>
      <c r="BG32" s="22">
        <f t="shared" ca="1" si="16"/>
        <v>9.0371428571428964</v>
      </c>
      <c r="BH32" s="25">
        <f t="shared" ca="1" si="0"/>
        <v>6.5796031746031884</v>
      </c>
      <c r="BJ32" s="27">
        <f t="shared" ca="1" si="21"/>
        <v>7.907258730158742</v>
      </c>
      <c r="BL32" s="41">
        <f t="shared" si="18"/>
        <v>492</v>
      </c>
      <c r="BM32" s="41">
        <f t="shared" si="19"/>
        <v>106.93238095238094</v>
      </c>
    </row>
    <row r="33" spans="2:65" x14ac:dyDescent="0.3">
      <c r="B33" s="17" t="str">
        <f t="shared" si="1"/>
        <v>20237</v>
      </c>
      <c r="C33" s="17">
        <f t="shared" si="20"/>
        <v>45108</v>
      </c>
      <c r="D33" s="19">
        <f ca="1">IFERROR(AVERAGEIF('Preço Soja ESALQ'!$C:$C,'Modelo Soja'!$B33,'Preço Soja ESALQ'!$R:$R),NA())</f>
        <v>118.41428571428568</v>
      </c>
      <c r="E33" s="19">
        <f ca="1">IFERROR(AVERAGEIF('Preço Soja ESALQ'!$C:$C,'Modelo Soja'!$B33,'Preço Soja ESALQ'!S:S),NA())</f>
        <v>108.25714285714287</v>
      </c>
      <c r="F33" s="19">
        <f ca="1">IFERROR(AVERAGEIF('Preço Soja ESALQ'!$C:$C,'Modelo Soja'!$B33,'Preço Soja ESALQ'!T:T),NA())</f>
        <v>126.78095238095241</v>
      </c>
      <c r="G33" s="19" t="e">
        <f ca="1">IFERROR(AVERAGEIF('Preço Soja ESALQ'!$C:$C,'Modelo Soja'!$B33,'Preço Soja ESALQ'!U:U),NA())</f>
        <v>#N/A</v>
      </c>
      <c r="H33" s="19">
        <f ca="1">IFERROR(AVERAGEIF('Preço Soja ESALQ'!$C:$C,'Modelo Soja'!$B33,'Preço Soja ESALQ'!V:V),NA())</f>
        <v>114.49714285714286</v>
      </c>
      <c r="I33" s="19">
        <f ca="1">IFERROR(AVERAGEIF('Preço Soja ESALQ'!$C:$C,'Modelo Soja'!$B33,'Preço Soja ESALQ'!W:W),NA())</f>
        <v>130.59999999999997</v>
      </c>
      <c r="J33" s="19">
        <f ca="1">IFERROR(AVERAGEIF('Preço Soja ESALQ'!$C:$C,'Modelo Soja'!$B33,'Preço Soja ESALQ'!X:X),NA())</f>
        <v>134.52000000000004</v>
      </c>
      <c r="K33" s="19">
        <f ca="1">IFERROR(AVERAGEIF('Preço Soja ESALQ'!$C:$C,'Modelo Soja'!$B33,'Preço Soja ESALQ'!Y:Y),NA())</f>
        <v>127.50047619047616</v>
      </c>
      <c r="L33" s="19">
        <f ca="1">IFERROR(AVERAGEIF('Preço Soja ESALQ'!$C:$C,'Modelo Soja'!$B33,'Preço Soja ESALQ'!Z:Z),NA())</f>
        <v>127.7747619047619</v>
      </c>
      <c r="M33" s="19">
        <f ca="1">IFERROR(AVERAGEIF('Preço Soja ESALQ'!$C:$C,'Modelo Soja'!$B33,'Preço Soja ESALQ'!AA:AA),NA())</f>
        <v>120.47285714285714</v>
      </c>
      <c r="N33" s="19">
        <f ca="1">IFERROR(AVERAGEIF('Preço Soja ESALQ'!$C:$C,'Modelo Soja'!$B33,'Preço Soja ESALQ'!AB:AB),NA())</f>
        <v>134.94190476190477</v>
      </c>
      <c r="O33" s="19">
        <f ca="1">IFERROR(AVERAGEIF('Preço Soja ESALQ'!$C:$C,'Modelo Soja'!$B33,'Preço Soja ESALQ'!AC:AC),NA())</f>
        <v>119.70714285714287</v>
      </c>
      <c r="P33" s="19" t="e">
        <f ca="1">IFERROR(AVERAGEIF('Preço Soja ESALQ'!$C:$C,'Modelo Soja'!$B33,'Preço Soja ESALQ'!AD:AD),NA())</f>
        <v>#N/A</v>
      </c>
      <c r="Q33" s="19">
        <f ca="1">IFERROR(AVERAGEIF('Preço Soja ESALQ'!$C:$C,'Modelo Soja'!$B33,'Preço Soja ESALQ'!BI:BI),NA())</f>
        <v>133.0247619047619</v>
      </c>
      <c r="R33" s="19">
        <f ca="1">IFERROR(AVERAGEIF('Preço Soja ESALQ'!$C:$C,'Modelo Soja'!$B33,'Preço Soja ESALQ'!BK:BK),NA())</f>
        <v>119.03904761904762</v>
      </c>
      <c r="S33" s="19">
        <f ca="1">IFERROR(AVERAGEIF('Preço Soja ESALQ'!$C:$C,'Modelo Soja'!$B33,'Preço Soja ESALQ'!BL:BL),NA())</f>
        <v>119.75904761904762</v>
      </c>
      <c r="T33" s="19" t="e">
        <f ca="1">IFERROR(AVERAGEIF('Preço Soja ESALQ'!$C:$C,'Modelo Soja'!$B33,'Preço Soja ESALQ'!BM:BM),NA())</f>
        <v>#N/A</v>
      </c>
      <c r="U33" s="19">
        <f ca="1">IFERROR(AVERAGEIF('Preço Soja ESALQ'!$C:$C,'Modelo Soja'!$B33,'Preço Soja ESALQ'!BN:BN),NA())</f>
        <v>119.75952380952383</v>
      </c>
      <c r="AA33" s="19">
        <f ca="1">IFERROR(AVERAGEIF('Preço Soja ESALQ'!$C:$C,'Modelo Soja'!$B33,'Preço Soja ESALQ'!BA:BA),NA())</f>
        <v>121.80111111111111</v>
      </c>
      <c r="AB33" s="19">
        <f ca="1">IFERROR(AVERAGEIF('Preço Soja ESALQ'!$C:$C,'Modelo Soja'!$B33,'Preço Soja ESALQ'!BB:BB),NA())</f>
        <v>138.87333333333333</v>
      </c>
      <c r="AC33" s="19">
        <f ca="1">IFERROR(AVERAGEIF('Preço Soja ESALQ'!$C:$C,'Modelo Soja'!$B33,'Preço Soja ESALQ'!BC:BC),NA())</f>
        <v>135.43714285714285</v>
      </c>
      <c r="AD33" s="19">
        <f ca="1">IFERROR(AVERAGEIF('Preço Soja ESALQ'!$C:$C,'Modelo Soja'!$B33,'Preço Soja ESALQ'!BD:BD),NA())</f>
        <v>131.80809523809526</v>
      </c>
      <c r="AE33" s="19">
        <f ca="1">IFERROR(AVERAGEIF('Preço Soja ESALQ'!$C:$C,'Modelo Soja'!$B33,'Preço Soja ESALQ'!BE:BE),NA())</f>
        <v>128.24571428571426</v>
      </c>
      <c r="AF33" s="19">
        <f ca="1">IFERROR(AVERAGEIF('Preço Soja ESALQ'!$C:$C,'Modelo Soja'!$B33,'Preço Soja ESALQ'!BF:BF),NA())</f>
        <v>128.21809523809529</v>
      </c>
      <c r="AG33" s="19">
        <f ca="1">IFERROR(AVERAGEIF('Preço Soja ESALQ'!$C:$C,'Modelo Soja'!$B33,'Preço Soja ESALQ'!BG:BG),NA())</f>
        <v>144.93666666666667</v>
      </c>
      <c r="AH33" s="19">
        <f ca="1">IFERROR(AVERAGEIF('Preço Soja ESALQ'!$C:$C,'Modelo Soja'!$B33,'Preço Soja ESALQ'!AE:AE),NA())</f>
        <v>142.2766666666667</v>
      </c>
      <c r="AI33" s="19">
        <f ca="1">IFERROR(AVERAGEIF('Preço Soja ESALQ'!$C:$C,'Modelo Soja'!$B33,'Preço Soja ESALQ'!AF:AF),NA())</f>
        <v>129.66952380952378</v>
      </c>
      <c r="AJ33" s="24">
        <f>+[2]summary!C45</f>
        <v>146.84047619047618</v>
      </c>
      <c r="AK33" s="24">
        <f t="shared" ca="1" si="2"/>
        <v>117.55154711713408</v>
      </c>
      <c r="AL33" s="24"/>
      <c r="AN33" s="24">
        <f>+[6]FSORPRA!H32</f>
        <v>526.4375</v>
      </c>
      <c r="AO33" s="24">
        <f>+[6]FRONPRA!H32</f>
        <v>399.89749999999998</v>
      </c>
      <c r="AP33" s="24">
        <f>VLOOKUP(B33,'Frete ESALQ'!$C$5:$AL$131,36,FALSE)</f>
        <v>159.71</v>
      </c>
      <c r="AQ33" s="24">
        <f>VLOOKUP(B33,'Frete ESALQ'!$C$5:$AW$131,47,FALSE)</f>
        <v>146.66999999999999</v>
      </c>
      <c r="AR33" s="24">
        <f>VLOOKUP(B33,'Frete ESALQ'!$C$5:$BH$131,58,FALSE)</f>
        <v>113.33</v>
      </c>
      <c r="AS33" s="24">
        <f>VLOOKUP(B33,'Frete ESALQ'!$C$5:$BH$131,32,FALSE)</f>
        <v>120</v>
      </c>
      <c r="AT33" s="24">
        <f t="shared" si="3"/>
        <v>115.25422619047617</v>
      </c>
      <c r="AU33" s="24">
        <f t="shared" si="4"/>
        <v>122.84662619047619</v>
      </c>
      <c r="AV33" s="24">
        <f t="shared" si="5"/>
        <v>137.25787619047617</v>
      </c>
      <c r="AW33" s="24">
        <f t="shared" si="6"/>
        <v>138.04027619047619</v>
      </c>
      <c r="AX33" s="24">
        <f t="shared" ca="1" si="7"/>
        <v>138.13686666666666</v>
      </c>
      <c r="AY33" s="24">
        <f t="shared" ca="1" si="8"/>
        <v>135.07666666666671</v>
      </c>
      <c r="AZ33">
        <f t="shared" si="9"/>
        <v>7</v>
      </c>
      <c r="BA33" s="17">
        <f t="shared" si="10"/>
        <v>45108</v>
      </c>
      <c r="BB33" s="22">
        <f t="shared" ca="1" si="11"/>
        <v>8.273333333333369</v>
      </c>
      <c r="BC33" s="22">
        <f t="shared" ca="1" si="12"/>
        <v>7.9366666666666816</v>
      </c>
      <c r="BD33" s="22">
        <f t="shared" ca="1" si="13"/>
        <v>7.77285714285712</v>
      </c>
      <c r="BE33" s="22">
        <f t="shared" ca="1" si="14"/>
        <v>9.8038095238096048</v>
      </c>
      <c r="BF33" s="22">
        <f t="shared" ca="1" si="15"/>
        <v>7.7566666666666606</v>
      </c>
      <c r="BG33" s="22">
        <f t="shared" ca="1" si="16"/>
        <v>9.9947619047619014</v>
      </c>
      <c r="BH33" s="25">
        <f t="shared" ca="1" si="0"/>
        <v>8.5896825396825562</v>
      </c>
      <c r="BJ33" s="27">
        <f t="shared" ca="1" si="21"/>
        <v>9.294404259991218</v>
      </c>
      <c r="BL33" s="41">
        <f t="shared" si="18"/>
        <v>516.4375</v>
      </c>
      <c r="BM33" s="41">
        <f t="shared" si="19"/>
        <v>115.85422619047618</v>
      </c>
    </row>
    <row r="34" spans="2:65" x14ac:dyDescent="0.3">
      <c r="B34" s="17" t="str">
        <f t="shared" si="1"/>
        <v>20238</v>
      </c>
      <c r="C34" s="17">
        <f t="shared" si="20"/>
        <v>45139</v>
      </c>
      <c r="D34" s="19">
        <f ca="1">IFERROR(AVERAGEIF('Preço Soja ESALQ'!$C:$C,'Modelo Soja'!$B34,'Preço Soja ESALQ'!$R:$R),NA())</f>
        <v>120.70260869565215</v>
      </c>
      <c r="E34" s="19">
        <f ca="1">IFERROR(AVERAGEIF('Preço Soja ESALQ'!$C:$C,'Modelo Soja'!$B34,'Preço Soja ESALQ'!S:S),NA())</f>
        <v>110.83086956521738</v>
      </c>
      <c r="F34" s="19">
        <f ca="1">IFERROR(AVERAGEIF('Preço Soja ESALQ'!$C:$C,'Modelo Soja'!$B34,'Preço Soja ESALQ'!T:T),NA())</f>
        <v>128.51913043478262</v>
      </c>
      <c r="G34" s="19" t="e">
        <f ca="1">IFERROR(AVERAGEIF('Preço Soja ESALQ'!$C:$C,'Modelo Soja'!$B34,'Preço Soja ESALQ'!U:U),NA())</f>
        <v>#N/A</v>
      </c>
      <c r="H34" s="19">
        <f ca="1">IFERROR(AVERAGEIF('Preço Soja ESALQ'!$C:$C,'Modelo Soja'!$B34,'Preço Soja ESALQ'!V:V),NA())</f>
        <v>116.39434782608696</v>
      </c>
      <c r="I34" s="19">
        <f ca="1">IFERROR(AVERAGEIF('Preço Soja ESALQ'!$C:$C,'Modelo Soja'!$B34,'Preço Soja ESALQ'!W:W),NA())</f>
        <v>133.1634782608696</v>
      </c>
      <c r="J34" s="19">
        <f ca="1">IFERROR(AVERAGEIF('Preço Soja ESALQ'!$C:$C,'Modelo Soja'!$B34,'Preço Soja ESALQ'!X:X),NA())</f>
        <v>137.42739130434785</v>
      </c>
      <c r="K34" s="19">
        <f ca="1">IFERROR(AVERAGEIF('Preço Soja ESALQ'!$C:$C,'Modelo Soja'!$B34,'Preço Soja ESALQ'!Y:Y),NA())</f>
        <v>129.90130434782606</v>
      </c>
      <c r="L34" s="19">
        <f ca="1">IFERROR(AVERAGEIF('Preço Soja ESALQ'!$C:$C,'Modelo Soja'!$B34,'Preço Soja ESALQ'!Z:Z),NA())</f>
        <v>130.00826086956522</v>
      </c>
      <c r="M34" s="19">
        <f ca="1">IFERROR(AVERAGEIF('Preço Soja ESALQ'!$C:$C,'Modelo Soja'!$B34,'Preço Soja ESALQ'!AA:AA),NA())</f>
        <v>121.92434782608694</v>
      </c>
      <c r="N34" s="19">
        <f ca="1">IFERROR(AVERAGEIF('Preço Soja ESALQ'!$C:$C,'Modelo Soja'!$B34,'Preço Soja ESALQ'!AB:AB),NA())</f>
        <v>138.23086956521738</v>
      </c>
      <c r="O34" s="19">
        <f ca="1">IFERROR(AVERAGEIF('Preço Soja ESALQ'!$C:$C,'Modelo Soja'!$B34,'Preço Soja ESALQ'!AC:AC),NA())</f>
        <v>121</v>
      </c>
      <c r="P34" s="19" t="e">
        <f ca="1">IFERROR(AVERAGEIF('Preço Soja ESALQ'!$C:$C,'Modelo Soja'!$B34,'Preço Soja ESALQ'!AD:AD),NA())</f>
        <v>#N/A</v>
      </c>
      <c r="Q34" s="19">
        <f ca="1">IFERROR(AVERAGEIF('Preço Soja ESALQ'!$C:$C,'Modelo Soja'!$B34,'Preço Soja ESALQ'!BI:BI),NA())</f>
        <v>136.0713043478261</v>
      </c>
      <c r="R34" s="19">
        <f ca="1">IFERROR(AVERAGEIF('Preço Soja ESALQ'!$C:$C,'Modelo Soja'!$B34,'Preço Soja ESALQ'!BK:BK),NA())</f>
        <v>121.45608695652169</v>
      </c>
      <c r="S34" s="19">
        <f ca="1">IFERROR(AVERAGEIF('Preço Soja ESALQ'!$C:$C,'Modelo Soja'!$B34,'Preço Soja ESALQ'!BL:BL),NA())</f>
        <v>122.53869565217394</v>
      </c>
      <c r="T34" s="19" t="e">
        <f ca="1">IFERROR(AVERAGEIF('Preço Soja ESALQ'!$C:$C,'Modelo Soja'!$B34,'Preço Soja ESALQ'!BM:BM),NA())</f>
        <v>#N/A</v>
      </c>
      <c r="U34" s="19">
        <f ca="1">IFERROR(AVERAGEIF('Preço Soja ESALQ'!$C:$C,'Modelo Soja'!$B34,'Preço Soja ESALQ'!BN:BN),NA())</f>
        <v>121.90826086956521</v>
      </c>
      <c r="AA34" s="19">
        <f ca="1">IFERROR(AVERAGEIF('Preço Soja ESALQ'!$C:$C,'Modelo Soja'!$B34,'Preço Soja ESALQ'!BA:BA),NA())</f>
        <v>126.82695652173913</v>
      </c>
      <c r="AB34" s="19">
        <f ca="1">IFERROR(AVERAGEIF('Preço Soja ESALQ'!$C:$C,'Modelo Soja'!$B34,'Preço Soja ESALQ'!BB:BB),NA())</f>
        <v>140.73173913043479</v>
      </c>
      <c r="AC34" s="19">
        <f ca="1">IFERROR(AVERAGEIF('Preço Soja ESALQ'!$C:$C,'Modelo Soja'!$B34,'Preço Soja ESALQ'!BC:BC),NA())</f>
        <v>138.45913043478262</v>
      </c>
      <c r="AD34" s="19">
        <f ca="1">IFERROR(AVERAGEIF('Preço Soja ESALQ'!$C:$C,'Modelo Soja'!$B34,'Preço Soja ESALQ'!BD:BD),NA())</f>
        <v>134.97652173913045</v>
      </c>
      <c r="AE34" s="19">
        <f ca="1">IFERROR(AVERAGEIF('Preço Soja ESALQ'!$C:$C,'Modelo Soja'!$B34,'Preço Soja ESALQ'!BE:BE),NA())</f>
        <v>131.7165217391304</v>
      </c>
      <c r="AF34" s="19">
        <f ca="1">IFERROR(AVERAGEIF('Preço Soja ESALQ'!$C:$C,'Modelo Soja'!$B34,'Preço Soja ESALQ'!BF:BF),NA())</f>
        <v>131.86956521739131</v>
      </c>
      <c r="AG34" s="19">
        <f ca="1">IFERROR(AVERAGEIF('Preço Soja ESALQ'!$C:$C,'Modelo Soja'!$B34,'Preço Soja ESALQ'!BG:BG),NA())</f>
        <v>148.73695652173916</v>
      </c>
      <c r="AH34" s="19">
        <f ca="1">IFERROR(AVERAGEIF('Preço Soja ESALQ'!$C:$C,'Modelo Soja'!$B34,'Preço Soja ESALQ'!AE:AE),NA())</f>
        <v>146.32130434782613</v>
      </c>
      <c r="AI34" s="19">
        <f ca="1">IFERROR(AVERAGEIF('Preço Soja ESALQ'!$C:$C,'Modelo Soja'!$B34,'Preço Soja ESALQ'!AF:AF),NA())</f>
        <v>133.92823529411763</v>
      </c>
      <c r="AJ34" s="24">
        <f>+[2]summary!C46</f>
        <v>148.5486956521739</v>
      </c>
      <c r="AK34" s="24">
        <f t="shared" ca="1" si="2"/>
        <v>120.19828229499969</v>
      </c>
      <c r="AL34" s="24"/>
      <c r="AN34" s="24">
        <f>+[6]FSORPRA!H33</f>
        <v>486.25</v>
      </c>
      <c r="AO34" s="24">
        <f>+[6]FRONPRA!H33</f>
        <v>396.875</v>
      </c>
      <c r="AP34" s="24">
        <f>VLOOKUP(B34,'Frete ESALQ'!$C$5:$AL$131,36,FALSE)</f>
        <v>193.11</v>
      </c>
      <c r="AQ34" s="24">
        <f>VLOOKUP(B34,'Frete ESALQ'!$C$5:$AW$131,47,FALSE)</f>
        <v>172.58</v>
      </c>
      <c r="AR34" s="24">
        <f>VLOOKUP(B34,'Frete ESALQ'!$C$5:$BH$131,58,FALSE)</f>
        <v>127.5</v>
      </c>
      <c r="AS34" s="24">
        <f>VLOOKUP(B34,'Frete ESALQ'!$C$5:$BH$131,32,FALSE)</f>
        <v>130.16999999999999</v>
      </c>
      <c r="AT34" s="24">
        <f t="shared" si="3"/>
        <v>119.37369565217391</v>
      </c>
      <c r="AU34" s="24">
        <f t="shared" si="4"/>
        <v>124.7361956521739</v>
      </c>
      <c r="AV34" s="24">
        <f t="shared" si="5"/>
        <v>136.9620956521739</v>
      </c>
      <c r="AW34" s="24">
        <f t="shared" si="6"/>
        <v>138.19389565217389</v>
      </c>
      <c r="AX34" s="24">
        <f t="shared" ca="1" si="7"/>
        <v>141.08695652173915</v>
      </c>
      <c r="AY34" s="24">
        <f t="shared" ca="1" si="8"/>
        <v>138.51110434782612</v>
      </c>
      <c r="AZ34">
        <f t="shared" si="9"/>
        <v>8</v>
      </c>
      <c r="BA34" s="17">
        <f t="shared" si="10"/>
        <v>45139</v>
      </c>
      <c r="BB34" s="22">
        <f t="shared" ca="1" si="11"/>
        <v>7.5682608695651936</v>
      </c>
      <c r="BC34" s="22">
        <f t="shared" ca="1" si="12"/>
        <v>8.5578260869565668</v>
      </c>
      <c r="BD34" s="22">
        <f t="shared" ca="1" si="13"/>
        <v>9.792173913043456</v>
      </c>
      <c r="BE34" s="22">
        <f t="shared" ca="1" si="14"/>
        <v>11.166956521739166</v>
      </c>
      <c r="BF34" s="22">
        <f t="shared" ca="1" si="15"/>
        <v>8.8939130434782783</v>
      </c>
      <c r="BG34" s="22">
        <f t="shared" ca="1" si="16"/>
        <v>10.506086956521784</v>
      </c>
      <c r="BH34" s="25">
        <f t="shared" ca="1" si="0"/>
        <v>9.4142028985507409</v>
      </c>
      <c r="BJ34" s="27">
        <f t="shared" ca="1" si="21"/>
        <v>9.3674127297823038</v>
      </c>
      <c r="BL34" s="41">
        <f t="shared" si="18"/>
        <v>476.25</v>
      </c>
      <c r="BM34" s="41">
        <f t="shared" si="19"/>
        <v>119.9736956521739</v>
      </c>
    </row>
    <row r="35" spans="2:65" x14ac:dyDescent="0.3">
      <c r="B35" s="17" t="str">
        <f t="shared" si="1"/>
        <v>20239</v>
      </c>
      <c r="C35" s="17">
        <f t="shared" si="20"/>
        <v>45170</v>
      </c>
      <c r="D35" s="19">
        <f ca="1">IFERROR(AVERAGEIF('Preço Soja ESALQ'!$C:$C,'Modelo Soja'!$B35,'Preço Soja ESALQ'!$R:$R),NA())</f>
        <v>121.93350000000001</v>
      </c>
      <c r="E35" s="19">
        <f ca="1">IFERROR(AVERAGEIF('Preço Soja ESALQ'!$C:$C,'Modelo Soja'!$B35,'Preço Soja ESALQ'!S:S),NA())</f>
        <v>112.51699999999998</v>
      </c>
      <c r="F35" s="19">
        <f ca="1">IFERROR(AVERAGEIF('Preço Soja ESALQ'!$C:$C,'Modelo Soja'!$B35,'Preço Soja ESALQ'!T:T),NA())</f>
        <v>127.27850000000001</v>
      </c>
      <c r="G35" s="19" t="e">
        <f ca="1">IFERROR(AVERAGEIF('Preço Soja ESALQ'!$C:$C,'Modelo Soja'!$B35,'Preço Soja ESALQ'!U:U),NA())</f>
        <v>#N/A</v>
      </c>
      <c r="H35" s="19">
        <f ca="1">IFERROR(AVERAGEIF('Preço Soja ESALQ'!$C:$C,'Modelo Soja'!$B35,'Preço Soja ESALQ'!V:V),NA())</f>
        <v>117.83150000000001</v>
      </c>
      <c r="I35" s="19">
        <f ca="1">IFERROR(AVERAGEIF('Preço Soja ESALQ'!$C:$C,'Modelo Soja'!$B35,'Preço Soja ESALQ'!W:W),NA())</f>
        <v>130.47</v>
      </c>
      <c r="J35" s="19">
        <f ca="1">IFERROR(AVERAGEIF('Preço Soja ESALQ'!$C:$C,'Modelo Soja'!$B35,'Preço Soja ESALQ'!X:X),NA())</f>
        <v>137.16800000000001</v>
      </c>
      <c r="K35" s="19">
        <f ca="1">IFERROR(AVERAGEIF('Preço Soja ESALQ'!$C:$C,'Modelo Soja'!$B35,'Preço Soja ESALQ'!Y:Y),NA())</f>
        <v>126.58999999999996</v>
      </c>
      <c r="L35" s="19">
        <f ca="1">IFERROR(AVERAGEIF('Preço Soja ESALQ'!$C:$C,'Modelo Soja'!$B35,'Preço Soja ESALQ'!Z:Z),NA())</f>
        <v>127.01199999999999</v>
      </c>
      <c r="M35" s="19">
        <f ca="1">IFERROR(AVERAGEIF('Preço Soja ESALQ'!$C:$C,'Modelo Soja'!$B35,'Preço Soja ESALQ'!AA:AA),NA())</f>
        <v>123.205</v>
      </c>
      <c r="N35" s="19">
        <f ca="1">IFERROR(AVERAGEIF('Preço Soja ESALQ'!$C:$C,'Modelo Soja'!$B35,'Preço Soja ESALQ'!AB:AB),NA())</f>
        <v>137.23849999999999</v>
      </c>
      <c r="O35" s="19" t="e">
        <f ca="1">IFERROR(AVERAGEIF('Preço Soja ESALQ'!$C:$C,'Modelo Soja'!$B35,'Preço Soja ESALQ'!AC:AC),NA())</f>
        <v>#N/A</v>
      </c>
      <c r="P35" s="19" t="e">
        <f ca="1">IFERROR(AVERAGEIF('Preço Soja ESALQ'!$C:$C,'Modelo Soja'!$B35,'Preço Soja ESALQ'!AD:AD),NA())</f>
        <v>#N/A</v>
      </c>
      <c r="Q35" s="19">
        <f ca="1">IFERROR(AVERAGEIF('Preço Soja ESALQ'!$C:$C,'Modelo Soja'!$B35,'Preço Soja ESALQ'!BI:BI),NA())</f>
        <v>135.85100000000003</v>
      </c>
      <c r="R35" s="19">
        <f ca="1">IFERROR(AVERAGEIF('Preço Soja ESALQ'!$C:$C,'Modelo Soja'!$B35,'Preço Soja ESALQ'!BK:BK),NA())</f>
        <v>120.42049999999999</v>
      </c>
      <c r="S35" s="19">
        <f ca="1">IFERROR(AVERAGEIF('Preço Soja ESALQ'!$C:$C,'Modelo Soja'!$B35,'Preço Soja ESALQ'!BL:BL),NA())</f>
        <v>119.18299999999999</v>
      </c>
      <c r="T35" s="19" t="e">
        <f ca="1">IFERROR(AVERAGEIF('Preço Soja ESALQ'!$C:$C,'Modelo Soja'!$B35,'Preço Soja ESALQ'!BM:BM),NA())</f>
        <v>#N/A</v>
      </c>
      <c r="U35" s="19">
        <f ca="1">IFERROR(AVERAGEIF('Preço Soja ESALQ'!$C:$C,'Modelo Soja'!$B35,'Preço Soja ESALQ'!BN:BN),NA())</f>
        <v>118.54300000000001</v>
      </c>
      <c r="AA35" s="19">
        <f ca="1">IFERROR(AVERAGEIF('Preço Soja ESALQ'!$C:$C,'Modelo Soja'!$B35,'Preço Soja ESALQ'!BA:BA),NA())</f>
        <v>127.90800000000002</v>
      </c>
      <c r="AB35" s="19">
        <f ca="1">IFERROR(AVERAGEIF('Preço Soja ESALQ'!$C:$C,'Modelo Soja'!$B35,'Preço Soja ESALQ'!BB:BB),NA())</f>
        <v>140.268</v>
      </c>
      <c r="AC35" s="19">
        <f ca="1">IFERROR(AVERAGEIF('Preço Soja ESALQ'!$C:$C,'Modelo Soja'!$B35,'Preço Soja ESALQ'!BC:BC),NA())</f>
        <v>136.50300000000001</v>
      </c>
      <c r="AD35" s="19">
        <f ca="1">IFERROR(AVERAGEIF('Preço Soja ESALQ'!$C:$C,'Modelo Soja'!$B35,'Preço Soja ESALQ'!BD:BD),NA())</f>
        <v>135.21350000000001</v>
      </c>
      <c r="AE35" s="19">
        <f ca="1">IFERROR(AVERAGEIF('Preço Soja ESALQ'!$C:$C,'Modelo Soja'!$B35,'Preço Soja ESALQ'!BE:BE),NA())</f>
        <v>132.17649999999998</v>
      </c>
      <c r="AF35" s="19">
        <f ca="1">IFERROR(AVERAGEIF('Preço Soja ESALQ'!$C:$C,'Modelo Soja'!$B35,'Preço Soja ESALQ'!BF:BF),NA())</f>
        <v>131.53882352941176</v>
      </c>
      <c r="AG35" s="19">
        <f ca="1">IFERROR(AVERAGEIF('Preço Soja ESALQ'!$C:$C,'Modelo Soja'!$B35,'Preço Soja ESALQ'!BG:BG),NA())</f>
        <v>147.16249999999997</v>
      </c>
      <c r="AH35" s="19">
        <f ca="1">IFERROR(AVERAGEIF('Preço Soja ESALQ'!$C:$C,'Modelo Soja'!$B35,'Preço Soja ESALQ'!AE:AE),NA())</f>
        <v>144.69499999999999</v>
      </c>
      <c r="AI35" s="19">
        <f ca="1">IFERROR(AVERAGEIF('Preço Soja ESALQ'!$C:$C,'Modelo Soja'!$B35,'Preço Soja ESALQ'!AF:AF),NA())</f>
        <v>131.97450000000001</v>
      </c>
      <c r="AJ35" s="24">
        <f>+[2]summary!C47</f>
        <v>147.19149999999999</v>
      </c>
      <c r="AK35" s="24">
        <f t="shared" ca="1" si="2"/>
        <v>122.59510075545367</v>
      </c>
      <c r="AL35" s="24"/>
      <c r="AN35" s="24">
        <f>+[6]FSORPRA!H34</f>
        <v>509.6</v>
      </c>
      <c r="AO35" s="24">
        <f>+[6]FRONPRA!H34</f>
        <v>391.3</v>
      </c>
      <c r="AP35" s="24">
        <f>VLOOKUP(B35,'Frete ESALQ'!$C$5:$AL$131,36,FALSE)</f>
        <v>182.6</v>
      </c>
      <c r="AQ35" s="24">
        <f>VLOOKUP(B35,'Frete ESALQ'!$C$5:$AW$131,47,FALSE)</f>
        <v>197.5</v>
      </c>
      <c r="AR35" s="24">
        <f>VLOOKUP(B35,'Frete ESALQ'!$C$5:$BH$131,58,FALSE)</f>
        <v>153.75</v>
      </c>
      <c r="AS35" s="24">
        <f>VLOOKUP(B35,'Frete ESALQ'!$C$5:$BH$131,32,FALSE)</f>
        <v>155.91</v>
      </c>
      <c r="AT35" s="24">
        <f t="shared" si="3"/>
        <v>116.6155</v>
      </c>
      <c r="AU35" s="24">
        <f t="shared" si="4"/>
        <v>123.71349999999998</v>
      </c>
      <c r="AV35" s="24">
        <f t="shared" si="5"/>
        <v>136.2355</v>
      </c>
      <c r="AW35" s="24">
        <f t="shared" si="6"/>
        <v>135.3415</v>
      </c>
      <c r="AX35" s="24">
        <f t="shared" ca="1" si="7"/>
        <v>137.93749999999997</v>
      </c>
      <c r="AY35" s="24">
        <f t="shared" ca="1" si="8"/>
        <v>135.34039999999999</v>
      </c>
      <c r="AZ35">
        <f t="shared" si="9"/>
        <v>9</v>
      </c>
      <c r="BA35" s="17">
        <f t="shared" si="10"/>
        <v>45170</v>
      </c>
      <c r="BB35" s="22">
        <f t="shared" ca="1" si="11"/>
        <v>9.7980000000000018</v>
      </c>
      <c r="BC35" s="22">
        <f t="shared" ca="1" si="12"/>
        <v>9.9130000000000535</v>
      </c>
      <c r="BD35" s="22">
        <f t="shared" ca="1" si="13"/>
        <v>8.9714999999999776</v>
      </c>
      <c r="BE35" s="22">
        <f t="shared" ca="1" si="14"/>
        <v>9.6053235294117485</v>
      </c>
      <c r="BF35" s="22">
        <f t="shared" ca="1" si="15"/>
        <v>7.5269999999999868</v>
      </c>
      <c r="BG35" s="22">
        <f t="shared" ca="1" si="16"/>
        <v>9.9239999999999782</v>
      </c>
      <c r="BH35" s="25">
        <f t="shared" ca="1" si="0"/>
        <v>9.289803921568625</v>
      </c>
      <c r="BJ35" s="27">
        <f t="shared" ca="1" si="21"/>
        <v>10.078100755453697</v>
      </c>
      <c r="BL35" s="41">
        <f t="shared" si="18"/>
        <v>499.6</v>
      </c>
      <c r="BM35" s="41">
        <f t="shared" si="19"/>
        <v>117.21549999999999</v>
      </c>
    </row>
    <row r="36" spans="2:65" x14ac:dyDescent="0.3">
      <c r="B36" s="17" t="str">
        <f t="shared" si="1"/>
        <v>202310</v>
      </c>
      <c r="C36" s="17">
        <f t="shared" si="20"/>
        <v>45200</v>
      </c>
      <c r="D36" s="19">
        <f ca="1">IFERROR(AVERAGEIF('Preço Soja ESALQ'!$C:$C,'Modelo Soja'!$B36,'Preço Soja ESALQ'!$R:$R),NA())</f>
        <v>121.73714285714284</v>
      </c>
      <c r="E36" s="19">
        <f ca="1">IFERROR(AVERAGEIF('Preço Soja ESALQ'!$C:$C,'Modelo Soja'!$B36,'Preço Soja ESALQ'!S:S),NA())</f>
        <v>111.60095238095238</v>
      </c>
      <c r="F36" s="19">
        <f ca="1">IFERROR(AVERAGEIF('Preço Soja ESALQ'!$C:$C,'Modelo Soja'!$B36,'Preço Soja ESALQ'!T:T),NA())</f>
        <v>125.02095238095237</v>
      </c>
      <c r="G36" s="19" t="e">
        <f ca="1">IFERROR(AVERAGEIF('Preço Soja ESALQ'!$C:$C,'Modelo Soja'!$B36,'Preço Soja ESALQ'!U:U),NA())</f>
        <v>#N/A</v>
      </c>
      <c r="H36" s="19">
        <f ca="1">IFERROR(AVERAGEIF('Preço Soja ESALQ'!$C:$C,'Modelo Soja'!$B36,'Preço Soja ESALQ'!V:V),NA())</f>
        <v>115.49523809523808</v>
      </c>
      <c r="I36" s="19">
        <f ca="1">IFERROR(AVERAGEIF('Preço Soja ESALQ'!$C:$C,'Modelo Soja'!$B36,'Preço Soja ESALQ'!W:W),NA())</f>
        <v>127.08047619047619</v>
      </c>
      <c r="J36" s="19">
        <f ca="1">IFERROR(AVERAGEIF('Preço Soja ESALQ'!$C:$C,'Modelo Soja'!$B36,'Preço Soja ESALQ'!X:X),NA())</f>
        <v>132.96285714285716</v>
      </c>
      <c r="K36" s="19">
        <f ca="1">IFERROR(AVERAGEIF('Preço Soja ESALQ'!$C:$C,'Modelo Soja'!$B36,'Preço Soja ESALQ'!Y:Y),NA())</f>
        <v>123.98571428571428</v>
      </c>
      <c r="L36" s="19">
        <f ca="1">IFERROR(AVERAGEIF('Preço Soja ESALQ'!$C:$C,'Modelo Soja'!$B36,'Preço Soja ESALQ'!Z:Z),NA())</f>
        <v>124.51285714285716</v>
      </c>
      <c r="M36" s="19">
        <f ca="1">IFERROR(AVERAGEIF('Preço Soja ESALQ'!$C:$C,'Modelo Soja'!$B36,'Preço Soja ESALQ'!AA:AA),NA())</f>
        <v>122.23666666666665</v>
      </c>
      <c r="N36" s="19">
        <f ca="1">IFERROR(AVERAGEIF('Preço Soja ESALQ'!$C:$C,'Modelo Soja'!$B36,'Preço Soja ESALQ'!AB:AB),NA())</f>
        <v>132.78952380952381</v>
      </c>
      <c r="O36" s="19" t="e">
        <f ca="1">IFERROR(AVERAGEIF('Preço Soja ESALQ'!$C:$C,'Modelo Soja'!$B36,'Preço Soja ESALQ'!AC:AC),NA())</f>
        <v>#N/A</v>
      </c>
      <c r="P36" s="19" t="e">
        <f ca="1">IFERROR(AVERAGEIF('Preço Soja ESALQ'!$C:$C,'Modelo Soja'!$B36,'Preço Soja ESALQ'!AD:AD),NA())</f>
        <v>#N/A</v>
      </c>
      <c r="Q36" s="19">
        <f ca="1">IFERROR(AVERAGEIF('Preço Soja ESALQ'!$C:$C,'Modelo Soja'!$B36,'Preço Soja ESALQ'!BI:BI),NA())</f>
        <v>133.34285714285716</v>
      </c>
      <c r="R36" s="19">
        <f ca="1">IFERROR(AVERAGEIF('Preço Soja ESALQ'!$C:$C,'Modelo Soja'!$B36,'Preço Soja ESALQ'!BK:BK),NA())</f>
        <v>119.02095238095238</v>
      </c>
      <c r="S36" s="19">
        <f ca="1">IFERROR(AVERAGEIF('Preço Soja ESALQ'!$C:$C,'Modelo Soja'!$B36,'Preço Soja ESALQ'!BL:BL),NA())</f>
        <v>116.79523809523809</v>
      </c>
      <c r="T36" s="19" t="e">
        <f ca="1">IFERROR(AVERAGEIF('Preço Soja ESALQ'!$C:$C,'Modelo Soja'!$B36,'Preço Soja ESALQ'!BM:BM),NA())</f>
        <v>#N/A</v>
      </c>
      <c r="U36" s="19">
        <f ca="1">IFERROR(AVERAGEIF('Preço Soja ESALQ'!$C:$C,'Modelo Soja'!$B36,'Preço Soja ESALQ'!BN:BN),NA())</f>
        <v>115.66714285714286</v>
      </c>
      <c r="AA36" s="19">
        <f ca="1">IFERROR(AVERAGEIF('Preço Soja ESALQ'!$C:$C,'Modelo Soja'!$B36,'Preço Soja ESALQ'!BA:BA),NA())</f>
        <v>126.78380952380951</v>
      </c>
      <c r="AB36" s="19">
        <f ca="1">IFERROR(AVERAGEIF('Preço Soja ESALQ'!$C:$C,'Modelo Soja'!$B36,'Preço Soja ESALQ'!BB:BB),NA())</f>
        <v>138.99761904761903</v>
      </c>
      <c r="AC36" s="19">
        <f ca="1">IFERROR(AVERAGEIF('Preço Soja ESALQ'!$C:$C,'Modelo Soja'!$B36,'Preço Soja ESALQ'!BC:BC),NA())</f>
        <v>133.81428571428569</v>
      </c>
      <c r="AD36" s="19">
        <f ca="1">IFERROR(AVERAGEIF('Preço Soja ESALQ'!$C:$C,'Modelo Soja'!$B36,'Preço Soja ESALQ'!BD:BD),NA())</f>
        <v>133.13095238095241</v>
      </c>
      <c r="AE36" s="19">
        <f ca="1">IFERROR(AVERAGEIF('Preço Soja ESALQ'!$C:$C,'Modelo Soja'!$B36,'Preço Soja ESALQ'!BE:BE),NA())</f>
        <v>129.81619047619046</v>
      </c>
      <c r="AF36" s="19">
        <f ca="1">IFERROR(AVERAGEIF('Preço Soja ESALQ'!$C:$C,'Modelo Soja'!$B36,'Preço Soja ESALQ'!BF:BF),NA())</f>
        <v>130.04476190476191</v>
      </c>
      <c r="AG36" s="19">
        <f ca="1">IFERROR(AVERAGEIF('Preço Soja ESALQ'!$C:$C,'Modelo Soja'!$B36,'Preço Soja ESALQ'!BG:BG),NA())</f>
        <v>142.3185714285714</v>
      </c>
      <c r="AH36" s="19">
        <f ca="1">IFERROR(AVERAGEIF('Preço Soja ESALQ'!$C:$C,'Modelo Soja'!$B36,'Preço Soja ESALQ'!AE:AE),NA())</f>
        <v>141.41190476190476</v>
      </c>
      <c r="AI36" s="19">
        <f ca="1">IFERROR(AVERAGEIF('Preço Soja ESALQ'!$C:$C,'Modelo Soja'!$B36,'Preço Soja ESALQ'!AF:AF),NA())</f>
        <v>130.94190476190477</v>
      </c>
      <c r="AJ36" s="24">
        <f>+[2]summary!C48</f>
        <v>144.09428571428572</v>
      </c>
      <c r="AK36" s="24">
        <f t="shared" ca="1" si="2"/>
        <v>121.19601983185895</v>
      </c>
      <c r="AL36" s="24"/>
      <c r="AN36" s="24">
        <f>+[6]FSORPRA!H35</f>
        <v>518.75</v>
      </c>
      <c r="AO36" s="24">
        <f>+[6]FRONPRA!H35</f>
        <v>390</v>
      </c>
      <c r="AP36" s="24">
        <f>VLOOKUP(B36,'Frete ESALQ'!$C$5:$AL$131,36,FALSE)</f>
        <v>167.75</v>
      </c>
      <c r="AQ36" s="24">
        <f>VLOOKUP(B36,'Frete ESALQ'!$C$5:$AW$131,47,FALSE)</f>
        <v>150</v>
      </c>
      <c r="AR36" s="24">
        <f>VLOOKUP(B36,'Frete ESALQ'!$C$5:$BH$131,58,FALSE)</f>
        <v>120</v>
      </c>
      <c r="AS36" s="24">
        <f>VLOOKUP(B36,'Frete ESALQ'!$C$5:$BH$131,32,FALSE)</f>
        <v>186.85</v>
      </c>
      <c r="AT36" s="24">
        <f t="shared" si="3"/>
        <v>112.96928571428572</v>
      </c>
      <c r="AU36" s="24">
        <f t="shared" si="4"/>
        <v>120.69428571428571</v>
      </c>
      <c r="AV36" s="24">
        <f t="shared" si="5"/>
        <v>134.02928571428572</v>
      </c>
      <c r="AW36" s="24">
        <f t="shared" si="6"/>
        <v>135.09428571428572</v>
      </c>
      <c r="AX36" s="24">
        <f t="shared" ca="1" si="7"/>
        <v>135.11857142857141</v>
      </c>
      <c r="AY36" s="24">
        <f t="shared" ca="1" si="8"/>
        <v>130.20090476190478</v>
      </c>
      <c r="AZ36">
        <f t="shared" si="9"/>
        <v>10</v>
      </c>
      <c r="BA36" s="17">
        <f t="shared" si="10"/>
        <v>45200</v>
      </c>
      <c r="BB36" s="22">
        <f t="shared" ca="1" si="11"/>
        <v>11.917142857142835</v>
      </c>
      <c r="BC36" s="22">
        <f t="shared" ca="1" si="12"/>
        <v>9.8285714285714079</v>
      </c>
      <c r="BD36" s="22">
        <f t="shared" ca="1" si="13"/>
        <v>7.5795238095238062</v>
      </c>
      <c r="BE36" s="22">
        <f t="shared" ca="1" si="14"/>
        <v>8.3076190476190703</v>
      </c>
      <c r="BF36" s="22">
        <f t="shared" ca="1" si="15"/>
        <v>8.4490476190476045</v>
      </c>
      <c r="BG36" s="22">
        <f t="shared" ca="1" si="16"/>
        <v>9.5290476190475886</v>
      </c>
      <c r="BH36" s="25">
        <f t="shared" ca="1" si="0"/>
        <v>9.2684920634920527</v>
      </c>
      <c r="BJ36" s="27">
        <f t="shared" ca="1" si="21"/>
        <v>9.5950674509065745</v>
      </c>
      <c r="BL36" s="41">
        <f t="shared" si="18"/>
        <v>508.75</v>
      </c>
      <c r="BM36" s="41">
        <f t="shared" si="19"/>
        <v>113.56928571428571</v>
      </c>
    </row>
    <row r="37" spans="2:65" x14ac:dyDescent="0.3">
      <c r="B37" s="17" t="str">
        <f t="shared" si="1"/>
        <v>202311</v>
      </c>
      <c r="C37" s="17">
        <f t="shared" si="20"/>
        <v>45231</v>
      </c>
      <c r="D37" s="19">
        <f ca="1">IFERROR(AVERAGEIF('Preço Soja ESALQ'!$C:$C,'Modelo Soja'!$B37,'Preço Soja ESALQ'!$R:$R),NA())</f>
        <v>124.79149999999997</v>
      </c>
      <c r="E37" s="19">
        <f ca="1">IFERROR(AVERAGEIF('Preço Soja ESALQ'!$C:$C,'Modelo Soja'!$B37,'Preço Soja ESALQ'!S:S),NA())</f>
        <v>112.26799999999999</v>
      </c>
      <c r="F37" s="19">
        <f ca="1">IFERROR(AVERAGEIF('Preço Soja ESALQ'!$C:$C,'Modelo Soja'!$B37,'Preço Soja ESALQ'!T:T),NA())</f>
        <v>128.45599999999999</v>
      </c>
      <c r="G37" s="19" t="e">
        <f ca="1">IFERROR(AVERAGEIF('Preço Soja ESALQ'!$C:$C,'Modelo Soja'!$B37,'Preço Soja ESALQ'!U:U),NA())</f>
        <v>#N/A</v>
      </c>
      <c r="H37" s="19">
        <f ca="1">IFERROR(AVERAGEIF('Preço Soja ESALQ'!$C:$C,'Modelo Soja'!$B37,'Preço Soja ESALQ'!V:V),NA())</f>
        <v>117.81100000000001</v>
      </c>
      <c r="I37" s="19">
        <f ca="1">IFERROR(AVERAGEIF('Preço Soja ESALQ'!$C:$C,'Modelo Soja'!$B37,'Preço Soja ESALQ'!W:W),NA())</f>
        <v>129.99649999999997</v>
      </c>
      <c r="J37" s="19">
        <f ca="1">IFERROR(AVERAGEIF('Preço Soja ESALQ'!$C:$C,'Modelo Soja'!$B37,'Preço Soja ESALQ'!X:X),NA())</f>
        <v>138.26499999999999</v>
      </c>
      <c r="K37" s="19">
        <f ca="1">IFERROR(AVERAGEIF('Preço Soja ESALQ'!$C:$C,'Modelo Soja'!$B37,'Preço Soja ESALQ'!Y:Y),NA())</f>
        <v>127.53200000000004</v>
      </c>
      <c r="L37" s="19">
        <f ca="1">IFERROR(AVERAGEIF('Preço Soja ESALQ'!$C:$C,'Modelo Soja'!$B37,'Preço Soja ESALQ'!Z:Z),NA())</f>
        <v>128.11599999999999</v>
      </c>
      <c r="M37" s="19">
        <f ca="1">IFERROR(AVERAGEIF('Preço Soja ESALQ'!$C:$C,'Modelo Soja'!$B37,'Preço Soja ESALQ'!AA:AA),NA())</f>
        <v>125.179</v>
      </c>
      <c r="N37" s="19">
        <f ca="1">IFERROR(AVERAGEIF('Preço Soja ESALQ'!$C:$C,'Modelo Soja'!$B37,'Preço Soja ESALQ'!AB:AB),NA())</f>
        <v>137.90799999999999</v>
      </c>
      <c r="O37" s="19" t="e">
        <f ca="1">IFERROR(AVERAGEIF('Preço Soja ESALQ'!$C:$C,'Modelo Soja'!$B37,'Preço Soja ESALQ'!AC:AC),NA())</f>
        <v>#N/A</v>
      </c>
      <c r="P37" s="19" t="e">
        <f ca="1">IFERROR(AVERAGEIF('Preço Soja ESALQ'!$C:$C,'Modelo Soja'!$B37,'Preço Soja ESALQ'!AD:AD),NA())</f>
        <v>#N/A</v>
      </c>
      <c r="Q37" s="19">
        <f ca="1">IFERROR(AVERAGEIF('Preço Soja ESALQ'!$C:$C,'Modelo Soja'!$B37,'Preço Soja ESALQ'!BI:BI),NA())</f>
        <v>134.68100000000004</v>
      </c>
      <c r="R37" s="19">
        <f ca="1">IFERROR(AVERAGEIF('Preço Soja ESALQ'!$C:$C,'Modelo Soja'!$B37,'Preço Soja ESALQ'!BK:BK),NA())</f>
        <v>121.06888888888888</v>
      </c>
      <c r="S37" s="19">
        <f ca="1">IFERROR(AVERAGEIF('Preço Soja ESALQ'!$C:$C,'Modelo Soja'!$B37,'Preço Soja ESALQ'!BL:BL),NA())</f>
        <v>120.15750000000006</v>
      </c>
      <c r="T37" s="19" t="e">
        <f ca="1">IFERROR(AVERAGEIF('Preço Soja ESALQ'!$C:$C,'Modelo Soja'!$B37,'Preço Soja ESALQ'!BM:BM),NA())</f>
        <v>#N/A</v>
      </c>
      <c r="U37" s="19">
        <f ca="1">IFERROR(AVERAGEIF('Preço Soja ESALQ'!$C:$C,'Modelo Soja'!$B37,'Preço Soja ESALQ'!BN:BN),NA())</f>
        <v>117.54</v>
      </c>
      <c r="AA37" s="19">
        <f ca="1">IFERROR(AVERAGEIF('Preço Soja ESALQ'!$C:$C,'Modelo Soja'!$B37,'Preço Soja ESALQ'!BA:BA),NA())</f>
        <v>125.00250000000001</v>
      </c>
      <c r="AB37" s="19">
        <f ca="1">IFERROR(AVERAGEIF('Preço Soja ESALQ'!$C:$C,'Modelo Soja'!$B37,'Preço Soja ESALQ'!BB:BB),NA())</f>
        <v>140.001</v>
      </c>
      <c r="AC37" s="19">
        <f ca="1">IFERROR(AVERAGEIF('Preço Soja ESALQ'!$C:$C,'Modelo Soja'!$B37,'Preço Soja ESALQ'!BC:BC),NA())</f>
        <v>136.10150000000002</v>
      </c>
      <c r="AD37" s="19">
        <f ca="1">IFERROR(AVERAGEIF('Preço Soja ESALQ'!$C:$C,'Modelo Soja'!$B37,'Preço Soja ESALQ'!BD:BD),NA())</f>
        <v>134.8835</v>
      </c>
      <c r="AE37" s="19">
        <f ca="1">IFERROR(AVERAGEIF('Preço Soja ESALQ'!$C:$C,'Modelo Soja'!$B37,'Preço Soja ESALQ'!BE:BE),NA())</f>
        <v>133.84649999999996</v>
      </c>
      <c r="AF37" s="19">
        <f ca="1">IFERROR(AVERAGEIF('Preço Soja ESALQ'!$C:$C,'Modelo Soja'!$B37,'Preço Soja ESALQ'!BF:BF),NA())</f>
        <v>134.87350000000004</v>
      </c>
      <c r="AG37" s="19">
        <f ca="1">IFERROR(AVERAGEIF('Preço Soja ESALQ'!$C:$C,'Modelo Soja'!$B37,'Preço Soja ESALQ'!BG:BG),NA())</f>
        <v>147.05250000000001</v>
      </c>
      <c r="AH37" s="19">
        <f ca="1">IFERROR(AVERAGEIF('Preço Soja ESALQ'!$C:$C,'Modelo Soja'!$B37,'Preço Soja ESALQ'!AE:AE),NA())</f>
        <v>145.85950000000003</v>
      </c>
      <c r="AI37" s="19">
        <f ca="1">IFERROR(AVERAGEIF('Preço Soja ESALQ'!$C:$C,'Modelo Soja'!$B37,'Preço Soja ESALQ'!AF:AF),NA())</f>
        <v>134.43199999999999</v>
      </c>
      <c r="AJ37" s="24">
        <f>+[2]summary!C49</f>
        <v>144.04450000000003</v>
      </c>
      <c r="AK37" s="24">
        <f t="shared" ca="1" si="2"/>
        <v>121.42513294346978</v>
      </c>
      <c r="AL37" s="24"/>
      <c r="AN37" s="24">
        <f>+[6]FSORPRA!H36</f>
        <v>495</v>
      </c>
      <c r="AO37" s="24">
        <f>+[6]FRONPRA!H36</f>
        <v>366.66750000000002</v>
      </c>
      <c r="AP37" s="29">
        <f>(AP36+AP38)/2</f>
        <v>166.375</v>
      </c>
      <c r="AQ37" s="29">
        <f>(AQ36+AQ38)/2</f>
        <v>152.5</v>
      </c>
      <c r="AR37" s="29">
        <f>(AR36+AR38)/2</f>
        <v>132.5</v>
      </c>
      <c r="AS37" s="29">
        <f>(AS36+AS38)/2</f>
        <v>163.42500000000001</v>
      </c>
      <c r="AT37" s="24">
        <f t="shared" si="3"/>
        <v>114.34450000000002</v>
      </c>
      <c r="AU37" s="24">
        <f t="shared" si="4"/>
        <v>122.04445000000003</v>
      </c>
      <c r="AV37" s="24">
        <f t="shared" si="5"/>
        <v>134.06200000000004</v>
      </c>
      <c r="AW37" s="24">
        <f t="shared" si="6"/>
        <v>134.89450000000002</v>
      </c>
      <c r="AX37" s="24">
        <f t="shared" ca="1" si="7"/>
        <v>139.10250000000002</v>
      </c>
      <c r="AY37" s="24">
        <f t="shared" ca="1" si="8"/>
        <v>136.05400000000003</v>
      </c>
      <c r="AZ37">
        <f t="shared" si="9"/>
        <v>11</v>
      </c>
      <c r="BA37" s="17">
        <f t="shared" si="10"/>
        <v>45231</v>
      </c>
      <c r="BB37" s="22">
        <f t="shared" ca="1" si="11"/>
        <v>10.004500000000036</v>
      </c>
      <c r="BC37" s="22">
        <f t="shared" ca="1" si="12"/>
        <v>8.5694999999999766</v>
      </c>
      <c r="BD37" s="22">
        <f t="shared" ca="1" si="13"/>
        <v>8.6674999999999613</v>
      </c>
      <c r="BE37" s="22">
        <f t="shared" ca="1" si="14"/>
        <v>10.082000000000065</v>
      </c>
      <c r="BF37" s="22">
        <f t="shared" ca="1" si="15"/>
        <v>7.5945000000000391</v>
      </c>
      <c r="BG37" s="22">
        <f t="shared" ca="1" si="16"/>
        <v>9.1445000000000221</v>
      </c>
      <c r="BH37" s="25">
        <f t="shared" ca="1" si="0"/>
        <v>9.0104166666666838</v>
      </c>
      <c r="BJ37" s="27">
        <f t="shared" ca="1" si="21"/>
        <v>9.1571329434697866</v>
      </c>
      <c r="BL37" s="41">
        <f t="shared" si="18"/>
        <v>485</v>
      </c>
      <c r="BM37" s="41">
        <f t="shared" si="19"/>
        <v>114.94450000000003</v>
      </c>
    </row>
    <row r="38" spans="2:65" x14ac:dyDescent="0.3">
      <c r="B38" s="17" t="str">
        <f t="shared" si="1"/>
        <v>202312</v>
      </c>
      <c r="C38" s="17">
        <f t="shared" si="20"/>
        <v>45261</v>
      </c>
      <c r="D38" s="19">
        <f ca="1">IFERROR(AVERAGEIF('Preço Soja ESALQ'!$C:$C,'Modelo Soja'!$B38,'Preço Soja ESALQ'!$R:$R),NA())</f>
        <v>121.27368421052628</v>
      </c>
      <c r="E38" s="19">
        <f ca="1">IFERROR(AVERAGEIF('Preço Soja ESALQ'!$C:$C,'Modelo Soja'!$B38,'Preço Soja ESALQ'!S:S),NA())</f>
        <v>110.97105263157896</v>
      </c>
      <c r="F38" s="19">
        <f ca="1">IFERROR(AVERAGEIF('Preço Soja ESALQ'!$C:$C,'Modelo Soja'!$B38,'Preço Soja ESALQ'!T:T),NA())</f>
        <v>128.68947368421053</v>
      </c>
      <c r="G38" s="19" t="e">
        <f ca="1">IFERROR(AVERAGEIF('Preço Soja ESALQ'!$C:$C,'Modelo Soja'!$B38,'Preço Soja ESALQ'!U:U),NA())</f>
        <v>#N/A</v>
      </c>
      <c r="H38" s="19">
        <f ca="1">IFERROR(AVERAGEIF('Preço Soja ESALQ'!$C:$C,'Modelo Soja'!$B38,'Preço Soja ESALQ'!V:V),NA())</f>
        <v>120.60052631578947</v>
      </c>
      <c r="I38" s="19">
        <f ca="1">IFERROR(AVERAGEIF('Preço Soja ESALQ'!$C:$C,'Modelo Soja'!$B38,'Preço Soja ESALQ'!W:W),NA())</f>
        <v>129.7584210526316</v>
      </c>
      <c r="J38" s="19">
        <f ca="1">IFERROR(AVERAGEIF('Preço Soja ESALQ'!$C:$C,'Modelo Soja'!$B38,'Preço Soja ESALQ'!X:X),NA())</f>
        <v>134.90947368421055</v>
      </c>
      <c r="K38" s="19">
        <f ca="1">IFERROR(AVERAGEIF('Preço Soja ESALQ'!$C:$C,'Modelo Soja'!$B38,'Preço Soja ESALQ'!Y:Y),NA())</f>
        <v>126.21473684210525</v>
      </c>
      <c r="L38" s="19">
        <f ca="1">IFERROR(AVERAGEIF('Preço Soja ESALQ'!$C:$C,'Modelo Soja'!$B38,'Preço Soja ESALQ'!Z:Z),NA())</f>
        <v>126.60894736842106</v>
      </c>
      <c r="M38" s="19">
        <f ca="1">IFERROR(AVERAGEIF('Preço Soja ESALQ'!$C:$C,'Modelo Soja'!$B38,'Preço Soja ESALQ'!AA:AA),NA())</f>
        <v>124.35052631578947</v>
      </c>
      <c r="N38" s="19">
        <f ca="1">IFERROR(AVERAGEIF('Preço Soja ESALQ'!$C:$C,'Modelo Soja'!$B38,'Preço Soja ESALQ'!AB:AB),NA())</f>
        <v>135.79315789473685</v>
      </c>
      <c r="O38" s="19">
        <f ca="1">IFERROR(AVERAGEIF('Preço Soja ESALQ'!$C:$C,'Modelo Soja'!$B38,'Preço Soja ESALQ'!AC:AC),NA())</f>
        <v>120.66500000000001</v>
      </c>
      <c r="P38" s="19" t="e">
        <f ca="1">IFERROR(AVERAGEIF('Preço Soja ESALQ'!$C:$C,'Modelo Soja'!$B38,'Preço Soja ESALQ'!AD:AD),NA())</f>
        <v>#N/A</v>
      </c>
      <c r="Q38" s="19">
        <f ca="1">IFERROR(AVERAGEIF('Preço Soja ESALQ'!$C:$C,'Modelo Soja'!$B38,'Preço Soja ESALQ'!BI:BI),NA())</f>
        <v>133.79526315789471</v>
      </c>
      <c r="R38" s="19">
        <f ca="1">IFERROR(AVERAGEIF('Preço Soja ESALQ'!$C:$C,'Modelo Soja'!$B38,'Preço Soja ESALQ'!BK:BK),NA())</f>
        <v>118.20583333333333</v>
      </c>
      <c r="S38" s="19">
        <f ca="1">IFERROR(AVERAGEIF('Preço Soja ESALQ'!$C:$C,'Modelo Soja'!$B38,'Preço Soja ESALQ'!BL:BL),NA())</f>
        <v>118.48315789473683</v>
      </c>
      <c r="T38" s="19" t="e">
        <f ca="1">IFERROR(AVERAGEIF('Preço Soja ESALQ'!$C:$C,'Modelo Soja'!$B38,'Preço Soja ESALQ'!BM:BM),NA())</f>
        <v>#N/A</v>
      </c>
      <c r="U38" s="19">
        <f ca="1">IFERROR(AVERAGEIF('Preço Soja ESALQ'!$C:$C,'Modelo Soja'!$B38,'Preço Soja ESALQ'!BN:BN),NA())</f>
        <v>116.10999999999999</v>
      </c>
      <c r="AA38" s="19">
        <f ca="1">IFERROR(AVERAGEIF('Preço Soja ESALQ'!$C:$C,'Modelo Soja'!$B38,'Preço Soja ESALQ'!BA:BA),NA())</f>
        <v>127.82526315789472</v>
      </c>
      <c r="AB38" s="19">
        <f ca="1">IFERROR(AVERAGEIF('Preço Soja ESALQ'!$C:$C,'Modelo Soja'!$B38,'Preço Soja ESALQ'!BB:BB),NA())</f>
        <v>139.1642105263158</v>
      </c>
      <c r="AC38" s="19">
        <f ca="1">IFERROR(AVERAGEIF('Preço Soja ESALQ'!$C:$C,'Modelo Soja'!$B38,'Preço Soja ESALQ'!BC:BC),NA())</f>
        <v>136.45473684210529</v>
      </c>
      <c r="AD38" s="19">
        <f ca="1">IFERROR(AVERAGEIF('Preço Soja ESALQ'!$C:$C,'Modelo Soja'!$B38,'Preço Soja ESALQ'!BD:BD),NA())</f>
        <v>136.84105263157895</v>
      </c>
      <c r="AE38" s="19">
        <f ca="1">IFERROR(AVERAGEIF('Preço Soja ESALQ'!$C:$C,'Modelo Soja'!$B38,'Preço Soja ESALQ'!BE:BE),NA())</f>
        <v>133.06421052631578</v>
      </c>
      <c r="AF38" s="19">
        <f ca="1">IFERROR(AVERAGEIF('Preço Soja ESALQ'!$C:$C,'Modelo Soja'!$B38,'Preço Soja ESALQ'!BF:BF),NA())</f>
        <v>134.34473684210531</v>
      </c>
      <c r="AG38" s="19">
        <f ca="1">IFERROR(AVERAGEIF('Preço Soja ESALQ'!$C:$C,'Modelo Soja'!$B38,'Preço Soja ESALQ'!BG:BG),NA())</f>
        <v>144.35473684210524</v>
      </c>
      <c r="AH38" s="19">
        <f ca="1">IFERROR(AVERAGEIF('Preço Soja ESALQ'!$C:$C,'Modelo Soja'!$B38,'Preço Soja ESALQ'!AE:AE),NA())</f>
        <v>143.48684210526312</v>
      </c>
      <c r="AI38" s="19">
        <f ca="1">IFERROR(AVERAGEIF('Preço Soja ESALQ'!$C:$C,'Modelo Soja'!$B38,'Preço Soja ESALQ'!AF:AF),NA())</f>
        <v>137.29315789473682</v>
      </c>
      <c r="AJ38" s="24">
        <f>+[2]summary!C50</f>
        <v>145.97052631578944</v>
      </c>
      <c r="AK38" s="24">
        <f t="shared" ca="1" si="2"/>
        <v>120.70991140350877</v>
      </c>
      <c r="AL38" s="24"/>
      <c r="AN38" s="24">
        <f>+[6]FSORPRA!H37</f>
        <v>485.6</v>
      </c>
      <c r="AO38" s="24">
        <f>+[6]FRONPRA!H37</f>
        <v>366</v>
      </c>
      <c r="AP38" s="24">
        <f>VLOOKUP(B38,'Frete ESALQ'!$C$5:$AL$131,36,FALSE)</f>
        <v>165</v>
      </c>
      <c r="AQ38" s="24">
        <f>VLOOKUP(B38,'Frete ESALQ'!$C$5:$AW$131,47,FALSE)</f>
        <v>155</v>
      </c>
      <c r="AR38" s="24">
        <f>VLOOKUP(B38,'Frete ESALQ'!$C$5:$BH$131,58,FALSE)</f>
        <v>145</v>
      </c>
      <c r="AS38" s="24">
        <f>VLOOKUP(B38,'Frete ESALQ'!$C$5:$BH$131,32,FALSE)</f>
        <v>140</v>
      </c>
      <c r="AT38" s="24">
        <f t="shared" si="3"/>
        <v>116.83452631578945</v>
      </c>
      <c r="AU38" s="24">
        <f t="shared" si="4"/>
        <v>124.01052631578943</v>
      </c>
      <c r="AV38" s="24">
        <f t="shared" si="5"/>
        <v>136.07052631578944</v>
      </c>
      <c r="AW38" s="24">
        <f t="shared" si="6"/>
        <v>136.67052631578943</v>
      </c>
      <c r="AX38" s="24">
        <f t="shared" ca="1" si="7"/>
        <v>135.65473684210525</v>
      </c>
      <c r="AY38" s="24">
        <f t="shared" ca="1" si="8"/>
        <v>135.08684210526312</v>
      </c>
      <c r="AZ38">
        <f t="shared" si="9"/>
        <v>12</v>
      </c>
      <c r="BA38" s="17">
        <f t="shared" si="10"/>
        <v>45261</v>
      </c>
      <c r="BB38" s="22">
        <f t="shared" ca="1" si="11"/>
        <v>9.4057894736841945</v>
      </c>
      <c r="BC38" s="22">
        <f t="shared" ca="1" si="12"/>
        <v>10.240000000000038</v>
      </c>
      <c r="BD38" s="22">
        <f t="shared" ca="1" si="13"/>
        <v>8.7136842105263099</v>
      </c>
      <c r="BE38" s="22">
        <f t="shared" ca="1" si="14"/>
        <v>13.071052631579022</v>
      </c>
      <c r="BF38" s="22">
        <f t="shared" ca="1" si="15"/>
        <v>8.5773684210525687</v>
      </c>
      <c r="BG38" s="22">
        <f t="shared" ca="1" si="16"/>
        <v>8.561578947368389</v>
      </c>
      <c r="BH38" s="25">
        <f t="shared" ca="1" si="0"/>
        <v>9.7615789473684202</v>
      </c>
      <c r="BJ38" s="27">
        <f t="shared" ca="1" si="21"/>
        <v>9.7388587719298165</v>
      </c>
      <c r="BL38" s="41">
        <f t="shared" si="18"/>
        <v>475.6</v>
      </c>
      <c r="BM38" s="41">
        <f t="shared" si="19"/>
        <v>117.43452631578944</v>
      </c>
    </row>
    <row r="39" spans="2:65" x14ac:dyDescent="0.3">
      <c r="B39" s="17" t="str">
        <f t="shared" si="1"/>
        <v>20241</v>
      </c>
      <c r="C39" s="17">
        <f t="shared" si="20"/>
        <v>45292</v>
      </c>
      <c r="D39" s="19">
        <f ca="1">IFERROR(AVERAGEIF('Preço Soja ESALQ'!$C:$C,'Modelo Soja'!$B39,'Preço Soja ESALQ'!$R:$R),NA())</f>
        <v>109.34454545454545</v>
      </c>
      <c r="E39" s="19">
        <f ca="1">IFERROR(AVERAGEIF('Preço Soja ESALQ'!$C:$C,'Modelo Soja'!$B39,'Preço Soja ESALQ'!S:S),NA())</f>
        <v>102.29545454545455</v>
      </c>
      <c r="F39" s="19">
        <f ca="1">IFERROR(AVERAGEIF('Preço Soja ESALQ'!$C:$C,'Modelo Soja'!$B39,'Preço Soja ESALQ'!T:T),NA())</f>
        <v>113.52954545454546</v>
      </c>
      <c r="G39" s="19" t="e">
        <f ca="1">IFERROR(AVERAGEIF('Preço Soja ESALQ'!$C:$C,'Modelo Soja'!$B39,'Preço Soja ESALQ'!U:U),NA())</f>
        <v>#N/A</v>
      </c>
      <c r="H39" s="19">
        <f ca="1">IFERROR(AVERAGEIF('Preço Soja ESALQ'!$C:$C,'Modelo Soja'!$B39,'Preço Soja ESALQ'!V:V),NA())</f>
        <v>111.01318181818178</v>
      </c>
      <c r="I39" s="19">
        <f ca="1">IFERROR(AVERAGEIF('Preço Soja ESALQ'!$C:$C,'Modelo Soja'!$B39,'Preço Soja ESALQ'!W:W),NA())</f>
        <v>112.51409090909088</v>
      </c>
      <c r="J39" s="19">
        <f ca="1">IFERROR(AVERAGEIF('Preço Soja ESALQ'!$C:$C,'Modelo Soja'!$B39,'Preço Soja ESALQ'!X:X),NA())</f>
        <v>119.17545454545453</v>
      </c>
      <c r="K39" s="19">
        <f ca="1">IFERROR(AVERAGEIF('Preço Soja ESALQ'!$C:$C,'Modelo Soja'!$B39,'Preço Soja ESALQ'!Y:Y),NA())</f>
        <v>109.21272727272725</v>
      </c>
      <c r="L39" s="19">
        <f ca="1">IFERROR(AVERAGEIF('Preço Soja ESALQ'!$C:$C,'Modelo Soja'!$B39,'Preço Soja ESALQ'!Z:Z),NA())</f>
        <v>110.35681818181816</v>
      </c>
      <c r="M39" s="19">
        <f ca="1">IFERROR(AVERAGEIF('Preço Soja ESALQ'!$C:$C,'Modelo Soja'!$B39,'Preço Soja ESALQ'!AA:AA),NA())</f>
        <v>111.53681818181816</v>
      </c>
      <c r="N39" s="19">
        <f ca="1">IFERROR(AVERAGEIF('Preço Soja ESALQ'!$C:$C,'Modelo Soja'!$B39,'Preço Soja ESALQ'!AB:AB),NA())</f>
        <v>119.4127272727273</v>
      </c>
      <c r="O39" s="19">
        <f ca="1">IFERROR(AVERAGEIF('Preço Soja ESALQ'!$C:$C,'Modelo Soja'!$B39,'Preço Soja ESALQ'!AC:AC),NA())</f>
        <v>120.15</v>
      </c>
      <c r="P39" s="19" t="e">
        <f ca="1">IFERROR(AVERAGEIF('Preço Soja ESALQ'!$C:$C,'Modelo Soja'!$B39,'Preço Soja ESALQ'!AD:AD),NA())</f>
        <v>#N/A</v>
      </c>
      <c r="Q39" s="19">
        <f ca="1">IFERROR(AVERAGEIF('Preço Soja ESALQ'!$C:$C,'Modelo Soja'!$B39,'Preço Soja ESALQ'!BI:BI),NA())</f>
        <v>120.18818181818179</v>
      </c>
      <c r="R39" s="19">
        <f ca="1">IFERROR(AVERAGEIF('Preço Soja ESALQ'!$C:$C,'Modelo Soja'!$B39,'Preço Soja ESALQ'!BK:BK),NA())</f>
        <v>103.90772727272726</v>
      </c>
      <c r="S39" s="19">
        <f ca="1">IFERROR(AVERAGEIF('Preço Soja ESALQ'!$C:$C,'Modelo Soja'!$B39,'Preço Soja ESALQ'!BL:BL),NA())</f>
        <v>101.48363636363636</v>
      </c>
      <c r="T39" s="19" t="e">
        <f ca="1">IFERROR(AVERAGEIF('Preço Soja ESALQ'!$C:$C,'Modelo Soja'!$B39,'Preço Soja ESALQ'!BM:BM),NA())</f>
        <v>#N/A</v>
      </c>
      <c r="U39" s="19">
        <f ca="1">IFERROR(AVERAGEIF('Preço Soja ESALQ'!$C:$C,'Modelo Soja'!$B39,'Preço Soja ESALQ'!BN:BN),NA())</f>
        <v>104.22181818181816</v>
      </c>
      <c r="AA39" s="19">
        <f ca="1">IFERROR(AVERAGEIF('Preço Soja ESALQ'!$C:$C,'Modelo Soja'!$B39,'Preço Soja ESALQ'!BA:BA),NA())</f>
        <v>110.73380952380951</v>
      </c>
      <c r="AB39" s="19">
        <f ca="1">IFERROR(AVERAGEIF('Preço Soja ESALQ'!$C:$C,'Modelo Soja'!$B39,'Preço Soja ESALQ'!BB:BB),NA())</f>
        <v>123.43090909090911</v>
      </c>
      <c r="AC39" s="19">
        <f ca="1">IFERROR(AVERAGEIF('Preço Soja ESALQ'!$C:$C,'Modelo Soja'!$B39,'Preço Soja ESALQ'!BC:BC),NA())</f>
        <v>116.62272727272729</v>
      </c>
      <c r="AD39" s="19">
        <f ca="1">IFERROR(AVERAGEIF('Preço Soja ESALQ'!$C:$C,'Modelo Soja'!$B39,'Preço Soja ESALQ'!BD:BD),NA())</f>
        <v>119.24545454545455</v>
      </c>
      <c r="AE39" s="19">
        <f ca="1">IFERROR(AVERAGEIF('Preço Soja ESALQ'!$C:$C,'Modelo Soja'!$B39,'Preço Soja ESALQ'!BE:BE),NA())</f>
        <v>120.4926315789474</v>
      </c>
      <c r="AF39" s="19">
        <f ca="1">IFERROR(AVERAGEIF('Preço Soja ESALQ'!$C:$C,'Modelo Soja'!$B39,'Preço Soja ESALQ'!BF:BF),NA())</f>
        <v>119.35000000000001</v>
      </c>
      <c r="AG39" s="19">
        <f ca="1">IFERROR(AVERAGEIF('Preço Soja ESALQ'!$C:$C,'Modelo Soja'!$B39,'Preço Soja ESALQ'!BG:BG),NA())</f>
        <v>125.67909090909093</v>
      </c>
      <c r="AH39" s="19">
        <f ca="1">IFERROR(AVERAGEIF('Preço Soja ESALQ'!$C:$C,'Modelo Soja'!$B39,'Preço Soja ESALQ'!AE:AE),NA())</f>
        <v>125.25409090909089</v>
      </c>
      <c r="AI39" s="19">
        <f ca="1">IFERROR(AVERAGEIF('Preço Soja ESALQ'!$C:$C,'Modelo Soja'!$B39,'Preço Soja ESALQ'!AF:AF),NA())</f>
        <v>123.65928571428572</v>
      </c>
      <c r="AJ39" s="24">
        <f>+[2]summary!C51</f>
        <v>126.93272727272728</v>
      </c>
      <c r="AK39" s="24">
        <f t="shared" ca="1" si="2"/>
        <v>110.78823243979056</v>
      </c>
      <c r="AL39" s="24"/>
      <c r="AN39" s="24">
        <f>+[6]FSORPRA!H38</f>
        <v>452.5</v>
      </c>
      <c r="AO39" s="24">
        <f>+[6]FRONPRA!H38</f>
        <v>323.75</v>
      </c>
      <c r="AP39" s="24">
        <f>VLOOKUP(B39,'Frete ESALQ'!$C$5:$AL$131,36,FALSE)</f>
        <v>180.2</v>
      </c>
      <c r="AQ39" s="24">
        <f>VLOOKUP(B39,'Frete ESALQ'!$C$5:$AW$131,47,FALSE)</f>
        <v>160</v>
      </c>
      <c r="AR39" s="24">
        <f>VLOOKUP(B39,'Frete ESALQ'!$C$5:$BH$131,58,FALSE)</f>
        <v>155</v>
      </c>
      <c r="AS39" s="24">
        <f>VLOOKUP(B39,'Frete ESALQ'!$C$5:$BH$131,32,FALSE)</f>
        <v>151.38999999999999</v>
      </c>
      <c r="AT39" s="24">
        <f t="shared" si="3"/>
        <v>99.782727272727271</v>
      </c>
      <c r="AU39" s="24">
        <f t="shared" si="4"/>
        <v>107.50772727272728</v>
      </c>
      <c r="AV39" s="24">
        <f t="shared" si="5"/>
        <v>116.12072727272728</v>
      </c>
      <c r="AW39" s="24">
        <f t="shared" si="6"/>
        <v>117.33272727272728</v>
      </c>
      <c r="AX39" s="24">
        <f t="shared" ca="1" si="7"/>
        <v>116.37909090909093</v>
      </c>
      <c r="AY39" s="24">
        <f t="shared" ca="1" si="8"/>
        <v>116.17069090909089</v>
      </c>
      <c r="AZ39">
        <f t="shared" si="9"/>
        <v>1</v>
      </c>
      <c r="BA39" s="17">
        <f t="shared" si="10"/>
        <v>45292</v>
      </c>
      <c r="BB39" s="22">
        <f t="shared" ca="1" si="11"/>
        <v>10.916818181818229</v>
      </c>
      <c r="BC39" s="22">
        <f t="shared" ca="1" si="12"/>
        <v>7.4100000000000392</v>
      </c>
      <c r="BD39" s="22">
        <f t="shared" ca="1" si="13"/>
        <v>8.9558133971292335</v>
      </c>
      <c r="BE39" s="22">
        <f t="shared" ca="1" si="14"/>
        <v>10.005454545454555</v>
      </c>
      <c r="BF39" s="22">
        <f t="shared" ca="1" si="15"/>
        <v>6.0786363636363632</v>
      </c>
      <c r="BG39" s="22">
        <f t="shared" ca="1" si="16"/>
        <v>6.2663636363636357</v>
      </c>
      <c r="BH39" s="25">
        <f t="shared" ca="1" si="0"/>
        <v>8.2721810207336759</v>
      </c>
      <c r="BJ39" s="27">
        <f t="shared" ca="1" si="21"/>
        <v>8.4927778943360082</v>
      </c>
      <c r="BL39" s="41">
        <f t="shared" si="18"/>
        <v>442.5</v>
      </c>
      <c r="BM39" s="41">
        <f t="shared" si="19"/>
        <v>100.38272727272728</v>
      </c>
    </row>
    <row r="40" spans="2:65" x14ac:dyDescent="0.3">
      <c r="B40" s="17" t="str">
        <f t="shared" si="1"/>
        <v>20242</v>
      </c>
      <c r="C40" s="17">
        <f t="shared" si="20"/>
        <v>45323</v>
      </c>
      <c r="D40" s="19">
        <f ca="1">IFERROR(AVERAGEIF('Preço Soja ESALQ'!$C:$C,'Modelo Soja'!$B40,'Preço Soja ESALQ'!$R:$R),NA())</f>
        <v>102.12631578947367</v>
      </c>
      <c r="E40" s="19">
        <f ca="1">IFERROR(AVERAGEIF('Preço Soja ESALQ'!$C:$C,'Modelo Soja'!$B40,'Preço Soja ESALQ'!S:S),NA())</f>
        <v>90.709473684210522</v>
      </c>
      <c r="F40" s="19">
        <f ca="1">IFERROR(AVERAGEIF('Preço Soja ESALQ'!$C:$C,'Modelo Soja'!$B40,'Preço Soja ESALQ'!T:T),NA())</f>
        <v>101.49473684210528</v>
      </c>
      <c r="G40" s="19" t="e">
        <f ca="1">IFERROR(AVERAGEIF('Preço Soja ESALQ'!$C:$C,'Modelo Soja'!$B40,'Preço Soja ESALQ'!U:U),NA())</f>
        <v>#N/A</v>
      </c>
      <c r="H40" s="19">
        <f ca="1">IFERROR(AVERAGEIF('Preço Soja ESALQ'!$C:$C,'Modelo Soja'!$B40,'Preço Soja ESALQ'!V:V),NA())</f>
        <v>101.40526315789474</v>
      </c>
      <c r="I40" s="19">
        <f ca="1">IFERROR(AVERAGEIF('Preço Soja ESALQ'!$C:$C,'Modelo Soja'!$B40,'Preço Soja ESALQ'!W:W),NA())</f>
        <v>105.38000000000001</v>
      </c>
      <c r="J40" s="19">
        <f ca="1">IFERROR(AVERAGEIF('Preço Soja ESALQ'!$C:$C,'Modelo Soja'!$B40,'Preço Soja ESALQ'!X:X),NA())</f>
        <v>109.81894736842105</v>
      </c>
      <c r="K40" s="19">
        <f ca="1">IFERROR(AVERAGEIF('Preço Soja ESALQ'!$C:$C,'Modelo Soja'!$B40,'Preço Soja ESALQ'!Y:Y),NA())</f>
        <v>103.48526315789475</v>
      </c>
      <c r="L40" s="19">
        <f ca="1">IFERROR(AVERAGEIF('Preço Soja ESALQ'!$C:$C,'Modelo Soja'!$B40,'Preço Soja ESALQ'!Z:Z),NA())</f>
        <v>103.85631578947373</v>
      </c>
      <c r="M40" s="19">
        <f ca="1">IFERROR(AVERAGEIF('Preço Soja ESALQ'!$C:$C,'Modelo Soja'!$B40,'Preço Soja ESALQ'!AA:AA),NA())</f>
        <v>104.0042105263158</v>
      </c>
      <c r="N40" s="19">
        <f ca="1">IFERROR(AVERAGEIF('Preço Soja ESALQ'!$C:$C,'Modelo Soja'!$B40,'Preço Soja ESALQ'!AB:AB),NA())</f>
        <v>109.71157894736842</v>
      </c>
      <c r="O40" s="19" t="e">
        <f ca="1">IFERROR(AVERAGEIF('Preço Soja ESALQ'!$C:$C,'Modelo Soja'!$B40,'Preço Soja ESALQ'!AC:AC),NA())</f>
        <v>#N/A</v>
      </c>
      <c r="P40" s="19" t="e">
        <f ca="1">IFERROR(AVERAGEIF('Preço Soja ESALQ'!$C:$C,'Modelo Soja'!$B40,'Preço Soja ESALQ'!AD:AD),NA())</f>
        <v>#N/A</v>
      </c>
      <c r="Q40" s="19">
        <f ca="1">IFERROR(AVERAGEIF('Preço Soja ESALQ'!$C:$C,'Modelo Soja'!$B40,'Preço Soja ESALQ'!BI:BI),NA())</f>
        <v>111.90263157894738</v>
      </c>
      <c r="R40" s="19">
        <f ca="1">IFERROR(AVERAGEIF('Preço Soja ESALQ'!$C:$C,'Modelo Soja'!$B40,'Preço Soja ESALQ'!BK:BK),NA())</f>
        <v>94.602222222222224</v>
      </c>
      <c r="S40" s="19">
        <f ca="1">IFERROR(AVERAGEIF('Preço Soja ESALQ'!$C:$C,'Modelo Soja'!$B40,'Preço Soja ESALQ'!BL:BL),NA())</f>
        <v>95.903684210526293</v>
      </c>
      <c r="T40" s="19" t="e">
        <f ca="1">IFERROR(AVERAGEIF('Preço Soja ESALQ'!$C:$C,'Modelo Soja'!$B40,'Preço Soja ESALQ'!BM:BM),NA())</f>
        <v>#N/A</v>
      </c>
      <c r="U40" s="19">
        <f ca="1">IFERROR(AVERAGEIF('Preço Soja ESALQ'!$C:$C,'Modelo Soja'!$B40,'Preço Soja ESALQ'!BN:BN),NA())</f>
        <v>95.056842105263144</v>
      </c>
      <c r="AA40" s="19">
        <f ca="1">IFERROR(AVERAGEIF('Preço Soja ESALQ'!$C:$C,'Modelo Soja'!$B40,'Preço Soja ESALQ'!BA:BA),NA())</f>
        <v>101.04578947368422</v>
      </c>
      <c r="AB40" s="19">
        <f ca="1">IFERROR(AVERAGEIF('Preço Soja ESALQ'!$C:$C,'Modelo Soja'!$B40,'Preço Soja ESALQ'!BB:BB),NA())</f>
        <v>113.38526315789474</v>
      </c>
      <c r="AC40" s="19">
        <f ca="1">IFERROR(AVERAGEIF('Preço Soja ESALQ'!$C:$C,'Modelo Soja'!$B40,'Preço Soja ESALQ'!BC:BC),NA())</f>
        <v>108.88894736842104</v>
      </c>
      <c r="AD40" s="19">
        <f ca="1">IFERROR(AVERAGEIF('Preço Soja ESALQ'!$C:$C,'Modelo Soja'!$B40,'Preço Soja ESALQ'!BD:BD),NA())</f>
        <v>109.43789473684211</v>
      </c>
      <c r="AE40" s="19">
        <f ca="1">IFERROR(AVERAGEIF('Preço Soja ESALQ'!$C:$C,'Modelo Soja'!$B40,'Preço Soja ESALQ'!BE:BE),NA())</f>
        <v>107.14526315789473</v>
      </c>
      <c r="AF40" s="19">
        <f ca="1">IFERROR(AVERAGEIF('Preço Soja ESALQ'!$C:$C,'Modelo Soja'!$B40,'Preço Soja ESALQ'!BF:BF),NA())</f>
        <v>105.70736842105264</v>
      </c>
      <c r="AG40" s="19">
        <f ca="1">IFERROR(AVERAGEIF('Preço Soja ESALQ'!$C:$C,'Modelo Soja'!$B40,'Preço Soja ESALQ'!BG:BG),NA())</f>
        <v>115.6868421052632</v>
      </c>
      <c r="AH40" s="19">
        <f ca="1">IFERROR(AVERAGEIF('Preço Soja ESALQ'!$C:$C,'Modelo Soja'!$B40,'Preço Soja ESALQ'!AE:AE),NA())</f>
        <v>115.30736842105264</v>
      </c>
      <c r="AI40" s="19">
        <f ca="1">IFERROR(AVERAGEIF('Preço Soja ESALQ'!$C:$C,'Modelo Soja'!$B40,'Preço Soja ESALQ'!AF:AF),NA())</f>
        <v>107.60631578947367</v>
      </c>
      <c r="AJ40" s="24">
        <f>+[2]summary!C52</f>
        <v>117.63526315789473</v>
      </c>
      <c r="AK40" s="24">
        <f t="shared" ca="1" si="2"/>
        <v>96.319472790773219</v>
      </c>
      <c r="AL40" s="24"/>
      <c r="AN40" s="24">
        <f>+[6]FSORPRA!H39</f>
        <v>440.625</v>
      </c>
      <c r="AO40" s="24">
        <f>+[6]FRONPRA!H39</f>
        <v>317.5</v>
      </c>
      <c r="AP40" s="24">
        <f>VLOOKUP(B40,'Frete ESALQ'!$C$5:$AL$131,36,FALSE)</f>
        <v>149.99</v>
      </c>
      <c r="AQ40" s="24">
        <f>VLOOKUP(B40,'Frete ESALQ'!$C$5:$AW$131,47,FALSE)</f>
        <v>133.5</v>
      </c>
      <c r="AR40" s="24">
        <f>VLOOKUP(B40,'Frete ESALQ'!$C$5:$BH$131,58,FALSE)</f>
        <v>141.66999999999999</v>
      </c>
      <c r="AS40" s="24">
        <f>VLOOKUP(B40,'Frete ESALQ'!$C$5:$BH$131,32,FALSE)</f>
        <v>141.66999999999999</v>
      </c>
      <c r="AT40" s="24">
        <f t="shared" si="3"/>
        <v>91.197763157894727</v>
      </c>
      <c r="AU40" s="24">
        <f t="shared" si="4"/>
        <v>98.58526315789473</v>
      </c>
      <c r="AV40" s="24">
        <f t="shared" si="5"/>
        <v>108.63586315789473</v>
      </c>
      <c r="AW40" s="24">
        <f t="shared" si="6"/>
        <v>109.62526315789472</v>
      </c>
      <c r="AX40" s="24">
        <f t="shared" ca="1" si="7"/>
        <v>107.18664210526319</v>
      </c>
      <c r="AY40" s="24">
        <f t="shared" ca="1" si="8"/>
        <v>106.80716842105264</v>
      </c>
      <c r="AZ40">
        <f t="shared" si="9"/>
        <v>2</v>
      </c>
      <c r="BA40" s="17">
        <f t="shared" si="10"/>
        <v>45323</v>
      </c>
      <c r="BB40" s="22">
        <f t="shared" ca="1" si="11"/>
        <v>8.0052631578947313</v>
      </c>
      <c r="BC40" s="22">
        <f t="shared" ca="1" si="12"/>
        <v>5.4036842105262934</v>
      </c>
      <c r="BD40" s="22">
        <f t="shared" ca="1" si="13"/>
        <v>3.1410526315789298</v>
      </c>
      <c r="BE40" s="22">
        <f t="shared" ca="1" si="14"/>
        <v>3.5810526315789701</v>
      </c>
      <c r="BF40" s="22">
        <f t="shared" ca="1" si="15"/>
        <v>5.488421052631594</v>
      </c>
      <c r="BG40" s="22">
        <f t="shared" ca="1" si="16"/>
        <v>5.9752631578947728</v>
      </c>
      <c r="BH40" s="25">
        <f t="shared" ca="1" si="0"/>
        <v>5.2657894736842152</v>
      </c>
      <c r="BJ40" s="27">
        <f t="shared" ca="1" si="21"/>
        <v>5.6099991065627028</v>
      </c>
      <c r="BL40" s="41">
        <f t="shared" si="18"/>
        <v>430.625</v>
      </c>
      <c r="BM40" s="41">
        <f t="shared" si="19"/>
        <v>91.797763157894735</v>
      </c>
    </row>
    <row r="41" spans="2:65" x14ac:dyDescent="0.3">
      <c r="B41" s="17" t="str">
        <f t="shared" si="1"/>
        <v>20243</v>
      </c>
      <c r="C41" s="17">
        <f t="shared" si="20"/>
        <v>45352</v>
      </c>
      <c r="D41" s="19">
        <f ca="1">IFERROR(AVERAGEIF('Preço Soja ESALQ'!$C:$C,'Modelo Soja'!$B41,'Preço Soja ESALQ'!$R:$R),NA())</f>
        <v>106.60300000000002</v>
      </c>
      <c r="E41" s="19">
        <f ca="1">IFERROR(AVERAGEIF('Preço Soja ESALQ'!$C:$C,'Modelo Soja'!$B41,'Preço Soja ESALQ'!S:S),NA())</f>
        <v>98.167999999999978</v>
      </c>
      <c r="F41" s="19">
        <f ca="1">IFERROR(AVERAGEIF('Preço Soja ESALQ'!$C:$C,'Modelo Soja'!$B41,'Preço Soja ESALQ'!T:T),NA())</f>
        <v>106.28599999999999</v>
      </c>
      <c r="G41" s="19" t="e">
        <f ca="1">IFERROR(AVERAGEIF('Preço Soja ESALQ'!$C:$C,'Modelo Soja'!$B41,'Preço Soja ESALQ'!U:U),NA())</f>
        <v>#N/A</v>
      </c>
      <c r="H41" s="19">
        <f ca="1">IFERROR(AVERAGEIF('Preço Soja ESALQ'!$C:$C,'Modelo Soja'!$B41,'Preço Soja ESALQ'!V:V),NA())</f>
        <v>104.6895</v>
      </c>
      <c r="I41" s="19">
        <f ca="1">IFERROR(AVERAGEIF('Preço Soja ESALQ'!$C:$C,'Modelo Soja'!$B41,'Preço Soja ESALQ'!W:W),NA())</f>
        <v>108.85049999999998</v>
      </c>
      <c r="J41" s="19">
        <f ca="1">IFERROR(AVERAGEIF('Preço Soja ESALQ'!$C:$C,'Modelo Soja'!$B41,'Preço Soja ESALQ'!X:X),NA())</f>
        <v>110.65799999999999</v>
      </c>
      <c r="K41" s="19">
        <f ca="1">IFERROR(AVERAGEIF('Preço Soja ESALQ'!$C:$C,'Modelo Soja'!$B41,'Preço Soja ESALQ'!Y:Y),NA())</f>
        <v>104.76699999999998</v>
      </c>
      <c r="L41" s="19">
        <f ca="1">IFERROR(AVERAGEIF('Preço Soja ESALQ'!$C:$C,'Modelo Soja'!$B41,'Preço Soja ESALQ'!Z:Z),NA())</f>
        <v>104.97250000000001</v>
      </c>
      <c r="M41" s="19">
        <f ca="1">IFERROR(AVERAGEIF('Preço Soja ESALQ'!$C:$C,'Modelo Soja'!$B41,'Preço Soja ESALQ'!AA:AA),NA())</f>
        <v>108.33099999999999</v>
      </c>
      <c r="N41" s="19">
        <f ca="1">IFERROR(AVERAGEIF('Preço Soja ESALQ'!$C:$C,'Modelo Soja'!$B41,'Preço Soja ESALQ'!AB:AB),NA())</f>
        <v>110.27049999999997</v>
      </c>
      <c r="O41" s="19">
        <f ca="1">IFERROR(AVERAGEIF('Preço Soja ESALQ'!$C:$C,'Modelo Soja'!$B41,'Preço Soja ESALQ'!AC:AC),NA())</f>
        <v>105.73117647058824</v>
      </c>
      <c r="P41" s="19" t="e">
        <f ca="1">IFERROR(AVERAGEIF('Preço Soja ESALQ'!$C:$C,'Modelo Soja'!$B41,'Preço Soja ESALQ'!AD:AD),NA())</f>
        <v>#N/A</v>
      </c>
      <c r="Q41" s="19">
        <f ca="1">IFERROR(AVERAGEIF('Preço Soja ESALQ'!$C:$C,'Modelo Soja'!$B41,'Preço Soja ESALQ'!BI:BI),NA())</f>
        <v>112.20650000000003</v>
      </c>
      <c r="R41" s="19">
        <f ca="1">IFERROR(AVERAGEIF('Preço Soja ESALQ'!$C:$C,'Modelo Soja'!$B41,'Preço Soja ESALQ'!BK:BK),NA())</f>
        <v>101.43400000000001</v>
      </c>
      <c r="S41" s="19">
        <f ca="1">IFERROR(AVERAGEIF('Preço Soja ESALQ'!$C:$C,'Modelo Soja'!$B41,'Preço Soja ESALQ'!BL:BL),NA())</f>
        <v>100.297</v>
      </c>
      <c r="T41" s="19" t="e">
        <f ca="1">IFERROR(AVERAGEIF('Preço Soja ESALQ'!$C:$C,'Modelo Soja'!$B41,'Preço Soja ESALQ'!BM:BM),NA())</f>
        <v>#N/A</v>
      </c>
      <c r="U41" s="19">
        <f ca="1">IFERROR(AVERAGEIF('Preço Soja ESALQ'!$C:$C,'Modelo Soja'!$B41,'Preço Soja ESALQ'!BN:BN),NA())</f>
        <v>99.437999999999974</v>
      </c>
      <c r="AA41" s="19">
        <f ca="1">IFERROR(AVERAGEIF('Preço Soja ESALQ'!$C:$C,'Modelo Soja'!$B41,'Preço Soja ESALQ'!BA:BA),NA())</f>
        <v>107.2375</v>
      </c>
      <c r="AB41" s="19">
        <f ca="1">IFERROR(AVERAGEIF('Preço Soja ESALQ'!$C:$C,'Modelo Soja'!$B41,'Preço Soja ESALQ'!BB:BB),NA())</f>
        <v>118.40349999999998</v>
      </c>
      <c r="AC41" s="19">
        <f ca="1">IFERROR(AVERAGEIF('Preço Soja ESALQ'!$C:$C,'Modelo Soja'!$B41,'Preço Soja ESALQ'!BC:BC),NA())</f>
        <v>113.92849999999999</v>
      </c>
      <c r="AD41" s="19">
        <f ca="1">IFERROR(AVERAGEIF('Preço Soja ESALQ'!$C:$C,'Modelo Soja'!$B41,'Preço Soja ESALQ'!BD:BD),NA())</f>
        <v>115.9365</v>
      </c>
      <c r="AE41" s="19">
        <f ca="1">IFERROR(AVERAGEIF('Preço Soja ESALQ'!$C:$C,'Modelo Soja'!$B41,'Preço Soja ESALQ'!BE:BE),NA())</f>
        <v>111.50949999999997</v>
      </c>
      <c r="AF41" s="19">
        <f ca="1">IFERROR(AVERAGEIF('Preço Soja ESALQ'!$C:$C,'Modelo Soja'!$B41,'Preço Soja ESALQ'!BF:BF),NA())</f>
        <v>109.992</v>
      </c>
      <c r="AG41" s="19">
        <f ca="1">IFERROR(AVERAGEIF('Preço Soja ESALQ'!$C:$C,'Modelo Soja'!$B41,'Preço Soja ESALQ'!BG:BG),NA())</f>
        <v>115.545</v>
      </c>
      <c r="AH41" s="19">
        <f ca="1">IFERROR(AVERAGEIF('Preço Soja ESALQ'!$C:$C,'Modelo Soja'!$B41,'Preço Soja ESALQ'!AE:AE),NA())</f>
        <v>114.752</v>
      </c>
      <c r="AI41" s="19">
        <f ca="1">IFERROR(AVERAGEIF('Preço Soja ESALQ'!$C:$C,'Modelo Soja'!$B41,'Preço Soja ESALQ'!AF:AF),NA())</f>
        <v>112.79750000000001</v>
      </c>
      <c r="AJ41" s="24">
        <f>+[2]summary!C53</f>
        <v>121.90649999999998</v>
      </c>
      <c r="AK41" s="24">
        <f t="shared" ca="1" si="2"/>
        <v>102.90133354582105</v>
      </c>
      <c r="AL41" s="24"/>
      <c r="AN41" s="24">
        <f>+[6]FSORPRA!H40</f>
        <v>401</v>
      </c>
      <c r="AO41" s="24">
        <f>+[6]FRONPRA!H40</f>
        <v>300</v>
      </c>
      <c r="AP41" s="24">
        <f>VLOOKUP(B41,'Frete ESALQ'!$C$5:$AL$131,36,FALSE)</f>
        <v>145.56</v>
      </c>
      <c r="AQ41" s="24">
        <f>VLOOKUP(B41,'Frete ESALQ'!$C$5:$AW$131,47,FALSE)</f>
        <v>132.24</v>
      </c>
      <c r="AR41" s="24">
        <f>VLOOKUP(B41,'Frete ESALQ'!$C$5:$BH$131,58,FALSE)</f>
        <v>122.68</v>
      </c>
      <c r="AS41" s="24">
        <f>VLOOKUP(B41,'Frete ESALQ'!$C$5:$BH$131,32,FALSE)</f>
        <v>140.63</v>
      </c>
      <c r="AT41" s="24">
        <f t="shared" si="3"/>
        <v>97.846499999999978</v>
      </c>
      <c r="AU41" s="24">
        <f t="shared" si="4"/>
        <v>103.90649999999998</v>
      </c>
      <c r="AV41" s="24">
        <f t="shared" si="5"/>
        <v>113.17289999999998</v>
      </c>
      <c r="AW41" s="24">
        <f t="shared" si="6"/>
        <v>113.97209999999998</v>
      </c>
      <c r="AX41" s="24">
        <f t="shared" ca="1" si="7"/>
        <v>108.1842</v>
      </c>
      <c r="AY41" s="24">
        <f t="shared" ca="1" si="8"/>
        <v>106.3142</v>
      </c>
      <c r="AZ41">
        <f t="shared" si="9"/>
        <v>3</v>
      </c>
      <c r="BA41" s="17">
        <f t="shared" si="10"/>
        <v>45352</v>
      </c>
      <c r="BB41" s="22">
        <f t="shared" ca="1" si="11"/>
        <v>9.5529999999999973</v>
      </c>
      <c r="BC41" s="22">
        <f t="shared" ca="1" si="12"/>
        <v>9.1615000000000038</v>
      </c>
      <c r="BD41" s="22">
        <f t="shared" ca="1" si="13"/>
        <v>3.1784999999999854</v>
      </c>
      <c r="BE41" s="22">
        <f t="shared" ca="1" si="14"/>
        <v>3.3889999999999816</v>
      </c>
      <c r="BF41" s="22">
        <f t="shared" ca="1" si="15"/>
        <v>4.0940000000000083</v>
      </c>
      <c r="BG41" s="22">
        <f t="shared" ca="1" si="16"/>
        <v>5.2745000000000317</v>
      </c>
      <c r="BH41" s="25">
        <f t="shared" ca="1" si="0"/>
        <v>5.7750833333333347</v>
      </c>
      <c r="BJ41" s="27">
        <f t="shared" ca="1" si="21"/>
        <v>4.7333335458210737</v>
      </c>
      <c r="BL41" s="41">
        <f t="shared" si="18"/>
        <v>391</v>
      </c>
      <c r="BM41" s="41">
        <f t="shared" si="19"/>
        <v>98.446499999999986</v>
      </c>
    </row>
    <row r="42" spans="2:65" x14ac:dyDescent="0.3">
      <c r="B42" s="17" t="str">
        <f t="shared" si="1"/>
        <v>20244</v>
      </c>
      <c r="C42" s="17">
        <f t="shared" si="20"/>
        <v>45383</v>
      </c>
      <c r="D42" s="19">
        <f ca="1">IFERROR(AVERAGEIF('Preço Soja ESALQ'!$C:$C,'Modelo Soja'!$B42,'Preço Soja ESALQ'!$R:$R),NA())</f>
        <v>110.38000000000001</v>
      </c>
      <c r="E42" s="19">
        <f ca="1">IFERROR(AVERAGEIF('Preço Soja ESALQ'!$C:$C,'Modelo Soja'!$B42,'Preço Soja ESALQ'!S:S),NA())</f>
        <v>103.40590909090906</v>
      </c>
      <c r="F42" s="19">
        <f ca="1">IFERROR(AVERAGEIF('Preço Soja ESALQ'!$C:$C,'Modelo Soja'!$B42,'Preço Soja ESALQ'!T:T),NA())</f>
        <v>111.76136363636361</v>
      </c>
      <c r="G42" s="19" t="e">
        <f ca="1">IFERROR(AVERAGEIF('Preço Soja ESALQ'!$C:$C,'Modelo Soja'!$B42,'Preço Soja ESALQ'!U:U),NA())</f>
        <v>#N/A</v>
      </c>
      <c r="H42" s="19">
        <f ca="1">IFERROR(AVERAGEIF('Preço Soja ESALQ'!$C:$C,'Modelo Soja'!$B42,'Preço Soja ESALQ'!V:V),NA())</f>
        <v>109.58954545454544</v>
      </c>
      <c r="I42" s="19">
        <f ca="1">IFERROR(AVERAGEIF('Preço Soja ESALQ'!$C:$C,'Modelo Soja'!$B42,'Preço Soja ESALQ'!W:W),NA())</f>
        <v>114.96545454545453</v>
      </c>
      <c r="J42" s="19">
        <f ca="1">IFERROR(AVERAGEIF('Preço Soja ESALQ'!$C:$C,'Modelo Soja'!$B42,'Preço Soja ESALQ'!X:X),NA())</f>
        <v>118.39318181818179</v>
      </c>
      <c r="K42" s="19">
        <f ca="1">IFERROR(AVERAGEIF('Preço Soja ESALQ'!$C:$C,'Modelo Soja'!$B42,'Preço Soja ESALQ'!Y:Y),NA())</f>
        <v>110.47590909090906</v>
      </c>
      <c r="L42" s="19">
        <f ca="1">IFERROR(AVERAGEIF('Preço Soja ESALQ'!$C:$C,'Modelo Soja'!$B42,'Preço Soja ESALQ'!Z:Z),NA())</f>
        <v>110.75045454545456</v>
      </c>
      <c r="M42" s="19">
        <f ca="1">IFERROR(AVERAGEIF('Preço Soja ESALQ'!$C:$C,'Modelo Soja'!$B42,'Preço Soja ESALQ'!AA:AA),NA())</f>
        <v>112.34909090909095</v>
      </c>
      <c r="N42" s="19">
        <f ca="1">IFERROR(AVERAGEIF('Preço Soja ESALQ'!$C:$C,'Modelo Soja'!$B42,'Preço Soja ESALQ'!AB:AB),NA())</f>
        <v>118.47727272727273</v>
      </c>
      <c r="O42" s="19">
        <f ca="1">IFERROR(AVERAGEIF('Preço Soja ESALQ'!$C:$C,'Modelo Soja'!$B42,'Preço Soja ESALQ'!AC:AC),NA())</f>
        <v>108.18136363636364</v>
      </c>
      <c r="P42" s="19" t="e">
        <f ca="1">IFERROR(AVERAGEIF('Preço Soja ESALQ'!$C:$C,'Modelo Soja'!$B42,'Preço Soja ESALQ'!AD:AD),NA())</f>
        <v>#N/A</v>
      </c>
      <c r="Q42" s="19">
        <f ca="1">IFERROR(AVERAGEIF('Preço Soja ESALQ'!$C:$C,'Modelo Soja'!$B42,'Preço Soja ESALQ'!BI:BI),NA())</f>
        <v>118.73454545454541</v>
      </c>
      <c r="R42" s="19">
        <f ca="1">IFERROR(AVERAGEIF('Preço Soja ESALQ'!$C:$C,'Modelo Soja'!$B42,'Preço Soja ESALQ'!BK:BK),NA())</f>
        <v>107.2240909090909</v>
      </c>
      <c r="S42" s="19">
        <f ca="1">IFERROR(AVERAGEIF('Preço Soja ESALQ'!$C:$C,'Modelo Soja'!$B42,'Preço Soja ESALQ'!BL:BL),NA())</f>
        <v>106.62772727272727</v>
      </c>
      <c r="T42" s="19" t="e">
        <f ca="1">IFERROR(AVERAGEIF('Preço Soja ESALQ'!$C:$C,'Modelo Soja'!$B42,'Preço Soja ESALQ'!BM:BM),NA())</f>
        <v>#N/A</v>
      </c>
      <c r="U42" s="19">
        <f ca="1">IFERROR(AVERAGEIF('Preço Soja ESALQ'!$C:$C,'Modelo Soja'!$B42,'Preço Soja ESALQ'!BN:BN),NA())</f>
        <v>106.08545454545455</v>
      </c>
      <c r="AA42" s="19">
        <f ca="1">IFERROR(AVERAGEIF('Preço Soja ESALQ'!$C:$C,'Modelo Soja'!$B42,'Preço Soja ESALQ'!BA:BA),NA())</f>
        <v>112.84045454545453</v>
      </c>
      <c r="AB42" s="19">
        <f ca="1">IFERROR(AVERAGEIF('Preço Soja ESALQ'!$C:$C,'Modelo Soja'!$B42,'Preço Soja ESALQ'!BB:BB),NA())</f>
        <v>123.43636363636364</v>
      </c>
      <c r="AC42" s="19">
        <f ca="1">IFERROR(AVERAGEIF('Preço Soja ESALQ'!$C:$C,'Modelo Soja'!$B42,'Preço Soja ESALQ'!BC:BC),NA())</f>
        <v>119.8459090909091</v>
      </c>
      <c r="AD42" s="19">
        <f ca="1">IFERROR(AVERAGEIF('Preço Soja ESALQ'!$C:$C,'Modelo Soja'!$B42,'Preço Soja ESALQ'!BD:BD),NA())</f>
        <v>121.41818181818181</v>
      </c>
      <c r="AE42" s="19">
        <f ca="1">IFERROR(AVERAGEIF('Preço Soja ESALQ'!$C:$C,'Modelo Soja'!$B42,'Preço Soja ESALQ'!BE:BE),NA())</f>
        <v>114.93227272727276</v>
      </c>
      <c r="AF42" s="19">
        <f ca="1">IFERROR(AVERAGEIF('Preço Soja ESALQ'!$C:$C,'Modelo Soja'!$B42,'Preço Soja ESALQ'!BF:BF),NA())</f>
        <v>115.60318181818184</v>
      </c>
      <c r="AG42" s="19">
        <f ca="1">IFERROR(AVERAGEIF('Preço Soja ESALQ'!$C:$C,'Modelo Soja'!$B42,'Preço Soja ESALQ'!BG:BG),NA())</f>
        <v>121.22681818181817</v>
      </c>
      <c r="AH42" s="19">
        <f ca="1">IFERROR(AVERAGEIF('Preço Soja ESALQ'!$C:$C,'Modelo Soja'!$B42,'Preço Soja ESALQ'!AE:AE),NA())</f>
        <v>121.60863636363636</v>
      </c>
      <c r="AI42" s="19">
        <f ca="1">IFERROR(AVERAGEIF('Preço Soja ESALQ'!$C:$C,'Modelo Soja'!$B42,'Preço Soja ESALQ'!AF:AF),NA())</f>
        <v>118.68590909090909</v>
      </c>
      <c r="AJ42" s="24">
        <f>+[2]summary!C54</f>
        <v>126.79363636363638</v>
      </c>
      <c r="AK42" s="24">
        <f t="shared" ca="1" si="2"/>
        <v>108.81481018961543</v>
      </c>
      <c r="AL42" s="24"/>
      <c r="AN42" s="24">
        <f>+[6]FSORPRA!H41</f>
        <v>403.75</v>
      </c>
      <c r="AO42" s="24">
        <f>+[6]FRONPRA!H41</f>
        <v>306.25</v>
      </c>
      <c r="AP42" s="24">
        <f>VLOOKUP(B42,'Frete ESALQ'!$C$5:$AL$131,36,FALSE)</f>
        <v>122.5</v>
      </c>
      <c r="AQ42" s="24">
        <f>VLOOKUP(B42,'Frete ESALQ'!$C$5:$AW$131,47,FALSE)</f>
        <v>117.45</v>
      </c>
      <c r="AR42" s="24">
        <f>VLOOKUP(B42,'Frete ESALQ'!$C$5:$BH$131,58,FALSE)</f>
        <v>124.29</v>
      </c>
      <c r="AS42" s="24">
        <f>VLOOKUP(B42,'Frete ESALQ'!$C$5:$BH$131,32,FALSE)</f>
        <v>136.5</v>
      </c>
      <c r="AT42" s="24">
        <f t="shared" si="3"/>
        <v>102.56863636363639</v>
      </c>
      <c r="AU42" s="24">
        <f t="shared" si="4"/>
        <v>108.41863636363638</v>
      </c>
      <c r="AV42" s="24">
        <f t="shared" si="5"/>
        <v>119.44363636363639</v>
      </c>
      <c r="AW42" s="24">
        <f t="shared" si="6"/>
        <v>119.74663636363638</v>
      </c>
      <c r="AX42" s="24">
        <f t="shared" ca="1" si="7"/>
        <v>113.76941818181817</v>
      </c>
      <c r="AY42" s="24">
        <f t="shared" ca="1" si="8"/>
        <v>113.41863636363637</v>
      </c>
      <c r="AZ42">
        <f t="shared" si="9"/>
        <v>4</v>
      </c>
      <c r="BA42" s="17">
        <f t="shared" si="10"/>
        <v>45383</v>
      </c>
      <c r="BB42" s="22">
        <f t="shared" ca="1" si="11"/>
        <v>8.4709090909091032</v>
      </c>
      <c r="BC42" s="22">
        <f t="shared" ca="1" si="12"/>
        <v>9.3700000000000472</v>
      </c>
      <c r="BD42" s="22">
        <f t="shared" ca="1" si="13"/>
        <v>2.5831818181818136</v>
      </c>
      <c r="BE42" s="22">
        <f t="shared" ca="1" si="14"/>
        <v>5.2231818181818284</v>
      </c>
      <c r="BF42" s="22">
        <f t="shared" ca="1" si="15"/>
        <v>3.2154545454545769</v>
      </c>
      <c r="BG42" s="22">
        <f t="shared" ca="1" si="16"/>
        <v>2.7495454545454407</v>
      </c>
      <c r="BH42" s="25">
        <f t="shared" ca="1" si="0"/>
        <v>5.2687121212121353</v>
      </c>
      <c r="BJ42" s="27">
        <f t="shared" ca="1" si="21"/>
        <v>5.4089010987063633</v>
      </c>
      <c r="BL42" s="41">
        <f t="shared" si="18"/>
        <v>393.75</v>
      </c>
      <c r="BM42" s="41">
        <f t="shared" si="19"/>
        <v>103.16863636363638</v>
      </c>
    </row>
    <row r="43" spans="2:65" x14ac:dyDescent="0.3">
      <c r="B43" s="17" t="str">
        <f t="shared" si="1"/>
        <v>20245</v>
      </c>
      <c r="C43" s="17">
        <f t="shared" si="20"/>
        <v>45413</v>
      </c>
      <c r="D43" s="19">
        <f ca="1">IFERROR(AVERAGEIF('Preço Soja ESALQ'!$C:$C,'Modelo Soja'!$B43,'Preço Soja ESALQ'!$R:$R),NA())</f>
        <v>117.62571428571428</v>
      </c>
      <c r="E43" s="19">
        <f ca="1">IFERROR(AVERAGEIF('Preço Soja ESALQ'!$C:$C,'Modelo Soja'!$B43,'Preço Soja ESALQ'!S:S),NA())</f>
        <v>107.47952380952384</v>
      </c>
      <c r="F43" s="19">
        <f ca="1">IFERROR(AVERAGEIF('Preço Soja ESALQ'!$C:$C,'Modelo Soja'!$B43,'Preço Soja ESALQ'!T:T),NA())</f>
        <v>119.66190476190475</v>
      </c>
      <c r="G43" s="19" t="e">
        <f ca="1">IFERROR(AVERAGEIF('Preço Soja ESALQ'!$C:$C,'Modelo Soja'!$B43,'Preço Soja ESALQ'!U:U),NA())</f>
        <v>#N/A</v>
      </c>
      <c r="H43" s="19">
        <f ca="1">IFERROR(AVERAGEIF('Preço Soja ESALQ'!$C:$C,'Modelo Soja'!$B43,'Preço Soja ESALQ'!V:V),NA())</f>
        <v>114.8890476190476</v>
      </c>
      <c r="I43" s="19">
        <f ca="1">IFERROR(AVERAGEIF('Preço Soja ESALQ'!$C:$C,'Modelo Soja'!$B43,'Preço Soja ESALQ'!W:W),NA())</f>
        <v>121.13</v>
      </c>
      <c r="J43" s="19">
        <f ca="1">IFERROR(AVERAGEIF('Preço Soja ESALQ'!$C:$C,'Modelo Soja'!$B43,'Preço Soja ESALQ'!X:X),NA())</f>
        <v>119.93857142857145</v>
      </c>
      <c r="K43" s="19">
        <f ca="1">IFERROR(AVERAGEIF('Preço Soja ESALQ'!$C:$C,'Modelo Soja'!$B43,'Preço Soja ESALQ'!Y:Y),NA())</f>
        <v>117.65619047619046</v>
      </c>
      <c r="L43" s="19">
        <f ca="1">IFERROR(AVERAGEIF('Preço Soja ESALQ'!$C:$C,'Modelo Soja'!$B43,'Preço Soja ESALQ'!Z:Z),NA())</f>
        <v>118.10619047619045</v>
      </c>
      <c r="M43" s="19">
        <f ca="1">IFERROR(AVERAGEIF('Preço Soja ESALQ'!$C:$C,'Modelo Soja'!$B43,'Preço Soja ESALQ'!AA:AA),NA())</f>
        <v>119.48333333333332</v>
      </c>
      <c r="N43" s="19">
        <f ca="1">IFERROR(AVERAGEIF('Preço Soja ESALQ'!$C:$C,'Modelo Soja'!$B43,'Preço Soja ESALQ'!AB:AB),NA())</f>
        <v>120.3847619047619</v>
      </c>
      <c r="O43" s="19">
        <f ca="1">IFERROR(AVERAGEIF('Preço Soja ESALQ'!$C:$C,'Modelo Soja'!$B43,'Preço Soja ESALQ'!AC:AC),NA())</f>
        <v>114.1552380952381</v>
      </c>
      <c r="P43" s="19" t="e">
        <f ca="1">IFERROR(AVERAGEIF('Preço Soja ESALQ'!$C:$C,'Modelo Soja'!$B43,'Preço Soja ESALQ'!AD:AD),NA())</f>
        <v>#N/A</v>
      </c>
      <c r="Q43" s="19">
        <f ca="1">IFERROR(AVERAGEIF('Preço Soja ESALQ'!$C:$C,'Modelo Soja'!$B43,'Preço Soja ESALQ'!BI:BI),NA())</f>
        <v>123.19619047619045</v>
      </c>
      <c r="R43" s="19">
        <f ca="1">IFERROR(AVERAGEIF('Preço Soja ESALQ'!$C:$C,'Modelo Soja'!$B43,'Preço Soja ESALQ'!BK:BK),NA())</f>
        <v>112.44714285714281</v>
      </c>
      <c r="S43" s="19">
        <f ca="1">IFERROR(AVERAGEIF('Preço Soja ESALQ'!$C:$C,'Modelo Soja'!$B43,'Preço Soja ESALQ'!BL:BL),NA())</f>
        <v>113.45380952380951</v>
      </c>
      <c r="T43" s="19" t="e">
        <f ca="1">IFERROR(AVERAGEIF('Preço Soja ESALQ'!$C:$C,'Modelo Soja'!$B43,'Preço Soja ESALQ'!BM:BM),NA())</f>
        <v>#N/A</v>
      </c>
      <c r="U43" s="19">
        <f ca="1">IFERROR(AVERAGEIF('Preço Soja ESALQ'!$C:$C,'Modelo Soja'!$B43,'Preço Soja ESALQ'!BN:BN),NA())</f>
        <v>111.83714285714284</v>
      </c>
      <c r="AA43" s="19">
        <f ca="1">IFERROR(AVERAGEIF('Preço Soja ESALQ'!$C:$C,'Modelo Soja'!$B43,'Preço Soja ESALQ'!BA:BA),NA())</f>
        <v>120.61904761904759</v>
      </c>
      <c r="AB43" s="19">
        <f ca="1">IFERROR(AVERAGEIF('Preço Soja ESALQ'!$C:$C,'Modelo Soja'!$B43,'Preço Soja ESALQ'!BB:BB),NA())</f>
        <v>131.55285714285714</v>
      </c>
      <c r="AC43" s="19">
        <f ca="1">IFERROR(AVERAGEIF('Preço Soja ESALQ'!$C:$C,'Modelo Soja'!$B43,'Preço Soja ESALQ'!BC:BC),NA())</f>
        <v>127.77047619047619</v>
      </c>
      <c r="AD43" s="19">
        <f ca="1">IFERROR(AVERAGEIF('Preço Soja ESALQ'!$C:$C,'Modelo Soja'!$B43,'Preço Soja ESALQ'!BD:BD),NA())</f>
        <v>129.57285714285712</v>
      </c>
      <c r="AE43" s="19">
        <f ca="1">IFERROR(AVERAGEIF('Preço Soja ESALQ'!$C:$C,'Modelo Soja'!$B43,'Preço Soja ESALQ'!BE:BE),NA())</f>
        <v>123.0195238095238</v>
      </c>
      <c r="AF43" s="19">
        <f ca="1">IFERROR(AVERAGEIF('Preço Soja ESALQ'!$C:$C,'Modelo Soja'!$B43,'Preço Soja ESALQ'!BF:BF),NA())</f>
        <v>123.66095238095242</v>
      </c>
      <c r="AG43" s="19">
        <f ca="1">IFERROR(AVERAGEIF('Preço Soja ESALQ'!$C:$C,'Modelo Soja'!$B43,'Preço Soja ESALQ'!BG:BG),NA())</f>
        <v>127.84238095238095</v>
      </c>
      <c r="AH43" s="19">
        <f ca="1">IFERROR(AVERAGEIF('Preço Soja ESALQ'!$C:$C,'Modelo Soja'!$B43,'Preço Soja ESALQ'!AE:AE),NA())</f>
        <v>127.28857142857143</v>
      </c>
      <c r="AI43" s="19">
        <f ca="1">IFERROR(AVERAGEIF('Preço Soja ESALQ'!$C:$C,'Modelo Soja'!$B43,'Preço Soja ESALQ'!AF:AF),NA())</f>
        <v>126.41333333333334</v>
      </c>
      <c r="AJ43" s="24">
        <f>+[2]summary!C55</f>
        <v>136.00428571428571</v>
      </c>
      <c r="AK43" s="24">
        <f t="shared" ca="1" si="2"/>
        <v>114.59954184704188</v>
      </c>
      <c r="AL43" s="24"/>
      <c r="AN43" s="24">
        <f>+[6]FSORPRA!H42</f>
        <v>443.125</v>
      </c>
      <c r="AO43" s="24">
        <f>+[6]FRONPRA!H42</f>
        <v>343</v>
      </c>
      <c r="AP43" s="29">
        <f>(AP42+AP44)/2</f>
        <v>145.63499999999999</v>
      </c>
      <c r="AQ43" s="29">
        <f>(AQ42+AQ44)/2</f>
        <v>128.155</v>
      </c>
      <c r="AR43" s="29">
        <f>(AR42+AR44)/2</f>
        <v>123.76</v>
      </c>
      <c r="AS43" s="29">
        <f>(AS42+AS44)/2</f>
        <v>130.33500000000001</v>
      </c>
      <c r="AT43" s="24">
        <f t="shared" si="3"/>
        <v>109.41678571428571</v>
      </c>
      <c r="AU43" s="24">
        <f t="shared" si="4"/>
        <v>115.42428571428572</v>
      </c>
      <c r="AV43" s="24">
        <f t="shared" si="5"/>
        <v>127.26618571428571</v>
      </c>
      <c r="AW43" s="24">
        <f t="shared" si="6"/>
        <v>128.31498571428571</v>
      </c>
      <c r="AX43" s="24">
        <f t="shared" ca="1" si="7"/>
        <v>120.41678095238095</v>
      </c>
      <c r="AY43" s="24">
        <f t="shared" ca="1" si="8"/>
        <v>119.46847142857143</v>
      </c>
      <c r="AZ43">
        <f t="shared" si="9"/>
        <v>5</v>
      </c>
      <c r="BA43" s="17">
        <f t="shared" si="10"/>
        <v>45413</v>
      </c>
      <c r="BB43" s="22">
        <f t="shared" ca="1" si="11"/>
        <v>10.42285714285714</v>
      </c>
      <c r="BC43" s="22">
        <f t="shared" ca="1" si="12"/>
        <v>10.114285714285728</v>
      </c>
      <c r="BD43" s="22">
        <f t="shared" ca="1" si="13"/>
        <v>3.5361904761904839</v>
      </c>
      <c r="BE43" s="22">
        <f t="shared" ca="1" si="14"/>
        <v>6.0352380952381424</v>
      </c>
      <c r="BF43" s="22">
        <f t="shared" ca="1" si="15"/>
        <v>7.3499999999999801</v>
      </c>
      <c r="BG43" s="22">
        <f t="shared" ca="1" si="16"/>
        <v>7.4576190476190476</v>
      </c>
      <c r="BH43" s="25">
        <f t="shared" ca="1" si="0"/>
        <v>7.4860317460317534</v>
      </c>
      <c r="BJ43" s="27">
        <f t="shared" ca="1" si="21"/>
        <v>7.1200180375180384</v>
      </c>
      <c r="BL43" s="41">
        <f t="shared" si="18"/>
        <v>433.125</v>
      </c>
      <c r="BM43" s="41">
        <f t="shared" si="19"/>
        <v>110.01678571428572</v>
      </c>
    </row>
    <row r="44" spans="2:65" x14ac:dyDescent="0.3">
      <c r="B44" s="17" t="str">
        <f t="shared" si="1"/>
        <v>20246</v>
      </c>
      <c r="C44" s="17">
        <f t="shared" si="20"/>
        <v>45444</v>
      </c>
      <c r="D44" s="19">
        <f ca="1">IFERROR(AVERAGEIF('Preço Soja ESALQ'!$C:$C,'Modelo Soja'!$B44,'Preço Soja ESALQ'!$R:$R),NA())</f>
        <v>119.39899999999997</v>
      </c>
      <c r="E44" s="19">
        <f ca="1">IFERROR(AVERAGEIF('Preço Soja ESALQ'!$C:$C,'Modelo Soja'!$B44,'Preço Soja ESALQ'!S:S),NA())</f>
        <v>111.42949999999999</v>
      </c>
      <c r="F44" s="19">
        <f ca="1">IFERROR(AVERAGEIF('Preço Soja ESALQ'!$C:$C,'Modelo Soja'!$B44,'Preço Soja ESALQ'!T:T),NA())</f>
        <v>122.92949999999999</v>
      </c>
      <c r="G44" s="19" t="e">
        <f ca="1">IFERROR(AVERAGEIF('Preço Soja ESALQ'!$C:$C,'Modelo Soja'!$B44,'Preço Soja ESALQ'!U:U),NA())</f>
        <v>#N/A</v>
      </c>
      <c r="H44" s="19">
        <f ca="1">IFERROR(AVERAGEIF('Preço Soja ESALQ'!$C:$C,'Modelo Soja'!$B44,'Preço Soja ESALQ'!V:V),NA())</f>
        <v>115.4385</v>
      </c>
      <c r="I44" s="19">
        <f ca="1">IFERROR(AVERAGEIF('Preço Soja ESALQ'!$C:$C,'Modelo Soja'!$B44,'Preço Soja ESALQ'!W:W),NA())</f>
        <v>123.1455</v>
      </c>
      <c r="J44" s="19">
        <f ca="1">IFERROR(AVERAGEIF('Preço Soja ESALQ'!$C:$C,'Modelo Soja'!$B44,'Preço Soja ESALQ'!X:X),NA())</f>
        <v>121.78450000000001</v>
      </c>
      <c r="K44" s="19">
        <f ca="1">IFERROR(AVERAGEIF('Preço Soja ESALQ'!$C:$C,'Modelo Soja'!$B44,'Preço Soja ESALQ'!Y:Y),NA())</f>
        <v>120.44050000000001</v>
      </c>
      <c r="L44" s="19">
        <f ca="1">IFERROR(AVERAGEIF('Preço Soja ESALQ'!$C:$C,'Modelo Soja'!$B44,'Preço Soja ESALQ'!Z:Z),NA())</f>
        <v>121.059</v>
      </c>
      <c r="M44" s="19">
        <f ca="1">IFERROR(AVERAGEIF('Preço Soja ESALQ'!$C:$C,'Modelo Soja'!$B44,'Preço Soja ESALQ'!AA:AA),NA())</f>
        <v>121.68749999999997</v>
      </c>
      <c r="N44" s="19">
        <f ca="1">IFERROR(AVERAGEIF('Preço Soja ESALQ'!$C:$C,'Modelo Soja'!$B44,'Preço Soja ESALQ'!AB:AB),NA())</f>
        <v>121.83949999999997</v>
      </c>
      <c r="O44" s="19">
        <f ca="1">IFERROR(AVERAGEIF('Preço Soja ESALQ'!$C:$C,'Modelo Soja'!$B44,'Preço Soja ESALQ'!AC:AC),NA())</f>
        <v>116.53899999999999</v>
      </c>
      <c r="P44" s="19" t="e">
        <f ca="1">IFERROR(AVERAGEIF('Preço Soja ESALQ'!$C:$C,'Modelo Soja'!$B44,'Preço Soja ESALQ'!AD:AD),NA())</f>
        <v>#N/A</v>
      </c>
      <c r="Q44" s="19">
        <f ca="1">IFERROR(AVERAGEIF('Preço Soja ESALQ'!$C:$C,'Modelo Soja'!$B44,'Preço Soja ESALQ'!BI:BI),NA())</f>
        <v>126.03900000000002</v>
      </c>
      <c r="R44" s="19">
        <f ca="1">IFERROR(AVERAGEIF('Preço Soja ESALQ'!$C:$C,'Modelo Soja'!$B44,'Preço Soja ESALQ'!BK:BK),NA())</f>
        <v>115.95666666666666</v>
      </c>
      <c r="S44" s="19">
        <f ca="1">IFERROR(AVERAGEIF('Preço Soja ESALQ'!$C:$C,'Modelo Soja'!$B44,'Preço Soja ESALQ'!BL:BL),NA())</f>
        <v>116.66699999999999</v>
      </c>
      <c r="T44" s="19" t="e">
        <f ca="1">IFERROR(AVERAGEIF('Preço Soja ESALQ'!$C:$C,'Modelo Soja'!$B44,'Preço Soja ESALQ'!BM:BM),NA())</f>
        <v>#N/A</v>
      </c>
      <c r="U44" s="19">
        <f ca="1">IFERROR(AVERAGEIF('Preço Soja ESALQ'!$C:$C,'Modelo Soja'!$B44,'Preço Soja ESALQ'!BN:BN),NA())</f>
        <v>115.92449999999999</v>
      </c>
      <c r="AA44" s="19">
        <f ca="1">IFERROR(AVERAGEIF('Preço Soja ESALQ'!$C:$C,'Modelo Soja'!$B44,'Preço Soja ESALQ'!BA:BA),NA())</f>
        <v>126.167</v>
      </c>
      <c r="AB44" s="19">
        <f ca="1">IFERROR(AVERAGEIF('Preço Soja ESALQ'!$C:$C,'Modelo Soja'!$B44,'Preço Soja ESALQ'!BB:BB),NA())</f>
        <v>134.51800000000003</v>
      </c>
      <c r="AC44" s="19">
        <f ca="1">IFERROR(AVERAGEIF('Preço Soja ESALQ'!$C:$C,'Modelo Soja'!$B44,'Preço Soja ESALQ'!BC:BC),NA())</f>
        <v>130.29300000000003</v>
      </c>
      <c r="AD44" s="19">
        <f ca="1">IFERROR(AVERAGEIF('Preço Soja ESALQ'!$C:$C,'Modelo Soja'!$B44,'Preço Soja ESALQ'!BD:BD),NA())</f>
        <v>132.99299999999999</v>
      </c>
      <c r="AE44" s="19">
        <f ca="1">IFERROR(AVERAGEIF('Preço Soja ESALQ'!$C:$C,'Modelo Soja'!$B44,'Preço Soja ESALQ'!BE:BE),NA())</f>
        <v>127.322</v>
      </c>
      <c r="AF44" s="19">
        <f ca="1">IFERROR(AVERAGEIF('Preço Soja ESALQ'!$C:$C,'Modelo Soja'!$B44,'Preço Soja ESALQ'!BF:BF),NA())</f>
        <v>126.84049999999998</v>
      </c>
      <c r="AG44" s="19">
        <f ca="1">IFERROR(AVERAGEIF('Preço Soja ESALQ'!$C:$C,'Modelo Soja'!$B44,'Preço Soja ESALQ'!BG:BG),NA())</f>
        <v>131.3485</v>
      </c>
      <c r="AH44" s="19">
        <f ca="1">IFERROR(AVERAGEIF('Preço Soja ESALQ'!$C:$C,'Modelo Soja'!$B44,'Preço Soja ESALQ'!AE:AE),NA())</f>
        <v>131.11849999999998</v>
      </c>
      <c r="AI44" s="19">
        <f ca="1">IFERROR(AVERAGEIF('Preço Soja ESALQ'!$C:$C,'Modelo Soja'!$B44,'Preço Soja ESALQ'!AF:AF),NA())</f>
        <v>128.97700000000003</v>
      </c>
      <c r="AJ44" s="24">
        <f>+[2]summary!C56</f>
        <v>138.91950000000003</v>
      </c>
      <c r="AK44" s="24">
        <f t="shared" ca="1" si="2"/>
        <v>119.33675873015873</v>
      </c>
      <c r="AL44" s="24"/>
      <c r="AN44" s="24">
        <f>+[6]FSORPRA!H43</f>
        <v>464.57499999999999</v>
      </c>
      <c r="AO44" s="24">
        <f>+[6]FRONPRA!H43</f>
        <v>367.5</v>
      </c>
      <c r="AP44" s="24">
        <f>VLOOKUP(B44,'Frete ESALQ'!$C$5:$AL$131,36,FALSE)</f>
        <v>168.77</v>
      </c>
      <c r="AQ44" s="24">
        <f>VLOOKUP(B44,'Frete ESALQ'!$C$5:$AW$131,47,FALSE)</f>
        <v>138.86000000000001</v>
      </c>
      <c r="AR44" s="24">
        <f>VLOOKUP(B44,'Frete ESALQ'!$C$5:$BH$131,58,FALSE)</f>
        <v>123.23</v>
      </c>
      <c r="AS44" s="24">
        <f>VLOOKUP(B44,'Frete ESALQ'!$C$5:$BH$131,32,FALSE)</f>
        <v>124.17</v>
      </c>
      <c r="AT44" s="24">
        <f t="shared" si="3"/>
        <v>111.04500000000003</v>
      </c>
      <c r="AU44" s="24">
        <f t="shared" si="4"/>
        <v>116.86950000000003</v>
      </c>
      <c r="AV44" s="24">
        <f t="shared" si="5"/>
        <v>128.79330000000002</v>
      </c>
      <c r="AW44" s="24">
        <f t="shared" si="6"/>
        <v>130.58790000000002</v>
      </c>
      <c r="AX44" s="24">
        <f t="shared" ca="1" si="7"/>
        <v>123.9547</v>
      </c>
      <c r="AY44" s="24">
        <f t="shared" ca="1" si="8"/>
        <v>123.66829999999999</v>
      </c>
      <c r="AZ44">
        <f t="shared" si="9"/>
        <v>6</v>
      </c>
      <c r="BA44" s="17">
        <f t="shared" si="10"/>
        <v>45444</v>
      </c>
      <c r="BB44" s="22">
        <f t="shared" ca="1" si="11"/>
        <v>11.372500000000031</v>
      </c>
      <c r="BC44" s="22">
        <f t="shared" ca="1" si="12"/>
        <v>9.8525000000000205</v>
      </c>
      <c r="BD44" s="22">
        <f t="shared" ca="1" si="13"/>
        <v>5.6345000000000312</v>
      </c>
      <c r="BE44" s="22">
        <f t="shared" ca="1" si="14"/>
        <v>7.4415000000000049</v>
      </c>
      <c r="BF44" s="22">
        <f t="shared" ca="1" si="15"/>
        <v>9.3339999999999748</v>
      </c>
      <c r="BG44" s="22">
        <f t="shared" ca="1" si="16"/>
        <v>9.5090000000000288</v>
      </c>
      <c r="BH44" s="25">
        <f t="shared" ca="1" si="0"/>
        <v>8.857333333333349</v>
      </c>
      <c r="BJ44" s="27">
        <f t="shared" ca="1" si="21"/>
        <v>7.907258730158742</v>
      </c>
      <c r="BL44" s="41">
        <f t="shared" si="18"/>
        <v>454.57499999999999</v>
      </c>
      <c r="BM44" s="41">
        <f t="shared" si="19"/>
        <v>111.64500000000002</v>
      </c>
    </row>
    <row r="45" spans="2:65" x14ac:dyDescent="0.3">
      <c r="B45" s="17" t="str">
        <f t="shared" si="1"/>
        <v>20247</v>
      </c>
      <c r="C45" s="17">
        <f t="shared" si="20"/>
        <v>45474</v>
      </c>
      <c r="D45" s="19">
        <f ca="1">IFERROR(AVERAGEIF('Preço Soja ESALQ'!$C:$C,'Modelo Soja'!$B45,'Preço Soja ESALQ'!$R:$R),NA())</f>
        <v>118.06000000000003</v>
      </c>
      <c r="E45" s="19">
        <f ca="1">IFERROR(AVERAGEIF('Preço Soja ESALQ'!$C:$C,'Modelo Soja'!$B45,'Preço Soja ESALQ'!S:S),NA())</f>
        <v>110.25521739130438</v>
      </c>
      <c r="F45" s="19">
        <f ca="1">IFERROR(AVERAGEIF('Preço Soja ESALQ'!$C:$C,'Modelo Soja'!$B45,'Preço Soja ESALQ'!T:T),NA())</f>
        <v>122.39652173913045</v>
      </c>
      <c r="G45" s="19" t="e">
        <f ca="1">IFERROR(AVERAGEIF('Preço Soja ESALQ'!$C:$C,'Modelo Soja'!$B45,'Preço Soja ESALQ'!U:U),NA())</f>
        <v>#N/A</v>
      </c>
      <c r="H45" s="19">
        <f ca="1">IFERROR(AVERAGEIF('Preço Soja ESALQ'!$C:$C,'Modelo Soja'!$B45,'Preço Soja ESALQ'!V:V),NA())</f>
        <v>114.89478260869565</v>
      </c>
      <c r="I45" s="19">
        <f ca="1">IFERROR(AVERAGEIF('Preço Soja ESALQ'!$C:$C,'Modelo Soja'!$B45,'Preço Soja ESALQ'!W:W),NA())</f>
        <v>122.39739130434782</v>
      </c>
      <c r="J45" s="19">
        <f ca="1">IFERROR(AVERAGEIF('Preço Soja ESALQ'!$C:$C,'Modelo Soja'!$B45,'Preço Soja ESALQ'!X:X),NA())</f>
        <v>121.60478260869564</v>
      </c>
      <c r="K45" s="19">
        <f ca="1">IFERROR(AVERAGEIF('Preço Soja ESALQ'!$C:$C,'Modelo Soja'!$B45,'Preço Soja ESALQ'!Y:Y),NA())</f>
        <v>119.96347826086956</v>
      </c>
      <c r="L45" s="19">
        <f ca="1">IFERROR(AVERAGEIF('Preço Soja ESALQ'!$C:$C,'Modelo Soja'!$B45,'Preço Soja ESALQ'!Z:Z),NA())</f>
        <v>120.14652173913043</v>
      </c>
      <c r="M45" s="19">
        <f ca="1">IFERROR(AVERAGEIF('Preço Soja ESALQ'!$C:$C,'Modelo Soja'!$B45,'Preço Soja ESALQ'!AA:AA),NA())</f>
        <v>120.88999999999999</v>
      </c>
      <c r="N45" s="19">
        <f ca="1">IFERROR(AVERAGEIF('Preço Soja ESALQ'!$C:$C,'Modelo Soja'!$B45,'Preço Soja ESALQ'!AB:AB),NA())</f>
        <v>120.31217391304349</v>
      </c>
      <c r="O45" s="19">
        <f ca="1">IFERROR(AVERAGEIF('Preço Soja ESALQ'!$C:$C,'Modelo Soja'!$B45,'Preço Soja ESALQ'!AC:AC),NA())</f>
        <v>117.95130434782607</v>
      </c>
      <c r="P45" s="19" t="e">
        <f ca="1">IFERROR(AVERAGEIF('Preço Soja ESALQ'!$C:$C,'Modelo Soja'!$B45,'Preço Soja ESALQ'!AD:AD),NA())</f>
        <v>#N/A</v>
      </c>
      <c r="Q45" s="19">
        <f ca="1">IFERROR(AVERAGEIF('Preço Soja ESALQ'!$C:$C,'Modelo Soja'!$B45,'Preço Soja ESALQ'!BI:BI),NA())</f>
        <v>126.18173913043479</v>
      </c>
      <c r="R45" s="19">
        <f ca="1">IFERROR(AVERAGEIF('Preço Soja ESALQ'!$C:$C,'Modelo Soja'!$B45,'Preço Soja ESALQ'!BK:BK),NA())</f>
        <v>118.10799999999999</v>
      </c>
      <c r="S45" s="19">
        <f ca="1">IFERROR(AVERAGEIF('Preço Soja ESALQ'!$C:$C,'Modelo Soja'!$B45,'Preço Soja ESALQ'!BL:BL),NA())</f>
        <v>116.68565217391306</v>
      </c>
      <c r="T45" s="19" t="e">
        <f ca="1">IFERROR(AVERAGEIF('Preço Soja ESALQ'!$C:$C,'Modelo Soja'!$B45,'Preço Soja ESALQ'!BM:BM),NA())</f>
        <v>#N/A</v>
      </c>
      <c r="U45" s="19">
        <f ca="1">IFERROR(AVERAGEIF('Preço Soja ESALQ'!$C:$C,'Modelo Soja'!$B45,'Preço Soja ESALQ'!BN:BN),NA())</f>
        <v>116.40652173913043</v>
      </c>
      <c r="AA45" s="19">
        <f ca="1">IFERROR(AVERAGEIF('Preço Soja ESALQ'!$C:$C,'Modelo Soja'!$B45,'Preço Soja ESALQ'!BA:BA),NA())</f>
        <v>126.57043478260871</v>
      </c>
      <c r="AB45" s="19">
        <f ca="1">IFERROR(AVERAGEIF('Preço Soja ESALQ'!$C:$C,'Modelo Soja'!$B45,'Preço Soja ESALQ'!BB:BB),NA())</f>
        <v>133.7026086956522</v>
      </c>
      <c r="AC45" s="19">
        <f ca="1">IFERROR(AVERAGEIF('Preço Soja ESALQ'!$C:$C,'Modelo Soja'!$B45,'Preço Soja ESALQ'!BC:BC),NA())</f>
        <v>130.21695652173912</v>
      </c>
      <c r="AD45" s="19">
        <f ca="1">IFERROR(AVERAGEIF('Preço Soja ESALQ'!$C:$C,'Modelo Soja'!$B45,'Preço Soja ESALQ'!BD:BD),NA())</f>
        <v>132.76608695652175</v>
      </c>
      <c r="AE45" s="19">
        <f ca="1">IFERROR(AVERAGEIF('Preço Soja ESALQ'!$C:$C,'Modelo Soja'!$B45,'Preço Soja ESALQ'!BE:BE),NA())</f>
        <v>125.85695652173915</v>
      </c>
      <c r="AF45" s="19">
        <f ca="1">IFERROR(AVERAGEIF('Preço Soja ESALQ'!$C:$C,'Modelo Soja'!$B45,'Preço Soja ESALQ'!BF:BF),NA())</f>
        <v>126.00652173913048</v>
      </c>
      <c r="AG45" s="19">
        <f ca="1">IFERROR(AVERAGEIF('Preço Soja ESALQ'!$C:$C,'Modelo Soja'!$B45,'Preço Soja ESALQ'!BG:BG),NA())</f>
        <v>130.43173913043478</v>
      </c>
      <c r="AH45" s="19">
        <f ca="1">IFERROR(AVERAGEIF('Preço Soja ESALQ'!$C:$C,'Modelo Soja'!$B45,'Preço Soja ESALQ'!AE:AE),NA())</f>
        <v>131.65347826086955</v>
      </c>
      <c r="AI45" s="19">
        <f ca="1">IFERROR(AVERAGEIF('Preço Soja ESALQ'!$C:$C,'Modelo Soja'!$B45,'Preço Soja ESALQ'!AF:AF),NA())</f>
        <v>128.84869565217392</v>
      </c>
      <c r="AJ45" s="24">
        <f>+[2]summary!C57</f>
        <v>138.09130434782611</v>
      </c>
      <c r="AK45" s="24">
        <f t="shared" ca="1" si="2"/>
        <v>119.54962165129561</v>
      </c>
      <c r="AL45" s="24"/>
      <c r="AN45" s="24">
        <f>+[6]FSORPRA!H44</f>
        <v>457.5</v>
      </c>
      <c r="AO45" s="24">
        <f>+[6]FRONPRA!H44</f>
        <v>351.25</v>
      </c>
      <c r="AP45" s="24">
        <f>VLOOKUP(B45,'Frete ESALQ'!$C$5:$AL$131,36,FALSE)</f>
        <v>177</v>
      </c>
      <c r="AQ45" s="24">
        <f>VLOOKUP(B45,'Frete ESALQ'!$C$5:$AW$131,47,FALSE)</f>
        <v>142.22</v>
      </c>
      <c r="AR45" s="24">
        <f>VLOOKUP(B45,'Frete ESALQ'!$C$5:$BH$131,58,FALSE)</f>
        <v>123</v>
      </c>
      <c r="AS45" s="24">
        <f>VLOOKUP(B45,'Frete ESALQ'!$C$5:$BH$131,32,FALSE)</f>
        <v>120.83</v>
      </c>
      <c r="AT45" s="24">
        <f t="shared" si="3"/>
        <v>110.64130434782611</v>
      </c>
      <c r="AU45" s="24">
        <f t="shared" si="4"/>
        <v>117.01630434782611</v>
      </c>
      <c r="AV45" s="24">
        <f t="shared" si="5"/>
        <v>127.47130434782611</v>
      </c>
      <c r="AW45" s="24">
        <f t="shared" si="6"/>
        <v>129.55810434782612</v>
      </c>
      <c r="AX45" s="24">
        <f t="shared" ca="1" si="7"/>
        <v>123.05173913043478</v>
      </c>
      <c r="AY45" s="24">
        <f t="shared" ca="1" si="8"/>
        <v>124.40367826086955</v>
      </c>
      <c r="AZ45">
        <f t="shared" si="9"/>
        <v>7</v>
      </c>
      <c r="BA45" s="17">
        <f t="shared" si="10"/>
        <v>45474</v>
      </c>
      <c r="BB45" s="22">
        <f t="shared" ca="1" si="11"/>
        <v>11.305217391304382</v>
      </c>
      <c r="BC45" s="22">
        <f t="shared" ca="1" si="12"/>
        <v>10.253478260869556</v>
      </c>
      <c r="BD45" s="22">
        <f t="shared" ca="1" si="13"/>
        <v>4.9669565217391636</v>
      </c>
      <c r="BE45" s="22">
        <f t="shared" ca="1" si="14"/>
        <v>7.9465217391304463</v>
      </c>
      <c r="BF45" s="22">
        <f t="shared" ca="1" si="15"/>
        <v>10.048695652173905</v>
      </c>
      <c r="BG45" s="22">
        <f t="shared" ca="1" si="16"/>
        <v>10.119565217391283</v>
      </c>
      <c r="BH45" s="25">
        <f t="shared" ca="1" si="0"/>
        <v>9.1067391304347893</v>
      </c>
      <c r="BJ45" s="27">
        <f t="shared" ca="1" si="21"/>
        <v>9.294404259991218</v>
      </c>
      <c r="BL45" s="41">
        <f t="shared" si="18"/>
        <v>447.5</v>
      </c>
      <c r="BM45" s="41">
        <f t="shared" si="19"/>
        <v>111.24130434782612</v>
      </c>
    </row>
    <row r="46" spans="2:65" x14ac:dyDescent="0.3">
      <c r="B46" s="17" t="str">
        <f t="shared" si="1"/>
        <v>20248</v>
      </c>
      <c r="C46" s="17">
        <f t="shared" si="20"/>
        <v>45505</v>
      </c>
      <c r="D46" s="19">
        <f ca="1">IFERROR(AVERAGEIF('Preço Soja ESALQ'!$C:$C,'Modelo Soja'!$B46,'Preço Soja ESALQ'!$R:$R),NA())</f>
        <v>114.97363636363637</v>
      </c>
      <c r="E46" s="19">
        <f ca="1">IFERROR(AVERAGEIF('Preço Soja ESALQ'!$C:$C,'Modelo Soja'!$B46,'Preço Soja ESALQ'!S:S),NA())</f>
        <v>108.83636363636364</v>
      </c>
      <c r="F46" s="19">
        <f ca="1">IFERROR(AVERAGEIF('Preço Soja ESALQ'!$C:$C,'Modelo Soja'!$B46,'Preço Soja ESALQ'!T:T),NA())</f>
        <v>118.74045454545454</v>
      </c>
      <c r="G46" s="19">
        <f ca="1">IFERROR(AVERAGEIF('Preço Soja ESALQ'!$C:$C,'Modelo Soja'!$B46,'Preço Soja ESALQ'!U:U),NA())</f>
        <v>117.4</v>
      </c>
      <c r="H46" s="19">
        <f ca="1">IFERROR(AVERAGEIF('Preço Soja ESALQ'!$C:$C,'Modelo Soja'!$B46,'Preço Soja ESALQ'!V:V),NA())</f>
        <v>115.55136363636365</v>
      </c>
      <c r="I46" s="19">
        <f ca="1">IFERROR(AVERAGEIF('Preço Soja ESALQ'!$C:$C,'Modelo Soja'!$B46,'Preço Soja ESALQ'!W:W),NA())</f>
        <v>120.41500000000001</v>
      </c>
      <c r="J46" s="19">
        <f ca="1">IFERROR(AVERAGEIF('Preço Soja ESALQ'!$C:$C,'Modelo Soja'!$B46,'Preço Soja ESALQ'!X:X),NA())</f>
        <v>116.92090909090908</v>
      </c>
      <c r="K46" s="19">
        <f ca="1">IFERROR(AVERAGEIF('Preço Soja ESALQ'!$C:$C,'Modelo Soja'!$B46,'Preço Soja ESALQ'!Y:Y),NA())</f>
        <v>117.69045454545454</v>
      </c>
      <c r="L46" s="19">
        <f ca="1">IFERROR(AVERAGEIF('Preço Soja ESALQ'!$C:$C,'Modelo Soja'!$B46,'Preço Soja ESALQ'!Z:Z),NA())</f>
        <v>118.07909090909092</v>
      </c>
      <c r="M46" s="19">
        <f ca="1">IFERROR(AVERAGEIF('Preço Soja ESALQ'!$C:$C,'Modelo Soja'!$B46,'Preço Soja ESALQ'!AA:AA),NA())</f>
        <v>117.14363636363636</v>
      </c>
      <c r="N46" s="19">
        <f ca="1">IFERROR(AVERAGEIF('Preço Soja ESALQ'!$C:$C,'Modelo Soja'!$B46,'Preço Soja ESALQ'!AB:AB),NA())</f>
        <v>116.87090909090908</v>
      </c>
      <c r="O46" s="19">
        <f ca="1">IFERROR(AVERAGEIF('Preço Soja ESALQ'!$C:$C,'Modelo Soja'!$B46,'Preço Soja ESALQ'!AC:AC),NA())</f>
        <v>115.16562500000001</v>
      </c>
      <c r="P46" s="19" t="e">
        <f ca="1">IFERROR(AVERAGEIF('Preço Soja ESALQ'!$C:$C,'Modelo Soja'!$B46,'Preço Soja ESALQ'!AD:AD),NA())</f>
        <v>#N/A</v>
      </c>
      <c r="Q46" s="19">
        <f ca="1">IFERROR(AVERAGEIF('Preço Soja ESALQ'!$C:$C,'Modelo Soja'!$B46,'Preço Soja ESALQ'!BI:BI),NA())</f>
        <v>120.7259090909091</v>
      </c>
      <c r="R46" s="19">
        <f ca="1">IFERROR(AVERAGEIF('Preço Soja ESALQ'!$C:$C,'Modelo Soja'!$B46,'Preço Soja ESALQ'!BK:BK),NA())</f>
        <v>114.75687499999999</v>
      </c>
      <c r="S46" s="19">
        <f ca="1">IFERROR(AVERAGEIF('Preço Soja ESALQ'!$C:$C,'Modelo Soja'!$B46,'Preço Soja ESALQ'!BL:BL),NA())</f>
        <v>113.6568181818182</v>
      </c>
      <c r="T46" s="19" t="e">
        <f ca="1">IFERROR(AVERAGEIF('Preço Soja ESALQ'!$C:$C,'Modelo Soja'!$B46,'Preço Soja ESALQ'!BM:BM),NA())</f>
        <v>#N/A</v>
      </c>
      <c r="U46" s="19">
        <f ca="1">IFERROR(AVERAGEIF('Preço Soja ESALQ'!$C:$C,'Modelo Soja'!$B46,'Preço Soja ESALQ'!BN:BN),NA())</f>
        <v>113.07727272727271</v>
      </c>
      <c r="AA46" s="19">
        <f ca="1">IFERROR(AVERAGEIF('Preço Soja ESALQ'!$C:$C,'Modelo Soja'!$B46,'Preço Soja ESALQ'!BA:BA),NA())</f>
        <v>124.40499999999999</v>
      </c>
      <c r="AB46" s="19">
        <f ca="1">IFERROR(AVERAGEIF('Preço Soja ESALQ'!$C:$C,'Modelo Soja'!$B46,'Preço Soja ESALQ'!BB:BB),NA())</f>
        <v>129.61363636363637</v>
      </c>
      <c r="AC46" s="19">
        <f ca="1">IFERROR(AVERAGEIF('Preço Soja ESALQ'!$C:$C,'Modelo Soja'!$B46,'Preço Soja ESALQ'!BC:BC),NA())</f>
        <v>125.91545454545457</v>
      </c>
      <c r="AD46" s="19">
        <f ca="1">IFERROR(AVERAGEIF('Preço Soja ESALQ'!$C:$C,'Modelo Soja'!$B46,'Preço Soja ESALQ'!BD:BD),NA())</f>
        <v>128.76954545454544</v>
      </c>
      <c r="AE46" s="19">
        <f ca="1">IFERROR(AVERAGEIF('Preço Soja ESALQ'!$C:$C,'Modelo Soja'!$B46,'Preço Soja ESALQ'!BE:BE),NA())</f>
        <v>120.3727272727273</v>
      </c>
      <c r="AF46" s="19">
        <f ca="1">IFERROR(AVERAGEIF('Preço Soja ESALQ'!$C:$C,'Modelo Soja'!$B46,'Preço Soja ESALQ'!BF:BF),NA())</f>
        <v>121.51499999999997</v>
      </c>
      <c r="AG46" s="19">
        <f ca="1">IFERROR(AVERAGEIF('Preço Soja ESALQ'!$C:$C,'Modelo Soja'!$B46,'Preço Soja ESALQ'!BG:BG),NA())</f>
        <v>126.20909090909093</v>
      </c>
      <c r="AH46" s="19">
        <f ca="1">IFERROR(AVERAGEIF('Preço Soja ESALQ'!$C:$C,'Modelo Soja'!$B46,'Preço Soja ESALQ'!AE:AE),NA())</f>
        <v>126.18772727272723</v>
      </c>
      <c r="AI46" s="19">
        <f ca="1">IFERROR(AVERAGEIF('Preço Soja ESALQ'!$C:$C,'Modelo Soja'!$B46,'Preço Soja ESALQ'!AF:AF),NA())</f>
        <v>124.87499999999996</v>
      </c>
      <c r="AJ46" s="24">
        <f>+[2]summary!C58</f>
        <v>133.21363636363637</v>
      </c>
      <c r="AK46" s="24">
        <f t="shared" ca="1" si="2"/>
        <v>118.20377636614595</v>
      </c>
      <c r="AL46" s="24"/>
      <c r="AN46" s="24">
        <f>+[6]FSORPRA!H45</f>
        <v>396</v>
      </c>
      <c r="AO46" s="24">
        <f>+[6]FRONPRA!H45</f>
        <v>293</v>
      </c>
      <c r="AP46" s="24">
        <f>VLOOKUP(B46,'Frete ESALQ'!$C$5:$AL$131,36,FALSE)</f>
        <v>151.75</v>
      </c>
      <c r="AQ46" s="24">
        <f>VLOOKUP(B46,'Frete ESALQ'!$C$5:$AW$131,47,FALSE)</f>
        <v>124.29</v>
      </c>
      <c r="AR46" s="24">
        <f>VLOOKUP(B46,'Frete ESALQ'!$C$5:$BH$131,58,FALSE)</f>
        <v>119.35</v>
      </c>
      <c r="AS46" s="24">
        <f>VLOOKUP(B46,'Frete ESALQ'!$C$5:$BH$131,32,FALSE)</f>
        <v>130.75</v>
      </c>
      <c r="AT46" s="24">
        <f t="shared" si="3"/>
        <v>109.45363636363638</v>
      </c>
      <c r="AU46" s="24">
        <f t="shared" si="4"/>
        <v>115.63363636363637</v>
      </c>
      <c r="AV46" s="24">
        <f t="shared" si="5"/>
        <v>124.10863636363636</v>
      </c>
      <c r="AW46" s="24">
        <f t="shared" si="6"/>
        <v>125.75623636363636</v>
      </c>
      <c r="AX46" s="24">
        <f t="shared" ca="1" si="7"/>
        <v>119.04809090909093</v>
      </c>
      <c r="AY46" s="24">
        <f t="shared" ca="1" si="8"/>
        <v>118.34272727272723</v>
      </c>
      <c r="AZ46">
        <f t="shared" si="9"/>
        <v>8</v>
      </c>
      <c r="BA46" s="17">
        <f t="shared" si="10"/>
        <v>45505</v>
      </c>
      <c r="BB46" s="22">
        <f t="shared" ca="1" si="11"/>
        <v>9.1986363636363677</v>
      </c>
      <c r="BC46" s="22">
        <f t="shared" ca="1" si="12"/>
        <v>8.2250000000000227</v>
      </c>
      <c r="BD46" s="22">
        <f t="shared" ca="1" si="13"/>
        <v>3.2290909090909423</v>
      </c>
      <c r="BE46" s="22">
        <f t="shared" ca="1" si="14"/>
        <v>6.5413636363635987</v>
      </c>
      <c r="BF46" s="22">
        <f t="shared" ca="1" si="15"/>
        <v>9.2668181818181523</v>
      </c>
      <c r="BG46" s="22">
        <f t="shared" ca="1" si="16"/>
        <v>9.3381818181818517</v>
      </c>
      <c r="BH46" s="25">
        <f t="shared" ca="1" si="0"/>
        <v>7.6331818181818223</v>
      </c>
      <c r="BJ46" s="27">
        <f t="shared" ca="1" si="21"/>
        <v>9.3674127297823038</v>
      </c>
      <c r="BL46" s="41">
        <f t="shared" si="18"/>
        <v>386</v>
      </c>
      <c r="BM46" s="41">
        <f t="shared" si="19"/>
        <v>110.05363636363637</v>
      </c>
    </row>
    <row r="47" spans="2:65" x14ac:dyDescent="0.3">
      <c r="B47" s="17" t="str">
        <f t="shared" si="1"/>
        <v>20249</v>
      </c>
      <c r="C47" s="17">
        <f t="shared" si="20"/>
        <v>45536</v>
      </c>
      <c r="D47" s="19">
        <f ca="1">IFERROR(AVERAGEIF('Preço Soja ESALQ'!$C:$C,'Modelo Soja'!$B47,'Preço Soja ESALQ'!$R:$R),NA())</f>
        <v>119.42476190476188</v>
      </c>
      <c r="E47" s="19">
        <f ca="1">IFERROR(AVERAGEIF('Preço Soja ESALQ'!$C:$C,'Modelo Soja'!$B47,'Preço Soja ESALQ'!S:S),NA())</f>
        <v>116.49333333333334</v>
      </c>
      <c r="F47" s="19">
        <f ca="1">IFERROR(AVERAGEIF('Preço Soja ESALQ'!$C:$C,'Modelo Soja'!$B47,'Preço Soja ESALQ'!T:T),NA())</f>
        <v>123.90666666666667</v>
      </c>
      <c r="G47" s="19" t="e">
        <f ca="1">IFERROR(AVERAGEIF('Preço Soja ESALQ'!$C:$C,'Modelo Soja'!$B47,'Preço Soja ESALQ'!U:U),NA())</f>
        <v>#N/A</v>
      </c>
      <c r="H47" s="19">
        <f ca="1">IFERROR(AVERAGEIF('Preço Soja ESALQ'!$C:$C,'Modelo Soja'!$B47,'Preço Soja ESALQ'!V:V),NA())</f>
        <v>122.56238095238099</v>
      </c>
      <c r="I47" s="19">
        <f ca="1">IFERROR(AVERAGEIF('Preço Soja ESALQ'!$C:$C,'Modelo Soja'!$B47,'Preço Soja ESALQ'!W:W),NA())</f>
        <v>125.81142857142858</v>
      </c>
      <c r="J47" s="19">
        <f ca="1">IFERROR(AVERAGEIF('Preço Soja ESALQ'!$C:$C,'Modelo Soja'!$B47,'Preço Soja ESALQ'!X:X),NA())</f>
        <v>121.4095238095238</v>
      </c>
      <c r="K47" s="19">
        <f ca="1">IFERROR(AVERAGEIF('Preço Soja ESALQ'!$C:$C,'Modelo Soja'!$B47,'Preço Soja ESALQ'!Y:Y),NA())</f>
        <v>123.36190476190475</v>
      </c>
      <c r="L47" s="19">
        <f ca="1">IFERROR(AVERAGEIF('Preço Soja ESALQ'!$C:$C,'Modelo Soja'!$B47,'Preço Soja ESALQ'!Z:Z),NA())</f>
        <v>124.04904761904761</v>
      </c>
      <c r="M47" s="19">
        <f ca="1">IFERROR(AVERAGEIF('Preço Soja ESALQ'!$C:$C,'Modelo Soja'!$B47,'Preço Soja ESALQ'!AA:AA),NA())</f>
        <v>122.00666666666666</v>
      </c>
      <c r="N47" s="19">
        <f ca="1">IFERROR(AVERAGEIF('Preço Soja ESALQ'!$C:$C,'Modelo Soja'!$B47,'Preço Soja ESALQ'!AB:AB),NA())</f>
        <v>120.70666666666664</v>
      </c>
      <c r="O47" s="19">
        <f ca="1">IFERROR(AVERAGEIF('Preço Soja ESALQ'!$C:$C,'Modelo Soja'!$B47,'Preço Soja ESALQ'!AC:AC),NA())</f>
        <v>120.30642857142857</v>
      </c>
      <c r="P47" s="19" t="e">
        <f ca="1">IFERROR(AVERAGEIF('Preço Soja ESALQ'!$C:$C,'Modelo Soja'!$B47,'Preço Soja ESALQ'!AD:AD),NA())</f>
        <v>#N/A</v>
      </c>
      <c r="Q47" s="19">
        <f ca="1">IFERROR(AVERAGEIF('Preço Soja ESALQ'!$C:$C,'Modelo Soja'!$B47,'Preço Soja ESALQ'!BI:BI),NA())</f>
        <v>125.69380952380955</v>
      </c>
      <c r="R47" s="19">
        <f ca="1">IFERROR(AVERAGEIF('Preço Soja ESALQ'!$C:$C,'Modelo Soja'!$B47,'Preço Soja ESALQ'!BK:BK),NA())</f>
        <v>119.31187499999999</v>
      </c>
      <c r="S47" s="19">
        <f ca="1">IFERROR(AVERAGEIF('Preço Soja ESALQ'!$C:$C,'Modelo Soja'!$B47,'Preço Soja ESALQ'!BL:BL),NA())</f>
        <v>118.63142857142859</v>
      </c>
      <c r="T47" s="19" t="e">
        <f ca="1">IFERROR(AVERAGEIF('Preço Soja ESALQ'!$C:$C,'Modelo Soja'!$B47,'Preço Soja ESALQ'!BM:BM),NA())</f>
        <v>#N/A</v>
      </c>
      <c r="U47" s="19">
        <f ca="1">IFERROR(AVERAGEIF('Preço Soja ESALQ'!$C:$C,'Modelo Soja'!$B47,'Preço Soja ESALQ'!BN:BN),NA())</f>
        <v>118.00857142857144</v>
      </c>
      <c r="AA47" s="19">
        <f ca="1">IFERROR(AVERAGEIF('Preço Soja ESALQ'!$C:$C,'Modelo Soja'!$B47,'Preço Soja ESALQ'!BA:BA),NA())</f>
        <v>128.73142857142858</v>
      </c>
      <c r="AB47" s="19">
        <f ca="1">IFERROR(AVERAGEIF('Preço Soja ESALQ'!$C:$C,'Modelo Soja'!$B47,'Preço Soja ESALQ'!BB:BB),NA())</f>
        <v>136.66380952380953</v>
      </c>
      <c r="AC47" s="19">
        <f ca="1">IFERROR(AVERAGEIF('Preço Soja ESALQ'!$C:$C,'Modelo Soja'!$B47,'Preço Soja ESALQ'!BC:BC),NA())</f>
        <v>133.71857142857144</v>
      </c>
      <c r="AD47" s="19">
        <f ca="1">IFERROR(AVERAGEIF('Preço Soja ESALQ'!$C:$C,'Modelo Soja'!$B47,'Preço Soja ESALQ'!BD:BD),NA())</f>
        <v>136.59000000000003</v>
      </c>
      <c r="AE47" s="19">
        <f ca="1">IFERROR(AVERAGEIF('Preço Soja ESALQ'!$C:$C,'Modelo Soja'!$B47,'Preço Soja ESALQ'!BE:BE),NA())</f>
        <v>131.40238095238095</v>
      </c>
      <c r="AF47" s="19">
        <f ca="1">IFERROR(AVERAGEIF('Preço Soja ESALQ'!$C:$C,'Modelo Soja'!$B47,'Preço Soja ESALQ'!BF:BF),NA())</f>
        <v>131.13047619047623</v>
      </c>
      <c r="AG47" s="19">
        <f ca="1">IFERROR(AVERAGEIF('Preço Soja ESALQ'!$C:$C,'Modelo Soja'!$B47,'Preço Soja ESALQ'!BG:BG),NA())</f>
        <v>130.8042857142857</v>
      </c>
      <c r="AH47" s="19">
        <f ca="1">IFERROR(AVERAGEIF('Preço Soja ESALQ'!$C:$C,'Modelo Soja'!$B47,'Preço Soja ESALQ'!AE:AE),NA())</f>
        <v>130.63619047619045</v>
      </c>
      <c r="AI47" s="19">
        <f ca="1">IFERROR(AVERAGEIF('Preço Soja ESALQ'!$C:$C,'Modelo Soja'!$B47,'Preço Soja ESALQ'!AF:AF),NA())</f>
        <v>132.05476190476193</v>
      </c>
      <c r="AJ47" s="24">
        <f>+[2]summary!C59</f>
        <v>139.90380952380951</v>
      </c>
      <c r="AK47" s="24">
        <f t="shared" ca="1" si="2"/>
        <v>126.57143408878704</v>
      </c>
      <c r="AL47" s="24"/>
      <c r="AN47" s="24">
        <f>+[6]FSORPRA!H46</f>
        <v>408.75</v>
      </c>
      <c r="AO47" s="24">
        <f>+[6]FRONPRA!H46</f>
        <v>292.5</v>
      </c>
      <c r="AP47" s="24">
        <f>VLOOKUP(B47,'Frete ESALQ'!$C$5:$AL$131,36,FALSE)</f>
        <v>144.30000000000001</v>
      </c>
      <c r="AQ47" s="24">
        <f>VLOOKUP(B47,'Frete ESALQ'!$C$5:$AW$131,47,FALSE)</f>
        <v>125.44</v>
      </c>
      <c r="AR47" s="24">
        <f>VLOOKUP(B47,'Frete ESALQ'!$C$5:$BH$131,58,FALSE)</f>
        <v>141.55000000000001</v>
      </c>
      <c r="AS47" s="24">
        <f>VLOOKUP(B47,'Frete ESALQ'!$C$5:$BH$131,32,FALSE)</f>
        <v>129.59</v>
      </c>
      <c r="AT47" s="24">
        <f t="shared" si="3"/>
        <v>115.37880952380951</v>
      </c>
      <c r="AU47" s="24">
        <f t="shared" si="4"/>
        <v>122.35380952380952</v>
      </c>
      <c r="AV47" s="24">
        <f t="shared" si="5"/>
        <v>131.24580952380953</v>
      </c>
      <c r="AW47" s="24">
        <f t="shared" si="6"/>
        <v>132.37740952380952</v>
      </c>
      <c r="AX47" s="24">
        <f t="shared" ca="1" si="7"/>
        <v>122.3112857142857</v>
      </c>
      <c r="AY47" s="24">
        <f t="shared" ca="1" si="8"/>
        <v>122.86079047619045</v>
      </c>
      <c r="AZ47">
        <f t="shared" si="9"/>
        <v>9</v>
      </c>
      <c r="BA47" s="17">
        <f t="shared" si="10"/>
        <v>45536</v>
      </c>
      <c r="BB47" s="22">
        <f t="shared" ca="1" si="11"/>
        <v>10.852380952380955</v>
      </c>
      <c r="BC47" s="22">
        <f t="shared" ca="1" si="12"/>
        <v>10.356666666666683</v>
      </c>
      <c r="BD47" s="22">
        <f t="shared" ca="1" si="13"/>
        <v>9.3957142857142912</v>
      </c>
      <c r="BE47" s="22">
        <f t="shared" ca="1" si="14"/>
        <v>11.70571428571435</v>
      </c>
      <c r="BF47" s="22">
        <f t="shared" ca="1" si="15"/>
        <v>9.2266666666666453</v>
      </c>
      <c r="BG47" s="22">
        <f t="shared" ca="1" si="16"/>
        <v>10.097619047619062</v>
      </c>
      <c r="BH47" s="25">
        <f t="shared" ca="1" si="0"/>
        <v>10.272460317460331</v>
      </c>
      <c r="BJ47" s="27">
        <f t="shared" ca="1" si="21"/>
        <v>10.078100755453697</v>
      </c>
      <c r="BL47" s="41">
        <f t="shared" si="18"/>
        <v>398.75</v>
      </c>
      <c r="BM47" s="41">
        <f t="shared" si="19"/>
        <v>115.97880952380952</v>
      </c>
    </row>
    <row r="48" spans="2:65" x14ac:dyDescent="0.3">
      <c r="B48" s="17" t="str">
        <f t="shared" si="1"/>
        <v>202410</v>
      </c>
      <c r="C48" s="17">
        <f t="shared" si="20"/>
        <v>45566</v>
      </c>
      <c r="D48" s="19">
        <f ca="1">IFERROR(AVERAGEIF('Preço Soja ESALQ'!$C:$C,'Modelo Soja'!$B48,'Preço Soja ESALQ'!$R:$R),NA())</f>
        <v>118.45130434782614</v>
      </c>
      <c r="E48" s="19">
        <f ca="1">IFERROR(AVERAGEIF('Preço Soja ESALQ'!$C:$C,'Modelo Soja'!$B48,'Preço Soja ESALQ'!S:S),NA())</f>
        <v>126.22347826086954</v>
      </c>
      <c r="F48" s="19">
        <f ca="1">IFERROR(AVERAGEIF('Preço Soja ESALQ'!$C:$C,'Modelo Soja'!$B48,'Preço Soja ESALQ'!T:T),NA())</f>
        <v>129.22478260869565</v>
      </c>
      <c r="G48" s="19">
        <f ca="1">IFERROR(AVERAGEIF('Preço Soja ESALQ'!$C:$C,'Modelo Soja'!$B48,'Preço Soja ESALQ'!U:U),NA())</f>
        <v>140.35500000000002</v>
      </c>
      <c r="H48" s="19">
        <f ca="1">IFERROR(AVERAGEIF('Preço Soja ESALQ'!$C:$C,'Modelo Soja'!$B48,'Preço Soja ESALQ'!V:V),NA())</f>
        <v>122.54826086956523</v>
      </c>
      <c r="I48" s="19">
        <f ca="1">IFERROR(AVERAGEIF('Preço Soja ESALQ'!$C:$C,'Modelo Soja'!$B48,'Preço Soja ESALQ'!W:W),NA())</f>
        <v>130.41636363636366</v>
      </c>
      <c r="J48" s="19">
        <f ca="1">IFERROR(AVERAGEIF('Preço Soja ESALQ'!$C:$C,'Modelo Soja'!$B48,'Preço Soja ESALQ'!X:X),NA())</f>
        <v>123.78086956521737</v>
      </c>
      <c r="K48" s="19">
        <f ca="1">IFERROR(AVERAGEIF('Preço Soja ESALQ'!$C:$C,'Modelo Soja'!$B48,'Preço Soja ESALQ'!Y:Y),NA())</f>
        <v>129.20869565217393</v>
      </c>
      <c r="L48" s="19">
        <f ca="1">IFERROR(AVERAGEIF('Preço Soja ESALQ'!$C:$C,'Modelo Soja'!$B48,'Preço Soja ESALQ'!Z:Z),NA())</f>
        <v>129.70130434782604</v>
      </c>
      <c r="M48" s="19">
        <f ca="1">IFERROR(AVERAGEIF('Preço Soja ESALQ'!$C:$C,'Modelo Soja'!$B48,'Preço Soja ESALQ'!AA:AA),NA())</f>
        <v>123.14956521739131</v>
      </c>
      <c r="N48" s="19">
        <f ca="1">IFERROR(AVERAGEIF('Preço Soja ESALQ'!$C:$C,'Modelo Soja'!$B48,'Preço Soja ESALQ'!AB:AB),NA())</f>
        <v>122.63000000000001</v>
      </c>
      <c r="O48" s="19">
        <f ca="1">IFERROR(AVERAGEIF('Preço Soja ESALQ'!$C:$C,'Modelo Soja'!$B48,'Preço Soja ESALQ'!AC:AC),NA())</f>
        <v>123.64619047619047</v>
      </c>
      <c r="P48" s="19" t="e">
        <f ca="1">IFERROR(AVERAGEIF('Preço Soja ESALQ'!$C:$C,'Modelo Soja'!$B48,'Preço Soja ESALQ'!AD:AD),NA())</f>
        <v>#N/A</v>
      </c>
      <c r="Q48" s="19">
        <f ca="1">IFERROR(AVERAGEIF('Preço Soja ESALQ'!$C:$C,'Modelo Soja'!$B48,'Preço Soja ESALQ'!BI:BI),NA())</f>
        <v>128.1</v>
      </c>
      <c r="R48" s="19">
        <f ca="1">IFERROR(AVERAGEIF('Preço Soja ESALQ'!$C:$C,'Modelo Soja'!$B48,'Preço Soja ESALQ'!BK:BK),NA())</f>
        <v>124.1190909090909</v>
      </c>
      <c r="S48" s="19">
        <f ca="1">IFERROR(AVERAGEIF('Preço Soja ESALQ'!$C:$C,'Modelo Soja'!$B48,'Preço Soja ESALQ'!BL:BL),NA())</f>
        <v>125.78782608695651</v>
      </c>
      <c r="T48" s="19" t="e">
        <f ca="1">IFERROR(AVERAGEIF('Preço Soja ESALQ'!$C:$C,'Modelo Soja'!$B48,'Preço Soja ESALQ'!BM:BM),NA())</f>
        <v>#N/A</v>
      </c>
      <c r="U48" s="19">
        <f ca="1">IFERROR(AVERAGEIF('Preço Soja ESALQ'!$C:$C,'Modelo Soja'!$B48,'Preço Soja ESALQ'!BN:BN),NA())</f>
        <v>124.75478260869563</v>
      </c>
      <c r="AA48" s="19">
        <f ca="1">IFERROR(AVERAGEIF('Preço Soja ESALQ'!$C:$C,'Modelo Soja'!$B48,'Preço Soja ESALQ'!BA:BA),NA())</f>
        <v>140.16695652173914</v>
      </c>
      <c r="AB48" s="19">
        <f ca="1">IFERROR(AVERAGEIF('Preço Soja ESALQ'!$C:$C,'Modelo Soja'!$B48,'Preço Soja ESALQ'!BB:BB),NA())</f>
        <v>139.96434782608694</v>
      </c>
      <c r="AC48" s="19">
        <f ca="1">IFERROR(AVERAGEIF('Preço Soja ESALQ'!$C:$C,'Modelo Soja'!$B48,'Preço Soja ESALQ'!BC:BC),NA())</f>
        <v>137.83043478260871</v>
      </c>
      <c r="AD48" s="19">
        <f ca="1">IFERROR(AVERAGEIF('Preço Soja ESALQ'!$C:$C,'Modelo Soja'!$B48,'Preço Soja ESALQ'!BD:BD),NA())</f>
        <v>139.88260869565218</v>
      </c>
      <c r="AE48" s="19">
        <f ca="1">IFERROR(AVERAGEIF('Preço Soja ESALQ'!$C:$C,'Modelo Soja'!$B48,'Preço Soja ESALQ'!BE:BE),NA())</f>
        <v>136.20782608695649</v>
      </c>
      <c r="AF48" s="19">
        <f ca="1">IFERROR(AVERAGEIF('Preço Soja ESALQ'!$C:$C,'Modelo Soja'!$B48,'Preço Soja ESALQ'!BF:BF),NA())</f>
        <v>135.06217391304344</v>
      </c>
      <c r="AG48" s="19">
        <f ca="1">IFERROR(AVERAGEIF('Preço Soja ESALQ'!$C:$C,'Modelo Soja'!$B48,'Preço Soja ESALQ'!BG:BG),NA())</f>
        <v>132.12217391304347</v>
      </c>
      <c r="AH48" s="19">
        <f ca="1">IFERROR(AVERAGEIF('Preço Soja ESALQ'!$C:$C,'Modelo Soja'!$B48,'Preço Soja ESALQ'!AE:AE),NA())</f>
        <v>131.88391304347823</v>
      </c>
      <c r="AI48" s="19">
        <f ca="1">IFERROR(AVERAGEIF('Preço Soja ESALQ'!$C:$C,'Modelo Soja'!$B48,'Preço Soja ESALQ'!AF:AF),NA())</f>
        <v>137.98695652173913</v>
      </c>
      <c r="AJ48" s="24">
        <f>+[2]summary!C60</f>
        <v>141.8326086956522</v>
      </c>
      <c r="AK48" s="24">
        <f t="shared" ca="1" si="2"/>
        <v>135.81854571177612</v>
      </c>
      <c r="AL48" s="24"/>
      <c r="AN48" s="24">
        <f>+[6]FSORPRA!H47</f>
        <v>393.75</v>
      </c>
      <c r="AO48" s="24">
        <f>+[6]FRONPRA!H47</f>
        <v>287.5</v>
      </c>
      <c r="AP48" s="24">
        <f>VLOOKUP(B48,'Frete ESALQ'!$C$5:$AL$131,36,FALSE)</f>
        <v>137.07</v>
      </c>
      <c r="AQ48" s="24">
        <f>VLOOKUP(B48,'Frete ESALQ'!$C$5:$AW$131,47,FALSE)</f>
        <v>113.57</v>
      </c>
      <c r="AR48" s="24">
        <f>VLOOKUP(B48,'Frete ESALQ'!$C$5:$BH$131,58,FALSE)</f>
        <v>140</v>
      </c>
      <c r="AS48" s="24">
        <f>VLOOKUP(B48,'Frete ESALQ'!$C$5:$BH$131,32,FALSE)</f>
        <v>143</v>
      </c>
      <c r="AT48" s="24">
        <f t="shared" si="3"/>
        <v>118.2076086956522</v>
      </c>
      <c r="AU48" s="24">
        <f t="shared" si="4"/>
        <v>124.5826086956522</v>
      </c>
      <c r="AV48" s="24">
        <f t="shared" si="5"/>
        <v>133.6084086956522</v>
      </c>
      <c r="AW48" s="24">
        <f t="shared" si="6"/>
        <v>135.0184086956522</v>
      </c>
      <c r="AX48" s="24">
        <f t="shared" ca="1" si="7"/>
        <v>123.72217391304346</v>
      </c>
      <c r="AY48" s="24">
        <f t="shared" ca="1" si="8"/>
        <v>123.30391304347823</v>
      </c>
      <c r="AZ48">
        <f t="shared" si="9"/>
        <v>10</v>
      </c>
      <c r="BA48" s="17">
        <f t="shared" si="10"/>
        <v>45566</v>
      </c>
      <c r="BB48" s="22">
        <f t="shared" ca="1" si="11"/>
        <v>9.5479841897232802</v>
      </c>
      <c r="BC48" s="22">
        <f t="shared" ca="1" si="12"/>
        <v>8.6217391304347757</v>
      </c>
      <c r="BD48" s="22">
        <f t="shared" ca="1" si="13"/>
        <v>13.058260869565174</v>
      </c>
      <c r="BE48" s="22">
        <f t="shared" ca="1" si="14"/>
        <v>16.6108695652173</v>
      </c>
      <c r="BF48" s="22">
        <f t="shared" ca="1" si="15"/>
        <v>8.103043478260858</v>
      </c>
      <c r="BG48" s="22">
        <f t="shared" ca="1" si="16"/>
        <v>9.4921739130434588</v>
      </c>
      <c r="BH48" s="25">
        <f t="shared" ca="1" si="0"/>
        <v>10.905678524374141</v>
      </c>
      <c r="BJ48" s="27">
        <f t="shared" ca="1" si="21"/>
        <v>9.5950674509065745</v>
      </c>
      <c r="BL48" s="41">
        <f t="shared" si="18"/>
        <v>383.75</v>
      </c>
      <c r="BM48" s="41">
        <f t="shared" si="19"/>
        <v>118.80760869565219</v>
      </c>
    </row>
    <row r="49" spans="2:65" x14ac:dyDescent="0.3">
      <c r="B49" s="17" t="str">
        <f t="shared" si="1"/>
        <v>202411</v>
      </c>
      <c r="C49" s="17">
        <f t="shared" si="20"/>
        <v>45597</v>
      </c>
      <c r="D49" s="19">
        <f ca="1">IFERROR(AVERAGEIF('Preço Soja ESALQ'!$C:$C,'Modelo Soja'!$B49,'Preço Soja ESALQ'!$R:$R),NA())</f>
        <v>118.38473684210528</v>
      </c>
      <c r="E49" s="19">
        <f ca="1">IFERROR(AVERAGEIF('Preço Soja ESALQ'!$C:$C,'Modelo Soja'!$B49,'Preço Soja ESALQ'!S:S),NA())</f>
        <v>129.18842105263155</v>
      </c>
      <c r="F49" s="19">
        <f ca="1">IFERROR(AVERAGEIF('Preço Soja ESALQ'!$C:$C,'Modelo Soja'!$B49,'Preço Soja ESALQ'!T:T),NA())</f>
        <v>131.69947368421055</v>
      </c>
      <c r="G49" s="19" t="e">
        <f ca="1">IFERROR(AVERAGEIF('Preço Soja ESALQ'!$C:$C,'Modelo Soja'!$B49,'Preço Soja ESALQ'!U:U),NA())</f>
        <v>#N/A</v>
      </c>
      <c r="H49" s="19">
        <f ca="1">IFERROR(AVERAGEIF('Preço Soja ESALQ'!$C:$C,'Modelo Soja'!$B49,'Preço Soja ESALQ'!V:V),NA())</f>
        <v>127.20421052631579</v>
      </c>
      <c r="I49" s="19">
        <f ca="1">IFERROR(AVERAGEIF('Preço Soja ESALQ'!$C:$C,'Modelo Soja'!$B49,'Preço Soja ESALQ'!W:W),NA())</f>
        <v>131.24263157894737</v>
      </c>
      <c r="J49" s="19">
        <f ca="1">IFERROR(AVERAGEIF('Preço Soja ESALQ'!$C:$C,'Modelo Soja'!$B49,'Preço Soja ESALQ'!X:X),NA())</f>
        <v>127.45842105263158</v>
      </c>
      <c r="K49" s="19">
        <f ca="1">IFERROR(AVERAGEIF('Preço Soja ESALQ'!$C:$C,'Modelo Soja'!$B49,'Preço Soja ESALQ'!Y:Y),NA())</f>
        <v>131.61421052631576</v>
      </c>
      <c r="L49" s="19">
        <f ca="1">IFERROR(AVERAGEIF('Preço Soja ESALQ'!$C:$C,'Modelo Soja'!$B49,'Preço Soja ESALQ'!Z:Z),NA())</f>
        <v>132.18315789473687</v>
      </c>
      <c r="M49" s="19">
        <f ca="1">IFERROR(AVERAGEIF('Preço Soja ESALQ'!$C:$C,'Modelo Soja'!$B49,'Preço Soja ESALQ'!AA:AA),NA())</f>
        <v>122.82894736842103</v>
      </c>
      <c r="N49" s="19">
        <f ca="1">IFERROR(AVERAGEIF('Preço Soja ESALQ'!$C:$C,'Modelo Soja'!$B49,'Preço Soja ESALQ'!AB:AB),NA())</f>
        <v>126.21473684210524</v>
      </c>
      <c r="O49" s="19">
        <f ca="1">IFERROR(AVERAGEIF('Preço Soja ESALQ'!$C:$C,'Modelo Soja'!$B49,'Preço Soja ESALQ'!AC:AC),NA())</f>
        <v>126.98785714285714</v>
      </c>
      <c r="P49" s="19" t="e">
        <f ca="1">IFERROR(AVERAGEIF('Preço Soja ESALQ'!$C:$C,'Modelo Soja'!$B49,'Preço Soja ESALQ'!AD:AD),NA())</f>
        <v>#N/A</v>
      </c>
      <c r="Q49" s="19">
        <f ca="1">IFERROR(AVERAGEIF('Preço Soja ESALQ'!$C:$C,'Modelo Soja'!$B49,'Preço Soja ESALQ'!BI:BI),NA())</f>
        <v>130.32210526315791</v>
      </c>
      <c r="R49" s="19">
        <f ca="1">IFERROR(AVERAGEIF('Preço Soja ESALQ'!$C:$C,'Modelo Soja'!$B49,'Preço Soja ESALQ'!BK:BK),NA())</f>
        <v>125.17999999999998</v>
      </c>
      <c r="S49" s="19">
        <f ca="1">IFERROR(AVERAGEIF('Preço Soja ESALQ'!$C:$C,'Modelo Soja'!$B49,'Preço Soja ESALQ'!BL:BL),NA())</f>
        <v>126.80263157894737</v>
      </c>
      <c r="T49" s="19" t="e">
        <f ca="1">IFERROR(AVERAGEIF('Preço Soja ESALQ'!$C:$C,'Modelo Soja'!$B49,'Preço Soja ESALQ'!BM:BM),NA())</f>
        <v>#N/A</v>
      </c>
      <c r="U49" s="19">
        <f ca="1">IFERROR(AVERAGEIF('Preço Soja ESALQ'!$C:$C,'Modelo Soja'!$B49,'Preço Soja ESALQ'!BN:BN),NA())</f>
        <v>125.12157894736845</v>
      </c>
      <c r="AA49" s="19">
        <f ca="1">IFERROR(AVERAGEIF('Preço Soja ESALQ'!$C:$C,'Modelo Soja'!$B49,'Preço Soja ESALQ'!BA:BA),NA())</f>
        <v>140.5826315789474</v>
      </c>
      <c r="AB49" s="19">
        <f ca="1">IFERROR(AVERAGEIF('Preço Soja ESALQ'!$C:$C,'Modelo Soja'!$B49,'Preço Soja ESALQ'!BB:BB),NA())</f>
        <v>139.48315789473682</v>
      </c>
      <c r="AC49" s="19">
        <f ca="1">IFERROR(AVERAGEIF('Preço Soja ESALQ'!$C:$C,'Modelo Soja'!$B49,'Preço Soja ESALQ'!BC:BC),NA())</f>
        <v>138.70631578947368</v>
      </c>
      <c r="AD49" s="19">
        <f ca="1">IFERROR(AVERAGEIF('Preço Soja ESALQ'!$C:$C,'Modelo Soja'!$B49,'Preço Soja ESALQ'!BD:BD),NA())</f>
        <v>140.46947368421053</v>
      </c>
      <c r="AE49" s="19">
        <f ca="1">IFERROR(AVERAGEIF('Preço Soja ESALQ'!$C:$C,'Modelo Soja'!$B49,'Preço Soja ESALQ'!BE:BE),NA())</f>
        <v>138.02842105263159</v>
      </c>
      <c r="AF49" s="19">
        <f ca="1">IFERROR(AVERAGEIF('Preço Soja ESALQ'!$C:$C,'Modelo Soja'!$B49,'Preço Soja ESALQ'!BF:BF),NA())</f>
        <v>137.39894736842106</v>
      </c>
      <c r="AG49" s="19">
        <f ca="1">IFERROR(AVERAGEIF('Preço Soja ESALQ'!$C:$C,'Modelo Soja'!$B49,'Preço Soja ESALQ'!BG:BG),NA())</f>
        <v>133.90947368421052</v>
      </c>
      <c r="AH49" s="19">
        <f ca="1">IFERROR(AVERAGEIF('Preço Soja ESALQ'!$C:$C,'Modelo Soja'!$B49,'Preço Soja ESALQ'!AE:AE),NA())</f>
        <v>133.79421052631574</v>
      </c>
      <c r="AI49" s="19">
        <f ca="1">IFERROR(AVERAGEIF('Preço Soja ESALQ'!$C:$C,'Modelo Soja'!$B49,'Preço Soja ESALQ'!AF:AF),NA())</f>
        <v>140.14842105263159</v>
      </c>
      <c r="AJ49" s="24">
        <f>+[2]summary!C61</f>
        <v>143.40736842105261</v>
      </c>
      <c r="AK49" s="24">
        <f t="shared" ca="1" si="2"/>
        <v>138.34555399610133</v>
      </c>
      <c r="AL49" s="24"/>
      <c r="AN49" s="24">
        <f>+[6]FSORPRA!H48</f>
        <v>370.76</v>
      </c>
      <c r="AO49" s="24">
        <f>+[6]FRONPRA!H48</f>
        <v>248.71999999999997</v>
      </c>
      <c r="AP49" s="24">
        <f>VLOOKUP(B49,'Frete ESALQ'!$C$5:$AL$131,36,FALSE)</f>
        <v>137.66</v>
      </c>
      <c r="AQ49" s="24">
        <f>VLOOKUP(B49,'Frete ESALQ'!$C$5:$AW$131,47,FALSE)</f>
        <v>106.67</v>
      </c>
      <c r="AR49" s="24">
        <f>VLOOKUP(B49,'Frete ESALQ'!$C$5:$BH$131,58,FALSE)</f>
        <v>135</v>
      </c>
      <c r="AS49" s="24">
        <f>VLOOKUP(B49,'Frete ESALQ'!$C$5:$BH$131,32,FALSE)</f>
        <v>137.5</v>
      </c>
      <c r="AT49" s="24">
        <f t="shared" si="3"/>
        <v>121.16176842105261</v>
      </c>
      <c r="AU49" s="24">
        <f t="shared" si="4"/>
        <v>128.4841684210526</v>
      </c>
      <c r="AV49" s="24">
        <f t="shared" si="5"/>
        <v>135.1477684210526</v>
      </c>
      <c r="AW49" s="24">
        <f t="shared" si="6"/>
        <v>137.0071684210526</v>
      </c>
      <c r="AX49" s="24">
        <f t="shared" ca="1" si="7"/>
        <v>125.80947368421053</v>
      </c>
      <c r="AY49" s="24">
        <f t="shared" ca="1" si="8"/>
        <v>125.54421052631574</v>
      </c>
      <c r="AZ49">
        <f t="shared" si="9"/>
        <v>11</v>
      </c>
      <c r="BA49" s="17">
        <f t="shared" si="10"/>
        <v>45597</v>
      </c>
      <c r="BB49" s="22">
        <f t="shared" ca="1" si="11"/>
        <v>8.2405263157894524</v>
      </c>
      <c r="BC49" s="22">
        <f t="shared" ca="1" si="12"/>
        <v>7.0921052631579187</v>
      </c>
      <c r="BD49" s="22">
        <f t="shared" ca="1" si="13"/>
        <v>15.19947368421056</v>
      </c>
      <c r="BE49" s="22">
        <f t="shared" ca="1" si="14"/>
        <v>19.014210526315779</v>
      </c>
      <c r="BF49" s="22">
        <f t="shared" ca="1" si="15"/>
        <v>6.3357894736841587</v>
      </c>
      <c r="BG49" s="22">
        <f t="shared" ca="1" si="16"/>
        <v>7.6947368421052857</v>
      </c>
      <c r="BH49" s="25">
        <f t="shared" ca="1" si="0"/>
        <v>10.596140350877192</v>
      </c>
      <c r="BJ49" s="27">
        <f t="shared" ca="1" si="21"/>
        <v>9.1571329434697866</v>
      </c>
      <c r="BL49" s="41">
        <f t="shared" si="18"/>
        <v>360.76</v>
      </c>
      <c r="BM49" s="41">
        <f t="shared" si="19"/>
        <v>121.76176842105261</v>
      </c>
    </row>
    <row r="50" spans="2:65" x14ac:dyDescent="0.3">
      <c r="B50" s="17" t="str">
        <f t="shared" si="1"/>
        <v>202412</v>
      </c>
      <c r="C50" s="17">
        <f t="shared" si="20"/>
        <v>45627</v>
      </c>
      <c r="D50" s="19">
        <f ca="1">IFERROR(AVERAGEIF('Preço Soja ESALQ'!$C:$C,'Modelo Soja'!$B50,'Preço Soja ESALQ'!$R:$R),NA())</f>
        <v>117.71263157894739</v>
      </c>
      <c r="E50" s="19">
        <f ca="1">IFERROR(AVERAGEIF('Preço Soja ESALQ'!$C:$C,'Modelo Soja'!$B50,'Preço Soja ESALQ'!S:S),NA())</f>
        <v>122.15631578947365</v>
      </c>
      <c r="F50" s="19">
        <f ca="1">IFERROR(AVERAGEIF('Preço Soja ESALQ'!$C:$C,'Modelo Soja'!$B50,'Preço Soja ESALQ'!T:T),NA())</f>
        <v>128.79894736842101</v>
      </c>
      <c r="G50" s="19" t="e">
        <f ca="1">IFERROR(AVERAGEIF('Preço Soja ESALQ'!$C:$C,'Modelo Soja'!$B50,'Preço Soja ESALQ'!U:U),NA())</f>
        <v>#N/A</v>
      </c>
      <c r="H50" s="19">
        <f ca="1">IFERROR(AVERAGEIF('Preço Soja ESALQ'!$C:$C,'Modelo Soja'!$B50,'Preço Soja ESALQ'!V:V),NA())</f>
        <v>126.76263157894736</v>
      </c>
      <c r="I50" s="19">
        <f ca="1">IFERROR(AVERAGEIF('Preço Soja ESALQ'!$C:$C,'Modelo Soja'!$B50,'Preço Soja ESALQ'!W:W),NA())</f>
        <v>129.18894736842108</v>
      </c>
      <c r="J50" s="19">
        <f ca="1">IFERROR(AVERAGEIF('Preço Soja ESALQ'!$C:$C,'Modelo Soja'!$B50,'Preço Soja ESALQ'!X:X),NA())</f>
        <v>126.79684210526318</v>
      </c>
      <c r="K50" s="19">
        <f ca="1">IFERROR(AVERAGEIF('Preço Soja ESALQ'!$C:$C,'Modelo Soja'!$B50,'Preço Soja ESALQ'!Y:Y),NA())</f>
        <v>127.90368421052629</v>
      </c>
      <c r="L50" s="19">
        <f ca="1">IFERROR(AVERAGEIF('Preço Soja ESALQ'!$C:$C,'Modelo Soja'!$B50,'Preço Soja ESALQ'!Z:Z),NA())</f>
        <v>128.84315789473683</v>
      </c>
      <c r="M50" s="19">
        <f ca="1">IFERROR(AVERAGEIF('Preço Soja ESALQ'!$C:$C,'Modelo Soja'!$B50,'Preço Soja ESALQ'!AA:AA),NA())</f>
        <v>122.13368421052631</v>
      </c>
      <c r="N50" s="19">
        <f ca="1">IFERROR(AVERAGEIF('Preço Soja ESALQ'!$C:$C,'Modelo Soja'!$B50,'Preço Soja ESALQ'!AB:AB),NA())</f>
        <v>125.91368421052634</v>
      </c>
      <c r="O50" s="19">
        <f ca="1">IFERROR(AVERAGEIF('Preço Soja ESALQ'!$C:$C,'Modelo Soja'!$B50,'Preço Soja ESALQ'!AC:AC),NA())</f>
        <v>124.39857142857143</v>
      </c>
      <c r="P50" s="19" t="e">
        <f ca="1">IFERROR(AVERAGEIF('Preço Soja ESALQ'!$C:$C,'Modelo Soja'!$B50,'Preço Soja ESALQ'!AD:AD),NA())</f>
        <v>#N/A</v>
      </c>
      <c r="Q50" s="19">
        <f ca="1">IFERROR(AVERAGEIF('Preço Soja ESALQ'!$C:$C,'Modelo Soja'!$B50,'Preço Soja ESALQ'!BI:BI),NA())</f>
        <v>130.41263157894736</v>
      </c>
      <c r="R50" s="19">
        <f ca="1">IFERROR(AVERAGEIF('Preço Soja ESALQ'!$C:$C,'Modelo Soja'!$B50,'Preço Soja ESALQ'!BK:BK),NA())</f>
        <v>123.54818181818182</v>
      </c>
      <c r="S50" s="19">
        <f ca="1">IFERROR(AVERAGEIF('Preço Soja ESALQ'!$C:$C,'Modelo Soja'!$B50,'Preço Soja ESALQ'!BL:BL),NA())</f>
        <v>122.22473684210529</v>
      </c>
      <c r="T50" s="19" t="e">
        <f ca="1">IFERROR(AVERAGEIF('Preço Soja ESALQ'!$C:$C,'Modelo Soja'!$B50,'Preço Soja ESALQ'!BM:BM),NA())</f>
        <v>#N/A</v>
      </c>
      <c r="U50" s="19">
        <f ca="1">IFERROR(AVERAGEIF('Preço Soja ESALQ'!$C:$C,'Modelo Soja'!$B50,'Preço Soja ESALQ'!BN:BN),NA())</f>
        <v>122.05</v>
      </c>
      <c r="AA50" s="19">
        <f ca="1">IFERROR(AVERAGEIF('Preço Soja ESALQ'!$C:$C,'Modelo Soja'!$B50,'Preço Soja ESALQ'!BA:BA),NA())</f>
        <v>130.78789473684211</v>
      </c>
      <c r="AB50" s="19">
        <f ca="1">IFERROR(AVERAGEIF('Preço Soja ESALQ'!$C:$C,'Modelo Soja'!$B50,'Preço Soja ESALQ'!BB:BB),NA())</f>
        <v>138.64368421052632</v>
      </c>
      <c r="AC50" s="19">
        <f ca="1">IFERROR(AVERAGEIF('Preço Soja ESALQ'!$C:$C,'Modelo Soja'!$B50,'Preço Soja ESALQ'!BC:BC),NA())</f>
        <v>135.31947368421052</v>
      </c>
      <c r="AD50" s="19">
        <f ca="1">IFERROR(AVERAGEIF('Preço Soja ESALQ'!$C:$C,'Modelo Soja'!$B50,'Preço Soja ESALQ'!BD:BD),NA())</f>
        <v>138.47210526315789</v>
      </c>
      <c r="AE50" s="19">
        <f ca="1">IFERROR(AVERAGEIF('Preço Soja ESALQ'!$C:$C,'Modelo Soja'!$B50,'Preço Soja ESALQ'!BE:BE),NA())</f>
        <v>134.75684210526313</v>
      </c>
      <c r="AF50" s="19">
        <f ca="1">IFERROR(AVERAGEIF('Preço Soja ESALQ'!$C:$C,'Modelo Soja'!$B50,'Preço Soja ESALQ'!BF:BF),NA())</f>
        <v>142.58631578947367</v>
      </c>
      <c r="AG50" s="19">
        <f ca="1">IFERROR(AVERAGEIF('Preço Soja ESALQ'!$C:$C,'Modelo Soja'!$B50,'Preço Soja ESALQ'!BG:BG),NA())</f>
        <v>134.20052631578946</v>
      </c>
      <c r="AH50" s="19">
        <f ca="1">IFERROR(AVERAGEIF('Preço Soja ESALQ'!$C:$C,'Modelo Soja'!$B50,'Preço Soja ESALQ'!AE:AE),NA())</f>
        <v>133.24421052631578</v>
      </c>
      <c r="AI50" s="19">
        <f ca="1">IFERROR(AVERAGEIF('Preço Soja ESALQ'!$C:$C,'Modelo Soja'!$B50,'Preço Soja ESALQ'!AF:AF),NA())</f>
        <v>136.38777777777781</v>
      </c>
      <c r="AJ50" s="24">
        <f>+[2]summary!C62</f>
        <v>141.16947368421052</v>
      </c>
      <c r="AK50" s="24">
        <f t="shared" ca="1" si="2"/>
        <v>131.89517456140348</v>
      </c>
      <c r="AL50" s="24"/>
      <c r="AN50" s="24">
        <f>+[6]FSORPRA!H49</f>
        <v>323.27499999999998</v>
      </c>
      <c r="AO50" s="24">
        <f>+[6]FRONPRA!H49</f>
        <v>219.42500000000001</v>
      </c>
      <c r="AP50" s="24">
        <f>VLOOKUP(B50,'Frete ESALQ'!$C$5:$AL$131,36,FALSE)</f>
        <v>122.55</v>
      </c>
      <c r="AQ50" s="24">
        <f>VLOOKUP(B50,'Frete ESALQ'!$C$5:$AW$131,47,FALSE)</f>
        <v>102.5</v>
      </c>
      <c r="AR50" s="24">
        <f>VLOOKUP(B50,'Frete ESALQ'!$C$5:$BH$131,58,FALSE)</f>
        <v>130</v>
      </c>
      <c r="AS50" s="24">
        <f>VLOOKUP(B50,'Frete ESALQ'!$C$5:$BH$131,32,FALSE)</f>
        <v>130</v>
      </c>
      <c r="AT50" s="24">
        <f t="shared" si="3"/>
        <v>121.77297368421051</v>
      </c>
      <c r="AU50" s="24">
        <f t="shared" si="4"/>
        <v>128.00397368421051</v>
      </c>
      <c r="AV50" s="24">
        <f t="shared" si="5"/>
        <v>133.81647368421051</v>
      </c>
      <c r="AW50" s="24">
        <f t="shared" si="6"/>
        <v>135.01947368421051</v>
      </c>
      <c r="AX50" s="24">
        <f t="shared" ca="1" si="7"/>
        <v>126.40052631578946</v>
      </c>
      <c r="AY50" s="24">
        <f t="shared" ca="1" si="8"/>
        <v>125.44421052631579</v>
      </c>
      <c r="AZ50">
        <f t="shared" si="9"/>
        <v>12</v>
      </c>
      <c r="BA50" s="17">
        <f t="shared" si="10"/>
        <v>45627</v>
      </c>
      <c r="BB50" s="22">
        <f t="shared" ca="1" si="11"/>
        <v>9.454736842105234</v>
      </c>
      <c r="BC50" s="22">
        <f t="shared" ca="1" si="12"/>
        <v>7.415789473684228</v>
      </c>
      <c r="BD50" s="22">
        <f t="shared" ca="1" si="13"/>
        <v>12.623157894736821</v>
      </c>
      <c r="BE50" s="22">
        <f t="shared" ca="1" si="14"/>
        <v>24.873684210526278</v>
      </c>
      <c r="BF50" s="22">
        <f t="shared" ca="1" si="15"/>
        <v>6.4473684210526017</v>
      </c>
      <c r="BG50" s="22">
        <f t="shared" ca="1" si="16"/>
        <v>8.2868421052631192</v>
      </c>
      <c r="BH50" s="25">
        <f t="shared" ca="1" si="0"/>
        <v>11.51692982456138</v>
      </c>
      <c r="BJ50" s="27">
        <f t="shared" ca="1" si="21"/>
        <v>9.7388587719298165</v>
      </c>
      <c r="BL50" s="41">
        <f t="shared" si="18"/>
        <v>313.27499999999998</v>
      </c>
      <c r="BM50" s="41">
        <f t="shared" si="19"/>
        <v>122.37297368421052</v>
      </c>
    </row>
    <row r="51" spans="2:65" x14ac:dyDescent="0.3">
      <c r="B51" s="17" t="str">
        <f t="shared" si="1"/>
        <v>20251</v>
      </c>
      <c r="C51" s="17">
        <f t="shared" si="20"/>
        <v>45658</v>
      </c>
      <c r="D51" s="19">
        <f ca="1">IFERROR(AVERAGEIF('Preço Soja ESALQ'!$C:$C,'Modelo Soja'!$B51,'Preço Soja ESALQ'!$R:$R),NA())</f>
        <v>116.96772727272732</v>
      </c>
      <c r="E51" s="19">
        <f ca="1">IFERROR(AVERAGEIF('Preço Soja ESALQ'!$C:$C,'Modelo Soja'!$B51,'Preço Soja ESALQ'!S:S),NA())</f>
        <v>106.93136363636363</v>
      </c>
      <c r="F51" s="19">
        <f ca="1">IFERROR(AVERAGEIF('Preço Soja ESALQ'!$C:$C,'Modelo Soja'!$B51,'Preço Soja ESALQ'!T:T),NA())</f>
        <v>120.24590909090907</v>
      </c>
      <c r="G51" s="19">
        <f ca="1">IFERROR(AVERAGEIF('Preço Soja ESALQ'!$C:$C,'Modelo Soja'!$B51,'Preço Soja ESALQ'!U:U),NA())</f>
        <v>109.31</v>
      </c>
      <c r="H51" s="19">
        <f ca="1">IFERROR(AVERAGEIF('Preço Soja ESALQ'!$C:$C,'Modelo Soja'!$B51,'Preço Soja ESALQ'!V:V),NA())</f>
        <v>118.07909090909092</v>
      </c>
      <c r="I51" s="19">
        <f ca="1">IFERROR(AVERAGEIF('Preço Soja ESALQ'!$C:$C,'Modelo Soja'!$B51,'Preço Soja ESALQ'!W:W),NA())</f>
        <v>122.20045454545458</v>
      </c>
      <c r="J51" s="19">
        <f ca="1">IFERROR(AVERAGEIF('Preço Soja ESALQ'!$C:$C,'Modelo Soja'!$B51,'Preço Soja ESALQ'!X:X),NA())</f>
        <v>126.07590909090912</v>
      </c>
      <c r="K51" s="19">
        <f ca="1">IFERROR(AVERAGEIF('Preço Soja ESALQ'!$C:$C,'Modelo Soja'!$B51,'Preço Soja ESALQ'!Y:Y),NA())</f>
        <v>118.3781818181818</v>
      </c>
      <c r="L51" s="19">
        <f ca="1">IFERROR(AVERAGEIF('Preço Soja ESALQ'!$C:$C,'Modelo Soja'!$B51,'Preço Soja ESALQ'!Z:Z),NA())</f>
        <v>119.91090909090907</v>
      </c>
      <c r="M51" s="19">
        <f ca="1">IFERROR(AVERAGEIF('Preço Soja ESALQ'!$C:$C,'Modelo Soja'!$B51,'Preço Soja ESALQ'!AA:AA),NA())</f>
        <v>121.26454545454548</v>
      </c>
      <c r="N51" s="19">
        <f ca="1">IFERROR(AVERAGEIF('Preço Soja ESALQ'!$C:$C,'Modelo Soja'!$B51,'Preço Soja ESALQ'!AB:AB),NA())</f>
        <v>125.26954545454542</v>
      </c>
      <c r="O51" s="19">
        <f ca="1">IFERROR(AVERAGEIF('Preço Soja ESALQ'!$C:$C,'Modelo Soja'!$B51,'Preço Soja ESALQ'!AC:AC),NA())</f>
        <v>115.76</v>
      </c>
      <c r="P51" s="19" t="e">
        <f ca="1">IFERROR(AVERAGEIF('Preço Soja ESALQ'!$C:$C,'Modelo Soja'!$B51,'Preço Soja ESALQ'!AD:AD),NA())</f>
        <v>#N/A</v>
      </c>
      <c r="Q51" s="19">
        <f ca="1">IFERROR(AVERAGEIF('Preço Soja ESALQ'!$C:$C,'Modelo Soja'!$B51,'Preço Soja ESALQ'!BI:BI),NA())</f>
        <v>126.36136363636363</v>
      </c>
      <c r="R51" s="19">
        <f ca="1">IFERROR(AVERAGEIF('Preço Soja ESALQ'!$C:$C,'Modelo Soja'!$B51,'Preço Soja ESALQ'!BK:BK),NA())</f>
        <v>114.696</v>
      </c>
      <c r="S51" s="19">
        <f ca="1">IFERROR(AVERAGEIF('Preço Soja ESALQ'!$C:$C,'Modelo Soja'!$B51,'Preço Soja ESALQ'!BL:BL),NA())</f>
        <v>113.46363636363635</v>
      </c>
      <c r="T51" s="19" t="e">
        <f ca="1">IFERROR(AVERAGEIF('Preço Soja ESALQ'!$C:$C,'Modelo Soja'!$B51,'Preço Soja ESALQ'!BM:BM),NA())</f>
        <v>#N/A</v>
      </c>
      <c r="U51" s="19">
        <f ca="1">IFERROR(AVERAGEIF('Preço Soja ESALQ'!$C:$C,'Modelo Soja'!$B51,'Preço Soja ESALQ'!BN:BN),NA())</f>
        <v>113.54318181818185</v>
      </c>
      <c r="AA51" s="19">
        <f ca="1">IFERROR(AVERAGEIF('Preço Soja ESALQ'!$C:$C,'Modelo Soja'!$B51,'Preço Soja ESALQ'!BA:BA),NA())</f>
        <v>118.82499999999996</v>
      </c>
      <c r="AB51" s="19">
        <f ca="1">IFERROR(AVERAGEIF('Preço Soja ESALQ'!$C:$C,'Modelo Soja'!$B51,'Preço Soja ESALQ'!BB:BB),NA())</f>
        <v>130.69818181818184</v>
      </c>
      <c r="AC51" s="19">
        <f ca="1">IFERROR(AVERAGEIF('Preço Soja ESALQ'!$C:$C,'Modelo Soja'!$B51,'Preço Soja ESALQ'!BC:BC),NA())</f>
        <v>126.46045454545452</v>
      </c>
      <c r="AD51" s="19">
        <f ca="1">IFERROR(AVERAGEIF('Preço Soja ESALQ'!$C:$C,'Modelo Soja'!$B51,'Preço Soja ESALQ'!BD:BD),NA())</f>
        <v>128.16590909090908</v>
      </c>
      <c r="AE51" s="19">
        <f ca="1">IFERROR(AVERAGEIF('Preço Soja ESALQ'!$C:$C,'Modelo Soja'!$B51,'Preço Soja ESALQ'!BE:BE),NA())</f>
        <v>126.04318181818181</v>
      </c>
      <c r="AF51" s="19">
        <f ca="1">IFERROR(AVERAGEIF('Preço Soja ESALQ'!$C:$C,'Modelo Soja'!$B51,'Preço Soja ESALQ'!BF:BF),NA())</f>
        <v>125.05909090909091</v>
      </c>
      <c r="AG51" s="19">
        <f ca="1">IFERROR(AVERAGEIF('Preço Soja ESALQ'!$C:$C,'Modelo Soja'!$B51,'Preço Soja ESALQ'!BG:BG),NA())</f>
        <v>134.19681818181814</v>
      </c>
      <c r="AH51" s="19">
        <f ca="1">IFERROR(AVERAGEIF('Preço Soja ESALQ'!$C:$C,'Modelo Soja'!$B51,'Preço Soja ESALQ'!AE:AE),NA())</f>
        <v>133.16090909090909</v>
      </c>
      <c r="AI51" s="19">
        <f ca="1">IFERROR(AVERAGEIF('Preço Soja ESALQ'!$C:$C,'Modelo Soja'!$B51,'Preço Soja ESALQ'!AF:AF),NA())</f>
        <v>131.94363636363636</v>
      </c>
      <c r="AJ51" s="24">
        <f>+[2]summary!C63</f>
        <v>134.62181818181816</v>
      </c>
      <c r="AK51" s="24">
        <f t="shared" ca="1" si="2"/>
        <v>115.42414153069964</v>
      </c>
      <c r="AL51" s="24"/>
      <c r="AN51" s="24">
        <f>+[6]FSORPRA!H50</f>
        <v>343.33333333333331</v>
      </c>
      <c r="AO51" s="24">
        <f>+[6]FRONPRA!H50</f>
        <v>256.66666666666669</v>
      </c>
      <c r="AP51" s="24">
        <f>VLOOKUP(B51,'Frete ESALQ'!$C$5:$AL$131,36,FALSE)</f>
        <v>146</v>
      </c>
      <c r="AQ51" s="24">
        <f>VLOOKUP(B51,'Frete ESALQ'!$C$5:$AW$131,47,FALSE)</f>
        <v>113.33</v>
      </c>
      <c r="AR51" s="24">
        <f>VLOOKUP(B51,'Frete ESALQ'!$C$5:$BH$131,58,FALSE)</f>
        <v>136.66999999999999</v>
      </c>
      <c r="AS51" s="24">
        <f>VLOOKUP(B51,'Frete ESALQ'!$C$5:$BH$131,32,FALSE)</f>
        <v>132.5</v>
      </c>
      <c r="AT51" s="24">
        <f t="shared" si="3"/>
        <v>114.02181818181816</v>
      </c>
      <c r="AU51" s="24">
        <f t="shared" si="4"/>
        <v>119.22181818181815</v>
      </c>
      <c r="AV51" s="24">
        <f t="shared" si="5"/>
        <v>125.86181818181815</v>
      </c>
      <c r="AW51" s="24">
        <f t="shared" si="6"/>
        <v>127.82201818181815</v>
      </c>
      <c r="AX51" s="24">
        <f t="shared" ca="1" si="7"/>
        <v>125.99661818181815</v>
      </c>
      <c r="AY51" s="24">
        <f t="shared" ca="1" si="8"/>
        <v>125.21090909090908</v>
      </c>
      <c r="AZ51">
        <f t="shared" si="9"/>
        <v>1</v>
      </c>
      <c r="BA51" s="17">
        <f t="shared" si="10"/>
        <v>45658</v>
      </c>
      <c r="BB51" s="22">
        <f t="shared" ca="1" si="11"/>
        <v>8.4977272727272606</v>
      </c>
      <c r="BC51" s="22">
        <f t="shared" ca="1" si="12"/>
        <v>8.0822727272727235</v>
      </c>
      <c r="BD51" s="22">
        <f t="shared" ca="1" si="13"/>
        <v>4.7786363636363234</v>
      </c>
      <c r="BE51" s="22">
        <f t="shared" ca="1" si="14"/>
        <v>8.0913636363635959</v>
      </c>
      <c r="BF51" s="22">
        <f t="shared" ca="1" si="15"/>
        <v>7.0849999999999653</v>
      </c>
      <c r="BG51" s="22">
        <f t="shared" ca="1" si="16"/>
        <v>8.9272727272727224</v>
      </c>
      <c r="BH51" s="25">
        <f t="shared" ca="1" si="0"/>
        <v>7.5770454545454315</v>
      </c>
      <c r="BJ51" s="27">
        <f t="shared" ca="1" si="21"/>
        <v>8.4927778943360082</v>
      </c>
      <c r="BL51" s="41">
        <f t="shared" si="18"/>
        <v>333.33333333333331</v>
      </c>
      <c r="BM51" s="41">
        <f t="shared" si="19"/>
        <v>114.62181818181816</v>
      </c>
    </row>
    <row r="52" spans="2:65" x14ac:dyDescent="0.3">
      <c r="B52" s="17" t="str">
        <f t="shared" si="1"/>
        <v>20252</v>
      </c>
      <c r="C52" s="17">
        <f t="shared" si="20"/>
        <v>45689</v>
      </c>
      <c r="D52" s="19">
        <f ca="1">IFERROR(AVERAGEIF('Preço Soja ESALQ'!$C:$C,'Modelo Soja'!$B52,'Preço Soja ESALQ'!$R:$R),NA())</f>
        <v>114.833</v>
      </c>
      <c r="E52" s="19">
        <f ca="1">IFERROR(AVERAGEIF('Preço Soja ESALQ'!$C:$C,'Modelo Soja'!$B52,'Preço Soja ESALQ'!S:S),NA())</f>
        <v>102.18449999999999</v>
      </c>
      <c r="F52" s="19">
        <f ca="1">IFERROR(AVERAGEIF('Preço Soja ESALQ'!$C:$C,'Modelo Soja'!$B52,'Preço Soja ESALQ'!T:T),NA())</f>
        <v>120.80649999999999</v>
      </c>
      <c r="G52" s="19">
        <f ca="1">IFERROR(AVERAGEIF('Preço Soja ESALQ'!$C:$C,'Modelo Soja'!$B52,'Preço Soja ESALQ'!U:U),NA())</f>
        <v>111.74333333333335</v>
      </c>
      <c r="H52" s="19">
        <f ca="1">IFERROR(AVERAGEIF('Preço Soja ESALQ'!$C:$C,'Modelo Soja'!$B52,'Preço Soja ESALQ'!V:V),NA())</f>
        <v>112.3845</v>
      </c>
      <c r="I52" s="19">
        <f ca="1">IFERROR(AVERAGEIF('Preço Soja ESALQ'!$C:$C,'Modelo Soja'!$B52,'Preço Soja ESALQ'!W:W),NA())</f>
        <v>122.508</v>
      </c>
      <c r="J52" s="19">
        <f ca="1">IFERROR(AVERAGEIF('Preço Soja ESALQ'!$C:$C,'Modelo Soja'!$B52,'Preço Soja ESALQ'!X:X),NA())</f>
        <v>124.32649999999998</v>
      </c>
      <c r="K52" s="19">
        <f ca="1">IFERROR(AVERAGEIF('Preço Soja ESALQ'!$C:$C,'Modelo Soja'!$B52,'Preço Soja ESALQ'!Y:Y),NA())</f>
        <v>118.60550000000001</v>
      </c>
      <c r="L52" s="19">
        <f ca="1">IFERROR(AVERAGEIF('Preço Soja ESALQ'!$C:$C,'Modelo Soja'!$B52,'Preço Soja ESALQ'!Z:Z),NA())</f>
        <v>121.37450000000001</v>
      </c>
      <c r="M52" s="19">
        <f ca="1">IFERROR(AVERAGEIF('Preço Soja ESALQ'!$C:$C,'Modelo Soja'!$B52,'Preço Soja ESALQ'!AA:AA),NA())</f>
        <v>118.12449999999998</v>
      </c>
      <c r="N52" s="19">
        <f ca="1">IFERROR(AVERAGEIF('Preço Soja ESALQ'!$C:$C,'Modelo Soja'!$B52,'Preço Soja ESALQ'!AB:AB),NA())</f>
        <v>123.78849999999996</v>
      </c>
      <c r="O52" s="19" t="e">
        <f ca="1">IFERROR(AVERAGEIF('Preço Soja ESALQ'!$C:$C,'Modelo Soja'!$B52,'Preço Soja ESALQ'!AC:AC),NA())</f>
        <v>#N/A</v>
      </c>
      <c r="P52" s="19" t="e">
        <f ca="1">IFERROR(AVERAGEIF('Preço Soja ESALQ'!$C:$C,'Modelo Soja'!$B52,'Preço Soja ESALQ'!AD:AD),NA())</f>
        <v>#N/A</v>
      </c>
      <c r="Q52" s="19">
        <f ca="1">IFERROR(AVERAGEIF('Preço Soja ESALQ'!$C:$C,'Modelo Soja'!$B52,'Preço Soja ESALQ'!BI:BI),NA())</f>
        <v>124.46399999999997</v>
      </c>
      <c r="R52" s="19">
        <f ca="1">IFERROR(AVERAGEIF('Preço Soja ESALQ'!$C:$C,'Modelo Soja'!$B52,'Preço Soja ESALQ'!BK:BK),NA())</f>
        <v>114.12449999999998</v>
      </c>
      <c r="S52" s="19">
        <f ca="1">IFERROR(AVERAGEIF('Preço Soja ESALQ'!$C:$C,'Modelo Soja'!$B52,'Preço Soja ESALQ'!BL:BL),NA())</f>
        <v>114.824</v>
      </c>
      <c r="T52" s="19" t="e">
        <f ca="1">IFERROR(AVERAGEIF('Preço Soja ESALQ'!$C:$C,'Modelo Soja'!$B52,'Preço Soja ESALQ'!BM:BM),NA())</f>
        <v>#N/A</v>
      </c>
      <c r="U52" s="19">
        <f ca="1">IFERROR(AVERAGEIF('Preço Soja ESALQ'!$C:$C,'Modelo Soja'!$B52,'Preço Soja ESALQ'!BN:BN),NA())</f>
        <v>114.508</v>
      </c>
      <c r="AA52" s="19">
        <f ca="1">IFERROR(AVERAGEIF('Preço Soja ESALQ'!$C:$C,'Modelo Soja'!$B52,'Preço Soja ESALQ'!BA:BA),NA())</f>
        <v>112.8065</v>
      </c>
      <c r="AB52" s="19">
        <f ca="1">IFERROR(AVERAGEIF('Preço Soja ESALQ'!$C:$C,'Modelo Soja'!$B52,'Preço Soja ESALQ'!BB:BB),NA())</f>
        <v>127.59349999999999</v>
      </c>
      <c r="AC52" s="19">
        <f ca="1">IFERROR(AVERAGEIF('Preço Soja ESALQ'!$C:$C,'Modelo Soja'!$B52,'Preço Soja ESALQ'!BC:BC),NA())</f>
        <v>122.80899999999997</v>
      </c>
      <c r="AD52" s="19">
        <f ca="1">IFERROR(AVERAGEIF('Preço Soja ESALQ'!$C:$C,'Modelo Soja'!$B52,'Preço Soja ESALQ'!BD:BD),NA())</f>
        <v>123.73000000000002</v>
      </c>
      <c r="AE52" s="19">
        <f ca="1">IFERROR(AVERAGEIF('Preço Soja ESALQ'!$C:$C,'Modelo Soja'!$B52,'Preço Soja ESALQ'!BE:BE),NA())</f>
        <v>121.54349999999999</v>
      </c>
      <c r="AF52" s="19">
        <f ca="1">IFERROR(AVERAGEIF('Preço Soja ESALQ'!$C:$C,'Modelo Soja'!$B52,'Preço Soja ESALQ'!BF:BF),NA())</f>
        <v>116.61549999999995</v>
      </c>
      <c r="AG52" s="19">
        <f ca="1">IFERROR(AVERAGEIF('Preço Soja ESALQ'!$C:$C,'Modelo Soja'!$B52,'Preço Soja ESALQ'!BG:BG),NA())</f>
        <v>131.40500000000003</v>
      </c>
      <c r="AH52" s="19">
        <f ca="1">IFERROR(AVERAGEIF('Preço Soja ESALQ'!$C:$C,'Modelo Soja'!$B52,'Preço Soja ESALQ'!AE:AE),NA())</f>
        <v>130.999</v>
      </c>
      <c r="AI52" s="19">
        <f ca="1">IFERROR(AVERAGEIF('Preço Soja ESALQ'!$C:$C,'Modelo Soja'!$B52,'Preço Soja ESALQ'!AF:AF),NA())</f>
        <v>122.46529411764708</v>
      </c>
      <c r="AJ52" s="24">
        <f>+[2]summary!C64</f>
        <v>131.56800000000001</v>
      </c>
      <c r="AK52" s="24">
        <f t="shared" ca="1" si="2"/>
        <v>107.79449910656268</v>
      </c>
      <c r="AL52" s="24"/>
      <c r="AN52" s="24">
        <f>+[6]FSORPRA!H51</f>
        <v>478.75</v>
      </c>
      <c r="AO52" s="24">
        <f>+[6]FRONPRA!H51</f>
        <v>380</v>
      </c>
      <c r="AP52" s="24">
        <f>VLOOKUP(B52,'Frete ESALQ'!$C$5:$AL$131,36,FALSE)</f>
        <v>155</v>
      </c>
      <c r="AQ52" s="24">
        <f>VLOOKUP(B52,'Frete ESALQ'!$C$5:$AW$131,47,FALSE)</f>
        <v>146.25</v>
      </c>
      <c r="AR52" s="24">
        <f>VLOOKUP(B52,'Frete ESALQ'!$C$5:$BH$131,58,FALSE)</f>
        <v>148.75</v>
      </c>
      <c r="AS52" s="24">
        <f>VLOOKUP(B52,'Frete ESALQ'!$C$5:$BH$131,32,FALSE)</f>
        <v>145</v>
      </c>
      <c r="AT52" s="24">
        <f t="shared" si="3"/>
        <v>102.84300000000002</v>
      </c>
      <c r="AU52" s="24">
        <f t="shared" si="4"/>
        <v>108.76800000000001</v>
      </c>
      <c r="AV52" s="24">
        <f t="shared" si="5"/>
        <v>122.26800000000001</v>
      </c>
      <c r="AW52" s="24">
        <f t="shared" si="6"/>
        <v>122.79300000000001</v>
      </c>
      <c r="AX52" s="24">
        <f t="shared" ca="1" si="7"/>
        <v>122.48000000000003</v>
      </c>
      <c r="AY52" s="24">
        <f t="shared" ca="1" si="8"/>
        <v>122.29899999999999</v>
      </c>
      <c r="AZ52">
        <f t="shared" si="9"/>
        <v>2</v>
      </c>
      <c r="BA52" s="17">
        <f t="shared" si="10"/>
        <v>45689</v>
      </c>
      <c r="BB52" s="22">
        <f t="shared" ca="1" si="11"/>
        <v>5.0854999999999961</v>
      </c>
      <c r="BC52" s="22">
        <f t="shared" ca="1" si="12"/>
        <v>4.2034999999999627</v>
      </c>
      <c r="BD52" s="22">
        <f t="shared" ca="1" si="13"/>
        <v>3.4190000000000111</v>
      </c>
      <c r="BE52" s="22">
        <f t="shared" ca="1" si="14"/>
        <v>1.7824999999999562</v>
      </c>
      <c r="BF52" s="22">
        <f t="shared" ca="1" si="15"/>
        <v>6.6725000000000136</v>
      </c>
      <c r="BG52" s="22">
        <f t="shared" ca="1" si="16"/>
        <v>7.6165000000000731</v>
      </c>
      <c r="BH52" s="25">
        <f t="shared" ca="1" si="0"/>
        <v>4.7965833333333352</v>
      </c>
      <c r="BJ52" s="27">
        <f t="shared" ca="1" si="21"/>
        <v>5.6099991065627028</v>
      </c>
      <c r="BL52" s="41">
        <f t="shared" si="18"/>
        <v>468.75</v>
      </c>
      <c r="BM52" s="41">
        <f t="shared" si="19"/>
        <v>103.44300000000001</v>
      </c>
    </row>
    <row r="53" spans="2:65" x14ac:dyDescent="0.3">
      <c r="B53" s="17" t="str">
        <f t="shared" si="1"/>
        <v>20253</v>
      </c>
      <c r="C53" s="17">
        <f t="shared" si="20"/>
        <v>45717</v>
      </c>
      <c r="D53" s="19">
        <f ca="1">IFERROR(AVERAGEIF('Preço Soja ESALQ'!$C:$C,'Modelo Soja'!$B53,'Preço Soja ESALQ'!$R:$R),NA())</f>
        <v>114.04263157894736</v>
      </c>
      <c r="E53" s="19">
        <f ca="1">IFERROR(AVERAGEIF('Preço Soja ESALQ'!$C:$C,'Modelo Soja'!$B53,'Preço Soja ESALQ'!S:S),NA())</f>
        <v>104.91842105263159</v>
      </c>
      <c r="F53" s="19">
        <f ca="1">IFERROR(AVERAGEIF('Preço Soja ESALQ'!$C:$C,'Modelo Soja'!$B53,'Preço Soja ESALQ'!T:T),NA())</f>
        <v>119.99578947368421</v>
      </c>
      <c r="G53" s="19">
        <f ca="1">IFERROR(AVERAGEIF('Preço Soja ESALQ'!$C:$C,'Modelo Soja'!$B53,'Preço Soja ESALQ'!U:U),NA())</f>
        <v>112.07</v>
      </c>
      <c r="H53" s="19">
        <f ca="1">IFERROR(AVERAGEIF('Preço Soja ESALQ'!$C:$C,'Modelo Soja'!$B53,'Preço Soja ESALQ'!V:V),NA())</f>
        <v>111.81842105263156</v>
      </c>
      <c r="I53" s="19">
        <f ca="1">IFERROR(AVERAGEIF('Preço Soja ESALQ'!$C:$C,'Modelo Soja'!$B53,'Preço Soja ESALQ'!W:W),NA())</f>
        <v>122.90631578947365</v>
      </c>
      <c r="J53" s="19">
        <f ca="1">IFERROR(AVERAGEIF('Preço Soja ESALQ'!$C:$C,'Modelo Soja'!$B53,'Preço Soja ESALQ'!X:X),NA())</f>
        <v>126.49736842105264</v>
      </c>
      <c r="K53" s="19">
        <f ca="1">IFERROR(AVERAGEIF('Preço Soja ESALQ'!$C:$C,'Modelo Soja'!$B53,'Preço Soja ESALQ'!Y:Y),NA())</f>
        <v>118.03578947368423</v>
      </c>
      <c r="L53" s="19">
        <f ca="1">IFERROR(AVERAGEIF('Preço Soja ESALQ'!$C:$C,'Modelo Soja'!$B53,'Preço Soja ESALQ'!Z:Z),NA())</f>
        <v>119.41157894736841</v>
      </c>
      <c r="M53" s="19">
        <f ca="1">IFERROR(AVERAGEIF('Preço Soja ESALQ'!$C:$C,'Modelo Soja'!$B53,'Preço Soja ESALQ'!AA:AA),NA())</f>
        <v>117.24526315789473</v>
      </c>
      <c r="N53" s="19">
        <f ca="1">IFERROR(AVERAGEIF('Preço Soja ESALQ'!$C:$C,'Modelo Soja'!$B53,'Preço Soja ESALQ'!AB:AB),NA())</f>
        <v>126.48578947368424</v>
      </c>
      <c r="O53" s="19">
        <f ca="1">IFERROR(AVERAGEIF('Preço Soja ESALQ'!$C:$C,'Modelo Soja'!$B53,'Preço Soja ESALQ'!AC:AC),NA())</f>
        <v>112.98857142857142</v>
      </c>
      <c r="P53" s="19" t="e">
        <f ca="1">IFERROR(AVERAGEIF('Preço Soja ESALQ'!$C:$C,'Modelo Soja'!$B53,'Preço Soja ESALQ'!AD:AD),NA())</f>
        <v>#N/A</v>
      </c>
      <c r="Q53" s="19">
        <f ca="1">IFERROR(AVERAGEIF('Preço Soja ESALQ'!$C:$C,'Modelo Soja'!$B53,'Preço Soja ESALQ'!BI:BI),NA())</f>
        <v>124.8957894736842</v>
      </c>
      <c r="R53" s="19">
        <f ca="1">IFERROR(AVERAGEIF('Preço Soja ESALQ'!$C:$C,'Modelo Soja'!$B53,'Preço Soja ESALQ'!BK:BK),NA())</f>
        <v>116.08315789473686</v>
      </c>
      <c r="S53" s="19">
        <f ca="1">IFERROR(AVERAGEIF('Preço Soja ESALQ'!$C:$C,'Modelo Soja'!$B53,'Preço Soja ESALQ'!BL:BL),NA())</f>
        <v>116.15421052631578</v>
      </c>
      <c r="T53" s="19" t="e">
        <f ca="1">IFERROR(AVERAGEIF('Preço Soja ESALQ'!$C:$C,'Modelo Soja'!$B53,'Preço Soja ESALQ'!BM:BM),NA())</f>
        <v>#N/A</v>
      </c>
      <c r="U53" s="19">
        <f ca="1">IFERROR(AVERAGEIF('Preço Soja ESALQ'!$C:$C,'Modelo Soja'!$B53,'Preço Soja ESALQ'!BN:BN),NA())</f>
        <v>115.83315789473684</v>
      </c>
      <c r="AA53" s="19">
        <f ca="1">IFERROR(AVERAGEIF('Preço Soja ESALQ'!$C:$C,'Modelo Soja'!$B53,'Preço Soja ESALQ'!BA:BA),NA())</f>
        <v>114.33388888888888</v>
      </c>
      <c r="AB53" s="19">
        <f ca="1">IFERROR(AVERAGEIF('Preço Soja ESALQ'!$C:$C,'Modelo Soja'!$B53,'Preço Soja ESALQ'!BB:BB),NA())</f>
        <v>129.41000000000005</v>
      </c>
      <c r="AC53" s="19">
        <f ca="1">IFERROR(AVERAGEIF('Preço Soja ESALQ'!$C:$C,'Modelo Soja'!$B53,'Preço Soja ESALQ'!BC:BC),NA())</f>
        <v>124.48368421052629</v>
      </c>
      <c r="AD53" s="19">
        <f ca="1">IFERROR(AVERAGEIF('Preço Soja ESALQ'!$C:$C,'Modelo Soja'!$B53,'Preço Soja ESALQ'!BD:BD),NA())</f>
        <v>125.90473684210527</v>
      </c>
      <c r="AE53" s="19">
        <f ca="1">IFERROR(AVERAGEIF('Preço Soja ESALQ'!$C:$C,'Modelo Soja'!$B53,'Preço Soja ESALQ'!BE:BE),NA())</f>
        <v>120.37315789473685</v>
      </c>
      <c r="AF53" s="19">
        <f ca="1">IFERROR(AVERAGEIF('Preço Soja ESALQ'!$C:$C,'Modelo Soja'!$B53,'Preço Soja ESALQ'!BF:BF),NA())</f>
        <v>117.79526315789469</v>
      </c>
      <c r="AG53" s="19">
        <f ca="1">IFERROR(AVERAGEIF('Preço Soja ESALQ'!$C:$C,'Modelo Soja'!$B53,'Preço Soja ESALQ'!BG:BG),NA())</f>
        <v>129.80684210526317</v>
      </c>
      <c r="AH53" s="19">
        <f ca="1">IFERROR(AVERAGEIF('Preço Soja ESALQ'!$C:$C,'Modelo Soja'!$B53,'Preço Soja ESALQ'!AE:AE),NA())</f>
        <v>130.43315789473684</v>
      </c>
      <c r="AI53" s="19">
        <f ca="1">IFERROR(AVERAGEIF('Preço Soja ESALQ'!$C:$C,'Modelo Soja'!$B53,'Preço Soja ESALQ'!AF:AF),NA())</f>
        <v>122.32789473684211</v>
      </c>
      <c r="AJ53" s="24">
        <f>+[2]summary!C65</f>
        <v>133.49</v>
      </c>
      <c r="AK53" s="24">
        <f t="shared" ca="1" si="2"/>
        <v>109.65175459845265</v>
      </c>
      <c r="AL53" s="24"/>
      <c r="AN53" s="24">
        <f>+[6]FSORPRA!H52</f>
        <v>433.32499999999999</v>
      </c>
      <c r="AO53" s="24">
        <f>+[6]FRONPRA!H52</f>
        <v>375.17500000000001</v>
      </c>
      <c r="AP53" s="24">
        <f>VLOOKUP(B53,'Frete ESALQ'!$C$5:$AL$131,36,FALSE)</f>
        <v>174.1</v>
      </c>
      <c r="AQ53" s="24">
        <f>VLOOKUP(B53,'Frete ESALQ'!$C$5:$AW$131,47,FALSE)</f>
        <v>143.75</v>
      </c>
      <c r="AR53" s="24">
        <f>VLOOKUP(B53,'Frete ESALQ'!$C$5:$BH$131,58,FALSE)</f>
        <v>155</v>
      </c>
      <c r="AS53" s="24">
        <f>VLOOKUP(B53,'Frete ESALQ'!$C$5:$BH$131,32,FALSE)</f>
        <v>145</v>
      </c>
      <c r="AT53" s="24">
        <f t="shared" si="3"/>
        <v>107.49050000000001</v>
      </c>
      <c r="AU53" s="24">
        <f t="shared" si="4"/>
        <v>110.9795</v>
      </c>
      <c r="AV53" s="24">
        <f t="shared" si="5"/>
        <v>123.04400000000001</v>
      </c>
      <c r="AW53" s="24">
        <f t="shared" si="6"/>
        <v>124.86500000000001</v>
      </c>
      <c r="AX53" s="24">
        <f t="shared" ca="1" si="7"/>
        <v>120.50684210526317</v>
      </c>
      <c r="AY53" s="24">
        <f t="shared" ca="1" si="8"/>
        <v>121.73315789473683</v>
      </c>
      <c r="AZ53">
        <f t="shared" si="9"/>
        <v>3</v>
      </c>
      <c r="BA53" s="17">
        <f t="shared" si="10"/>
        <v>45717</v>
      </c>
      <c r="BB53" s="22">
        <f t="shared" ca="1" si="11"/>
        <v>6.5036842105264014</v>
      </c>
      <c r="BC53" s="22">
        <f t="shared" ca="1" si="12"/>
        <v>6.4478947368420592</v>
      </c>
      <c r="BD53" s="22">
        <f t="shared" ca="1" si="13"/>
        <v>3.1278947368421228</v>
      </c>
      <c r="BE53" s="22">
        <f t="shared" ca="1" si="14"/>
        <v>3.7526315789473301</v>
      </c>
      <c r="BF53" s="22">
        <f t="shared" ca="1" si="15"/>
        <v>3.9357894736841956</v>
      </c>
      <c r="BG53" s="22">
        <f t="shared" ca="1" si="16"/>
        <v>3.3210526315789366</v>
      </c>
      <c r="BH53" s="25">
        <f t="shared" ca="1" si="0"/>
        <v>4.5148245614035076</v>
      </c>
      <c r="BJ53" s="27">
        <f t="shared" ca="1" si="21"/>
        <v>4.7333335458210737</v>
      </c>
      <c r="BL53" s="41">
        <f t="shared" si="18"/>
        <v>423.32499999999999</v>
      </c>
      <c r="BM53" s="41">
        <f t="shared" si="19"/>
        <v>108.09050000000001</v>
      </c>
    </row>
    <row r="54" spans="2:65" x14ac:dyDescent="0.3">
      <c r="B54" s="17" t="str">
        <f t="shared" si="1"/>
        <v>20254</v>
      </c>
      <c r="C54" s="17">
        <f t="shared" si="20"/>
        <v>45748</v>
      </c>
      <c r="D54" s="19">
        <f ca="1">IFERROR(AVERAGEIF('Preço Soja ESALQ'!$C:$C,'Modelo Soja'!$B54,'Preço Soja ESALQ'!$R:$R),NA())</f>
        <v>116.0305</v>
      </c>
      <c r="E54" s="19">
        <f ca="1">IFERROR(AVERAGEIF('Preço Soja ESALQ'!$C:$C,'Modelo Soja'!$B54,'Preço Soja ESALQ'!S:S),NA())</f>
        <v>105.52649999999998</v>
      </c>
      <c r="F54" s="19">
        <f ca="1">IFERROR(AVERAGEIF('Preço Soja ESALQ'!$C:$C,'Modelo Soja'!$B54,'Preço Soja ESALQ'!T:T),NA())</f>
        <v>119.492</v>
      </c>
      <c r="G54" s="19" t="e">
        <f ca="1">IFERROR(AVERAGEIF('Preço Soja ESALQ'!$C:$C,'Modelo Soja'!$B54,'Preço Soja ESALQ'!U:U),NA())</f>
        <v>#N/A</v>
      </c>
      <c r="H54" s="19">
        <f ca="1">IFERROR(AVERAGEIF('Preço Soja ESALQ'!$C:$C,'Modelo Soja'!$B54,'Preço Soja ESALQ'!V:V),NA())</f>
        <v>113.83399999999999</v>
      </c>
      <c r="I54" s="19">
        <f ca="1">IFERROR(AVERAGEIF('Preço Soja ESALQ'!$C:$C,'Modelo Soja'!$B54,'Preço Soja ESALQ'!W:W),NA())</f>
        <v>121.91249999999999</v>
      </c>
      <c r="J54" s="19">
        <f ca="1">IFERROR(AVERAGEIF('Preço Soja ESALQ'!$C:$C,'Modelo Soja'!$B54,'Preço Soja ESALQ'!X:X),NA())</f>
        <v>124.64850000000001</v>
      </c>
      <c r="K54" s="19">
        <f ca="1">IFERROR(AVERAGEIF('Preço Soja ESALQ'!$C:$C,'Modelo Soja'!$B54,'Preço Soja ESALQ'!Y:Y),NA())</f>
        <v>117.753</v>
      </c>
      <c r="L54" s="19">
        <f ca="1">IFERROR(AVERAGEIF('Preço Soja ESALQ'!$C:$C,'Modelo Soja'!$B54,'Preço Soja ESALQ'!Z:Z),NA())</f>
        <v>118.58900000000001</v>
      </c>
      <c r="M54" s="19">
        <f ca="1">IFERROR(AVERAGEIF('Preço Soja ESALQ'!$C:$C,'Modelo Soja'!$B54,'Preço Soja ESALQ'!AA:AA),NA())</f>
        <v>118.69999999999997</v>
      </c>
      <c r="N54" s="19">
        <f ca="1">IFERROR(AVERAGEIF('Preço Soja ESALQ'!$C:$C,'Modelo Soja'!$B54,'Preço Soja ESALQ'!AB:AB),NA())</f>
        <v>124.62950000000004</v>
      </c>
      <c r="O54" s="19">
        <f ca="1">IFERROR(AVERAGEIF('Preço Soja ESALQ'!$C:$C,'Modelo Soja'!$B54,'Preço Soja ESALQ'!AC:AC),NA())</f>
        <v>113.1375</v>
      </c>
      <c r="P54" s="19" t="e">
        <f ca="1">IFERROR(AVERAGEIF('Preço Soja ESALQ'!$C:$C,'Modelo Soja'!$B54,'Preço Soja ESALQ'!AD:AD),NA())</f>
        <v>#N/A</v>
      </c>
      <c r="Q54" s="19">
        <f ca="1">IFERROR(AVERAGEIF('Preço Soja ESALQ'!$C:$C,'Modelo Soja'!$B54,'Preço Soja ESALQ'!BI:BI),NA())</f>
        <v>125.25100000000002</v>
      </c>
      <c r="R54" s="19">
        <f ca="1">IFERROR(AVERAGEIF('Preço Soja ESALQ'!$C:$C,'Modelo Soja'!$B54,'Preço Soja ESALQ'!BK:BK),NA())</f>
        <v>115.37049999999999</v>
      </c>
      <c r="S54" s="19">
        <f ca="1">IFERROR(AVERAGEIF('Preço Soja ESALQ'!$C:$C,'Modelo Soja'!$B54,'Preço Soja ESALQ'!BL:BL),NA())</f>
        <v>117.3075</v>
      </c>
      <c r="T54" s="19" t="e">
        <f ca="1">IFERROR(AVERAGEIF('Preço Soja ESALQ'!$C:$C,'Modelo Soja'!$B54,'Preço Soja ESALQ'!BM:BM),NA())</f>
        <v>#N/A</v>
      </c>
      <c r="U54" s="19">
        <f ca="1">IFERROR(AVERAGEIF('Preço Soja ESALQ'!$C:$C,'Modelo Soja'!$B54,'Preço Soja ESALQ'!BN:BN),NA())</f>
        <v>115.6575</v>
      </c>
      <c r="AA54" s="19">
        <f ca="1">IFERROR(AVERAGEIF('Preço Soja ESALQ'!$C:$C,'Modelo Soja'!$B54,'Preço Soja ESALQ'!BA:BA),NA())</f>
        <v>116.0865</v>
      </c>
      <c r="AB54" s="19">
        <f ca="1">IFERROR(AVERAGEIF('Preço Soja ESALQ'!$C:$C,'Modelo Soja'!$B54,'Preço Soja ESALQ'!BB:BB),NA())</f>
        <v>130.24499999999998</v>
      </c>
      <c r="AC54" s="19">
        <f ca="1">IFERROR(AVERAGEIF('Preço Soja ESALQ'!$C:$C,'Modelo Soja'!$B54,'Preço Soja ESALQ'!BC:BC),NA())</f>
        <v>126.75450000000001</v>
      </c>
      <c r="AD54" s="19">
        <f ca="1">IFERROR(AVERAGEIF('Preço Soja ESALQ'!$C:$C,'Modelo Soja'!$B54,'Preço Soja ESALQ'!BD:BD),NA())</f>
        <v>128.39699999999996</v>
      </c>
      <c r="AE54" s="19">
        <f ca="1">IFERROR(AVERAGEIF('Preço Soja ESALQ'!$C:$C,'Modelo Soja'!$B54,'Preço Soja ESALQ'!BE:BE),NA())</f>
        <v>121.227</v>
      </c>
      <c r="AF54" s="19">
        <f ca="1">IFERROR(AVERAGEIF('Preço Soja ESALQ'!$C:$C,'Modelo Soja'!$B54,'Preço Soja ESALQ'!BF:BF),NA())</f>
        <v>119.721</v>
      </c>
      <c r="AG54" s="19">
        <f ca="1">IFERROR(AVERAGEIF('Preço Soja ESALQ'!$C:$C,'Modelo Soja'!$B54,'Preço Soja ESALQ'!BG:BG),NA())</f>
        <v>131.4545</v>
      </c>
      <c r="AH54" s="19">
        <f ca="1">IFERROR(AVERAGEIF('Preço Soja ESALQ'!$C:$C,'Modelo Soja'!$B54,'Preço Soja ESALQ'!AE:AE),NA())</f>
        <v>129.98950000000002</v>
      </c>
      <c r="AI54" s="19">
        <f ca="1">IFERROR(AVERAGEIF('Preço Soja ESALQ'!$C:$C,'Modelo Soja'!$B54,'Preço Soja ESALQ'!AF:AF),NA())</f>
        <v>121.9435</v>
      </c>
      <c r="AJ54" s="24">
        <f>+[2]summary!C66</f>
        <v>134.68</v>
      </c>
      <c r="AK54" s="24">
        <f t="shared" ca="1" si="2"/>
        <v>110.93540109870635</v>
      </c>
      <c r="AL54" s="24"/>
      <c r="AN54" s="24">
        <f>+[6]FSORPRA!H53</f>
        <v>428.75</v>
      </c>
      <c r="AO54" s="24">
        <f>+[6]FRONPRA!H53</f>
        <v>327.5</v>
      </c>
      <c r="AP54" s="24">
        <f>VLOOKUP(B54,'Frete ESALQ'!$C$5:$AL$131,36,FALSE)</f>
        <v>155.11000000000001</v>
      </c>
      <c r="AQ54" s="24">
        <f>VLOOKUP(B54,'Frete ESALQ'!$C$5:$AW$131,47,FALSE)</f>
        <v>113.83</v>
      </c>
      <c r="AR54" s="24">
        <f>VLOOKUP(B54,'Frete ESALQ'!$C$5:$BH$131,58,FALSE)</f>
        <v>122</v>
      </c>
      <c r="AS54" s="24">
        <f>VLOOKUP(B54,'Frete ESALQ'!$C$5:$BH$131,32,FALSE)</f>
        <v>124</v>
      </c>
      <c r="AT54" s="24">
        <f t="shared" si="3"/>
        <v>108.95500000000001</v>
      </c>
      <c r="AU54" s="24">
        <f t="shared" si="4"/>
        <v>115.03</v>
      </c>
      <c r="AV54" s="24">
        <f t="shared" si="5"/>
        <v>125.3734</v>
      </c>
      <c r="AW54" s="24">
        <f t="shared" si="6"/>
        <v>127.8502</v>
      </c>
      <c r="AX54" s="24">
        <f t="shared" ca="1" si="7"/>
        <v>124.1345</v>
      </c>
      <c r="AY54" s="24">
        <f t="shared" ca="1" si="8"/>
        <v>122.54950000000002</v>
      </c>
      <c r="AZ54">
        <f t="shared" si="9"/>
        <v>4</v>
      </c>
      <c r="BA54" s="17">
        <f t="shared" si="10"/>
        <v>45748</v>
      </c>
      <c r="BB54" s="22">
        <f t="shared" ca="1" si="11"/>
        <v>8.3324999999999818</v>
      </c>
      <c r="BC54" s="22">
        <f t="shared" ca="1" si="12"/>
        <v>9.0015000000000072</v>
      </c>
      <c r="BD54" s="22">
        <f t="shared" ca="1" si="13"/>
        <v>2.5270000000000294</v>
      </c>
      <c r="BE54" s="22">
        <f t="shared" ca="1" si="14"/>
        <v>3.6905000000000001</v>
      </c>
      <c r="BF54" s="22">
        <f t="shared" ca="1" si="15"/>
        <v>5.3410000000000082</v>
      </c>
      <c r="BG54" s="22">
        <f t="shared" ca="1" si="16"/>
        <v>6.8249999999999602</v>
      </c>
      <c r="BH54" s="25">
        <f t="shared" ca="1" si="0"/>
        <v>5.9529166666666642</v>
      </c>
      <c r="BJ54" s="27">
        <f t="shared" ca="1" si="21"/>
        <v>5.4089010987063633</v>
      </c>
      <c r="BL54" s="41">
        <f t="shared" si="18"/>
        <v>418.75</v>
      </c>
      <c r="BM54" s="41">
        <f t="shared" si="19"/>
        <v>109.55500000000001</v>
      </c>
    </row>
    <row r="55" spans="2:65" x14ac:dyDescent="0.3">
      <c r="B55" s="17" t="str">
        <f t="shared" si="1"/>
        <v>20255</v>
      </c>
      <c r="C55" s="17">
        <f t="shared" si="20"/>
        <v>45778</v>
      </c>
      <c r="D55" s="19">
        <f ca="1">IFERROR(AVERAGEIF('Preço Soja ESALQ'!$C:$C,'Modelo Soja'!$B55,'Preço Soja ESALQ'!$R:$R),NA())</f>
        <v>114.45000000000002</v>
      </c>
      <c r="E55" s="19">
        <f ca="1">IFERROR(AVERAGEIF('Preço Soja ESALQ'!$C:$C,'Modelo Soja'!$B55,'Preço Soja ESALQ'!S:S),NA())</f>
        <v>104.82666666666667</v>
      </c>
      <c r="F55" s="19">
        <f ca="1">IFERROR(AVERAGEIF('Preço Soja ESALQ'!$C:$C,'Modelo Soja'!$B55,'Preço Soja ESALQ'!T:T),NA())</f>
        <v>119.32285714285715</v>
      </c>
      <c r="G55" s="19" t="e">
        <f ca="1">IFERROR(AVERAGEIF('Preço Soja ESALQ'!$C:$C,'Modelo Soja'!$B55,'Preço Soja ESALQ'!U:U),NA())</f>
        <v>#N/A</v>
      </c>
      <c r="H55" s="19">
        <f ca="1">IFERROR(AVERAGEIF('Preço Soja ESALQ'!$C:$C,'Modelo Soja'!$B55,'Preço Soja ESALQ'!V:V),NA())</f>
        <v>113.25190476190478</v>
      </c>
      <c r="I55" s="19">
        <f ca="1">IFERROR(AVERAGEIF('Preço Soja ESALQ'!$C:$C,'Modelo Soja'!$B55,'Preço Soja ESALQ'!W:W),NA())</f>
        <v>120.90000000000002</v>
      </c>
      <c r="J55" s="19">
        <f ca="1">IFERROR(AVERAGEIF('Preço Soja ESALQ'!$C:$C,'Modelo Soja'!$B55,'Preço Soja ESALQ'!X:X),NA())</f>
        <v>119.9714285714286</v>
      </c>
      <c r="K55" s="19">
        <f ca="1">IFERROR(AVERAGEIF('Preço Soja ESALQ'!$C:$C,'Modelo Soja'!$B55,'Preço Soja ESALQ'!Y:Y),NA())</f>
        <v>115.18333333333335</v>
      </c>
      <c r="L55" s="19">
        <f ca="1">IFERROR(AVERAGEIF('Preço Soja ESALQ'!$C:$C,'Modelo Soja'!$B55,'Preço Soja ESALQ'!Z:Z),NA())</f>
        <v>115.93904761904763</v>
      </c>
      <c r="M55" s="19">
        <f ca="1">IFERROR(AVERAGEIF('Preço Soja ESALQ'!$C:$C,'Modelo Soja'!$B55,'Preço Soja ESALQ'!AA:AA),NA())</f>
        <v>117.6814285714286</v>
      </c>
      <c r="N55" s="19">
        <f ca="1">IFERROR(AVERAGEIF('Preço Soja ESALQ'!$C:$C,'Modelo Soja'!$B55,'Preço Soja ESALQ'!AB:AB),NA())</f>
        <v>119.18047619047618</v>
      </c>
      <c r="O55" s="19" t="e">
        <f ca="1">IFERROR(AVERAGEIF('Preço Soja ESALQ'!$C:$C,'Modelo Soja'!$B55,'Preço Soja ESALQ'!AC:AC),NA())</f>
        <v>#N/A</v>
      </c>
      <c r="P55" s="19" t="e">
        <f ca="1">IFERROR(AVERAGEIF('Preço Soja ESALQ'!$C:$C,'Modelo Soja'!$B55,'Preço Soja ESALQ'!AD:AD),NA())</f>
        <v>#N/A</v>
      </c>
      <c r="Q55" s="19">
        <f ca="1">IFERROR(AVERAGEIF('Preço Soja ESALQ'!$C:$C,'Modelo Soja'!$B55,'Preço Soja ESALQ'!BI:BI),NA())</f>
        <v>122.67047619047621</v>
      </c>
      <c r="R55" s="19">
        <f ca="1">IFERROR(AVERAGEIF('Preço Soja ESALQ'!$C:$C,'Modelo Soja'!$B55,'Preço Soja ESALQ'!BK:BK),NA())</f>
        <v>111.86</v>
      </c>
      <c r="S55" s="19">
        <f ca="1">IFERROR(AVERAGEIF('Preço Soja ESALQ'!$C:$C,'Modelo Soja'!$B55,'Preço Soja ESALQ'!BL:BL),NA())</f>
        <v>112.75190476190478</v>
      </c>
      <c r="T55" s="19" t="e">
        <f ca="1">IFERROR(AVERAGEIF('Preço Soja ESALQ'!$C:$C,'Modelo Soja'!$B55,'Preço Soja ESALQ'!BM:BM),NA())</f>
        <v>#N/A</v>
      </c>
      <c r="U55" s="19">
        <f ca="1">IFERROR(AVERAGEIF('Preço Soja ESALQ'!$C:$C,'Modelo Soja'!$B55,'Preço Soja ESALQ'!BN:BN),NA())</f>
        <v>111.46714285714287</v>
      </c>
      <c r="AA55" s="19">
        <f ca="1">IFERROR(AVERAGEIF('Preço Soja ESALQ'!$C:$C,'Modelo Soja'!$B55,'Preço Soja ESALQ'!BA:BA),NA())</f>
        <v>114.34285714285711</v>
      </c>
      <c r="AB55" s="19">
        <f ca="1">IFERROR(AVERAGEIF('Preço Soja ESALQ'!$C:$C,'Modelo Soja'!$B55,'Preço Soja ESALQ'!BB:BB),NA())</f>
        <v>128.57857142857145</v>
      </c>
      <c r="AC55" s="19">
        <f ca="1">IFERROR(AVERAGEIF('Preço Soja ESALQ'!$C:$C,'Modelo Soja'!$B55,'Preço Soja ESALQ'!BC:BC),NA())</f>
        <v>125.11904761904763</v>
      </c>
      <c r="AD55" s="19">
        <f ca="1">IFERROR(AVERAGEIF('Preço Soja ESALQ'!$C:$C,'Modelo Soja'!$B55,'Preço Soja ESALQ'!BD:BD),NA())</f>
        <v>126.67666666666666</v>
      </c>
      <c r="AE55" s="19">
        <f ca="1">IFERROR(AVERAGEIF('Preço Soja ESALQ'!$C:$C,'Modelo Soja'!$B55,'Preço Soja ESALQ'!BE:BE),NA())</f>
        <v>120.44999999999997</v>
      </c>
      <c r="AF55" s="19">
        <f ca="1">IFERROR(AVERAGEIF('Preço Soja ESALQ'!$C:$C,'Modelo Soja'!$B55,'Preço Soja ESALQ'!BF:BF),NA())</f>
        <v>118.80666666666667</v>
      </c>
      <c r="AG55" s="19">
        <f ca="1">IFERROR(AVERAGEIF('Preço Soja ESALQ'!$C:$C,'Modelo Soja'!$B55,'Preço Soja ESALQ'!BG:BG),NA())</f>
        <v>128.66190476190474</v>
      </c>
      <c r="AH55" s="19">
        <f ca="1">IFERROR(AVERAGEIF('Preço Soja ESALQ'!$C:$C,'Modelo Soja'!$B55,'Preço Soja ESALQ'!AE:AE),NA())</f>
        <v>127.80761904761907</v>
      </c>
      <c r="AI55" s="19">
        <f ca="1">IFERROR(AVERAGEIF('Preço Soja ESALQ'!$C:$C,'Modelo Soja'!$B55,'Preço Soja ESALQ'!AF:AF),NA())</f>
        <v>121.47666666666666</v>
      </c>
      <c r="AJ55" s="24">
        <f>+[2]summary!C67</f>
        <v>133.09619047619046</v>
      </c>
      <c r="AK55" s="24">
        <f t="shared" ca="1" si="2"/>
        <v>111.9466847041847</v>
      </c>
      <c r="AL55" s="24"/>
      <c r="AN55" s="24">
        <f>+[6]FSORPRA!H54</f>
        <v>428</v>
      </c>
      <c r="AO55" s="24">
        <f>+[6]FRONPRA!H54</f>
        <v>322</v>
      </c>
      <c r="AP55" s="24">
        <f>VLOOKUP(B55,'Frete ESALQ'!$C$5:$AL$131,36,FALSE)</f>
        <v>121</v>
      </c>
      <c r="AQ55" s="24">
        <f>VLOOKUP(B55,'Frete ESALQ'!$C$5:$AW$131,47,FALSE)</f>
        <v>125.75</v>
      </c>
      <c r="AR55" s="24">
        <f>VLOOKUP(B55,'Frete ESALQ'!$C$5:$BH$131,58,FALSE)</f>
        <v>117.5</v>
      </c>
      <c r="AS55" s="24">
        <f>VLOOKUP(B55,'Frete ESALQ'!$C$5:$BH$131,32,FALSE)</f>
        <v>117</v>
      </c>
      <c r="AT55" s="24">
        <f t="shared" si="3"/>
        <v>107.41619047619045</v>
      </c>
      <c r="AU55" s="24">
        <f t="shared" si="4"/>
        <v>113.77619047619046</v>
      </c>
      <c r="AV55" s="24">
        <f t="shared" si="5"/>
        <v>125.83619047619045</v>
      </c>
      <c r="AW55" s="24">
        <f t="shared" si="6"/>
        <v>125.55119047619046</v>
      </c>
      <c r="AX55" s="24">
        <f t="shared" ca="1" si="7"/>
        <v>121.61190476190474</v>
      </c>
      <c r="AY55" s="24">
        <f t="shared" ca="1" si="8"/>
        <v>120.78761904761907</v>
      </c>
      <c r="AZ55">
        <f t="shared" si="9"/>
        <v>5</v>
      </c>
      <c r="BA55" s="17">
        <f t="shared" si="10"/>
        <v>45778</v>
      </c>
      <c r="BB55" s="22">
        <f t="shared" ca="1" si="11"/>
        <v>7.6785714285714306</v>
      </c>
      <c r="BC55" s="22">
        <f t="shared" ca="1" si="12"/>
        <v>9.9357142857142833</v>
      </c>
      <c r="BD55" s="22">
        <f t="shared" ca="1" si="13"/>
        <v>2.7685714285713772</v>
      </c>
      <c r="BE55" s="22">
        <f t="shared" ca="1" si="14"/>
        <v>4.3566666666666549</v>
      </c>
      <c r="BF55" s="22">
        <f t="shared" ca="1" si="15"/>
        <v>7.8361904761904668</v>
      </c>
      <c r="BG55" s="22">
        <f t="shared" ca="1" si="16"/>
        <v>9.4814285714285518</v>
      </c>
      <c r="BH55" s="25">
        <f t="shared" ca="1" si="0"/>
        <v>7.0095238095237944</v>
      </c>
      <c r="BJ55" s="27">
        <f t="shared" ca="1" si="21"/>
        <v>7.1200180375180384</v>
      </c>
      <c r="BL55" s="41">
        <f t="shared" si="18"/>
        <v>418</v>
      </c>
      <c r="BM55" s="41">
        <f t="shared" si="19"/>
        <v>108.01619047619046</v>
      </c>
    </row>
    <row r="56" spans="2:65" x14ac:dyDescent="0.3">
      <c r="B56" s="17" t="str">
        <f t="shared" si="1"/>
        <v>20256</v>
      </c>
      <c r="C56" s="17">
        <f t="shared" si="20"/>
        <v>45809</v>
      </c>
      <c r="D56" s="19">
        <f ca="1">IFERROR(AVERAGEIF('Preço Soja ESALQ'!$C:$C,'Modelo Soja'!$B56,'Preço Soja ESALQ'!$R:$R),NA())</f>
        <v>115.95050000000001</v>
      </c>
      <c r="E56" s="19">
        <f ca="1">IFERROR(AVERAGEIF('Preço Soja ESALQ'!$C:$C,'Modelo Soja'!$B56,'Preço Soja ESALQ'!S:S),NA())</f>
        <v>106.44500000000001</v>
      </c>
      <c r="F56" s="19">
        <f ca="1">IFERROR(AVERAGEIF('Preço Soja ESALQ'!$C:$C,'Modelo Soja'!$B56,'Preço Soja ESALQ'!T:T),NA())</f>
        <v>120.64000000000001</v>
      </c>
      <c r="G56" s="19" t="e">
        <f ca="1">IFERROR(AVERAGEIF('Preço Soja ESALQ'!$C:$C,'Modelo Soja'!$B56,'Preço Soja ESALQ'!U:U),NA())</f>
        <v>#N/A</v>
      </c>
      <c r="H56" s="19">
        <f ca="1">IFERROR(AVERAGEIF('Preço Soja ESALQ'!$C:$C,'Modelo Soja'!$B56,'Preço Soja ESALQ'!V:V),NA())</f>
        <v>113.09099999999997</v>
      </c>
      <c r="I56" s="19">
        <f ca="1">IFERROR(AVERAGEIF('Preço Soja ESALQ'!$C:$C,'Modelo Soja'!$B56,'Preço Soja ESALQ'!W:W),NA())</f>
        <v>120.78000000000002</v>
      </c>
      <c r="J56" s="19">
        <f ca="1">IFERROR(AVERAGEIF('Preço Soja ESALQ'!$C:$C,'Modelo Soja'!$B56,'Preço Soja ESALQ'!X:X),NA())</f>
        <v>120.59849999999999</v>
      </c>
      <c r="K56" s="19">
        <f ca="1">IFERROR(AVERAGEIF('Preço Soja ESALQ'!$C:$C,'Modelo Soja'!$B56,'Preço Soja ESALQ'!Y:Y),NA())</f>
        <v>115.84599999999998</v>
      </c>
      <c r="L56" s="19">
        <f ca="1">IFERROR(AVERAGEIF('Preço Soja ESALQ'!$C:$C,'Modelo Soja'!$B56,'Preço Soja ESALQ'!Z:Z),NA())</f>
        <v>116.14750000000001</v>
      </c>
      <c r="M56" s="19">
        <f ca="1">IFERROR(AVERAGEIF('Preço Soja ESALQ'!$C:$C,'Modelo Soja'!$B56,'Preço Soja ESALQ'!AA:AA),NA())</f>
        <v>119.02000000000002</v>
      </c>
      <c r="N56" s="19">
        <f ca="1">IFERROR(AVERAGEIF('Preço Soja ESALQ'!$C:$C,'Modelo Soja'!$B56,'Preço Soja ESALQ'!AB:AB),NA())</f>
        <v>119.83250000000001</v>
      </c>
      <c r="O56" s="19" t="e">
        <f ca="1">IFERROR(AVERAGEIF('Preço Soja ESALQ'!$C:$C,'Modelo Soja'!$B56,'Preço Soja ESALQ'!AC:AC),NA())</f>
        <v>#N/A</v>
      </c>
      <c r="P56" s="19" t="e">
        <f ca="1">IFERROR(AVERAGEIF('Preço Soja ESALQ'!$C:$C,'Modelo Soja'!$B56,'Preço Soja ESALQ'!AD:AD),NA())</f>
        <v>#N/A</v>
      </c>
      <c r="Q56" s="19">
        <f ca="1">IFERROR(AVERAGEIF('Preço Soja ESALQ'!$C:$C,'Modelo Soja'!$B56,'Preço Soja ESALQ'!BI:BI),NA())</f>
        <v>123.24100000000001</v>
      </c>
      <c r="R56" s="19" t="e">
        <f ca="1">IFERROR(AVERAGEIF('Preço Soja ESALQ'!$C:$C,'Modelo Soja'!$B56,'Preço Soja ESALQ'!BK:BK),NA())</f>
        <v>#N/A</v>
      </c>
      <c r="S56" s="19">
        <f ca="1">IFERROR(AVERAGEIF('Preço Soja ESALQ'!$C:$C,'Modelo Soja'!$B56,'Preço Soja ESALQ'!BL:BL),NA())</f>
        <v>111.19950000000001</v>
      </c>
      <c r="T56" s="19" t="e">
        <f ca="1">IFERROR(AVERAGEIF('Preço Soja ESALQ'!$C:$C,'Modelo Soja'!$B56,'Preço Soja ESALQ'!BM:BM),NA())</f>
        <v>#N/A</v>
      </c>
      <c r="U56" s="19">
        <f ca="1">IFERROR(AVERAGEIF('Preço Soja ESALQ'!$C:$C,'Modelo Soja'!$B56,'Preço Soja ESALQ'!BN:BN),NA())</f>
        <v>110.89449999999999</v>
      </c>
      <c r="AA56" s="19">
        <f ca="1">IFERROR(AVERAGEIF('Preço Soja ESALQ'!$C:$C,'Modelo Soja'!$B56,'Preço Soja ESALQ'!BA:BA),NA())</f>
        <v>115.87850000000003</v>
      </c>
      <c r="AB56" s="19">
        <f ca="1">IFERROR(AVERAGEIF('Preço Soja ESALQ'!$C:$C,'Modelo Soja'!$B56,'Preço Soja ESALQ'!BB:BB),NA())</f>
        <v>129.23600000000002</v>
      </c>
      <c r="AC56" s="19">
        <f ca="1">IFERROR(AVERAGEIF('Preço Soja ESALQ'!$C:$C,'Modelo Soja'!$B56,'Preço Soja ESALQ'!BC:BC),NA())</f>
        <v>126.3235</v>
      </c>
      <c r="AD56" s="19">
        <f ca="1">IFERROR(AVERAGEIF('Preço Soja ESALQ'!$C:$C,'Modelo Soja'!$B56,'Preço Soja ESALQ'!BD:BD),NA())</f>
        <v>127.55700000000004</v>
      </c>
      <c r="AE56" s="19">
        <f ca="1">IFERROR(AVERAGEIF('Preço Soja ESALQ'!$C:$C,'Modelo Soja'!$B56,'Preço Soja ESALQ'!BE:BE),NA())</f>
        <v>122.42350000000002</v>
      </c>
      <c r="AF56" s="19">
        <f ca="1">IFERROR(AVERAGEIF('Preço Soja ESALQ'!$C:$C,'Modelo Soja'!$B56,'Preço Soja ESALQ'!BF:BF),NA())</f>
        <v>120.1395</v>
      </c>
      <c r="AG56" s="19">
        <f ca="1">IFERROR(AVERAGEIF('Preço Soja ESALQ'!$C:$C,'Modelo Soja'!$B56,'Preço Soja ESALQ'!BG:BG),NA())</f>
        <v>129.02500000000003</v>
      </c>
      <c r="AH56" s="19">
        <f ca="1">IFERROR(AVERAGEIF('Preço Soja ESALQ'!$C:$C,'Modelo Soja'!$B56,'Preço Soja ESALQ'!AE:AE),NA())</f>
        <v>128.22900000000004</v>
      </c>
      <c r="AI56" s="19">
        <f ca="1">IFERROR(AVERAGEIF('Preço Soja ESALQ'!$C:$C,'Modelo Soja'!$B56,'Preço Soja ESALQ'!AF:AF),NA())</f>
        <v>123.44800000000001</v>
      </c>
      <c r="AJ56" s="24">
        <f>+[2]summary!C68</f>
        <v>134.39599999999999</v>
      </c>
      <c r="AK56" s="24">
        <f t="shared" ca="1" si="2"/>
        <v>114.35225873015875</v>
      </c>
      <c r="AL56" s="24"/>
      <c r="AN56" s="24">
        <f>+[6]FSORPRA!H55</f>
        <v>443.25</v>
      </c>
      <c r="AO56" s="24">
        <f>+[6]FRONPRA!H55</f>
        <v>323.07499999999999</v>
      </c>
      <c r="AP56" s="24">
        <f>VLOOKUP(B56,'Frete ESALQ'!$C$5:$AL$131,36,FALSE)</f>
        <v>155.13</v>
      </c>
      <c r="AQ56" s="24">
        <f>VLOOKUP(B56,'Frete ESALQ'!$C$5:$AW$131,47,FALSE)</f>
        <v>134.16999999999999</v>
      </c>
      <c r="AR56" s="24">
        <f>VLOOKUP(B56,'Frete ESALQ'!$C$5:$BH$131,58,FALSE)</f>
        <v>111.25</v>
      </c>
      <c r="AS56" s="24">
        <f>VLOOKUP(B56,'Frete ESALQ'!$C$5:$BH$131,32,FALSE)</f>
        <v>110</v>
      </c>
      <c r="AT56" s="24">
        <f t="shared" si="3"/>
        <v>107.80099999999999</v>
      </c>
      <c r="AU56" s="24">
        <f t="shared" si="4"/>
        <v>115.01149999999998</v>
      </c>
      <c r="AV56" s="24">
        <f t="shared" si="5"/>
        <v>125.08819999999999</v>
      </c>
      <c r="AW56" s="24">
        <f t="shared" si="6"/>
        <v>126.34579999999998</v>
      </c>
      <c r="AX56" s="24">
        <f t="shared" ca="1" si="7"/>
        <v>122.35000000000004</v>
      </c>
      <c r="AY56" s="24">
        <f t="shared" ca="1" si="8"/>
        <v>121.62900000000005</v>
      </c>
      <c r="AZ56">
        <f t="shared" si="9"/>
        <v>6</v>
      </c>
      <c r="BA56" s="17">
        <f t="shared" si="10"/>
        <v>45809</v>
      </c>
      <c r="BB56" s="22">
        <f t="shared" ca="1" si="11"/>
        <v>8.4560000000000031</v>
      </c>
      <c r="BC56" s="22">
        <f t="shared" ca="1" si="12"/>
        <v>10.47750000000002</v>
      </c>
      <c r="BD56" s="22">
        <f t="shared" ca="1" si="13"/>
        <v>3.403499999999994</v>
      </c>
      <c r="BE56" s="22">
        <f t="shared" ca="1" si="14"/>
        <v>4.188999999999993</v>
      </c>
      <c r="BF56" s="22">
        <f t="shared" ca="1" si="15"/>
        <v>7.6305000000000547</v>
      </c>
      <c r="BG56" s="22">
        <f t="shared" ca="1" si="16"/>
        <v>9.1925000000000239</v>
      </c>
      <c r="BH56" s="25">
        <f t="shared" ca="1" si="0"/>
        <v>7.2248333333333479</v>
      </c>
      <c r="BJ56" s="27">
        <f t="shared" ca="1" si="21"/>
        <v>7.907258730158742</v>
      </c>
      <c r="BL56" s="41">
        <f t="shared" si="18"/>
        <v>433.25</v>
      </c>
      <c r="BM56" s="41">
        <f t="shared" si="19"/>
        <v>108.40099999999998</v>
      </c>
    </row>
    <row r="57" spans="2:65" x14ac:dyDescent="0.3">
      <c r="B57" s="17" t="str">
        <f t="shared" si="1"/>
        <v>20257</v>
      </c>
      <c r="C57" s="17">
        <f t="shared" si="20"/>
        <v>45839</v>
      </c>
      <c r="D57" s="19">
        <f ca="1">IFERROR(AVERAGEIF('Preço Soja ESALQ'!$C:$C,'Modelo Soja'!$B57,'Preço Soja ESALQ'!$R:$R),NA())</f>
        <v>115.34913043478262</v>
      </c>
      <c r="E57" s="19">
        <f ca="1">IFERROR(AVERAGEIF('Preço Soja ESALQ'!$C:$C,'Modelo Soja'!$B57,'Preço Soja ESALQ'!S:S),NA())</f>
        <v>109.00782608695656</v>
      </c>
      <c r="F57" s="19">
        <f ca="1">IFERROR(AVERAGEIF('Preço Soja ESALQ'!$C:$C,'Modelo Soja'!$B57,'Preço Soja ESALQ'!T:T),NA())</f>
        <v>120.53695652173917</v>
      </c>
      <c r="G57" s="19" t="e">
        <f ca="1">IFERROR(AVERAGEIF('Preço Soja ESALQ'!$C:$C,'Modelo Soja'!$B57,'Preço Soja ESALQ'!U:U),NA())</f>
        <v>#N/A</v>
      </c>
      <c r="H57" s="19">
        <f ca="1">IFERROR(AVERAGEIF('Preço Soja ESALQ'!$C:$C,'Modelo Soja'!$B57,'Preço Soja ESALQ'!V:V),NA())</f>
        <v>113.26347826086952</v>
      </c>
      <c r="I57" s="19">
        <f ca="1">IFERROR(AVERAGEIF('Preço Soja ESALQ'!$C:$C,'Modelo Soja'!$B57,'Preço Soja ESALQ'!W:W),NA())</f>
        <v>120.63652173913044</v>
      </c>
      <c r="J57" s="19">
        <f ca="1">IFERROR(AVERAGEIF('Preço Soja ESALQ'!$C:$C,'Modelo Soja'!$B57,'Preço Soja ESALQ'!X:X),NA())</f>
        <v>120.34173913043479</v>
      </c>
      <c r="K57" s="19">
        <f ca="1">IFERROR(AVERAGEIF('Preço Soja ESALQ'!$C:$C,'Modelo Soja'!$B57,'Preço Soja ESALQ'!Y:Y),NA())</f>
        <v>115.75565217391303</v>
      </c>
      <c r="L57" s="19">
        <f ca="1">IFERROR(AVERAGEIF('Preço Soja ESALQ'!$C:$C,'Modelo Soja'!$B57,'Preço Soja ESALQ'!Z:Z),NA())</f>
        <v>116.25043478260868</v>
      </c>
      <c r="M57" s="19">
        <f ca="1">IFERROR(AVERAGEIF('Preço Soja ESALQ'!$C:$C,'Modelo Soja'!$B57,'Preço Soja ESALQ'!AA:AA),NA())</f>
        <v>118.11739130434783</v>
      </c>
      <c r="N57" s="19">
        <f ca="1">IFERROR(AVERAGEIF('Preço Soja ESALQ'!$C:$C,'Modelo Soja'!$B57,'Preço Soja ESALQ'!AB:AB),NA())</f>
        <v>120.12565217391305</v>
      </c>
      <c r="O57" s="19" t="e">
        <f ca="1">IFERROR(AVERAGEIF('Preço Soja ESALQ'!$C:$C,'Modelo Soja'!$B57,'Preço Soja ESALQ'!AC:AC),NA())</f>
        <v>#N/A</v>
      </c>
      <c r="P57" s="19" t="e">
        <f ca="1">IFERROR(AVERAGEIF('Preço Soja ESALQ'!$C:$C,'Modelo Soja'!$B57,'Preço Soja ESALQ'!AD:AD),NA())</f>
        <v>#N/A</v>
      </c>
      <c r="Q57" s="19">
        <f ca="1">IFERROR(AVERAGEIF('Preço Soja ESALQ'!$C:$C,'Modelo Soja'!$B57,'Preço Soja ESALQ'!BI:BI),NA())</f>
        <v>123.29391304347821</v>
      </c>
      <c r="R57" s="19">
        <f ca="1">IFERROR(AVERAGEIF('Preço Soja ESALQ'!$C:$C,'Modelo Soja'!$B57,'Preço Soja ESALQ'!BK:BK),NA())</f>
        <v>111.00749999999999</v>
      </c>
      <c r="S57" s="19">
        <f ca="1">IFERROR(AVERAGEIF('Preço Soja ESALQ'!$C:$C,'Modelo Soja'!$B57,'Preço Soja ESALQ'!BL:BL),NA())</f>
        <v>110.43000000000002</v>
      </c>
      <c r="T57" s="19" t="e">
        <f ca="1">IFERROR(AVERAGEIF('Preço Soja ESALQ'!$C:$C,'Modelo Soja'!$B57,'Preço Soja ESALQ'!BM:BM),NA())</f>
        <v>#N/A</v>
      </c>
      <c r="U57" s="19">
        <f ca="1">IFERROR(AVERAGEIF('Preço Soja ESALQ'!$C:$C,'Modelo Soja'!$B57,'Preço Soja ESALQ'!BN:BN),NA())</f>
        <v>110.32173913043479</v>
      </c>
      <c r="AA57" s="19">
        <f ca="1">IFERROR(AVERAGEIF('Preço Soja ESALQ'!$C:$C,'Modelo Soja'!$B57,'Preço Soja ESALQ'!BA:BA),NA())</f>
        <v>119.22</v>
      </c>
      <c r="AB57" s="19">
        <f ca="1">IFERROR(AVERAGEIF('Preço Soja ESALQ'!$C:$C,'Modelo Soja'!$B57,'Preço Soja ESALQ'!BB:BB),NA())</f>
        <v>130.70869565217393</v>
      </c>
      <c r="AC57" s="19">
        <f ca="1">IFERROR(AVERAGEIF('Preço Soja ESALQ'!$C:$C,'Modelo Soja'!$B57,'Preço Soja ESALQ'!BC:BC),NA())</f>
        <v>126.8104347826087</v>
      </c>
      <c r="AD57" s="19">
        <f ca="1">IFERROR(AVERAGEIF('Preço Soja ESALQ'!$C:$C,'Modelo Soja'!$B57,'Preço Soja ESALQ'!BD:BD),NA())</f>
        <v>128.74782608695656</v>
      </c>
      <c r="AE57" s="19">
        <f ca="1">IFERROR(AVERAGEIF('Preço Soja ESALQ'!$C:$C,'Modelo Soja'!$B57,'Preço Soja ESALQ'!BE:BE),NA())</f>
        <v>121.66695652173914</v>
      </c>
      <c r="AF57" s="19">
        <f ca="1">IFERROR(AVERAGEIF('Preço Soja ESALQ'!$C:$C,'Modelo Soja'!$B57,'Preço Soja ESALQ'!BF:BF),NA())</f>
        <v>122.02434782608699</v>
      </c>
      <c r="AG57" s="19">
        <f ca="1">IFERROR(AVERAGEIF('Preço Soja ESALQ'!$C:$C,'Modelo Soja'!$B57,'Preço Soja ESALQ'!BG:BG),NA())</f>
        <v>129.89391304347825</v>
      </c>
      <c r="AH57" s="19">
        <f ca="1">IFERROR(AVERAGEIF('Preço Soja ESALQ'!$C:$C,'Modelo Soja'!$B57,'Preço Soja ESALQ'!AE:AE),NA())</f>
        <v>129.1978260869565</v>
      </c>
      <c r="AI57" s="19">
        <f ca="1">IFERROR(AVERAGEIF('Preço Soja ESALQ'!$C:$C,'Modelo Soja'!$B57,'Preço Soja ESALQ'!AF:AF),NA())</f>
        <v>126.79391304347828</v>
      </c>
      <c r="AJ57" s="24">
        <f>+[2]summary!C69</f>
        <v>136.89130434782606</v>
      </c>
      <c r="AK57" s="24">
        <f t="shared" ca="1" si="2"/>
        <v>118.30223034694777</v>
      </c>
      <c r="AL57" s="24"/>
      <c r="AN57" s="24">
        <f>+[6]FSORPRA!H56</f>
        <v>485.2</v>
      </c>
      <c r="AO57" s="24">
        <f>+[6]FRONPRA!H56</f>
        <v>342.625</v>
      </c>
      <c r="AP57" s="24">
        <f>VLOOKUP(B57,'Frete ESALQ'!$C$5:$AL$131,36,FALSE)</f>
        <v>208</v>
      </c>
      <c r="AQ57" s="24">
        <f>VLOOKUP(B57,'Frete ESALQ'!$C$5:$AW$131,47,FALSE)</f>
        <v>181.67</v>
      </c>
      <c r="AR57" s="24">
        <f>VLOOKUP(B57,'Frete ESALQ'!$C$5:$BH$131,58,FALSE)</f>
        <v>123.75</v>
      </c>
      <c r="AS57" s="24">
        <f>VLOOKUP(B57,'Frete ESALQ'!$C$5:$BH$131,32,FALSE)</f>
        <v>125</v>
      </c>
      <c r="AT57" s="24">
        <f t="shared" si="3"/>
        <v>107.77930434782607</v>
      </c>
      <c r="AU57" s="24">
        <f t="shared" si="4"/>
        <v>116.33380434782606</v>
      </c>
      <c r="AV57" s="24">
        <f t="shared" si="5"/>
        <v>124.41130434782606</v>
      </c>
      <c r="AW57" s="24">
        <f t="shared" si="6"/>
        <v>125.99110434782607</v>
      </c>
      <c r="AX57" s="24">
        <f t="shared" ca="1" si="7"/>
        <v>122.46891304347825</v>
      </c>
      <c r="AY57" s="24">
        <f t="shared" ca="1" si="8"/>
        <v>121.6978260869565</v>
      </c>
      <c r="AZ57">
        <f t="shared" si="9"/>
        <v>7</v>
      </c>
      <c r="BA57" s="17">
        <f t="shared" si="10"/>
        <v>45839</v>
      </c>
      <c r="BB57" s="22">
        <f t="shared" ca="1" si="11"/>
        <v>10.072173913043486</v>
      </c>
      <c r="BC57" s="22">
        <f t="shared" ca="1" si="12"/>
        <v>11.05478260869566</v>
      </c>
      <c r="BD57" s="22">
        <f t="shared" ca="1" si="13"/>
        <v>3.5495652173913044</v>
      </c>
      <c r="BE57" s="22">
        <f t="shared" ca="1" si="14"/>
        <v>6.675217391304372</v>
      </c>
      <c r="BF57" s="22">
        <f t="shared" ca="1" si="15"/>
        <v>8.8560869565217075</v>
      </c>
      <c r="BG57" s="22">
        <f t="shared" ca="1" si="16"/>
        <v>9.7682608695651965</v>
      </c>
      <c r="BH57" s="25">
        <f t="shared" ca="1" si="0"/>
        <v>8.3293478260869538</v>
      </c>
      <c r="BJ57" s="27">
        <f t="shared" ca="1" si="21"/>
        <v>9.294404259991218</v>
      </c>
      <c r="BL57" s="41">
        <f t="shared" si="18"/>
        <v>475.2</v>
      </c>
      <c r="BM57" s="41">
        <f t="shared" si="19"/>
        <v>108.37930434782606</v>
      </c>
    </row>
    <row r="58" spans="2:65" x14ac:dyDescent="0.3">
      <c r="B58" s="17" t="str">
        <f t="shared" si="1"/>
        <v>20258</v>
      </c>
      <c r="C58" s="17">
        <f t="shared" si="20"/>
        <v>45870</v>
      </c>
      <c r="D58" s="19">
        <f ca="1">IFERROR(AVERAGEIF('Preço Soja ESALQ'!$C:$C,'Modelo Soja'!$B58,'Preço Soja ESALQ'!$R:$R),NA())</f>
        <v>117.05999999999999</v>
      </c>
      <c r="E58" s="19">
        <f ca="1">IFERROR(AVERAGEIF('Preço Soja ESALQ'!$C:$C,'Modelo Soja'!$B58,'Preço Soja ESALQ'!S:S),NA())</f>
        <v>113.20095238095239</v>
      </c>
      <c r="F58" s="19">
        <f ca="1">IFERROR(AVERAGEIF('Preço Soja ESALQ'!$C:$C,'Modelo Soja'!$B58,'Preço Soja ESALQ'!T:T),NA())</f>
        <v>121.45000000000002</v>
      </c>
      <c r="G58" s="19" t="e">
        <f ca="1">IFERROR(AVERAGEIF('Preço Soja ESALQ'!$C:$C,'Modelo Soja'!$B58,'Preço Soja ESALQ'!U:U),NA())</f>
        <v>#N/A</v>
      </c>
      <c r="H58" s="19">
        <f ca="1">IFERROR(AVERAGEIF('Preço Soja ESALQ'!$C:$C,'Modelo Soja'!$B58,'Preço Soja ESALQ'!V:V),NA())</f>
        <v>116.09333333333333</v>
      </c>
      <c r="I58" s="19">
        <f ca="1">IFERROR(AVERAGEIF('Preço Soja ESALQ'!$C:$C,'Modelo Soja'!$B58,'Preço Soja ESALQ'!W:W),NA())</f>
        <v>123.01428571428571</v>
      </c>
      <c r="J58" s="19">
        <f ca="1">IFERROR(AVERAGEIF('Preço Soja ESALQ'!$C:$C,'Modelo Soja'!$B58,'Preço Soja ESALQ'!X:X),NA())</f>
        <v>123.53761904761905</v>
      </c>
      <c r="K58" s="19">
        <f ca="1">IFERROR(AVERAGEIF('Preço Soja ESALQ'!$C:$C,'Modelo Soja'!$B58,'Preço Soja ESALQ'!Y:Y),NA())</f>
        <v>117.55380952380951</v>
      </c>
      <c r="L58" s="19">
        <f ca="1">IFERROR(AVERAGEIF('Preço Soja ESALQ'!$C:$C,'Modelo Soja'!$B58,'Preço Soja ESALQ'!Z:Z),NA())</f>
        <v>117.93523809523809</v>
      </c>
      <c r="M58" s="19">
        <f ca="1">IFERROR(AVERAGEIF('Preço Soja ESALQ'!$C:$C,'Modelo Soja'!$B58,'Preço Soja ESALQ'!AA:AA),NA())</f>
        <v>119.8847619047619</v>
      </c>
      <c r="N58" s="19">
        <f ca="1">IFERROR(AVERAGEIF('Preço Soja ESALQ'!$C:$C,'Modelo Soja'!$B58,'Preço Soja ESALQ'!AB:AB),NA())</f>
        <v>123.26714285714286</v>
      </c>
      <c r="O58" s="19" t="e">
        <f ca="1">IFERROR(AVERAGEIF('Preço Soja ESALQ'!$C:$C,'Modelo Soja'!$B58,'Preço Soja ESALQ'!AC:AC),NA())</f>
        <v>#N/A</v>
      </c>
      <c r="P58" s="19" t="e">
        <f ca="1">IFERROR(AVERAGEIF('Preço Soja ESALQ'!$C:$C,'Modelo Soja'!$B58,'Preço Soja ESALQ'!AD:AD),NA())</f>
        <v>#N/A</v>
      </c>
      <c r="Q58" s="19">
        <f ca="1">IFERROR(AVERAGEIF('Preço Soja ESALQ'!$C:$C,'Modelo Soja'!$B58,'Preço Soja ESALQ'!BI:BI),NA())</f>
        <v>126.76761904761904</v>
      </c>
      <c r="R58" s="19">
        <f ca="1">IFERROR(AVERAGEIF('Preço Soja ESALQ'!$C:$C,'Modelo Soja'!$B58,'Preço Soja ESALQ'!BK:BK),NA())</f>
        <v>111.94190476190475</v>
      </c>
      <c r="S58" s="19">
        <f ca="1">IFERROR(AVERAGEIF('Preço Soja ESALQ'!$C:$C,'Modelo Soja'!$B58,'Preço Soja ESALQ'!BL:BL),NA())</f>
        <v>112.21904761904761</v>
      </c>
      <c r="T58" s="19" t="e">
        <f ca="1">IFERROR(AVERAGEIF('Preço Soja ESALQ'!$C:$C,'Modelo Soja'!$B58,'Preço Soja ESALQ'!BM:BM),NA())</f>
        <v>#N/A</v>
      </c>
      <c r="U58" s="19">
        <f ca="1">IFERROR(AVERAGEIF('Preço Soja ESALQ'!$C:$C,'Modelo Soja'!$B58,'Preço Soja ESALQ'!BN:BN),NA())</f>
        <v>112.07380952380952</v>
      </c>
      <c r="AA58" s="19">
        <f ca="1">IFERROR(AVERAGEIF('Preço Soja ESALQ'!$C:$C,'Modelo Soja'!$B58,'Preço Soja ESALQ'!BA:BA),NA())</f>
        <v>123.42333333333333</v>
      </c>
      <c r="AB58" s="19">
        <f ca="1">IFERROR(AVERAGEIF('Preço Soja ESALQ'!$C:$C,'Modelo Soja'!$B58,'Preço Soja ESALQ'!BB:BB),NA())</f>
        <v>134.17428571428573</v>
      </c>
      <c r="AC58" s="19">
        <f ca="1">IFERROR(AVERAGEIF('Preço Soja ESALQ'!$C:$C,'Modelo Soja'!$B58,'Preço Soja ESALQ'!BC:BC),NA())</f>
        <v>130.22000000000003</v>
      </c>
      <c r="AD58" s="19">
        <f ca="1">IFERROR(AVERAGEIF('Preço Soja ESALQ'!$C:$C,'Modelo Soja'!$B58,'Preço Soja ESALQ'!BD:BD),NA())</f>
        <v>132.59238095238098</v>
      </c>
      <c r="AE58" s="19">
        <f ca="1">IFERROR(AVERAGEIF('Preço Soja ESALQ'!$C:$C,'Modelo Soja'!$B58,'Preço Soja ESALQ'!BE:BE),NA())</f>
        <v>124.51428571428568</v>
      </c>
      <c r="AF58" s="19">
        <f ca="1">IFERROR(AVERAGEIF('Preço Soja ESALQ'!$C:$C,'Modelo Soja'!$B58,'Preço Soja ESALQ'!BF:BF),NA())</f>
        <v>124.50238095238095</v>
      </c>
      <c r="AG58" s="19">
        <f ca="1">IFERROR(AVERAGEIF('Preço Soja ESALQ'!$C:$C,'Modelo Soja'!$B58,'Preço Soja ESALQ'!BG:BG),NA())</f>
        <v>133.33523809523808</v>
      </c>
      <c r="AH58" s="19">
        <f ca="1">IFERROR(AVERAGEIF('Preço Soja ESALQ'!$C:$C,'Modelo Soja'!$B58,'Preço Soja ESALQ'!AE:AE),NA())</f>
        <v>132.09904761904758</v>
      </c>
      <c r="AI58" s="19">
        <f ca="1">IFERROR(AVERAGEIF('Preço Soja ESALQ'!$C:$C,'Modelo Soja'!$B58,'Preço Soja ESALQ'!AF:AF),NA())</f>
        <v>131.44952380952381</v>
      </c>
      <c r="AJ58" s="24">
        <f>+[2]summary!C70</f>
        <v>140.50047619047618</v>
      </c>
      <c r="AK58" s="24">
        <f t="shared" ca="1" si="2"/>
        <v>122.56836511073469</v>
      </c>
      <c r="AL58" s="24"/>
      <c r="AN58" s="24">
        <f>+[6]FSORPRA!H57</f>
        <v>443.18</v>
      </c>
      <c r="AO58" s="24">
        <f>+[6]FRONPRA!H57</f>
        <v>348.02</v>
      </c>
      <c r="AP58" s="24">
        <f>VLOOKUP(B58,'Frete ESALQ'!$C$5:$AL$131,36,FALSE)</f>
        <v>173.91</v>
      </c>
      <c r="AQ58" s="24">
        <f>VLOOKUP(B58,'Frete ESALQ'!$C$5:$AW$131,47,FALSE)</f>
        <v>175</v>
      </c>
      <c r="AR58" s="24">
        <f>VLOOKUP(B58,'Frete ESALQ'!$C$5:$BH$131,58,FALSE)</f>
        <v>140</v>
      </c>
      <c r="AS58" s="24">
        <f>VLOOKUP(B58,'Frete ESALQ'!$C$5:$BH$131,32,FALSE)</f>
        <v>138.75</v>
      </c>
      <c r="AT58" s="24">
        <f t="shared" si="3"/>
        <v>113.90967619047618</v>
      </c>
      <c r="AU58" s="24">
        <f t="shared" si="4"/>
        <v>119.61927619047617</v>
      </c>
      <c r="AV58" s="24">
        <f t="shared" si="5"/>
        <v>130.06587619047619</v>
      </c>
      <c r="AW58" s="24">
        <f t="shared" si="6"/>
        <v>130.00047619047618</v>
      </c>
      <c r="AX58" s="24">
        <f t="shared" ca="1" si="7"/>
        <v>124.93523809523808</v>
      </c>
      <c r="AY58" s="24">
        <f t="shared" ca="1" si="8"/>
        <v>123.77404761904758</v>
      </c>
      <c r="AZ58">
        <f t="shared" si="9"/>
        <v>8</v>
      </c>
      <c r="BA58" s="17">
        <f t="shared" si="10"/>
        <v>45870</v>
      </c>
      <c r="BB58" s="22">
        <f t="shared" ca="1" si="11"/>
        <v>11.160000000000025</v>
      </c>
      <c r="BC58" s="22">
        <f t="shared" ca="1" si="12"/>
        <v>12.666190476190522</v>
      </c>
      <c r="BD58" s="22">
        <f t="shared" ca="1" si="13"/>
        <v>4.629523809523775</v>
      </c>
      <c r="BE58" s="22">
        <f t="shared" ca="1" si="14"/>
        <v>7.4423809523809581</v>
      </c>
      <c r="BF58" s="22">
        <f t="shared" ca="1" si="15"/>
        <v>8.5614285714285359</v>
      </c>
      <c r="BG58" s="22">
        <f t="shared" ca="1" si="16"/>
        <v>10.068095238095225</v>
      </c>
      <c r="BH58" s="25">
        <f t="shared" ca="1" si="0"/>
        <v>9.0879365079365062</v>
      </c>
      <c r="BJ58" s="27">
        <f t="shared" ca="1" si="21"/>
        <v>9.3674127297823038</v>
      </c>
      <c r="BL58" s="41">
        <f t="shared" si="18"/>
        <v>433.18</v>
      </c>
      <c r="BM58" s="41">
        <f t="shared" si="19"/>
        <v>114.50967619047617</v>
      </c>
    </row>
    <row r="59" spans="2:65" x14ac:dyDescent="0.3">
      <c r="B59" s="17" t="str">
        <f t="shared" si="1"/>
        <v>20259</v>
      </c>
      <c r="C59" s="17">
        <f t="shared" si="20"/>
        <v>45901</v>
      </c>
      <c r="D59" s="19">
        <f ca="1">IFERROR(AVERAGEIF('Preço Soja ESALQ'!$C:$C,'Modelo Soja'!$B59,'Preço Soja ESALQ'!$R:$R),NA())</f>
        <v>115.65136363636363</v>
      </c>
      <c r="E59" s="19">
        <f ca="1">IFERROR(AVERAGEIF('Preço Soja ESALQ'!$C:$C,'Modelo Soja'!$B59,'Preço Soja ESALQ'!S:S),NA())</f>
        <v>114.88818181818179</v>
      </c>
      <c r="F59" s="19">
        <f ca="1">IFERROR(AVERAGEIF('Preço Soja ESALQ'!$C:$C,'Modelo Soja'!$B59,'Preço Soja ESALQ'!T:T),NA())</f>
        <v>121.69090909090905</v>
      </c>
      <c r="G59" s="19">
        <f ca="1">IFERROR(AVERAGEIF('Preço Soja ESALQ'!$C:$C,'Modelo Soja'!$B59,'Preço Soja ESALQ'!U:U),NA())</f>
        <v>127.3</v>
      </c>
      <c r="H59" s="19">
        <f ca="1">IFERROR(AVERAGEIF('Preço Soja ESALQ'!$C:$C,'Modelo Soja'!$B59,'Preço Soja ESALQ'!V:V),NA())</f>
        <v>117.7340909090909</v>
      </c>
      <c r="I59" s="19">
        <f ca="1">IFERROR(AVERAGEIF('Preço Soja ESALQ'!$C:$C,'Modelo Soja'!$B59,'Preço Soja ESALQ'!W:W),NA())</f>
        <v>122.46727272727271</v>
      </c>
      <c r="J59" s="19">
        <f ca="1">IFERROR(AVERAGEIF('Preço Soja ESALQ'!$C:$C,'Modelo Soja'!$B59,'Preço Soja ESALQ'!X:X),NA())</f>
        <v>122.49227272727272</v>
      </c>
      <c r="K59" s="19">
        <f ca="1">IFERROR(AVERAGEIF('Preço Soja ESALQ'!$C:$C,'Modelo Soja'!$B59,'Preço Soja ESALQ'!Y:Y),NA())</f>
        <v>117.65499999999999</v>
      </c>
      <c r="L59" s="19">
        <f ca="1">IFERROR(AVERAGEIF('Preço Soja ESALQ'!$C:$C,'Modelo Soja'!$B59,'Preço Soja ESALQ'!Z:Z),NA())</f>
        <v>117.91318181818183</v>
      </c>
      <c r="M59" s="19">
        <f ca="1">IFERROR(AVERAGEIF('Preço Soja ESALQ'!$C:$C,'Modelo Soja'!$B59,'Preço Soja ESALQ'!AA:AA),NA())</f>
        <v>119.48090909090909</v>
      </c>
      <c r="N59" s="19">
        <f ca="1">IFERROR(AVERAGEIF('Preço Soja ESALQ'!$C:$C,'Modelo Soja'!$B59,'Preço Soja ESALQ'!AB:AB),NA())</f>
        <v>122.1259090909091</v>
      </c>
      <c r="O59" s="19">
        <f ca="1">IFERROR(AVERAGEIF('Preço Soja ESALQ'!$C:$C,'Modelo Soja'!$B59,'Preço Soja ESALQ'!AC:AC),NA())</f>
        <v>125</v>
      </c>
      <c r="P59" s="19" t="e">
        <f ca="1">IFERROR(AVERAGEIF('Preço Soja ESALQ'!$C:$C,'Modelo Soja'!$B59,'Preço Soja ESALQ'!AD:AD),NA())</f>
        <v>#N/A</v>
      </c>
      <c r="Q59" s="19">
        <f ca="1">IFERROR(AVERAGEIF('Preço Soja ESALQ'!$C:$C,'Modelo Soja'!$B59,'Preço Soja ESALQ'!BI:BI),NA())</f>
        <v>126.05181818181818</v>
      </c>
      <c r="R59" s="19">
        <f ca="1">IFERROR(AVERAGEIF('Preço Soja ESALQ'!$C:$C,'Modelo Soja'!$B59,'Preço Soja ESALQ'!BK:BK),NA())</f>
        <v>112.87181818181816</v>
      </c>
      <c r="S59" s="19">
        <f ca="1">IFERROR(AVERAGEIF('Preço Soja ESALQ'!$C:$C,'Modelo Soja'!$B59,'Preço Soja ESALQ'!BL:BL),NA())</f>
        <v>113.04363636363637</v>
      </c>
      <c r="T59" s="19" t="e">
        <f ca="1">IFERROR(AVERAGEIF('Preço Soja ESALQ'!$C:$C,'Modelo Soja'!$B59,'Preço Soja ESALQ'!BM:BM),NA())</f>
        <v>#N/A</v>
      </c>
      <c r="U59" s="19">
        <f ca="1">IFERROR(AVERAGEIF('Preço Soja ESALQ'!$C:$C,'Modelo Soja'!$B59,'Preço Soja ESALQ'!BN:BN),NA())</f>
        <v>113.0031818181818</v>
      </c>
      <c r="AA59" s="19">
        <f ca="1">IFERROR(AVERAGEIF('Preço Soja ESALQ'!$C:$C,'Modelo Soja'!$B59,'Preço Soja ESALQ'!BA:BA),NA())</f>
        <v>125.08954545454549</v>
      </c>
      <c r="AB59" s="19">
        <f ca="1">IFERROR(AVERAGEIF('Preço Soja ESALQ'!$C:$C,'Modelo Soja'!$B59,'Preço Soja ESALQ'!BB:BB),NA())</f>
        <v>133.57909090909089</v>
      </c>
      <c r="AC59" s="19">
        <f ca="1">IFERROR(AVERAGEIF('Preço Soja ESALQ'!$C:$C,'Modelo Soja'!$B59,'Preço Soja ESALQ'!BC:BC),NA())</f>
        <v>129.44818181818184</v>
      </c>
      <c r="AD59" s="19">
        <f ca="1">IFERROR(AVERAGEIF('Preço Soja ESALQ'!$C:$C,'Modelo Soja'!$B59,'Preço Soja ESALQ'!BD:BD),NA())</f>
        <v>131.5740909090909</v>
      </c>
      <c r="AE59" s="19">
        <f ca="1">IFERROR(AVERAGEIF('Preço Soja ESALQ'!$C:$C,'Modelo Soja'!$B59,'Preço Soja ESALQ'!BE:BE),NA())</f>
        <v>124.07409090909094</v>
      </c>
      <c r="AF59" s="19">
        <f ca="1">IFERROR(AVERAGEIF('Preço Soja ESALQ'!$C:$C,'Modelo Soja'!$B59,'Preço Soja ESALQ'!BF:BF),NA())</f>
        <v>123.51409090909092</v>
      </c>
      <c r="AG59" s="19">
        <f ca="1">IFERROR(AVERAGEIF('Preço Soja ESALQ'!$C:$C,'Modelo Soja'!$B59,'Preço Soja ESALQ'!BG:BG),NA())</f>
        <v>132.83363636363634</v>
      </c>
      <c r="AH59" s="19">
        <f ca="1">IFERROR(AVERAGEIF('Preço Soja ESALQ'!$C:$C,'Modelo Soja'!$B59,'Preço Soja ESALQ'!AE:AE),NA())</f>
        <v>131.50545454545457</v>
      </c>
      <c r="AI59" s="19">
        <f ca="1">IFERROR(AVERAGEIF('Preço Soja ESALQ'!$C:$C,'Modelo Soja'!$B59,'Preço Soja ESALQ'!AF:AF),NA())</f>
        <v>130.78473684210527</v>
      </c>
      <c r="AJ59" s="24">
        <f>+[2]summary!C71</f>
        <v>138.77409090909092</v>
      </c>
      <c r="AK59" s="24">
        <f t="shared" ca="1" si="2"/>
        <v>124.96628257363548</v>
      </c>
      <c r="AL59" s="24"/>
      <c r="AN59" s="24">
        <f>+[6]FSORPRA!H58</f>
        <v>429.35</v>
      </c>
      <c r="AO59" s="24">
        <f>+[6]FRONPRA!H58</f>
        <v>333.125</v>
      </c>
      <c r="AP59" s="24">
        <f>VLOOKUP(B59,'Frete ESALQ'!$C$5:$AL$131,36,FALSE)</f>
        <v>165.43</v>
      </c>
      <c r="AQ59" s="24">
        <f>VLOOKUP(B59,'Frete ESALQ'!$C$5:$AW$131,47,FALSE)</f>
        <v>176</v>
      </c>
      <c r="AR59" s="24">
        <f>VLOOKUP(B59,'Frete ESALQ'!$C$5:$BH$131,58,FALSE)</f>
        <v>139.16999999999999</v>
      </c>
      <c r="AS59" s="24">
        <f>VLOOKUP(B59,'Frete ESALQ'!$C$5:$BH$131,32,FALSE)</f>
        <v>146.25</v>
      </c>
      <c r="AT59" s="24">
        <f t="shared" si="3"/>
        <v>113.01309090909092</v>
      </c>
      <c r="AU59" s="24">
        <f t="shared" si="4"/>
        <v>118.78659090909092</v>
      </c>
      <c r="AV59" s="24">
        <f t="shared" si="5"/>
        <v>128.84829090909091</v>
      </c>
      <c r="AW59" s="24">
        <f t="shared" si="6"/>
        <v>128.21409090909091</v>
      </c>
      <c r="AX59" s="24">
        <f t="shared" ca="1" si="7"/>
        <v>124.48343636363634</v>
      </c>
      <c r="AY59" s="24">
        <f t="shared" ca="1" si="8"/>
        <v>122.73045454545456</v>
      </c>
      <c r="AZ59">
        <f t="shared" si="9"/>
        <v>9</v>
      </c>
      <c r="BA59" s="17">
        <f t="shared" si="10"/>
        <v>45901</v>
      </c>
      <c r="BB59" s="22">
        <f t="shared" ca="1" si="11"/>
        <v>11.11181818181818</v>
      </c>
      <c r="BC59" s="22">
        <f t="shared" ca="1" si="12"/>
        <v>11.79318181818185</v>
      </c>
      <c r="BD59" s="22">
        <f t="shared" ca="1" si="13"/>
        <v>4.5931818181818471</v>
      </c>
      <c r="BE59" s="22">
        <f t="shared" ca="1" si="14"/>
        <v>7.8627272727272981</v>
      </c>
      <c r="BF59" s="22">
        <f t="shared" ca="1" si="15"/>
        <v>9.0131818181818488</v>
      </c>
      <c r="BG59" s="22">
        <f t="shared" ca="1" si="16"/>
        <v>10.70772727272724</v>
      </c>
      <c r="BH59" s="25">
        <f t="shared" ca="1" si="0"/>
        <v>9.180303030303044</v>
      </c>
      <c r="BJ59" s="27">
        <f t="shared" ca="1" si="21"/>
        <v>10.078100755453697</v>
      </c>
      <c r="BL59" s="41">
        <f t="shared" si="18"/>
        <v>419.35</v>
      </c>
      <c r="BM59" s="41">
        <f t="shared" si="19"/>
        <v>113.61309090909091</v>
      </c>
    </row>
    <row r="60" spans="2:65" x14ac:dyDescent="0.3">
      <c r="B60" s="17" t="str">
        <f t="shared" si="1"/>
        <v>202510</v>
      </c>
      <c r="C60" s="17">
        <f t="shared" si="20"/>
        <v>45931</v>
      </c>
      <c r="D60" s="19">
        <f ca="1">IFERROR(AVERAGEIF('Preço Soja ESALQ'!$C:$C,'Modelo Soja'!$B60,'Preço Soja ESALQ'!$R:$R),NA())</f>
        <v>115.89260869565216</v>
      </c>
      <c r="E60" s="19">
        <f ca="1">IFERROR(AVERAGEIF('Preço Soja ESALQ'!$C:$C,'Modelo Soja'!$B60,'Preço Soja ESALQ'!S:S),NA())</f>
        <v>112.86304347826091</v>
      </c>
      <c r="F60" s="19">
        <f ca="1">IFERROR(AVERAGEIF('Preço Soja ESALQ'!$C:$C,'Modelo Soja'!$B60,'Preço Soja ESALQ'!T:T),NA())</f>
        <v>123.00739130434785</v>
      </c>
      <c r="G60" s="19" t="e">
        <f ca="1">IFERROR(AVERAGEIF('Preço Soja ESALQ'!$C:$C,'Modelo Soja'!$B60,'Preço Soja ESALQ'!U:U),NA())</f>
        <v>#N/A</v>
      </c>
      <c r="H60" s="19">
        <f ca="1">IFERROR(AVERAGEIF('Preço Soja ESALQ'!$C:$C,'Modelo Soja'!$B60,'Preço Soja ESALQ'!V:V),NA())</f>
        <v>117.00130434782605</v>
      </c>
      <c r="I60" s="19">
        <f ca="1">IFERROR(AVERAGEIF('Preço Soja ESALQ'!$C:$C,'Modelo Soja'!$B60,'Preço Soja ESALQ'!W:W),NA())</f>
        <v>121.94304347826085</v>
      </c>
      <c r="J60" s="19">
        <f ca="1">IFERROR(AVERAGEIF('Preço Soja ESALQ'!$C:$C,'Modelo Soja'!$B60,'Preço Soja ESALQ'!X:X),NA())</f>
        <v>121.73347826086965</v>
      </c>
      <c r="K60" s="19">
        <f ca="1">IFERROR(AVERAGEIF('Preço Soja ESALQ'!$C:$C,'Modelo Soja'!$B60,'Preço Soja ESALQ'!Y:Y),NA())</f>
        <v>118.89130434782609</v>
      </c>
      <c r="L60" s="19">
        <f ca="1">IFERROR(AVERAGEIF('Preço Soja ESALQ'!$C:$C,'Modelo Soja'!$B60,'Preço Soja ESALQ'!Z:Z),NA())</f>
        <v>119.10434782608698</v>
      </c>
      <c r="M60" s="19">
        <f ca="1">IFERROR(AVERAGEIF('Preço Soja ESALQ'!$C:$C,'Modelo Soja'!$B60,'Preço Soja ESALQ'!AA:AA),NA())</f>
        <v>120.19913043478259</v>
      </c>
      <c r="N60" s="19">
        <f ca="1">IFERROR(AVERAGEIF('Preço Soja ESALQ'!$C:$C,'Modelo Soja'!$B60,'Preço Soja ESALQ'!AB:AB),NA())</f>
        <v>121.12521739130435</v>
      </c>
      <c r="O60" s="19" t="e">
        <f ca="1">IFERROR(AVERAGEIF('Preço Soja ESALQ'!$C:$C,'Modelo Soja'!$B60,'Preço Soja ESALQ'!AC:AC),NA())</f>
        <v>#N/A</v>
      </c>
      <c r="P60" s="19" t="e">
        <f ca="1">IFERROR(AVERAGEIF('Preço Soja ESALQ'!$C:$C,'Modelo Soja'!$B60,'Preço Soja ESALQ'!AD:AD),NA())</f>
        <v>#N/A</v>
      </c>
      <c r="Q60" s="19">
        <f ca="1">IFERROR(AVERAGEIF('Preço Soja ESALQ'!$C:$C,'Modelo Soja'!$B60,'Preço Soja ESALQ'!BI:BI),NA())</f>
        <v>124.46043478260869</v>
      </c>
      <c r="R60" s="19">
        <f ca="1">IFERROR(AVERAGEIF('Preço Soja ESALQ'!$C:$C,'Modelo Soja'!$B60,'Preço Soja ESALQ'!BK:BK),NA())</f>
        <v>115.13739130434784</v>
      </c>
      <c r="S60" s="19">
        <f ca="1">IFERROR(AVERAGEIF('Preço Soja ESALQ'!$C:$C,'Modelo Soja'!$B60,'Preço Soja ESALQ'!BL:BL),NA())</f>
        <v>115.2286956521739</v>
      </c>
      <c r="T60" s="19" t="e">
        <f ca="1">IFERROR(AVERAGEIF('Preço Soja ESALQ'!$C:$C,'Modelo Soja'!$B60,'Preço Soja ESALQ'!BM:BM),NA())</f>
        <v>#N/A</v>
      </c>
      <c r="U60" s="19">
        <f ca="1">IFERROR(AVERAGEIF('Preço Soja ESALQ'!$C:$C,'Modelo Soja'!$B60,'Preço Soja ESALQ'!BN:BN),NA())</f>
        <v>115.26304347826088</v>
      </c>
      <c r="AA60" s="19">
        <f ca="1">IFERROR(AVERAGEIF('Preço Soja ESALQ'!$C:$C,'Modelo Soja'!$B60,'Preço Soja ESALQ'!BA:BA),NA())</f>
        <v>124.05391304347825</v>
      </c>
      <c r="AB60" s="19">
        <f ca="1">IFERROR(AVERAGEIF('Preço Soja ESALQ'!$C:$C,'Modelo Soja'!$B60,'Preço Soja ESALQ'!BB:BB),NA())</f>
        <v>133.71782608695648</v>
      </c>
      <c r="AC60" s="19">
        <f ca="1">IFERROR(AVERAGEIF('Preço Soja ESALQ'!$C:$C,'Modelo Soja'!$B60,'Preço Soja ESALQ'!BC:BC),NA())</f>
        <v>129.13304347826087</v>
      </c>
      <c r="AD60" s="19">
        <f ca="1">IFERROR(AVERAGEIF('Preço Soja ESALQ'!$C:$C,'Modelo Soja'!$B60,'Preço Soja ESALQ'!BD:BD),NA())</f>
        <v>131.17826086956524</v>
      </c>
      <c r="AE60" s="19">
        <f ca="1">IFERROR(AVERAGEIF('Preço Soja ESALQ'!$C:$C,'Modelo Soja'!$B60,'Preço Soja ESALQ'!BE:BE),NA())</f>
        <v>124.15521739130438</v>
      </c>
      <c r="AF60" s="19">
        <f ca="1">IFERROR(AVERAGEIF('Preço Soja ESALQ'!$C:$C,'Modelo Soja'!$B60,'Preço Soja ESALQ'!BF:BF),NA())</f>
        <v>125.12173913043478</v>
      </c>
      <c r="AG60" s="19">
        <f ca="1">IFERROR(AVERAGEIF('Preço Soja ESALQ'!$C:$C,'Modelo Soja'!$B60,'Preço Soja ESALQ'!BG:BG),NA())</f>
        <v>131.09434782608693</v>
      </c>
      <c r="AH60" s="19">
        <f ca="1">IFERROR(AVERAGEIF('Preço Soja ESALQ'!$C:$C,'Modelo Soja'!$B60,'Preço Soja ESALQ'!AE:AE),NA())</f>
        <v>131.10260869565218</v>
      </c>
      <c r="AI60" s="19">
        <f ca="1">IFERROR(AVERAGEIF('Preço Soja ESALQ'!$C:$C,'Modelo Soja'!$B60,'Preço Soja ESALQ'!AF:AF),NA())</f>
        <v>129.27652173913043</v>
      </c>
      <c r="AJ60" s="24">
        <f>+[2]summary!C72</f>
        <v>137.86304347826089</v>
      </c>
      <c r="AK60" s="24">
        <f t="shared" ca="1" si="2"/>
        <v>122.45811092916747</v>
      </c>
      <c r="AL60" s="24"/>
      <c r="AN60" s="24">
        <f>+[6]FSORPRA!H59</f>
        <v>434.91999999999996</v>
      </c>
      <c r="AO60" s="24">
        <f>+[6]FRONPRA!H59</f>
        <v>334.52</v>
      </c>
      <c r="AP60" s="24">
        <f>VLOOKUP(B60,'Frete ESALQ'!$C$5:$AL$131,36,FALSE)</f>
        <v>163</v>
      </c>
      <c r="AQ60" s="24">
        <f>VLOOKUP(B60,'Frete ESALQ'!$C$5:$AW$131,47,FALSE)</f>
        <v>166</v>
      </c>
      <c r="AR60" s="24">
        <f>VLOOKUP(B60,'Frete ESALQ'!$C$5:$BH$131,58,FALSE)</f>
        <v>155</v>
      </c>
      <c r="AS60" s="24">
        <f>VLOOKUP(B60,'Frete ESALQ'!$C$5:$BH$131,32,FALSE)</f>
        <v>162</v>
      </c>
      <c r="AT60" s="24">
        <f t="shared" si="3"/>
        <v>111.7678434782609</v>
      </c>
      <c r="AU60" s="24">
        <f t="shared" si="4"/>
        <v>117.79184347826089</v>
      </c>
      <c r="AV60" s="24">
        <f t="shared" si="5"/>
        <v>128.08304347826089</v>
      </c>
      <c r="AW60" s="24">
        <f t="shared" si="6"/>
        <v>127.9030434782609</v>
      </c>
      <c r="AX60" s="24">
        <f t="shared" ca="1" si="7"/>
        <v>121.79434782608693</v>
      </c>
      <c r="AY60" s="24">
        <f t="shared" ca="1" si="8"/>
        <v>121.38260869565218</v>
      </c>
      <c r="AZ60">
        <f t="shared" si="9"/>
        <v>10</v>
      </c>
      <c r="BA60" s="17">
        <f t="shared" si="10"/>
        <v>45931</v>
      </c>
      <c r="BB60" s="22">
        <f t="shared" ca="1" si="11"/>
        <v>11.774782608695631</v>
      </c>
      <c r="BC60" s="22">
        <f t="shared" ca="1" si="12"/>
        <v>10.24173913043478</v>
      </c>
      <c r="BD60" s="22">
        <f t="shared" ca="1" si="13"/>
        <v>3.9560869565217871</v>
      </c>
      <c r="BE60" s="22">
        <f t="shared" ca="1" si="14"/>
        <v>9.2291304347826184</v>
      </c>
      <c r="BF60" s="22">
        <f t="shared" ca="1" si="15"/>
        <v>9.3691304347825337</v>
      </c>
      <c r="BG60" s="22">
        <f t="shared" ca="1" si="16"/>
        <v>9.9691304347825849</v>
      </c>
      <c r="BH60" s="25">
        <f t="shared" ca="1" si="0"/>
        <v>9.0899999999999892</v>
      </c>
      <c r="BJ60" s="27">
        <f t="shared" ca="1" si="21"/>
        <v>9.5950674509065745</v>
      </c>
      <c r="BL60" s="41">
        <f t="shared" si="18"/>
        <v>424.91999999999996</v>
      </c>
      <c r="BM60" s="41">
        <f t="shared" si="19"/>
        <v>112.36784347826089</v>
      </c>
    </row>
    <row r="61" spans="2:65" x14ac:dyDescent="0.3">
      <c r="B61" s="17" t="str">
        <f t="shared" si="1"/>
        <v>202511</v>
      </c>
      <c r="C61" s="17">
        <f t="shared" si="20"/>
        <v>45962</v>
      </c>
      <c r="D61" s="19">
        <f ca="1">IFERROR(AVERAGEIF('Preço Soja ESALQ'!$C:$C,'Modelo Soja'!$B61,'Preço Soja ESALQ'!$R:$R),NA())</f>
        <v>116.68222222222224</v>
      </c>
      <c r="E61" s="19">
        <f ca="1">IFERROR(AVERAGEIF('Preço Soja ESALQ'!$C:$C,'Modelo Soja'!$B61,'Preço Soja ESALQ'!S:S),NA())</f>
        <v>112.02368421052631</v>
      </c>
      <c r="F61" s="19">
        <f ca="1">IFERROR(AVERAGEIF('Preço Soja ESALQ'!$C:$C,'Modelo Soja'!$B61,'Preço Soja ESALQ'!T:T),NA())</f>
        <v>124.80157894736844</v>
      </c>
      <c r="G61" s="19" t="e">
        <f ca="1">IFERROR(AVERAGEIF('Preço Soja ESALQ'!$C:$C,'Modelo Soja'!$B61,'Preço Soja ESALQ'!U:U),NA())</f>
        <v>#N/A</v>
      </c>
      <c r="H61" s="19">
        <f ca="1">IFERROR(AVERAGEIF('Preço Soja ESALQ'!$C:$C,'Modelo Soja'!$B61,'Preço Soja ESALQ'!V:V),NA())</f>
        <v>119.13052631578945</v>
      </c>
      <c r="I61" s="19">
        <f ca="1">IFERROR(AVERAGEIF('Preço Soja ESALQ'!$C:$C,'Modelo Soja'!$B61,'Preço Soja ESALQ'!W:W),NA())</f>
        <v>123.2821052631579</v>
      </c>
      <c r="J61" s="19">
        <f ca="1">IFERROR(AVERAGEIF('Preço Soja ESALQ'!$C:$C,'Modelo Soja'!$B61,'Preço Soja ESALQ'!X:X),NA())</f>
        <v>124.03473684210527</v>
      </c>
      <c r="K61" s="19">
        <f ca="1">IFERROR(AVERAGEIF('Preço Soja ESALQ'!$C:$C,'Modelo Soja'!$B61,'Preço Soja ESALQ'!Y:Y),NA())</f>
        <v>120.78684210526318</v>
      </c>
      <c r="L61" s="19">
        <f ca="1">IFERROR(AVERAGEIF('Preço Soja ESALQ'!$C:$C,'Modelo Soja'!$B61,'Preço Soja ESALQ'!Z:Z),NA())</f>
        <v>121.03894736842099</v>
      </c>
      <c r="M61" s="19">
        <f ca="1">IFERROR(AVERAGEIF('Preço Soja ESALQ'!$C:$C,'Modelo Soja'!$B61,'Preço Soja ESALQ'!AA:AA),NA())</f>
        <v>121.68052631578949</v>
      </c>
      <c r="N61" s="19">
        <f ca="1">IFERROR(AVERAGEIF('Preço Soja ESALQ'!$C:$C,'Modelo Soja'!$B61,'Preço Soja ESALQ'!AB:AB),NA())</f>
        <v>123.16947368421052</v>
      </c>
      <c r="O61" s="19" t="e">
        <f ca="1">IFERROR(AVERAGEIF('Preço Soja ESALQ'!$C:$C,'Modelo Soja'!$B61,'Preço Soja ESALQ'!AC:AC),NA())</f>
        <v>#N/A</v>
      </c>
      <c r="P61" s="19" t="e">
        <f ca="1">IFERROR(AVERAGEIF('Preço Soja ESALQ'!$C:$C,'Modelo Soja'!$B61,'Preço Soja ESALQ'!AD:AD),NA())</f>
        <v>#N/A</v>
      </c>
      <c r="Q61" s="19">
        <f ca="1">IFERROR(AVERAGEIF('Preço Soja ESALQ'!$C:$C,'Modelo Soja'!$B61,'Preço Soja ESALQ'!BI:BI),NA())</f>
        <v>125.96263157894734</v>
      </c>
      <c r="R61" s="19">
        <f ca="1">IFERROR(AVERAGEIF('Preço Soja ESALQ'!$C:$C,'Modelo Soja'!$B61,'Preço Soja ESALQ'!BK:BK),NA())</f>
        <v>117.07315789473687</v>
      </c>
      <c r="S61" s="19">
        <f ca="1">IFERROR(AVERAGEIF('Preço Soja ESALQ'!$C:$C,'Modelo Soja'!$B61,'Preço Soja ESALQ'!BL:BL),NA())</f>
        <v>117.34684210526316</v>
      </c>
      <c r="T61" s="19" t="e">
        <f ca="1">IFERROR(AVERAGEIF('Preço Soja ESALQ'!$C:$C,'Modelo Soja'!$B61,'Preço Soja ESALQ'!BM:BM),NA())</f>
        <v>#N/A</v>
      </c>
      <c r="U61" s="19">
        <f ca="1">IFERROR(AVERAGEIF('Preço Soja ESALQ'!$C:$C,'Modelo Soja'!$B61,'Preço Soja ESALQ'!BN:BN),NA())</f>
        <v>117.21210526315791</v>
      </c>
      <c r="AA61" s="19">
        <f ca="1">IFERROR(AVERAGEIF('Preço Soja ESALQ'!$C:$C,'Modelo Soja'!$B61,'Preço Soja ESALQ'!BA:BA),NA())</f>
        <v>124.50789473684213</v>
      </c>
      <c r="AB61" s="19">
        <f ca="1">IFERROR(AVERAGEIF('Preço Soja ESALQ'!$C:$C,'Modelo Soja'!$B61,'Preço Soja ESALQ'!BB:BB),NA())</f>
        <v>135.81578947368422</v>
      </c>
      <c r="AC61" s="19">
        <f ca="1">IFERROR(AVERAGEIF('Preço Soja ESALQ'!$C:$C,'Modelo Soja'!$B61,'Preço Soja ESALQ'!BC:BC),NA())</f>
        <v>131.22578947368422</v>
      </c>
      <c r="AD61" s="19">
        <f ca="1">IFERROR(AVERAGEIF('Preço Soja ESALQ'!$C:$C,'Modelo Soja'!$B61,'Preço Soja ESALQ'!BD:BD),NA())</f>
        <v>133.02315789473681</v>
      </c>
      <c r="AE61" s="19">
        <f ca="1">IFERROR(AVERAGEIF('Preço Soja ESALQ'!$C:$C,'Modelo Soja'!$B61,'Preço Soja ESALQ'!BE:BE),NA())</f>
        <v>126.82315789473681</v>
      </c>
      <c r="AF61" s="19">
        <f ca="1">IFERROR(AVERAGEIF('Preço Soja ESALQ'!$C:$C,'Modelo Soja'!$B61,'Preço Soja ESALQ'!BF:BF),NA())</f>
        <v>125.46736842105264</v>
      </c>
      <c r="AG61" s="19">
        <f ca="1">IFERROR(AVERAGEIF('Preço Soja ESALQ'!$C:$C,'Modelo Soja'!$B61,'Preço Soja ESALQ'!BG:BG),NA())</f>
        <v>133.23000000000002</v>
      </c>
      <c r="AH61" s="19">
        <f ca="1">IFERROR(AVERAGEIF('Preço Soja ESALQ'!$C:$C,'Modelo Soja'!$B61,'Preço Soja ESALQ'!AE:AE),NA())</f>
        <v>131.93052631578948</v>
      </c>
      <c r="AI61" s="19">
        <f ca="1">IFERROR(AVERAGEIF('Preço Soja ESALQ'!$C:$C,'Modelo Soja'!$B61,'Preço Soja ESALQ'!AF:AF),NA())</f>
        <v>131.39631578947368</v>
      </c>
      <c r="AJ61" s="24">
        <f>+[2]summary!C73</f>
        <v>140.47263157894736</v>
      </c>
      <c r="AK61" s="24">
        <f t="shared" ca="1" si="2"/>
        <v>121.1808171539961</v>
      </c>
      <c r="AL61" s="24"/>
      <c r="AN61" s="24">
        <f>+[6]FSORPRA!H60</f>
        <v>424.3</v>
      </c>
      <c r="AO61" s="24">
        <f>+[6]FRONPRA!H60</f>
        <v>315.125</v>
      </c>
      <c r="AP61" s="29">
        <f>(AP60+AP62)/2</f>
        <v>162.5</v>
      </c>
      <c r="AQ61" s="29">
        <f>(AQ60+AQ62)/2</f>
        <v>158</v>
      </c>
      <c r="AR61" s="29">
        <f>(AR60+AR62)/2</f>
        <v>152.125</v>
      </c>
      <c r="AS61" s="29">
        <f>(AS60+AS62)/2</f>
        <v>163.83499999999998</v>
      </c>
      <c r="AT61" s="24">
        <f t="shared" si="3"/>
        <v>115.01463157894736</v>
      </c>
      <c r="AU61" s="24">
        <f t="shared" si="4"/>
        <v>121.56513157894736</v>
      </c>
      <c r="AV61" s="24">
        <f t="shared" si="5"/>
        <v>130.72263157894736</v>
      </c>
      <c r="AW61" s="24">
        <f t="shared" si="6"/>
        <v>130.99263157894737</v>
      </c>
      <c r="AX61" s="24">
        <f t="shared" ca="1" si="7"/>
        <v>124.10250000000002</v>
      </c>
      <c r="AY61" s="24">
        <f t="shared" ca="1" si="8"/>
        <v>122.10042631578948</v>
      </c>
      <c r="AZ61">
        <f t="shared" si="9"/>
        <v>11</v>
      </c>
      <c r="BA61" s="17">
        <f t="shared" si="10"/>
        <v>45962</v>
      </c>
      <c r="BB61" s="22">
        <f t="shared" ca="1" si="11"/>
        <v>12.533684210526317</v>
      </c>
      <c r="BC61" s="22">
        <f t="shared" ca="1" si="12"/>
        <v>10.43894736842104</v>
      </c>
      <c r="BD61" s="22">
        <f t="shared" ca="1" si="13"/>
        <v>5.1426315789473165</v>
      </c>
      <c r="BE61" s="22">
        <f t="shared" ca="1" si="14"/>
        <v>8.7851461988304038</v>
      </c>
      <c r="BF61" s="22">
        <f t="shared" ca="1" si="15"/>
        <v>7.8957894736842036</v>
      </c>
      <c r="BG61" s="22">
        <f t="shared" ca="1" si="16"/>
        <v>10.060526315789502</v>
      </c>
      <c r="BH61" s="25">
        <f t="shared" ca="1" si="0"/>
        <v>9.1427875243664634</v>
      </c>
      <c r="BJ61" s="27">
        <f t="shared" ca="1" si="21"/>
        <v>9.1571329434697866</v>
      </c>
      <c r="BL61" s="41">
        <f t="shared" si="18"/>
        <v>414.3</v>
      </c>
      <c r="BM61" s="41">
        <f t="shared" si="19"/>
        <v>115.61463157894735</v>
      </c>
    </row>
    <row r="62" spans="2:65" x14ac:dyDescent="0.3">
      <c r="B62" s="17" t="str">
        <f t="shared" si="1"/>
        <v>202512</v>
      </c>
      <c r="C62" s="17">
        <f t="shared" si="20"/>
        <v>45992</v>
      </c>
      <c r="D62" s="19">
        <f ca="1">IFERROR(AVERAGEIF('Preço Soja ESALQ'!$C:$C,'Modelo Soja'!$B62,'Preço Soja ESALQ'!$R:$R),NA())</f>
        <v>114.99428571428572</v>
      </c>
      <c r="E62" s="19">
        <f ca="1">IFERROR(AVERAGEIF('Preço Soja ESALQ'!$C:$C,'Modelo Soja'!$B62,'Preço Soja ESALQ'!S:S),NA())</f>
        <v>109.32000000000001</v>
      </c>
      <c r="F62" s="19">
        <f ca="1">IFERROR(AVERAGEIF('Preço Soja ESALQ'!$C:$C,'Modelo Soja'!$B62,'Preço Soja ESALQ'!T:T),NA())</f>
        <v>124.5445</v>
      </c>
      <c r="G62" s="19" t="e">
        <f ca="1">IFERROR(AVERAGEIF('Preço Soja ESALQ'!$C:$C,'Modelo Soja'!$B62,'Preço Soja ESALQ'!U:U),NA())</f>
        <v>#N/A</v>
      </c>
      <c r="H62" s="19">
        <f ca="1">IFERROR(AVERAGEIF('Preço Soja ESALQ'!$C:$C,'Modelo Soja'!$B62,'Preço Soja ESALQ'!V:V),NA())</f>
        <v>119.19650000000004</v>
      </c>
      <c r="I62" s="19">
        <f ca="1">IFERROR(AVERAGEIF('Preço Soja ESALQ'!$C:$C,'Modelo Soja'!$B62,'Preço Soja ESALQ'!W:W),NA())</f>
        <v>123.84200000000003</v>
      </c>
      <c r="J62" s="19">
        <f ca="1">IFERROR(AVERAGEIF('Preço Soja ESALQ'!$C:$C,'Modelo Soja'!$B62,'Preço Soja ESALQ'!X:X),NA())</f>
        <v>125.66249999999999</v>
      </c>
      <c r="K62" s="19">
        <f ca="1">IFERROR(AVERAGEIF('Preço Soja ESALQ'!$C:$C,'Modelo Soja'!$B62,'Preço Soja ESALQ'!Y:Y),NA())</f>
        <v>118.31949999999999</v>
      </c>
      <c r="L62" s="19">
        <f ca="1">IFERROR(AVERAGEIF('Preço Soja ESALQ'!$C:$C,'Modelo Soja'!$B62,'Preço Soja ESALQ'!Z:Z),NA())</f>
        <v>120.07200000000003</v>
      </c>
      <c r="M62" s="19">
        <f ca="1">IFERROR(AVERAGEIF('Preço Soja ESALQ'!$C:$C,'Modelo Soja'!$B62,'Preço Soja ESALQ'!AA:AA),NA())</f>
        <v>119.10249999999999</v>
      </c>
      <c r="N62" s="19">
        <f ca="1">IFERROR(AVERAGEIF('Preço Soja ESALQ'!$C:$C,'Modelo Soja'!$B62,'Preço Soja ESALQ'!AB:AB),NA())</f>
        <v>124.76199999999997</v>
      </c>
      <c r="O62" s="19" t="e">
        <f ca="1">IFERROR(AVERAGEIF('Preço Soja ESALQ'!$C:$C,'Modelo Soja'!$B62,'Preço Soja ESALQ'!AC:AC),NA())</f>
        <v>#N/A</v>
      </c>
      <c r="P62" s="19" t="e">
        <f ca="1">IFERROR(AVERAGEIF('Preço Soja ESALQ'!$C:$C,'Modelo Soja'!$B62,'Preço Soja ESALQ'!AD:AD),NA())</f>
        <v>#N/A</v>
      </c>
      <c r="Q62" s="19">
        <f ca="1">IFERROR(AVERAGEIF('Preço Soja ESALQ'!$C:$C,'Modelo Soja'!$B62,'Preço Soja ESALQ'!BI:BI),NA())</f>
        <v>126.23550000000003</v>
      </c>
      <c r="R62" s="19">
        <f ca="1">IFERROR(AVERAGEIF('Preço Soja ESALQ'!$C:$C,'Modelo Soja'!$B62,'Preço Soja ESALQ'!BK:BK),NA())</f>
        <v>114.22649999999999</v>
      </c>
      <c r="S62" s="19">
        <f ca="1">IFERROR(AVERAGEIF('Preço Soja ESALQ'!$C:$C,'Modelo Soja'!$B62,'Preço Soja ESALQ'!BL:BL),NA())</f>
        <v>114.15049999999999</v>
      </c>
      <c r="T62" s="19" t="e">
        <f ca="1">IFERROR(AVERAGEIF('Preço Soja ESALQ'!$C:$C,'Modelo Soja'!$B62,'Preço Soja ESALQ'!BM:BM),NA())</f>
        <v>#N/A</v>
      </c>
      <c r="U62" s="19">
        <f ca="1">IFERROR(AVERAGEIF('Preço Soja ESALQ'!$C:$C,'Modelo Soja'!$B62,'Preço Soja ESALQ'!BN:BN),NA())</f>
        <v>114.03600000000002</v>
      </c>
      <c r="AA62" s="19">
        <f ca="1">IFERROR(AVERAGEIF('Preço Soja ESALQ'!$C:$C,'Modelo Soja'!$B62,'Preço Soja ESALQ'!BA:BA),NA())</f>
        <v>121.32950000000001</v>
      </c>
      <c r="AB62" s="19">
        <f ca="1">IFERROR(AVERAGEIF('Preço Soja ESALQ'!$C:$C,'Modelo Soja'!$B62,'Preço Soja ESALQ'!BB:BB),NA())</f>
        <v>136.65700000000001</v>
      </c>
      <c r="AC62" s="19">
        <f ca="1">IFERROR(AVERAGEIF('Preço Soja ESALQ'!$C:$C,'Modelo Soja'!$B62,'Preço Soja ESALQ'!BC:BC),NA())</f>
        <v>132.30200000000002</v>
      </c>
      <c r="AD62" s="19">
        <f ca="1">IFERROR(AVERAGEIF('Preço Soja ESALQ'!$C:$C,'Modelo Soja'!$B62,'Preço Soja ESALQ'!BD:BD),NA())</f>
        <v>133.58600000000001</v>
      </c>
      <c r="AE62" s="19">
        <f ca="1">IFERROR(AVERAGEIF('Preço Soja ESALQ'!$C:$C,'Modelo Soja'!$B62,'Preço Soja ESALQ'!BE:BE),NA())</f>
        <v>126.41550000000002</v>
      </c>
      <c r="AF62" s="19">
        <f ca="1">IFERROR(AVERAGEIF('Preço Soja ESALQ'!$C:$C,'Modelo Soja'!$B62,'Preço Soja ESALQ'!BF:BF),NA())</f>
        <v>124.85300000000002</v>
      </c>
      <c r="AG62" s="19">
        <f ca="1">IFERROR(AVERAGEIF('Preço Soja ESALQ'!$C:$C,'Modelo Soja'!$B62,'Preço Soja ESALQ'!BG:BG),NA())</f>
        <v>134.61199999999999</v>
      </c>
      <c r="AH62" s="19">
        <f ca="1">IFERROR(AVERAGEIF('Preço Soja ESALQ'!$C:$C,'Modelo Soja'!$B62,'Preço Soja ESALQ'!AE:AE),NA())</f>
        <v>133.78550000000001</v>
      </c>
      <c r="AI62" s="19">
        <f ca="1">IFERROR(AVERAGEIF('Preço Soja ESALQ'!$C:$C,'Modelo Soja'!$B62,'Preço Soja ESALQ'!AF:AF),NA())</f>
        <v>132.36349999999999</v>
      </c>
      <c r="AJ62" s="24">
        <f>+[2]summary!C74</f>
        <v>142.01349999999996</v>
      </c>
      <c r="AK62" s="24">
        <f t="shared" ca="1" si="2"/>
        <v>119.05885877192982</v>
      </c>
      <c r="AL62" s="24"/>
      <c r="AN62" s="24">
        <f>+[6]FSORPRA!H61</f>
        <v>428.2</v>
      </c>
      <c r="AO62" s="24">
        <f>+[6]FRONPRA!H61</f>
        <v>320.25</v>
      </c>
      <c r="AP62" s="24">
        <f>VLOOKUP(B62,'Frete ESALQ'!$C$5:$AL$131,36,FALSE)</f>
        <v>162</v>
      </c>
      <c r="AQ62" s="24">
        <f>VLOOKUP(B62,'Frete ESALQ'!$C$5:$AW$131,47,FALSE)</f>
        <v>150</v>
      </c>
      <c r="AR62" s="24">
        <f>VLOOKUP(B62,'Frete ESALQ'!$C$5:$BH$131,58,FALSE)</f>
        <v>149.25</v>
      </c>
      <c r="AS62" s="24">
        <f>VLOOKUP(B62,'Frete ESALQ'!$C$5:$BH$131,32,FALSE)</f>
        <v>165.67</v>
      </c>
      <c r="AT62" s="24">
        <f t="shared" si="3"/>
        <v>116.32149999999997</v>
      </c>
      <c r="AU62" s="24">
        <f t="shared" si="4"/>
        <v>122.79849999999996</v>
      </c>
      <c r="AV62" s="24">
        <f t="shared" si="5"/>
        <v>132.29349999999997</v>
      </c>
      <c r="AW62" s="24">
        <f t="shared" si="6"/>
        <v>133.01349999999996</v>
      </c>
      <c r="AX62" s="24">
        <f t="shared" ca="1" si="7"/>
        <v>125.657</v>
      </c>
      <c r="AY62" s="24">
        <f t="shared" ca="1" si="8"/>
        <v>123.84530000000001</v>
      </c>
      <c r="AZ62">
        <f t="shared" si="9"/>
        <v>12</v>
      </c>
      <c r="BA62" s="17">
        <f t="shared" si="10"/>
        <v>45992</v>
      </c>
      <c r="BB62" s="22">
        <f t="shared" ca="1" si="11"/>
        <v>12.814999999999984</v>
      </c>
      <c r="BC62" s="22">
        <f t="shared" ca="1" si="12"/>
        <v>13.98250000000003</v>
      </c>
      <c r="BD62" s="22">
        <f t="shared" ca="1" si="13"/>
        <v>7.3130000000000308</v>
      </c>
      <c r="BE62" s="22">
        <f t="shared" ca="1" si="14"/>
        <v>9.8587142857142993</v>
      </c>
      <c r="BF62" s="22">
        <f t="shared" ca="1" si="15"/>
        <v>8.1230000000000189</v>
      </c>
      <c r="BG62" s="22">
        <f t="shared" ca="1" si="16"/>
        <v>9.8500000000000227</v>
      </c>
      <c r="BH62" s="25">
        <f t="shared" ca="1" si="0"/>
        <v>10.323702380952398</v>
      </c>
      <c r="BJ62" s="27">
        <f t="shared" ca="1" si="21"/>
        <v>9.7388587719298165</v>
      </c>
      <c r="BL62" s="41">
        <f t="shared" si="18"/>
        <v>418.2</v>
      </c>
      <c r="BM62" s="41">
        <f t="shared" si="19"/>
        <v>116.92149999999997</v>
      </c>
    </row>
    <row r="63" spans="2:65" x14ac:dyDescent="0.3">
      <c r="B63" s="17" t="str">
        <f t="shared" si="1"/>
        <v>20261</v>
      </c>
      <c r="C63" s="17">
        <f t="shared" si="20"/>
        <v>46023</v>
      </c>
      <c r="D63" s="19">
        <f ca="1">IFERROR(AVERAGEIF('Preço Soja ESALQ'!$C:$C,'Modelo Soja'!$B63,'Preço Soja ESALQ'!$R:$R),NA())</f>
        <v>112.34894736842101</v>
      </c>
      <c r="E63" s="19">
        <f ca="1">IFERROR(AVERAGEIF('Preço Soja ESALQ'!$C:$C,'Modelo Soja'!$B63,'Preço Soja ESALQ'!S:S),NA())</f>
        <v>99.014285714285705</v>
      </c>
      <c r="F63" s="19">
        <f ca="1">IFERROR(AVERAGEIF('Preço Soja ESALQ'!$C:$C,'Modelo Soja'!$B63,'Preço Soja ESALQ'!T:T),NA())</f>
        <v>118.15476190476188</v>
      </c>
      <c r="G63" s="19" t="e">
        <f ca="1">IFERROR(AVERAGEIF('Preço Soja ESALQ'!$C:$C,'Modelo Soja'!$B63,'Preço Soja ESALQ'!U:U),NA())</f>
        <v>#N/A</v>
      </c>
      <c r="H63" s="19">
        <f ca="1">IFERROR(AVERAGEIF('Preço Soja ESALQ'!$C:$C,'Modelo Soja'!$B63,'Preço Soja ESALQ'!V:V),NA())</f>
        <v>113.44476190476189</v>
      </c>
      <c r="I63" s="19">
        <f ca="1">IFERROR(AVERAGEIF('Preço Soja ESALQ'!$C:$C,'Modelo Soja'!$B63,'Preço Soja ESALQ'!W:W),NA())</f>
        <v>119.27095238095242</v>
      </c>
      <c r="J63" s="19">
        <f ca="1">IFERROR(AVERAGEIF('Preço Soja ESALQ'!$C:$C,'Modelo Soja'!$B63,'Preço Soja ESALQ'!X:X),NA())</f>
        <v>121.98238095238096</v>
      </c>
      <c r="K63" s="19">
        <f ca="1">IFERROR(AVERAGEIF('Preço Soja ESALQ'!$C:$C,'Modelo Soja'!$B63,'Preço Soja ESALQ'!Y:Y),NA())</f>
        <v>114.01523809523806</v>
      </c>
      <c r="L63" s="19">
        <f ca="1">IFERROR(AVERAGEIF('Preço Soja ESALQ'!$C:$C,'Modelo Soja'!$B63,'Preço Soja ESALQ'!Z:Z),NA())</f>
        <v>114.99857142857144</v>
      </c>
      <c r="M63" s="19">
        <f ca="1">IFERROR(AVERAGEIF('Preço Soja ESALQ'!$C:$C,'Modelo Soja'!$B63,'Preço Soja ESALQ'!AA:AA),NA())</f>
        <v>117.22619047619045</v>
      </c>
      <c r="N63" s="19">
        <f ca="1">IFERROR(AVERAGEIF('Preço Soja ESALQ'!$C:$C,'Modelo Soja'!$B63,'Preço Soja ESALQ'!AB:AB),NA())</f>
        <v>120.82285714285715</v>
      </c>
      <c r="O63" s="19" t="e">
        <f ca="1">IFERROR(AVERAGEIF('Preço Soja ESALQ'!$C:$C,'Modelo Soja'!$B63,'Preço Soja ESALQ'!AC:AC),NA())</f>
        <v>#N/A</v>
      </c>
      <c r="P63" s="19" t="e">
        <f ca="1">IFERROR(AVERAGEIF('Preço Soja ESALQ'!$C:$C,'Modelo Soja'!$B63,'Preço Soja ESALQ'!AD:AD),NA())</f>
        <v>#N/A</v>
      </c>
      <c r="Q63" s="19">
        <f ca="1">IFERROR(AVERAGEIF('Preço Soja ESALQ'!$C:$C,'Modelo Soja'!$B63,'Preço Soja ESALQ'!BI:BI),NA())</f>
        <v>122.04095238095236</v>
      </c>
      <c r="R63" s="19">
        <f ca="1">IFERROR(AVERAGEIF('Preço Soja ESALQ'!$C:$C,'Modelo Soja'!$B63,'Preço Soja ESALQ'!BK:BK),NA())</f>
        <v>108.43238095238097</v>
      </c>
      <c r="S63" s="19">
        <f ca="1">IFERROR(AVERAGEIF('Preço Soja ESALQ'!$C:$C,'Modelo Soja'!$B63,'Preço Soja ESALQ'!BL:BL),NA())</f>
        <v>108.6657142857143</v>
      </c>
      <c r="T63" s="19" t="e">
        <f ca="1">IFERROR(AVERAGEIF('Preço Soja ESALQ'!$C:$C,'Modelo Soja'!$B63,'Preço Soja ESALQ'!BM:BM),NA())</f>
        <v>#N/A</v>
      </c>
      <c r="U63" s="19">
        <f ca="1">IFERROR(AVERAGEIF('Preço Soja ESALQ'!$C:$C,'Modelo Soja'!$B63,'Preço Soja ESALQ'!BN:BN),NA())</f>
        <v>108.55333333333333</v>
      </c>
      <c r="AA63" s="19">
        <f ca="1">IFERROR(AVERAGEIF('Preço Soja ESALQ'!$C:$C,'Modelo Soja'!$B63,'Preço Soja ESALQ'!BA:BA),NA())</f>
        <v>109.54952380952383</v>
      </c>
      <c r="AB63" s="19">
        <f ca="1">IFERROR(AVERAGEIF('Preço Soja ESALQ'!$C:$C,'Modelo Soja'!$B63,'Preço Soja ESALQ'!BB:BB),NA())</f>
        <v>128.27190476190475</v>
      </c>
      <c r="AC63" s="19">
        <f ca="1">IFERROR(AVERAGEIF('Preço Soja ESALQ'!$C:$C,'Modelo Soja'!$B63,'Preço Soja ESALQ'!BC:BC),NA())</f>
        <v>120.86666666666666</v>
      </c>
      <c r="AD63" s="19">
        <f ca="1">IFERROR(AVERAGEIF('Preço Soja ESALQ'!$C:$C,'Modelo Soja'!$B63,'Preço Soja ESALQ'!BD:BD),NA())</f>
        <v>121.91857142857143</v>
      </c>
      <c r="AE63" s="19">
        <f ca="1">IFERROR(AVERAGEIF('Preço Soja ESALQ'!$C:$C,'Modelo Soja'!$B63,'Preço Soja ESALQ'!BE:BE),NA())</f>
        <v>118.63238095238094</v>
      </c>
      <c r="AF63" s="19">
        <f ca="1">IFERROR(AVERAGEIF('Preço Soja ESALQ'!$C:$C,'Modelo Soja'!$B63,'Preço Soja ESALQ'!BF:BF),NA())</f>
        <v>116.09761904761903</v>
      </c>
      <c r="AG63" s="19">
        <f ca="1">IFERROR(AVERAGEIF('Preço Soja ESALQ'!$C:$C,'Modelo Soja'!$B63,'Preço Soja ESALQ'!BG:BG),NA())</f>
        <v>132.27285714285713</v>
      </c>
      <c r="AH63" s="19">
        <f ca="1">IFERROR(AVERAGEIF('Preço Soja ESALQ'!$C:$C,'Modelo Soja'!$B63,'Preço Soja ESALQ'!AE:AE),NA())</f>
        <v>129.16904761904757</v>
      </c>
      <c r="AI63" s="19">
        <f ca="1">IFERROR(AVERAGEIF('Preço Soja ESALQ'!$C:$C,'Modelo Soja'!$B63,'Preço Soja ESALQ'!AF:AF),NA())</f>
        <v>123.12190476190476</v>
      </c>
      <c r="AJ63" s="24">
        <f>+[2]summary!C75</f>
        <v>130.98285714285717</v>
      </c>
      <c r="AK63" s="24">
        <f t="shared" ca="1" si="2"/>
        <v>107.50706360862171</v>
      </c>
      <c r="AL63" s="24"/>
      <c r="AN63" s="24">
        <f>+[6]FSORPRA!H62</f>
        <v>440.12</v>
      </c>
      <c r="AO63" s="24">
        <f>+[6]FRONPRA!H62</f>
        <v>329.6</v>
      </c>
      <c r="AP63" s="24">
        <f>VLOOKUP(B63,'Frete ESALQ'!$C$5:$AL$131,36,FALSE)</f>
        <v>148</v>
      </c>
      <c r="AQ63" s="24">
        <f>VLOOKUP(B63,'Frete ESALQ'!$C$5:$AW$131,47,FALSE)</f>
        <v>151.25</v>
      </c>
      <c r="AR63" s="24">
        <f>VLOOKUP(B63,'Frete ESALQ'!$C$5:$BH$131,58,FALSE)</f>
        <v>150</v>
      </c>
      <c r="AS63" s="24">
        <f>VLOOKUP(B63,'Frete ESALQ'!$C$5:$BH$131,32,FALSE)</f>
        <v>155</v>
      </c>
      <c r="AT63" s="24">
        <f t="shared" si="3"/>
        <v>104.57565714285717</v>
      </c>
      <c r="AU63" s="24">
        <f t="shared" si="4"/>
        <v>111.20685714285717</v>
      </c>
      <c r="AV63" s="24">
        <f t="shared" si="5"/>
        <v>122.10285714285718</v>
      </c>
      <c r="AW63" s="24">
        <f t="shared" si="6"/>
        <v>121.90785714285717</v>
      </c>
      <c r="AX63" s="24">
        <f t="shared" ca="1" si="7"/>
        <v>123.27285714285713</v>
      </c>
      <c r="AY63" s="24">
        <f t="shared" ca="1" si="8"/>
        <v>119.86904761904758</v>
      </c>
      <c r="AZ63">
        <f t="shared" si="9"/>
        <v>1</v>
      </c>
      <c r="BA63" s="17">
        <f t="shared" si="10"/>
        <v>46023</v>
      </c>
      <c r="BB63" s="22">
        <f t="shared" ca="1" si="11"/>
        <v>9.0009523809523273</v>
      </c>
      <c r="BC63" s="22">
        <f t="shared" ca="1" si="12"/>
        <v>6.851428571428599</v>
      </c>
      <c r="BD63" s="22">
        <f t="shared" ca="1" si="13"/>
        <v>1.4061904761904884</v>
      </c>
      <c r="BE63" s="22">
        <f t="shared" ca="1" si="14"/>
        <v>3.7486716791980257</v>
      </c>
      <c r="BF63" s="22">
        <f t="shared" ca="1" si="15"/>
        <v>7.1866666666666106</v>
      </c>
      <c r="BG63" s="22">
        <f t="shared" ca="1" si="16"/>
        <v>11.449999999999989</v>
      </c>
      <c r="BH63" s="25">
        <f t="shared" ca="1" si="0"/>
        <v>6.6073182957393399</v>
      </c>
      <c r="BJ63" s="27">
        <f t="shared" ca="1" si="21"/>
        <v>8.4927778943360082</v>
      </c>
      <c r="BL63" s="41">
        <f t="shared" si="18"/>
        <v>430.12</v>
      </c>
      <c r="BM63" s="41">
        <f t="shared" si="19"/>
        <v>105.17565714285718</v>
      </c>
    </row>
    <row r="64" spans="2:65" x14ac:dyDescent="0.3">
      <c r="B64" s="17" t="str">
        <f t="shared" si="1"/>
        <v>20262</v>
      </c>
      <c r="C64" s="17">
        <f t="shared" si="20"/>
        <v>46054</v>
      </c>
      <c r="D64" s="19">
        <f ca="1">IFERROR(AVERAGEIF('Preço Soja ESALQ'!$C:$C,'Modelo Soja'!$B64,'Preço Soja ESALQ'!$R:$R),NA())</f>
        <v>110.61111111111111</v>
      </c>
      <c r="E64" s="19">
        <f ca="1">IFERROR(AVERAGEIF('Preço Soja ESALQ'!$C:$C,'Modelo Soja'!$B64,'Preço Soja ESALQ'!S:S),NA())</f>
        <v>97.016666666666666</v>
      </c>
      <c r="F64" s="19">
        <f ca="1">IFERROR(AVERAGEIF('Preço Soja ESALQ'!$C:$C,'Modelo Soja'!$B64,'Preço Soja ESALQ'!T:T),NA())</f>
        <v>113.30333333333334</v>
      </c>
      <c r="G64" s="19" t="e">
        <f ca="1">IFERROR(AVERAGEIF('Preço Soja ESALQ'!$C:$C,'Modelo Soja'!$B64,'Preço Soja ESALQ'!U:U),NA())</f>
        <v>#N/A</v>
      </c>
      <c r="H64" s="19">
        <f ca="1">IFERROR(AVERAGEIF('Preço Soja ESALQ'!$C:$C,'Modelo Soja'!$B64,'Preço Soja ESALQ'!V:V),NA())</f>
        <v>108.93444444444444</v>
      </c>
      <c r="I64" s="19">
        <f ca="1">IFERROR(AVERAGEIF('Preço Soja ESALQ'!$C:$C,'Modelo Soja'!$B64,'Preço Soja ESALQ'!W:W),NA())</f>
        <v>115.52166666666666</v>
      </c>
      <c r="J64" s="19">
        <f ca="1">IFERROR(AVERAGEIF('Preço Soja ESALQ'!$C:$C,'Modelo Soja'!$B64,'Preço Soja ESALQ'!X:X),NA())</f>
        <v>116.89222222222222</v>
      </c>
      <c r="K64" s="19">
        <f ca="1">IFERROR(AVERAGEIF('Preço Soja ESALQ'!$C:$C,'Modelo Soja'!$B64,'Preço Soja ESALQ'!Y:Y),NA())</f>
        <v>112.15944444444443</v>
      </c>
      <c r="L64" s="19">
        <f ca="1">IFERROR(AVERAGEIF('Preço Soja ESALQ'!$C:$C,'Modelo Soja'!$B64,'Preço Soja ESALQ'!Z:Z),NA())</f>
        <v>112.68111111111109</v>
      </c>
      <c r="M64" s="19">
        <f ca="1">IFERROR(AVERAGEIF('Preço Soja ESALQ'!$C:$C,'Modelo Soja'!$B64,'Preço Soja ESALQ'!AA:AA),NA())</f>
        <v>112.73999999999998</v>
      </c>
      <c r="N64" s="19">
        <f ca="1">IFERROR(AVERAGEIF('Preço Soja ESALQ'!$C:$C,'Modelo Soja'!$B64,'Preço Soja ESALQ'!AB:AB),NA())</f>
        <v>116.16833333333335</v>
      </c>
      <c r="O64" s="19">
        <f ca="1">IFERROR(AVERAGEIF('Preço Soja ESALQ'!$C:$C,'Modelo Soja'!$B64,'Preço Soja ESALQ'!AC:AC),NA())</f>
        <v>109.66666666666667</v>
      </c>
      <c r="P64" s="19" t="e">
        <f ca="1">IFERROR(AVERAGEIF('Preço Soja ESALQ'!$C:$C,'Modelo Soja'!$B64,'Preço Soja ESALQ'!AD:AD),NA())</f>
        <v>#N/A</v>
      </c>
      <c r="Q64" s="19">
        <f ca="1">IFERROR(AVERAGEIF('Preço Soja ESALQ'!$C:$C,'Modelo Soja'!$B64,'Preço Soja ESALQ'!BI:BI),NA())</f>
        <v>117.33722222222224</v>
      </c>
      <c r="R64" s="19">
        <f ca="1">IFERROR(AVERAGEIF('Preço Soja ESALQ'!$C:$C,'Modelo Soja'!$B64,'Preço Soja ESALQ'!BK:BK),NA())</f>
        <v>106.18944444444448</v>
      </c>
      <c r="S64" s="19">
        <f ca="1">IFERROR(AVERAGEIF('Preço Soja ESALQ'!$C:$C,'Modelo Soja'!$B64,'Preço Soja ESALQ'!BL:BL),NA())</f>
        <v>106.54352941176472</v>
      </c>
      <c r="T64" s="19" t="e">
        <f ca="1">IFERROR(AVERAGEIF('Preço Soja ESALQ'!$C:$C,'Modelo Soja'!$B64,'Preço Soja ESALQ'!BM:BM),NA())</f>
        <v>#N/A</v>
      </c>
      <c r="U64" s="19">
        <f ca="1">IFERROR(AVERAGEIF('Preço Soja ESALQ'!$C:$C,'Modelo Soja'!$B64,'Preço Soja ESALQ'!BN:BN),NA())</f>
        <v>106.34722222222221</v>
      </c>
      <c r="AA64" s="19">
        <f ca="1">IFERROR(AVERAGEIF('Preço Soja ESALQ'!$C:$C,'Modelo Soja'!$B64,'Preço Soja ESALQ'!BA:BA),NA())</f>
        <v>104.03944444444444</v>
      </c>
      <c r="AB64" s="19">
        <f ca="1">IFERROR(AVERAGEIF('Preço Soja ESALQ'!$C:$C,'Modelo Soja'!$B64,'Preço Soja ESALQ'!BB:BB),NA())</f>
        <v>121.78833333333331</v>
      </c>
      <c r="AC64" s="19">
        <f ca="1">IFERROR(AVERAGEIF('Preço Soja ESALQ'!$C:$C,'Modelo Soja'!$B64,'Preço Soja ESALQ'!BC:BC),NA())</f>
        <v>115.61999999999999</v>
      </c>
      <c r="AD64" s="19">
        <f ca="1">IFERROR(AVERAGEIF('Preço Soja ESALQ'!$C:$C,'Modelo Soja'!$B64,'Preço Soja ESALQ'!BD:BD),NA())</f>
        <v>117.57833333333335</v>
      </c>
      <c r="AE64" s="19">
        <f ca="1">IFERROR(AVERAGEIF('Preço Soja ESALQ'!$C:$C,'Modelo Soja'!$B64,'Preço Soja ESALQ'!BE:BE),NA())</f>
        <v>114.04833333333333</v>
      </c>
      <c r="AF64" s="19">
        <f ca="1">IFERROR(AVERAGEIF('Preço Soja ESALQ'!$C:$C,'Modelo Soja'!$B64,'Preço Soja ESALQ'!BF:BF),NA())</f>
        <v>113.16000000000001</v>
      </c>
      <c r="AG64" s="19">
        <f ca="1">IFERROR(AVERAGEIF('Preço Soja ESALQ'!$C:$C,'Modelo Soja'!$B64,'Preço Soja ESALQ'!BG:BG),NA())</f>
        <v>123.90888888888887</v>
      </c>
      <c r="AH64" s="19">
        <f ca="1">IFERROR(AVERAGEIF('Preço Soja ESALQ'!$C:$C,'Modelo Soja'!$B64,'Preço Soja ESALQ'!AE:AE),NA())</f>
        <v>122.00500000000001</v>
      </c>
      <c r="AI64" s="19">
        <f ca="1">IFERROR(AVERAGEIF('Preço Soja ESALQ'!$C:$C,'Modelo Soja'!$B64,'Preço Soja ESALQ'!AF:AF),NA())</f>
        <v>113.61222222222221</v>
      </c>
      <c r="AJ64" s="24">
        <f>+[2]summary!C76</f>
        <v>126.32944444444446</v>
      </c>
      <c r="AK64" s="24">
        <f t="shared" ca="1" si="2"/>
        <v>102.62666577322936</v>
      </c>
      <c r="AL64" s="24"/>
      <c r="AN64" s="24">
        <f>+[6]FSORPRA!H63</f>
        <v>461.32499999999999</v>
      </c>
      <c r="AO64" s="24">
        <f>+[6]FRONPRA!H63</f>
        <v>360.32499999999999</v>
      </c>
      <c r="AP64" s="24">
        <f>VLOOKUP(B64,'Frete ESALQ'!$C$5:$AL$131,36,FALSE)</f>
        <v>167.75</v>
      </c>
      <c r="AQ64" s="24">
        <f>VLOOKUP(B64,'Frete ESALQ'!$C$5:$AW$131,47,FALSE)</f>
        <v>161.25</v>
      </c>
      <c r="AR64" s="24">
        <f>VLOOKUP(B64,'Frete ESALQ'!$C$5:$BH$131,58,FALSE)</f>
        <v>155</v>
      </c>
      <c r="AS64" s="24">
        <f>VLOOKUP(B64,'Frete ESALQ'!$C$5:$BH$131,32,FALSE)</f>
        <v>156.25</v>
      </c>
      <c r="AT64" s="24">
        <f t="shared" si="3"/>
        <v>98.649944444444458</v>
      </c>
      <c r="AU64" s="24">
        <f t="shared" si="4"/>
        <v>104.70994444444446</v>
      </c>
      <c r="AV64" s="24">
        <f t="shared" si="5"/>
        <v>116.26444444444446</v>
      </c>
      <c r="AW64" s="24">
        <f t="shared" si="6"/>
        <v>116.65444444444447</v>
      </c>
      <c r="AX64" s="24">
        <f t="shared" ca="1" si="7"/>
        <v>114.60888888888887</v>
      </c>
      <c r="AY64" s="24">
        <f t="shared" ca="1" si="8"/>
        <v>112.63000000000001</v>
      </c>
      <c r="AZ64">
        <f t="shared" si="9"/>
        <v>2</v>
      </c>
      <c r="BA64" s="17">
        <f t="shared" si="10"/>
        <v>46054</v>
      </c>
      <c r="BB64" s="22">
        <f t="shared" ca="1" si="11"/>
        <v>6.2666666666666515</v>
      </c>
      <c r="BC64" s="22">
        <f t="shared" ca="1" si="12"/>
        <v>3.4605555555555583</v>
      </c>
      <c r="BD64" s="22">
        <f t="shared" ca="1" si="13"/>
        <v>1.3083333333333513</v>
      </c>
      <c r="BE64" s="22">
        <f t="shared" ca="1" si="14"/>
        <v>2.5488888888888965</v>
      </c>
      <c r="BF64" s="22">
        <f t="shared" ca="1" si="15"/>
        <v>5.1127777777777936</v>
      </c>
      <c r="BG64" s="22">
        <f t="shared" ca="1" si="16"/>
        <v>7.7405555555555168</v>
      </c>
      <c r="BH64" s="25">
        <f t="shared" ca="1" si="0"/>
        <v>4.4062962962962944</v>
      </c>
      <c r="BJ64" s="27">
        <f t="shared" ca="1" si="21"/>
        <v>5.6099991065627028</v>
      </c>
      <c r="BL64" s="41">
        <f t="shared" si="18"/>
        <v>451.32499999999999</v>
      </c>
      <c r="BM64" s="41">
        <f t="shared" si="19"/>
        <v>99.249944444444466</v>
      </c>
    </row>
    <row r="65" spans="2:65" x14ac:dyDescent="0.3">
      <c r="B65" s="17" t="str">
        <f t="shared" si="1"/>
        <v>20263</v>
      </c>
      <c r="C65" s="17">
        <f t="shared" si="20"/>
        <v>46082</v>
      </c>
      <c r="D65" s="19">
        <f ca="1">IFERROR(AVERAGEIF('Preço Soja ESALQ'!$C:$C,'Modelo Soja'!$B65,'Preço Soja ESALQ'!$R:$R),NA())</f>
        <v>109.34777777777779</v>
      </c>
      <c r="E65" s="19">
        <f ca="1">IFERROR(AVERAGEIF('Preço Soja ESALQ'!$C:$C,'Modelo Soja'!$B65,'Preço Soja ESALQ'!S:S),NA())</f>
        <v>96.846111111111099</v>
      </c>
      <c r="F65" s="19">
        <f ca="1">IFERROR(AVERAGEIF('Preço Soja ESALQ'!$C:$C,'Modelo Soja'!$B65,'Preço Soja ESALQ'!T:T),NA())</f>
        <v>114.85444444444445</v>
      </c>
      <c r="G65" s="19" t="e">
        <f ca="1">IFERROR(AVERAGEIF('Preço Soja ESALQ'!$C:$C,'Modelo Soja'!$B65,'Preço Soja ESALQ'!U:U),NA())</f>
        <v>#N/A</v>
      </c>
      <c r="H65" s="19">
        <f ca="1">IFERROR(AVERAGEIF('Preço Soja ESALQ'!$C:$C,'Modelo Soja'!$B65,'Preço Soja ESALQ'!V:V),NA())</f>
        <v>109.78333333333332</v>
      </c>
      <c r="I65" s="19">
        <f ca="1">IFERROR(AVERAGEIF('Preço Soja ESALQ'!$C:$C,'Modelo Soja'!$B65,'Preço Soja ESALQ'!W:W),NA())</f>
        <v>116.07500000000002</v>
      </c>
      <c r="J65" s="19">
        <f ca="1">IFERROR(AVERAGEIF('Preço Soja ESALQ'!$C:$C,'Modelo Soja'!$B65,'Preço Soja ESALQ'!X:X),NA())</f>
        <v>118.06055555555557</v>
      </c>
      <c r="K65" s="19">
        <f ca="1">IFERROR(AVERAGEIF('Preço Soja ESALQ'!$C:$C,'Modelo Soja'!$B65,'Preço Soja ESALQ'!Y:Y),NA())</f>
        <v>114.435</v>
      </c>
      <c r="L65" s="19">
        <f ca="1">IFERROR(AVERAGEIF('Preço Soja ESALQ'!$C:$C,'Modelo Soja'!$B65,'Preço Soja ESALQ'!Z:Z),NA())</f>
        <v>115.23277777777778</v>
      </c>
      <c r="M65" s="19">
        <f ca="1">IFERROR(AVERAGEIF('Preço Soja ESALQ'!$C:$C,'Modelo Soja'!$B65,'Preço Soja ESALQ'!AA:AA),NA())</f>
        <v>111.37222222222223</v>
      </c>
      <c r="N65" s="19">
        <f ca="1">IFERROR(AVERAGEIF('Preço Soja ESALQ'!$C:$C,'Modelo Soja'!$B65,'Preço Soja ESALQ'!AB:AB),NA())</f>
        <v>118.07111111111109</v>
      </c>
      <c r="O65" s="19">
        <f ca="1">IFERROR(AVERAGEIF('Preço Soja ESALQ'!$C:$C,'Modelo Soja'!$B65,'Preço Soja ESALQ'!AC:AC),NA())</f>
        <v>110.52666666666666</v>
      </c>
      <c r="P65" s="19" t="e">
        <f ca="1">IFERROR(AVERAGEIF('Preço Soja ESALQ'!$C:$C,'Modelo Soja'!$B65,'Preço Soja ESALQ'!AD:AD),NA())</f>
        <v>#N/A</v>
      </c>
      <c r="Q65" s="19">
        <f ca="1">IFERROR(AVERAGEIF('Preço Soja ESALQ'!$C:$C,'Modelo Soja'!$B65,'Preço Soja ESALQ'!BI:BI),NA())</f>
        <v>119.0488888888889</v>
      </c>
      <c r="R65" s="19">
        <f ca="1">IFERROR(AVERAGEIF('Preço Soja ESALQ'!$C:$C,'Modelo Soja'!$B65,'Preço Soja ESALQ'!BK:BK),NA())</f>
        <v>107.65000000000002</v>
      </c>
      <c r="S65" s="19">
        <f ca="1">IFERROR(AVERAGEIF('Preço Soja ESALQ'!$C:$C,'Modelo Soja'!$B65,'Preço Soja ESALQ'!BL:BL),NA())</f>
        <v>107.65944444444446</v>
      </c>
      <c r="T65" s="19" t="e">
        <f ca="1">IFERROR(AVERAGEIF('Preço Soja ESALQ'!$C:$C,'Modelo Soja'!$B65,'Preço Soja ESALQ'!BM:BM),NA())</f>
        <v>#N/A</v>
      </c>
      <c r="U65" s="19">
        <f ca="1">IFERROR(AVERAGEIF('Preço Soja ESALQ'!$C:$C,'Modelo Soja'!$B65,'Preço Soja ESALQ'!BN:BN),NA())</f>
        <v>107.80666666666666</v>
      </c>
      <c r="AA65" s="19">
        <f ca="1">IFERROR(AVERAGEIF('Preço Soja ESALQ'!$C:$C,'Modelo Soja'!$B65,'Preço Soja ESALQ'!BA:BA),NA())</f>
        <v>102.11166666666666</v>
      </c>
      <c r="AB65" s="19">
        <f ca="1">IFERROR(AVERAGEIF('Preço Soja ESALQ'!$C:$C,'Modelo Soja'!$B65,'Preço Soja ESALQ'!BB:BB),NA())</f>
        <v>123.26888888888887</v>
      </c>
      <c r="AC65" s="19">
        <f ca="1">IFERROR(AVERAGEIF('Preço Soja ESALQ'!$C:$C,'Modelo Soja'!$B65,'Preço Soja ESALQ'!BC:BC),NA())</f>
        <v>118.09833333333333</v>
      </c>
      <c r="AD65" s="19">
        <f ca="1">IFERROR(AVERAGEIF('Preço Soja ESALQ'!$C:$C,'Modelo Soja'!$B65,'Preço Soja ESALQ'!BD:BD),NA())</f>
        <v>119.81666666666668</v>
      </c>
      <c r="AE65" s="19">
        <f ca="1">IFERROR(AVERAGEIF('Preço Soja ESALQ'!$C:$C,'Modelo Soja'!$B65,'Preço Soja ESALQ'!BE:BE),NA())</f>
        <v>112.72166666666665</v>
      </c>
      <c r="AF65" s="19">
        <f ca="1">IFERROR(AVERAGEIF('Preço Soja ESALQ'!$C:$C,'Modelo Soja'!$B65,'Preço Soja ESALQ'!BF:BF),NA())</f>
        <v>111.73333333333332</v>
      </c>
      <c r="AG65" s="19">
        <f ca="1">IFERROR(AVERAGEIF('Preço Soja ESALQ'!$C:$C,'Modelo Soja'!$B65,'Preço Soja ESALQ'!BG:BG),NA())</f>
        <v>125.39388888888887</v>
      </c>
      <c r="AH65" s="19">
        <f ca="1">IFERROR(AVERAGEIF('Preço Soja ESALQ'!$C:$C,'Modelo Soja'!$B65,'Preço Soja ESALQ'!AE:AE),NA())</f>
        <v>122.77777777777777</v>
      </c>
      <c r="AI65" s="19">
        <f ca="1">IFERROR(AVERAGEIF('Preço Soja ESALQ'!$C:$C,'Modelo Soja'!$B65,'Preço Soja ESALQ'!AF:AF),NA())</f>
        <v>115.0611111111111</v>
      </c>
      <c r="AJ65" s="24">
        <f>+[2]summary!C77</f>
        <v>129.22812499999998</v>
      </c>
      <c r="AK65" s="24">
        <f t="shared" ca="1" si="2"/>
        <v>101.57944465693217</v>
      </c>
      <c r="AL65" s="24"/>
      <c r="AN65" s="24">
        <f>+[6]FSORPRA!H64</f>
        <v>478.9</v>
      </c>
      <c r="AO65" s="24">
        <f>+[6]FRONPRA!H64</f>
        <v>386.5</v>
      </c>
      <c r="AP65" s="24">
        <f>VLOOKUP(B65,'Frete ESALQ'!$C$5:$AL$131,36,FALSE)</f>
        <v>167.75</v>
      </c>
      <c r="AQ65" s="24">
        <f>VLOOKUP(B65,'Frete ESALQ'!$C$5:$AW$131,47,FALSE)</f>
        <v>161.25</v>
      </c>
      <c r="AR65" s="24">
        <f>VLOOKUP(B65,'Frete ESALQ'!$C$5:$BH$131,58,FALSE)</f>
        <v>155</v>
      </c>
      <c r="AS65" s="24">
        <f>VLOOKUP(B65,'Frete ESALQ'!$C$5:$BH$131,32,FALSE)</f>
        <v>156.25</v>
      </c>
      <c r="AT65" s="24">
        <f t="shared" si="3"/>
        <v>100.49412499999998</v>
      </c>
      <c r="AU65" s="24">
        <f t="shared" si="4"/>
        <v>106.03812499999998</v>
      </c>
      <c r="AV65" s="24">
        <f t="shared" si="5"/>
        <v>119.16312499999998</v>
      </c>
      <c r="AW65" s="24">
        <f t="shared" si="6"/>
        <v>119.55312499999998</v>
      </c>
      <c r="AX65" s="24">
        <f t="shared" ca="1" si="7"/>
        <v>116.09388888888887</v>
      </c>
      <c r="AY65" s="24">
        <f t="shared" ca="1" si="8"/>
        <v>113.40277777777777</v>
      </c>
      <c r="AZ65">
        <f t="shared" si="9"/>
        <v>3</v>
      </c>
      <c r="BA65" s="17">
        <f t="shared" si="10"/>
        <v>46082</v>
      </c>
      <c r="BB65" s="22">
        <f t="shared" ca="1" si="11"/>
        <v>7.1938888888888499</v>
      </c>
      <c r="BC65" s="22">
        <f t="shared" ca="1" si="12"/>
        <v>3.6633333333333269</v>
      </c>
      <c r="BD65" s="22">
        <f t="shared" ca="1" si="13"/>
        <v>1.3494444444444156</v>
      </c>
      <c r="BE65" s="22">
        <f t="shared" ca="1" si="14"/>
        <v>2.385555555555527</v>
      </c>
      <c r="BF65" s="22">
        <f t="shared" ca="1" si="15"/>
        <v>4.7172222222222047</v>
      </c>
      <c r="BG65" s="22">
        <f t="shared" ca="1" si="16"/>
        <v>7.3227777777777732</v>
      </c>
      <c r="BH65" s="25">
        <f t="shared" ca="1" si="0"/>
        <v>4.4387037037036832</v>
      </c>
      <c r="BJ65" s="27">
        <f t="shared" ca="1" si="21"/>
        <v>4.7333335458210737</v>
      </c>
      <c r="BL65" s="41">
        <f t="shared" si="18"/>
        <v>468.9</v>
      </c>
      <c r="BM65" s="41">
        <f t="shared" si="19"/>
        <v>101.09412499999998</v>
      </c>
    </row>
    <row r="66" spans="2:65" x14ac:dyDescent="0.3">
      <c r="B66" s="17"/>
      <c r="C66" s="17"/>
    </row>
    <row r="67" spans="2:65" x14ac:dyDescent="0.3">
      <c r="B67" s="17"/>
      <c r="C67" s="17"/>
      <c r="G67" s="19"/>
    </row>
    <row r="68" spans="2:65" x14ac:dyDescent="0.3">
      <c r="B68" s="17"/>
      <c r="C68" s="17"/>
    </row>
    <row r="69" spans="2:65" x14ac:dyDescent="0.3">
      <c r="B69" s="17"/>
      <c r="C69" s="17"/>
    </row>
    <row r="70" spans="2:65" x14ac:dyDescent="0.3">
      <c r="B70" s="17"/>
      <c r="C70" s="17"/>
    </row>
    <row r="71" spans="2:65" x14ac:dyDescent="0.3">
      <c r="B71" s="17"/>
      <c r="C71" s="17"/>
    </row>
    <row r="72" spans="2:65" x14ac:dyDescent="0.3">
      <c r="B72" s="17"/>
      <c r="C72" s="17"/>
    </row>
    <row r="73" spans="2:65" x14ac:dyDescent="0.3">
      <c r="B73" s="17"/>
      <c r="C73" s="17"/>
    </row>
    <row r="74" spans="2:65" x14ac:dyDescent="0.3">
      <c r="B74" s="17"/>
      <c r="C74" s="17"/>
    </row>
    <row r="75" spans="2:65" x14ac:dyDescent="0.3">
      <c r="B75" s="17"/>
      <c r="C75" s="17"/>
    </row>
    <row r="76" spans="2:65" x14ac:dyDescent="0.3">
      <c r="B76" s="17"/>
      <c r="C76" s="17"/>
    </row>
    <row r="77" spans="2:65" x14ac:dyDescent="0.3">
      <c r="B77" s="17"/>
      <c r="C77" s="17"/>
    </row>
    <row r="78" spans="2:65" x14ac:dyDescent="0.3">
      <c r="B78" s="17"/>
      <c r="C78" s="17"/>
    </row>
    <row r="79" spans="2:65" x14ac:dyDescent="0.3">
      <c r="B79" s="17"/>
      <c r="C79" s="17"/>
    </row>
    <row r="80" spans="2:65" x14ac:dyDescent="0.3">
      <c r="B80" s="17"/>
      <c r="C80" s="17"/>
    </row>
    <row r="81" spans="2:3" x14ac:dyDescent="0.3">
      <c r="B81" s="17"/>
      <c r="C81" s="17"/>
    </row>
    <row r="82" spans="2:3" x14ac:dyDescent="0.3">
      <c r="B82" s="17"/>
      <c r="C82" s="17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ADAC-961D-488E-A6BA-AC4A8DEE3CD2}">
  <dimension ref="B1:V126"/>
  <sheetViews>
    <sheetView workbookViewId="0">
      <selection activeCell="H17" sqref="H17"/>
    </sheetView>
  </sheetViews>
  <sheetFormatPr defaultRowHeight="14.4" x14ac:dyDescent="0.3"/>
  <cols>
    <col min="2" max="2" width="13.5546875" bestFit="1" customWidth="1"/>
    <col min="6" max="6" width="11.44140625" bestFit="1" customWidth="1"/>
    <col min="7" max="7" width="13.88671875" customWidth="1"/>
    <col min="8" max="8" width="11.44140625" bestFit="1" customWidth="1"/>
    <col min="9" max="10" width="9.44140625" bestFit="1" customWidth="1"/>
    <col min="11" max="11" width="11.44140625" bestFit="1" customWidth="1"/>
    <col min="18" max="18" width="12.33203125" bestFit="1" customWidth="1"/>
    <col min="21" max="21" width="10.33203125" bestFit="1" customWidth="1"/>
  </cols>
  <sheetData>
    <row r="1" spans="2:22" x14ac:dyDescent="0.3">
      <c r="E1" t="s">
        <v>359</v>
      </c>
      <c r="F1" s="33">
        <f t="shared" ref="F1:L1" si="0">AVERAGE(F3:F65)</f>
        <v>233.304635565105</v>
      </c>
      <c r="G1" s="33">
        <f>AVERAGE(G3:G65)</f>
        <v>232.25070363843838</v>
      </c>
      <c r="H1" s="33">
        <f t="shared" ref="H1:L1" si="1">AVERAGE(H3:H65)</f>
        <v>230.44085450891455</v>
      </c>
      <c r="I1" s="33">
        <f t="shared" si="1"/>
        <v>190.65820591771308</v>
      </c>
      <c r="J1" s="33">
        <f t="shared" ca="1" si="1"/>
        <v>230.56664617186527</v>
      </c>
      <c r="K1" s="33">
        <f t="shared" ca="1" si="1"/>
        <v>246.02330833949549</v>
      </c>
      <c r="L1" s="33">
        <f t="shared" si="1"/>
        <v>233.20167556510495</v>
      </c>
      <c r="P1" t="s">
        <v>360</v>
      </c>
      <c r="R1" s="33">
        <f ca="1">AVERAGE(R3:R65)</f>
        <v>177.62260367139595</v>
      </c>
    </row>
    <row r="2" spans="2:22" x14ac:dyDescent="0.3">
      <c r="B2" t="s">
        <v>353</v>
      </c>
      <c r="C2" s="38">
        <v>0.20499999999999999</v>
      </c>
      <c r="D2" s="38"/>
      <c r="E2" t="s">
        <v>358</v>
      </c>
      <c r="F2" s="15" t="s">
        <v>224</v>
      </c>
      <c r="G2" s="15" t="s">
        <v>225</v>
      </c>
      <c r="H2" s="15" t="s">
        <v>257</v>
      </c>
      <c r="I2" s="15" t="s">
        <v>236</v>
      </c>
      <c r="J2" s="15" t="s">
        <v>217</v>
      </c>
      <c r="K2" s="15" t="s">
        <v>216</v>
      </c>
      <c r="L2" s="15" t="s">
        <v>291</v>
      </c>
      <c r="P2" t="s">
        <v>358</v>
      </c>
      <c r="Q2" s="15" t="s">
        <v>224</v>
      </c>
      <c r="R2" s="15" t="s">
        <v>225</v>
      </c>
      <c r="S2" s="15" t="s">
        <v>257</v>
      </c>
      <c r="T2" s="15" t="s">
        <v>236</v>
      </c>
      <c r="U2" s="15" t="s">
        <v>217</v>
      </c>
      <c r="V2" s="15" t="s">
        <v>216</v>
      </c>
    </row>
    <row r="3" spans="2:22" x14ac:dyDescent="0.3">
      <c r="B3" t="s">
        <v>354</v>
      </c>
      <c r="C3" s="38">
        <v>0.76</v>
      </c>
      <c r="D3" s="38"/>
      <c r="E3" s="17">
        <f>+'Modelo Soja'!BA3</f>
        <v>44197</v>
      </c>
      <c r="F3" s="32">
        <f>+(('Modelo Farelo'!AA3*(1+$C$8))*$C$3+('Modelo Oleo'!AA3*(1+$C$8))*$C$2)-('Modelo Soja'!AT3/60*1000)-$C$6</f>
        <v>247.69771829419278</v>
      </c>
      <c r="G3" s="32">
        <f>+(('Modelo Farelo'!AB3*(1+$C$8))*$C$3+('Modelo Oleo'!AB3*(1+$C$8))*$C$2)-('Modelo Soja'!AU3/60*1000)-$C$6</f>
        <v>247.06708829419358</v>
      </c>
      <c r="H3" s="32">
        <f>+(('Modelo Farelo'!AC3*(1+$C$8))*$C$3+('Modelo Oleo'!AC3*(1+$C$8))*$C$2)-('Modelo Soja'!AV3/60*1000)-$C$6</f>
        <v>246.13859501419302</v>
      </c>
      <c r="I3" s="32">
        <f>+(('Modelo Farelo'!AD3*(1+$C$8))*($C$3+1%)+('Modelo Oleo'!AD3*(1+$C$8))*($C$2-1%))-('Modelo Soja'!AW3/60*1000)-$C$6</f>
        <v>215.93314324316043</v>
      </c>
      <c r="J3" s="32">
        <f ca="1">+(('Modelo Farelo'!AE3*(1+$C$8))*($C$3+1.5%)+('Modelo Oleo'!AE3*(1+$C$8))*($C$2-1.5%))-('Modelo Soja'!AX3/60*1000)-$C$6</f>
        <v>314.66952301097899</v>
      </c>
      <c r="K3" s="32">
        <f ca="1">+(('Modelo Farelo'!AF3*(1+$C$8))*($C$3+1.5%)+('Modelo Oleo'!AF3*(1+$C$8))*($C$2-1.5%))-('Modelo Soja'!AY3/60*1000)-$C$6</f>
        <v>340.09644055764466</v>
      </c>
      <c r="L3" s="43">
        <f>+(('Modelo Farelo'!AG3*(1+$C$8))*$C$3+('Modelo Oleo'!AG3*(1+$C$8))*$C$2)-('Modelo Soja'!BM3/60*1000)-$C$6</f>
        <v>247.59475829419353</v>
      </c>
      <c r="P3" s="17">
        <f>+E3</f>
        <v>44197</v>
      </c>
      <c r="Q3" s="33">
        <f ca="1">+(('Modelo Farelo'!AA3*(1+$C$8))*$C$3+('Modelo Oleo'!AA3*(1+$C$8))*$C$2)-('Modelo Soja'!AK3/60*1000)-$C$6</f>
        <v>228.91530894414973</v>
      </c>
      <c r="R3" s="22">
        <f ca="1">+(('Modelo Farelo'!AB3*(1+$C$8))*$C$3+('Modelo Oleo'!AB3*(1+$C$8))*$C$2)-('Modelo Soja'!AA3/60*1000)-$C$6</f>
        <v>278.71708829419413</v>
      </c>
    </row>
    <row r="4" spans="2:22" x14ac:dyDescent="0.3">
      <c r="B4" t="s">
        <v>355</v>
      </c>
      <c r="C4" s="38">
        <v>0</v>
      </c>
      <c r="D4" s="38"/>
      <c r="E4" s="17">
        <f>+'Modelo Soja'!BA4</f>
        <v>44228</v>
      </c>
      <c r="F4" s="32">
        <f>+(('Modelo Farelo'!AA4*(1+$C$8))*$C$3+('Modelo Oleo'!AA4*(1+$C$8))*$C$2)-('Modelo Soja'!AT4/60*1000)-$C$6</f>
        <v>271.99831812085176</v>
      </c>
      <c r="G4" s="32">
        <f>+(('Modelo Farelo'!AB4*(1+$C$8))*$C$3+('Modelo Oleo'!AB4*(1+$C$8))*$C$2)-('Modelo Soja'!AU4/60*1000)-$C$6</f>
        <v>271.41486954085167</v>
      </c>
      <c r="H4" s="32">
        <f>+(('Modelo Farelo'!AC4*(1+$C$8))*$C$3+('Modelo Oleo'!AC4*(1+$C$8))*$C$2)-('Modelo Soja'!AV4/60*1000)-$C$6</f>
        <v>270.21620922085231</v>
      </c>
      <c r="I4" s="32">
        <f>+(('Modelo Farelo'!AD4*(1+$C$8))*($C$3+1%)+('Modelo Oleo'!AD4*(1+$C$8))*($C$2-1%))-('Modelo Soja'!AW4/60*1000)-$C$6</f>
        <v>237.31582278900987</v>
      </c>
      <c r="J4" s="32">
        <f ca="1">+(('Modelo Farelo'!AE4*(1+$C$8))*($C$3+1.5%)+('Modelo Oleo'!AE4*(1+$C$8))*($C$2-1.5%))-('Modelo Soja'!AX4/60*1000)-$C$6</f>
        <v>266.33442023975704</v>
      </c>
      <c r="K4" s="32">
        <f ca="1">+(('Modelo Farelo'!AF4*(1+$C$8))*($C$3+1.5%)+('Modelo Oleo'!AF4*(1+$C$8))*($C$2-1.5%))-('Modelo Soja'!AY4/60*1000)-$C$6</f>
        <v>283.13160448271947</v>
      </c>
      <c r="L4" s="43">
        <f>+(('Modelo Farelo'!AG4*(1+$C$8))*$C$3+('Modelo Oleo'!AG4*(1+$C$8))*$C$2)-('Modelo Soja'!BM4/60*1000)-$C$6</f>
        <v>271.89535812085205</v>
      </c>
      <c r="P4" s="17">
        <f t="shared" ref="P4:P65" si="2">+E4</f>
        <v>44228</v>
      </c>
      <c r="Q4" s="33">
        <f ca="1">+(('Modelo Farelo'!AA4*(1+$C$8))*$C$3+('Modelo Oleo'!AA4*(1+$C$8))*$C$2)-('Modelo Soja'!AK4/60*1000)-$C$6</f>
        <v>181.27527745591806</v>
      </c>
      <c r="R4" s="22">
        <f ca="1">+(('Modelo Farelo'!AB4*(1+$C$8))*$C$3+('Modelo Oleo'!AB4*(1+$C$8))*$C$2)-('Modelo Soja'!AA4/60*1000)-$C$6</f>
        <v>188.43120941013331</v>
      </c>
    </row>
    <row r="5" spans="2:22" x14ac:dyDescent="0.3">
      <c r="E5" s="17">
        <f>+'Modelo Soja'!BA5</f>
        <v>44256</v>
      </c>
      <c r="F5" s="32">
        <f>+(('Modelo Farelo'!AA5*(1+$C$8))*$C$3+('Modelo Oleo'!AA5*(1+$C$8))*$C$2)-('Modelo Soja'!AT5/60*1000)-$C$6</f>
        <v>394.50736949092925</v>
      </c>
      <c r="G5" s="32">
        <f>+(('Modelo Farelo'!AB5*(1+$C$8))*$C$3+('Modelo Oleo'!AB5*(1+$C$8))*$C$2)-('Modelo Soja'!AU5/60*1000)-$C$6</f>
        <v>394.0311794909303</v>
      </c>
      <c r="H5" s="32">
        <f>+(('Modelo Farelo'!AC5*(1+$C$8))*$C$3+('Modelo Oleo'!AC5*(1+$C$8))*$C$2)-('Modelo Soja'!AV5/60*1000)-$C$6</f>
        <v>393.1079371709302</v>
      </c>
      <c r="I5" s="32">
        <f>+(('Modelo Farelo'!AD5*(1+$C$8))*($C$3+1%)+('Modelo Oleo'!AD5*(1+$C$8))*($C$2-1%))-('Modelo Soja'!AW5/60*1000)-$C$6</f>
        <v>348.89904217089452</v>
      </c>
      <c r="J5" s="32">
        <f ca="1">+(('Modelo Farelo'!AE5*(1+$C$8))*($C$3+1.5%)+('Modelo Oleo'!AE5*(1+$C$8))*($C$2-1.5%))-('Modelo Soja'!AX5/60*1000)-$C$6</f>
        <v>385.33468432073141</v>
      </c>
      <c r="K5" s="32">
        <f ca="1">+(('Modelo Farelo'!AF5*(1+$C$8))*($C$3+1.5%)+('Modelo Oleo'!AF5*(1+$C$8))*($C$2-1.5%))-('Modelo Soja'!AY5/60*1000)-$C$6</f>
        <v>402.76424057580516</v>
      </c>
      <c r="L5" s="43">
        <f>+(('Modelo Farelo'!AG5*(1+$C$8))*$C$3+('Modelo Oleo'!AG5*(1+$C$8))*$C$2)-('Modelo Soja'!BM5/60*1000)-$C$6</f>
        <v>394.40440949092999</v>
      </c>
      <c r="P5" s="17">
        <f t="shared" si="2"/>
        <v>44256</v>
      </c>
      <c r="Q5" s="33">
        <f ca="1">+(('Modelo Farelo'!AA5*(1+$C$8))*$C$3+('Modelo Oleo'!AA5*(1+$C$8))*$C$2)-('Modelo Soja'!AK5/60*1000)-$C$6</f>
        <v>323.34311474173819</v>
      </c>
      <c r="R5" s="22">
        <f ca="1">+(('Modelo Farelo'!AB5*(1+$C$8))*$C$3+('Modelo Oleo'!AB5*(1+$C$8))*$C$2)-('Modelo Soja'!AA5/60*1000)-$C$6</f>
        <v>287.15074470832178</v>
      </c>
    </row>
    <row r="6" spans="2:22" x14ac:dyDescent="0.3">
      <c r="B6" t="s">
        <v>356</v>
      </c>
      <c r="C6">
        <v>160</v>
      </c>
      <c r="E6" s="17">
        <f>+'Modelo Soja'!BA6</f>
        <v>44287</v>
      </c>
      <c r="F6" s="32">
        <f>+(('Modelo Farelo'!AA6*(1+$C$8))*$C$3+('Modelo Oleo'!AA6*(1+$C$8))*$C$2)-('Modelo Soja'!AT6/60*1000)-$C$6</f>
        <v>319.23891360325206</v>
      </c>
      <c r="G6" s="32">
        <f>+(('Modelo Farelo'!AB6*(1+$C$8))*$C$3+('Modelo Oleo'!AB6*(1+$C$8))*$C$2)-('Modelo Soja'!AU6/60*1000)-$C$6</f>
        <v>318.78588960325214</v>
      </c>
      <c r="H6" s="32">
        <f>+(('Modelo Farelo'!AC6*(1+$C$8))*$C$3+('Modelo Oleo'!AC6*(1+$C$8))*$C$2)-('Modelo Soja'!AV6/60*1000)-$C$6</f>
        <v>317.05430832325192</v>
      </c>
      <c r="I6" s="32">
        <f>+(('Modelo Farelo'!AD6*(1+$C$8))*($C$3+1%)+('Modelo Oleo'!AD6*(1+$C$8))*($C$2-1%))-('Modelo Soja'!AW6/60*1000)-$C$6</f>
        <v>271.98827756618721</v>
      </c>
      <c r="J6" s="32">
        <f ca="1">+(('Modelo Farelo'!AE6*(1+$C$8))*($C$3+1.5%)+('Modelo Oleo'!AE6*(1+$C$8))*($C$2-1.5%))-('Modelo Soja'!AX6/60*1000)-$C$6</f>
        <v>344.83604100098864</v>
      </c>
      <c r="K6" s="32">
        <f ca="1">+(('Modelo Farelo'!AF6*(1+$C$8))*($C$3+1.5%)+('Modelo Oleo'!AF6*(1+$C$8))*($C$2-1.5%))-('Modelo Soja'!AY6/60*1000)-$C$6</f>
        <v>346.58229574765528</v>
      </c>
      <c r="L6" s="43">
        <f>+(('Modelo Farelo'!AG6*(1+$C$8))*$C$3+('Modelo Oleo'!AG6*(1+$C$8))*$C$2)-('Modelo Soja'!BM6/60*1000)-$C$6</f>
        <v>319.13595360325189</v>
      </c>
      <c r="P6" s="17">
        <f t="shared" si="2"/>
        <v>44287</v>
      </c>
      <c r="Q6" s="33">
        <f ca="1">+(('Modelo Farelo'!AA6*(1+$C$8))*$C$3+('Modelo Oleo'!AA6*(1+$C$8))*$C$2)-('Modelo Soja'!AK6/60*1000)-$C$6</f>
        <v>301.03222862481243</v>
      </c>
      <c r="R6" s="22">
        <f ca="1">+(('Modelo Farelo'!AB6*(1+$C$8))*$C$3+('Modelo Oleo'!AB6*(1+$C$8))*$C$2)-('Modelo Soja'!AA6/60*1000)-$C$6</f>
        <v>240.52755626991893</v>
      </c>
    </row>
    <row r="7" spans="2:22" x14ac:dyDescent="0.3">
      <c r="E7" s="17">
        <f>+'Modelo Soja'!BA7</f>
        <v>44317</v>
      </c>
      <c r="F7" s="32">
        <f>+(('Modelo Farelo'!AA7*(1+$C$8))*$C$3+('Modelo Oleo'!AA7*(1+$C$8))*$C$2)-('Modelo Soja'!AT7/60*1000)-$C$6</f>
        <v>291.97442564897528</v>
      </c>
      <c r="G7" s="32">
        <f>+(('Modelo Farelo'!AB7*(1+$C$8))*$C$3+('Modelo Oleo'!AB7*(1+$C$8))*$C$2)-('Modelo Soja'!AU7/60*1000)-$C$6</f>
        <v>291.72474764897515</v>
      </c>
      <c r="H7" s="32">
        <f>+(('Modelo Farelo'!AC7*(1+$C$8))*$C$3+('Modelo Oleo'!AC7*(1+$C$8))*$C$2)-('Modelo Soja'!AV7/60*1000)-$C$6</f>
        <v>290.0437197289757</v>
      </c>
      <c r="I7" s="32">
        <f>+(('Modelo Farelo'!AD7*(1+$C$8))*($C$3+1%)+('Modelo Oleo'!AD7*(1+$C$8))*($C$2-1%))-('Modelo Soja'!AW7/60*1000)-$C$6</f>
        <v>241.88194066957385</v>
      </c>
      <c r="J7" s="32">
        <f ca="1">+(('Modelo Farelo'!AE7*(1+$C$8))*($C$3+1.5%)+('Modelo Oleo'!AE7*(1+$C$8))*($C$2-1.5%))-('Modelo Soja'!AX7/60*1000)-$C$6</f>
        <v>283.41527691003103</v>
      </c>
      <c r="K7" s="32">
        <f ca="1">+(('Modelo Farelo'!AF7*(1+$C$8))*($C$3+1.5%)+('Modelo Oleo'!AF7*(1+$C$8))*($C$2-1.5%))-('Modelo Soja'!AY7/60*1000)-$C$6</f>
        <v>292.56912500907947</v>
      </c>
      <c r="L7" s="43">
        <f>+(('Modelo Farelo'!AG7*(1+$C$8))*$C$3+('Modelo Oleo'!AG7*(1+$C$8))*$C$2)-('Modelo Soja'!BM7/60*1000)-$C$6</f>
        <v>291.87146564897512</v>
      </c>
      <c r="P7" s="17">
        <f t="shared" si="2"/>
        <v>44317</v>
      </c>
      <c r="Q7" s="33">
        <f ca="1">+(('Modelo Farelo'!AA7*(1+$C$8))*$C$3+('Modelo Oleo'!AA7*(1+$C$8))*$C$2)-('Modelo Soja'!AK7/60*1000)-$C$6</f>
        <v>218.36698216653213</v>
      </c>
      <c r="R7" s="22">
        <f ca="1">+(('Modelo Farelo'!AB7*(1+$C$8))*$C$3+('Modelo Oleo'!AB7*(1+$C$8))*$C$2)-('Modelo Soja'!AA7/60*1000)-$C$6</f>
        <v>174.15331907754717</v>
      </c>
    </row>
    <row r="8" spans="2:22" x14ac:dyDescent="0.3">
      <c r="B8" t="s">
        <v>357</v>
      </c>
      <c r="C8" s="39">
        <v>2.5600000000000001E-2</v>
      </c>
      <c r="D8" s="39"/>
      <c r="E8" s="17">
        <f>+'Modelo Soja'!BA8</f>
        <v>44348</v>
      </c>
      <c r="F8" s="32">
        <f>+(('Modelo Farelo'!AA8*(1+$C$8))*$C$3+('Modelo Oleo'!AA8*(1+$C$8))*$C$2)-('Modelo Soja'!AT8/60*1000)-$C$6</f>
        <v>-4.8260937500699583</v>
      </c>
      <c r="G8" s="32">
        <f>+(('Modelo Farelo'!AB8*(1+$C$8))*$C$3+('Modelo Oleo'!AB8*(1+$C$8))*$C$2)-('Modelo Soja'!AU8/60*1000)-$C$6</f>
        <v>-5.3752051700707852</v>
      </c>
      <c r="H8" s="32">
        <f>+(('Modelo Farelo'!AC8*(1+$C$8))*$C$3+('Modelo Oleo'!AC8*(1+$C$8))*$C$2)-('Modelo Soja'!AV8/60*1000)-$C$6</f>
        <v>-6.8785241300702182</v>
      </c>
      <c r="I8" s="32">
        <f>+(('Modelo Farelo'!AD8*(1+$C$8))*($C$3+1%)+('Modelo Oleo'!AD8*(1+$C$8))*($C$2-1%))-('Modelo Soja'!AW8/60*1000)-$C$6</f>
        <v>-46.17398351441534</v>
      </c>
      <c r="J8" s="32">
        <f ca="1">+(('Modelo Farelo'!AE8*(1+$C$8))*($C$3+1.5%)+('Modelo Oleo'!AE8*(1+$C$8))*($C$2-1.5%))-('Modelo Soja'!AX8/60*1000)-$C$6</f>
        <v>21.686557754682781</v>
      </c>
      <c r="K8" s="32">
        <f ca="1">+(('Modelo Farelo'!AF8*(1+$C$8))*($C$3+1.5%)+('Modelo Oleo'!AF8*(1+$C$8))*($C$2-1.5%))-('Modelo Soja'!AY8/60*1000)-$C$6</f>
        <v>30.233782233412057</v>
      </c>
      <c r="L8" s="43">
        <f>+(('Modelo Farelo'!AG8*(1+$C$8))*$C$3+('Modelo Oleo'!AG8*(1+$C$8))*$C$2)-('Modelo Soja'!BM8/60*1000)-$C$6</f>
        <v>-4.9290537500701248</v>
      </c>
      <c r="P8" s="17">
        <f t="shared" si="2"/>
        <v>44348</v>
      </c>
      <c r="Q8" s="33">
        <f ca="1">+(('Modelo Farelo'!AA8*(1+$C$8))*$C$3+('Modelo Oleo'!AA8*(1+$C$8))*$C$2)-('Modelo Soja'!AK8/60*1000)-$C$6</f>
        <v>-73.970048776525346</v>
      </c>
      <c r="R8" s="22">
        <f ca="1">+(('Modelo Farelo'!AB8*(1+$C$8))*$C$3+('Modelo Oleo'!AB8*(1+$C$8))*$C$2)-('Modelo Soja'!AA8/60*1000)-$C$6</f>
        <v>-79.016809180095152</v>
      </c>
    </row>
    <row r="9" spans="2:22" x14ac:dyDescent="0.3">
      <c r="E9" s="17">
        <f>+'Modelo Soja'!BA9</f>
        <v>44378</v>
      </c>
      <c r="F9" s="32">
        <f>+(('Modelo Farelo'!AA9*(1+$C$8))*$C$3+('Modelo Oleo'!AA9*(1+$C$8))*$C$2)-('Modelo Soja'!AT9/60*1000)-$C$6</f>
        <v>16.524166133128347</v>
      </c>
      <c r="G9" s="32">
        <f>+(('Modelo Farelo'!AB9*(1+$C$8))*$C$3+('Modelo Oleo'!AB9*(1+$C$8))*$C$2)-('Modelo Soja'!AU9/60*1000)-$C$6</f>
        <v>15.957886133127886</v>
      </c>
      <c r="H9" s="32">
        <f>+(('Modelo Farelo'!AC9*(1+$C$8))*$C$3+('Modelo Oleo'!AC9*(1+$C$8))*$C$2)-('Modelo Soja'!AV9/60*1000)-$C$6</f>
        <v>14.065172453127616</v>
      </c>
      <c r="I9" s="32">
        <f>+(('Modelo Farelo'!AD9*(1+$C$8))*($C$3+1%)+('Modelo Oleo'!AD9*(1+$C$8))*($C$2-1%))-('Modelo Soja'!AW9/60*1000)-$C$6</f>
        <v>-31.601730283995494</v>
      </c>
      <c r="J9" s="32">
        <f ca="1">+(('Modelo Farelo'!AE9*(1+$C$8))*($C$3+1.5%)+('Modelo Oleo'!AE9*(1+$C$8))*($C$2-1.5%))-('Modelo Soja'!AX9/60*1000)-$C$6</f>
        <v>43.629293605624753</v>
      </c>
      <c r="K9" s="32">
        <f ca="1">+(('Modelo Farelo'!AF9*(1+$C$8))*($C$3+1.5%)+('Modelo Oleo'!AF9*(1+$C$8))*($C$2-1.5%))-('Modelo Soja'!AY9/60*1000)-$C$6</f>
        <v>50.525357780170907</v>
      </c>
      <c r="L9" s="43">
        <f>+(('Modelo Farelo'!AG9*(1+$C$8))*$C$3+('Modelo Oleo'!AG9*(1+$C$8))*$C$2)-('Modelo Soja'!BM9/60*1000)-$C$6</f>
        <v>16.42120613312818</v>
      </c>
      <c r="P9" s="17">
        <f t="shared" si="2"/>
        <v>44378</v>
      </c>
      <c r="Q9" s="33">
        <f ca="1">+(('Modelo Farelo'!AA9*(1+$C$8))*$C$3+('Modelo Oleo'!AA9*(1+$C$8))*$C$2)-('Modelo Soja'!AK9/60*1000)-$C$6</f>
        <v>-142.23863213945197</v>
      </c>
      <c r="R9" s="22">
        <f ca="1">+(('Modelo Farelo'!AB9*(1+$C$8))*$C$3+('Modelo Oleo'!AB9*(1+$C$8))*$C$2)-('Modelo Soja'!AA9/60*1000)-$C$6</f>
        <v>-129.06484113959914</v>
      </c>
    </row>
    <row r="10" spans="2:22" x14ac:dyDescent="0.3">
      <c r="E10" s="17">
        <f>+'Modelo Soja'!BA10</f>
        <v>44409</v>
      </c>
      <c r="F10" s="32">
        <f>+(('Modelo Farelo'!AA10*(1+$C$8))*$C$3+('Modelo Oleo'!AA10*(1+$C$8))*$C$2)-('Modelo Soja'!AT10/60*1000)-$C$6</f>
        <v>32.830869698432707</v>
      </c>
      <c r="G10" s="32">
        <f>+(('Modelo Farelo'!AB10*(1+$C$8))*$C$3+('Modelo Oleo'!AB10*(1+$C$8))*$C$2)-('Modelo Soja'!AU10/60*1000)-$C$6</f>
        <v>32.457639698433468</v>
      </c>
      <c r="H10" s="32">
        <f>+(('Modelo Farelo'!AC10*(1+$C$8))*$C$3+('Modelo Oleo'!AC10*(1+$C$8))*$C$2)-('Modelo Soja'!AV10/60*1000)-$C$6</f>
        <v>30.46556961843271</v>
      </c>
      <c r="I10" s="32">
        <f>+(('Modelo Farelo'!AD10*(1+$C$8))*($C$3+1%)+('Modelo Oleo'!AD10*(1+$C$8))*($C$2-1%))-('Modelo Soja'!AW10/60*1000)-$C$6</f>
        <v>-18.887642717504605</v>
      </c>
      <c r="J10" s="32">
        <f ca="1">+(('Modelo Farelo'!AE10*(1+$C$8))*($C$3+1.5%)+('Modelo Oleo'!AE10*(1+$C$8))*($C$2-1.5%))-('Modelo Soja'!AX10/60*1000)-$C$6</f>
        <v>37.053980670891633</v>
      </c>
      <c r="K10" s="32">
        <f ca="1">+(('Modelo Farelo'!AF10*(1+$C$8))*($C$3+1.5%)+('Modelo Oleo'!AF10*(1+$C$8))*($C$2-1.5%))-('Modelo Soja'!AY10/60*1000)-$C$6</f>
        <v>44.139074816345783</v>
      </c>
      <c r="L10" s="43">
        <f>+(('Modelo Farelo'!AG10*(1+$C$8))*$C$3+('Modelo Oleo'!AG10*(1+$C$8))*$C$2)-('Modelo Soja'!BM10/60*1000)-$C$6</f>
        <v>32.727909698432995</v>
      </c>
      <c r="P10" s="17">
        <f t="shared" si="2"/>
        <v>44409</v>
      </c>
      <c r="Q10" s="33">
        <f ca="1">+(('Modelo Farelo'!AA10*(1+$C$8))*$C$3+('Modelo Oleo'!AA10*(1+$C$8))*$C$2)-('Modelo Soja'!AK10/60*1000)-$C$6</f>
        <v>-218.38358488884751</v>
      </c>
      <c r="R10" s="22">
        <f ca="1">+(('Modelo Farelo'!AB10*(1+$C$8))*$C$3+('Modelo Oleo'!AB10*(1+$C$8))*$C$2)-('Modelo Soja'!AA10/60*1000)-$C$6</f>
        <v>-218.04236030156562</v>
      </c>
    </row>
    <row r="11" spans="2:22" x14ac:dyDescent="0.3">
      <c r="E11" s="17">
        <f>+'Modelo Soja'!BA11</f>
        <v>44440</v>
      </c>
      <c r="F11" s="32">
        <f>+(('Modelo Farelo'!AA11*(1+$C$8))*$C$3+('Modelo Oleo'!AA11*(1+$C$8))*$C$2)-('Modelo Soja'!AT11/60*1000)-$C$6</f>
        <v>-59.555743862718373</v>
      </c>
      <c r="G11" s="32">
        <f>+(('Modelo Farelo'!AB11*(1+$C$8))*$C$3+('Modelo Oleo'!AB11*(1+$C$8))*$C$2)-('Modelo Soja'!AU11/60*1000)-$C$6</f>
        <v>-59.928973862718522</v>
      </c>
      <c r="H11" s="32">
        <f>+(('Modelo Farelo'!AC11*(1+$C$8))*$C$3+('Modelo Oleo'!AC11*(1+$C$8))*$C$2)-('Modelo Soja'!AV11/60*1000)-$C$6</f>
        <v>-61.854325862718724</v>
      </c>
      <c r="I11" s="32">
        <f>+(('Modelo Farelo'!AD11*(1+$C$8))*($C$3+1%)+('Modelo Oleo'!AD11*(1+$C$8))*($C$2-1%))-('Modelo Soja'!AW11/60*1000)-$C$6</f>
        <v>-112.11420145764305</v>
      </c>
      <c r="J11" s="32">
        <f ca="1">+(('Modelo Farelo'!AE11*(1+$C$8))*($C$3+1.5%)+('Modelo Oleo'!AE11*(1+$C$8))*($C$2-1.5%))-('Modelo Soja'!AX11/60*1000)-$C$6</f>
        <v>-51.076288786533496</v>
      </c>
      <c r="K11" s="32">
        <f ca="1">+(('Modelo Farelo'!AF11*(1+$C$8))*($C$3+1.5%)+('Modelo Oleo'!AF11*(1+$C$8))*($C$2-1.5%))-('Modelo Soja'!AY11/60*1000)-$C$6</f>
        <v>-46.195705401136365</v>
      </c>
      <c r="L11" s="43">
        <f>+(('Modelo Farelo'!AG11*(1+$C$8))*$C$3+('Modelo Oleo'!AG11*(1+$C$8))*$C$2)-('Modelo Soja'!BM11/60*1000)-$C$6</f>
        <v>-59.658703862719449</v>
      </c>
      <c r="P11" s="17">
        <f t="shared" si="2"/>
        <v>44440</v>
      </c>
      <c r="Q11" s="33">
        <f ca="1">+(('Modelo Farelo'!AA11*(1+$C$8))*$C$3+('Modelo Oleo'!AA11*(1+$C$8))*$C$2)-('Modelo Soja'!AK11/60*1000)-$C$6</f>
        <v>-284.29789931075675</v>
      </c>
      <c r="R11" s="22">
        <f ca="1">+(('Modelo Farelo'!AB11*(1+$C$8))*$C$3+('Modelo Oleo'!AB11*(1+$C$8))*$C$2)-('Modelo Soja'!AA11/60*1000)-$C$6</f>
        <v>-239.05595798970398</v>
      </c>
    </row>
    <row r="12" spans="2:22" x14ac:dyDescent="0.3">
      <c r="E12" s="17">
        <f>+'Modelo Soja'!BA12</f>
        <v>44470</v>
      </c>
      <c r="F12" s="32">
        <f>+(('Modelo Farelo'!AA12*(1+$C$8))*$C$3+('Modelo Oleo'!AA12*(1+$C$8))*$C$2)-('Modelo Soja'!AT12/60*1000)-$C$6</f>
        <v>129.6759807340718</v>
      </c>
      <c r="G12" s="32">
        <f>+(('Modelo Farelo'!AB12*(1+$C$8))*$C$3+('Modelo Oleo'!AB12*(1+$C$8))*$C$2)-('Modelo Soja'!AU12/60*1000)-$C$6</f>
        <v>128.84200473407145</v>
      </c>
      <c r="H12" s="32">
        <f>+(('Modelo Farelo'!AC12*(1+$C$8))*$C$3+('Modelo Oleo'!AC12*(1+$C$8))*$C$2)-('Modelo Soja'!AV12/60*1000)-$C$6</f>
        <v>127.15346073407181</v>
      </c>
      <c r="I12" s="32">
        <f>+(('Modelo Farelo'!AD12*(1+$C$8))*($C$3+1%)+('Modelo Oleo'!AD12*(1+$C$8))*($C$2-1%))-('Modelo Soja'!AW12/60*1000)-$C$6</f>
        <v>69.085595279191693</v>
      </c>
      <c r="J12" s="32">
        <f ca="1">+(('Modelo Farelo'!AE12*(1+$C$8))*($C$3+1.5%)+('Modelo Oleo'!AE12*(1+$C$8))*($C$2-1.5%))-('Modelo Soja'!AX12/60*1000)-$C$6</f>
        <v>90.49599319175195</v>
      </c>
      <c r="K12" s="32">
        <f ca="1">+(('Modelo Farelo'!AF12*(1+$C$8))*($C$3+1.5%)+('Modelo Oleo'!AF12*(1+$C$8))*($C$2-1.5%))-('Modelo Soja'!AY12/60*1000)-$C$6</f>
        <v>95.223509218418712</v>
      </c>
      <c r="L12" s="43">
        <f>+(('Modelo Farelo'!AG12*(1+$C$8))*$C$3+('Modelo Oleo'!AG12*(1+$C$8))*$C$2)-('Modelo Soja'!BM12/60*1000)-$C$6</f>
        <v>129.57302073407209</v>
      </c>
      <c r="P12" s="17">
        <f t="shared" si="2"/>
        <v>44470</v>
      </c>
      <c r="Q12" s="33">
        <f ca="1">+(('Modelo Farelo'!AA12*(1+$C$8))*$C$3+('Modelo Oleo'!AA12*(1+$C$8))*$C$2)-('Modelo Soja'!AK12/60*1000)-$C$6</f>
        <v>-55.758476781037643</v>
      </c>
      <c r="R12" s="22">
        <f ca="1">+(('Modelo Farelo'!AB12*(1+$C$8))*$C$3+('Modelo Oleo'!AB12*(1+$C$8))*$C$2)-('Modelo Soja'!AA12/60*1000)-$C$6</f>
        <v>37.533671400738967</v>
      </c>
    </row>
    <row r="13" spans="2:22" x14ac:dyDescent="0.3">
      <c r="E13" s="17">
        <f>+'Modelo Soja'!BA13</f>
        <v>44501</v>
      </c>
      <c r="F13" s="32">
        <f>+(('Modelo Farelo'!AA13*(1+$C$8))*$C$3+('Modelo Oleo'!AA13*(1+$C$8))*$C$2)-('Modelo Soja'!AT13/60*1000)-$C$6</f>
        <v>367.38265406236678</v>
      </c>
      <c r="G13" s="32">
        <f>+(('Modelo Farelo'!AB13*(1+$C$8))*$C$3+('Modelo Oleo'!AB13*(1+$C$8))*$C$2)-('Modelo Soja'!AU13/60*1000)-$C$6</f>
        <v>366.61045406236735</v>
      </c>
      <c r="H13" s="32">
        <f>+(('Modelo Farelo'!AC13*(1+$C$8))*$C$3+('Modelo Oleo'!AC13*(1+$C$8))*$C$2)-('Modelo Soja'!AV13/60*1000)-$C$6</f>
        <v>364.80093206236734</v>
      </c>
      <c r="I13" s="32">
        <f>+(('Modelo Farelo'!AD13*(1+$C$8))*($C$3+1%)+('Modelo Oleo'!AD13*(1+$C$8))*($C$2-1%))-('Modelo Soja'!AW13/60*1000)-$C$6</f>
        <v>308.64194466808067</v>
      </c>
      <c r="J13" s="32">
        <f ca="1">+(('Modelo Farelo'!AE13*(1+$C$8))*($C$3+1.5%)+('Modelo Oleo'!AE13*(1+$C$8))*($C$2-1.5%))-('Modelo Soja'!AX13/60*1000)-$C$6</f>
        <v>298.06475465093854</v>
      </c>
      <c r="K13" s="32">
        <f ca="1">+(('Modelo Farelo'!AF13*(1+$C$8))*($C$3+1.5%)+('Modelo Oleo'!AF13*(1+$C$8))*($C$2-1.5%))-('Modelo Soja'!AY13/60*1000)-$C$6</f>
        <v>306.87985763760389</v>
      </c>
      <c r="L13" s="43">
        <f>+(('Modelo Farelo'!AG13*(1+$C$8))*$C$3+('Modelo Oleo'!AG13*(1+$C$8))*$C$2)-('Modelo Soja'!BM13/60*1000)-$C$6</f>
        <v>367.27969406236707</v>
      </c>
      <c r="P13" s="17">
        <f t="shared" si="2"/>
        <v>44501</v>
      </c>
      <c r="Q13" s="33">
        <f ca="1">+(('Modelo Farelo'!AA13*(1+$C$8))*$C$3+('Modelo Oleo'!AA13*(1+$C$8))*$C$2)-('Modelo Soja'!AK13/60*1000)-$C$6</f>
        <v>240.63877167120427</v>
      </c>
      <c r="R13" s="22">
        <f ca="1">+(('Modelo Farelo'!AB13*(1+$C$8))*$C$3+('Modelo Oleo'!AB13*(1+$C$8))*$C$2)-('Modelo Soja'!AA13/60*1000)-$C$6</f>
        <v>323.37712072903514</v>
      </c>
    </row>
    <row r="14" spans="2:22" x14ac:dyDescent="0.3">
      <c r="E14" s="17">
        <f>+'Modelo Soja'!BA14</f>
        <v>44531</v>
      </c>
      <c r="F14" s="32">
        <f>+(('Modelo Farelo'!AA14*(1+$C$8))*$C$3+('Modelo Oleo'!AA14*(1+$C$8))*$C$2)-('Modelo Soja'!AT14/60*1000)-$C$6</f>
        <v>451.73623152675782</v>
      </c>
      <c r="G14" s="32">
        <f>+(('Modelo Farelo'!AB14*(1+$C$8))*$C$3+('Modelo Oleo'!AB14*(1+$C$8))*$C$2)-('Modelo Soja'!AU14/60*1000)-$C$6</f>
        <v>450.85077552675739</v>
      </c>
      <c r="H14" s="32">
        <f>+(('Modelo Farelo'!AC14*(1+$C$8))*$C$3+('Modelo Oleo'!AC14*(1+$C$8))*$C$2)-('Modelo Soja'!AV14/60*1000)-$C$6</f>
        <v>448.89659472675794</v>
      </c>
      <c r="I14" s="32">
        <f>+(('Modelo Farelo'!AD14*(1+$C$8))*($C$3+1%)+('Modelo Oleo'!AD14*(1+$C$8))*($C$2-1%))-('Modelo Soja'!AW14/60*1000)-$C$6</f>
        <v>396.7826948875113</v>
      </c>
      <c r="J14" s="32">
        <f ca="1">+(('Modelo Farelo'!AE14*(1+$C$8))*($C$3+1.5%)+('Modelo Oleo'!AE14*(1+$C$8))*($C$2-1.5%))-('Modelo Soja'!AX14/60*1000)-$C$6</f>
        <v>392.56972578757086</v>
      </c>
      <c r="K14" s="32">
        <f ca="1">+(('Modelo Farelo'!AF14*(1+$C$8))*($C$3+1.5%)+('Modelo Oleo'!AF14*(1+$C$8))*($C$2-1.5%))-('Modelo Soja'!AY14/60*1000)-$C$6</f>
        <v>412.96120585233257</v>
      </c>
      <c r="L14" s="43">
        <f>+(('Modelo Farelo'!AG14*(1+$C$8))*$C$3+('Modelo Oleo'!AG14*(1+$C$8))*$C$2)-('Modelo Soja'!BM14/60*1000)-$C$6</f>
        <v>451.63327152675765</v>
      </c>
      <c r="P14" s="17">
        <f t="shared" si="2"/>
        <v>44531</v>
      </c>
      <c r="Q14" s="33">
        <f ca="1">+(('Modelo Farelo'!AA14*(1+$C$8))*$C$3+('Modelo Oleo'!AA14*(1+$C$8))*$C$2)-('Modelo Soja'!AK14/60*1000)-$C$6</f>
        <v>391.53699802634037</v>
      </c>
      <c r="R14" s="22">
        <f ca="1">+(('Modelo Farelo'!AB14*(1+$C$8))*$C$3+('Modelo Oleo'!AB14*(1+$C$8))*$C$2)-('Modelo Soja'!AA14/60*1000)-$C$6</f>
        <v>464.96188663786825</v>
      </c>
    </row>
    <row r="15" spans="2:22" x14ac:dyDescent="0.3">
      <c r="E15" s="17">
        <f>+'Modelo Soja'!BA15</f>
        <v>44562</v>
      </c>
      <c r="F15" s="32">
        <f>+(('Modelo Farelo'!AA15*(1+$C$8))*$C$3+('Modelo Oleo'!AA15*(1+$C$8))*$C$2)-('Modelo Soja'!AT15/60*1000)-$C$6</f>
        <v>396.03043415390675</v>
      </c>
      <c r="G15" s="32">
        <f>+(('Modelo Farelo'!AB15*(1+$C$8))*$C$3+('Modelo Oleo'!AB15*(1+$C$8))*$C$2)-('Modelo Soja'!AU15/60*1000)-$C$6</f>
        <v>395.09735915390729</v>
      </c>
      <c r="H15" s="32">
        <f>+(('Modelo Farelo'!AC15*(1+$C$8))*$C$3+('Modelo Oleo'!AC15*(1+$C$8))*$C$2)-('Modelo Soja'!AV15/60*1000)-$C$6</f>
        <v>392.93365475390738</v>
      </c>
      <c r="I15" s="32">
        <f>+(('Modelo Farelo'!AD15*(1+$C$8))*($C$3+1%)+('Modelo Oleo'!AD15*(1+$C$8))*($C$2-1%))-('Modelo Soja'!AW15/60*1000)-$C$6</f>
        <v>341.76367756931495</v>
      </c>
      <c r="J15" s="32">
        <f ca="1">+(('Modelo Farelo'!AE15*(1+$C$8))*($C$3+1.5%)+('Modelo Oleo'!AE15*(1+$C$8))*($C$2-1.5%))-('Modelo Soja'!AX15/60*1000)-$C$6</f>
        <v>243.4234246113042</v>
      </c>
      <c r="K15" s="32">
        <f ca="1">+(('Modelo Farelo'!AF15*(1+$C$8))*($C$3+1.5%)+('Modelo Oleo'!AF15*(1+$C$8))*($C$2-1.5%))-('Modelo Soja'!AY15/60*1000)-$C$6</f>
        <v>261.01571112305101</v>
      </c>
      <c r="L15" s="43">
        <f>+(('Modelo Farelo'!AG15*(1+$C$8))*$C$3+('Modelo Oleo'!AG15*(1+$C$8))*$C$2)-('Modelo Soja'!BM15/60*1000)-$C$6</f>
        <v>395.92747415390659</v>
      </c>
      <c r="P15" s="17">
        <f t="shared" si="2"/>
        <v>44562</v>
      </c>
      <c r="Q15" s="33">
        <f ca="1">+(('Modelo Farelo'!AA15*(1+$C$8))*$C$3+('Modelo Oleo'!AA15*(1+$C$8))*$C$2)-('Modelo Soja'!AK15/60*1000)-$C$6</f>
        <v>279.74008829592685</v>
      </c>
      <c r="R15" s="22">
        <f ca="1">+(('Modelo Farelo'!AB15*(1+$C$8))*$C$3+('Modelo Oleo'!AB15*(1+$C$8))*$C$2)-('Modelo Soja'!AA15/60*1000)-$C$6</f>
        <v>329.89762370417156</v>
      </c>
    </row>
    <row r="16" spans="2:22" x14ac:dyDescent="0.3">
      <c r="E16" s="17">
        <f>+'Modelo Soja'!BA16</f>
        <v>44593</v>
      </c>
      <c r="F16" s="32">
        <f>+(('Modelo Farelo'!AA16*(1+$C$8))*$C$3+('Modelo Oleo'!AA16*(1+$C$8))*$C$2)-('Modelo Soja'!AT16/60*1000)-$C$6</f>
        <v>261.67629824076676</v>
      </c>
      <c r="G16" s="32">
        <f>+(('Modelo Farelo'!AB16*(1+$C$8))*$C$3+('Modelo Oleo'!AB16*(1+$C$8))*$C$2)-('Modelo Soja'!AU16/60*1000)-$C$6</f>
        <v>260.62095824076732</v>
      </c>
      <c r="H16" s="32">
        <f>+(('Modelo Farelo'!AC16*(1+$C$8))*$C$3+('Modelo Oleo'!AC16*(1+$C$8))*$C$2)-('Modelo Soja'!AV16/60*1000)-$C$6</f>
        <v>258.62559344076726</v>
      </c>
      <c r="I16" s="32">
        <f>+(('Modelo Farelo'!AD16*(1+$C$8))*($C$3+1%)+('Modelo Oleo'!AD16*(1+$C$8))*($C$2-1%))-('Modelo Soja'!AW16/60*1000)-$C$6</f>
        <v>203.84699647012894</v>
      </c>
      <c r="J16" s="32">
        <f ca="1">+(('Modelo Farelo'!AE16*(1+$C$8))*($C$3+1.5%)+('Modelo Oleo'!AE16*(1+$C$8))*($C$2-1.5%))-('Modelo Soja'!AX16/60*1000)-$C$6</f>
        <v>73.16841086831937</v>
      </c>
      <c r="K16" s="32">
        <f ca="1">+(('Modelo Farelo'!AF16*(1+$C$8))*($C$3+1.5%)+('Modelo Oleo'!AF16*(1+$C$8))*($C$2-1.5%))-('Modelo Soja'!AY16/60*1000)-$C$6</f>
        <v>87.949486424811312</v>
      </c>
      <c r="L16" s="43">
        <f>+(('Modelo Farelo'!AG16*(1+$C$8))*$C$3+('Modelo Oleo'!AG16*(1+$C$8))*$C$2)-('Modelo Soja'!BM16/60*1000)-$C$6</f>
        <v>261.57333824076704</v>
      </c>
      <c r="P16" s="17">
        <f t="shared" si="2"/>
        <v>44593</v>
      </c>
      <c r="Q16" s="33">
        <f ca="1">+(('Modelo Farelo'!AA16*(1+$C$8))*$C$3+('Modelo Oleo'!AA16*(1+$C$8))*$C$2)-('Modelo Soja'!AK16/60*1000)-$C$6</f>
        <v>204.65438330682719</v>
      </c>
      <c r="R16" s="22">
        <f ca="1">+(('Modelo Farelo'!AB16*(1+$C$8))*$C$3+('Modelo Oleo'!AB16*(1+$C$8))*$C$2)-('Modelo Soja'!AA16/60*1000)-$C$6</f>
        <v>197.18674771445103</v>
      </c>
    </row>
    <row r="17" spans="5:18" x14ac:dyDescent="0.3">
      <c r="E17" s="17">
        <f>+'Modelo Soja'!BA17</f>
        <v>44621</v>
      </c>
      <c r="F17" s="32">
        <f>+(('Modelo Farelo'!AA17*(1+$C$8))*$C$3+('Modelo Oleo'!AA17*(1+$C$8))*$C$2)-('Modelo Soja'!AT17/60*1000)-$C$6</f>
        <v>386.50603271764021</v>
      </c>
      <c r="G17" s="32">
        <f>+(('Modelo Farelo'!AB17*(1+$C$8))*$C$3+('Modelo Oleo'!AB17*(1+$C$8))*$C$2)-('Modelo Soja'!AU17/60*1000)-$C$6</f>
        <v>385.46999771764013</v>
      </c>
      <c r="H17" s="32">
        <f>+(('Modelo Farelo'!AC17*(1+$C$8))*$C$3+('Modelo Oleo'!AC17*(1+$C$8))*$C$2)-('Modelo Soja'!AV17/60*1000)-$C$6</f>
        <v>383.68456835763982</v>
      </c>
      <c r="I17" s="32">
        <f>+(('Modelo Farelo'!AD17*(1+$C$8))*($C$3+1%)+('Modelo Oleo'!AD17*(1+$C$8))*($C$2-1%))-('Modelo Soja'!AW17/60*1000)-$C$6</f>
        <v>321.64858317496009</v>
      </c>
      <c r="J17" s="32">
        <f ca="1">+(('Modelo Farelo'!AE17*(1+$C$8))*($C$3+1.5%)+('Modelo Oleo'!AE17*(1+$C$8))*($C$2-1.5%))-('Modelo Soja'!AX17/60*1000)-$C$6</f>
        <v>230.4239508442256</v>
      </c>
      <c r="K17" s="32">
        <f ca="1">+(('Modelo Farelo'!AF17*(1+$C$8))*($C$3+1.5%)+('Modelo Oleo'!AF17*(1+$C$8))*($C$2-1.5%))-('Modelo Soja'!AY17/60*1000)-$C$6</f>
        <v>239.335474099983</v>
      </c>
      <c r="L17" s="43">
        <f>+(('Modelo Farelo'!AG17*(1+$C$8))*$C$3+('Modelo Oleo'!AG17*(1+$C$8))*$C$2)-('Modelo Soja'!BM17/60*1000)-$C$6</f>
        <v>386.40307271764004</v>
      </c>
      <c r="P17" s="17">
        <f t="shared" si="2"/>
        <v>44621</v>
      </c>
      <c r="Q17" s="33">
        <f ca="1">+(('Modelo Farelo'!AA17*(1+$C$8))*$C$3+('Modelo Oleo'!AA17*(1+$C$8))*$C$2)-('Modelo Soja'!AK17/60*1000)-$C$6</f>
        <v>348.90123119637929</v>
      </c>
      <c r="R17" s="22">
        <f ca="1">+(('Modelo Farelo'!AB17*(1+$C$8))*$C$3+('Modelo Oleo'!AB17*(1+$C$8))*$C$2)-('Modelo Soja'!AA17/60*1000)-$C$6</f>
        <v>332.43969468733667</v>
      </c>
    </row>
    <row r="18" spans="5:18" x14ac:dyDescent="0.3">
      <c r="E18" s="17">
        <f>+'Modelo Soja'!BA18</f>
        <v>44652</v>
      </c>
      <c r="F18" s="32">
        <f>+(('Modelo Farelo'!AA18*(1+$C$8))*$C$3+('Modelo Oleo'!AA18*(1+$C$8))*$C$2)-('Modelo Soja'!AT18/60*1000)-$C$6</f>
        <v>418.66093179372456</v>
      </c>
      <c r="G18" s="32">
        <f>+(('Modelo Farelo'!AB18*(1+$C$8))*$C$3+('Modelo Oleo'!AB18*(1+$C$8))*$C$2)-('Modelo Soja'!AU18/60*1000)-$C$6</f>
        <v>417.0403413937247</v>
      </c>
      <c r="H18" s="32">
        <f>+(('Modelo Farelo'!AC18*(1+$C$8))*$C$3+('Modelo Oleo'!AC18*(1+$C$8))*$C$2)-('Modelo Soja'!AV18/60*1000)-$C$6</f>
        <v>415.09017603372376</v>
      </c>
      <c r="I18" s="32">
        <f>+(('Modelo Farelo'!AD18*(1+$C$8))*($C$3+1%)+('Modelo Oleo'!AD18*(1+$C$8))*($C$2-1%))-('Modelo Soja'!AW18/60*1000)-$C$6</f>
        <v>350.98919517077138</v>
      </c>
      <c r="J18" s="32">
        <f ca="1">+(('Modelo Farelo'!AE18*(1+$C$8))*($C$3+1.5%)+('Modelo Oleo'!AE18*(1+$C$8))*($C$2-1.5%))-('Modelo Soja'!AX18/60*1000)-$C$6</f>
        <v>308.33712912245528</v>
      </c>
      <c r="K18" s="32">
        <f ca="1">+(('Modelo Farelo'!AF18*(1+$C$8))*($C$3+1.5%)+('Modelo Oleo'!AF18*(1+$C$8))*($C$2-1.5%))-('Modelo Soja'!AY18/60*1000)-$C$6</f>
        <v>317.58544306912199</v>
      </c>
      <c r="L18" s="43">
        <f>+(('Modelo Farelo'!AG18*(1+$C$8))*$C$3+('Modelo Oleo'!AG18*(1+$C$8))*$C$2)-('Modelo Soja'!BM18/60*1000)-$C$6</f>
        <v>418.55797179372394</v>
      </c>
      <c r="P18" s="17">
        <f t="shared" si="2"/>
        <v>44652</v>
      </c>
      <c r="Q18" s="33">
        <f ca="1">+(('Modelo Farelo'!AA18*(1+$C$8))*$C$3+('Modelo Oleo'!AA18*(1+$C$8))*$C$2)-('Modelo Soja'!AK18/60*1000)-$C$6</f>
        <v>323.78801874511055</v>
      </c>
      <c r="R18" s="22">
        <f ca="1">+(('Modelo Farelo'!AB18*(1+$C$8))*$C$3+('Modelo Oleo'!AB18*(1+$C$8))*$C$2)-('Modelo Soja'!AA18/60*1000)-$C$6</f>
        <v>429.06665718319937</v>
      </c>
    </row>
    <row r="19" spans="5:18" x14ac:dyDescent="0.3">
      <c r="E19" s="17">
        <f>+'Modelo Soja'!BA19</f>
        <v>44682</v>
      </c>
      <c r="F19" s="32">
        <f>+(('Modelo Farelo'!AA19*(1+$C$8))*$C$3+('Modelo Oleo'!AA19*(1+$C$8))*$C$2)-('Modelo Soja'!AT19/60*1000)-$C$6</f>
        <v>331.51199629832763</v>
      </c>
      <c r="G19" s="32">
        <f>+(('Modelo Farelo'!AB19*(1+$C$8))*$C$3+('Modelo Oleo'!AB19*(1+$C$8))*$C$2)-('Modelo Soja'!AU19/60*1000)-$C$6</f>
        <v>330.12203629832857</v>
      </c>
      <c r="H19" s="32">
        <f>+(('Modelo Farelo'!AC19*(1+$C$8))*$C$3+('Modelo Oleo'!AC19*(1+$C$8))*$C$2)-('Modelo Soja'!AV19/60*1000)-$C$6</f>
        <v>328.03709629832838</v>
      </c>
      <c r="I19" s="32">
        <f>+(('Modelo Farelo'!AD19*(1+$C$8))*($C$3+1%)+('Modelo Oleo'!AD19*(1+$C$8))*($C$2-1%))-('Modelo Soja'!AW19/60*1000)-$C$6</f>
        <v>257.62403890567657</v>
      </c>
      <c r="J19" s="32">
        <f ca="1">+(('Modelo Farelo'!AE19*(1+$C$8))*($C$3+1.5%)+('Modelo Oleo'!AE19*(1+$C$8))*($C$2-1.5%))-('Modelo Soja'!AX19/60*1000)-$C$6</f>
        <v>242.08701974874521</v>
      </c>
      <c r="K19" s="32">
        <f ca="1">+(('Modelo Farelo'!AF19*(1+$C$8))*($C$3+1.5%)+('Modelo Oleo'!AF19*(1+$C$8))*($C$2-1.5%))-('Modelo Soja'!AY19/60*1000)-$C$6</f>
        <v>250.58012601783594</v>
      </c>
      <c r="L19" s="43">
        <f>+(('Modelo Farelo'!AG19*(1+$C$8))*$C$3+('Modelo Oleo'!AG19*(1+$C$8))*$C$2)-('Modelo Soja'!BM19/60*1000)-$C$6</f>
        <v>331.40903629832837</v>
      </c>
      <c r="P19" s="17">
        <f t="shared" si="2"/>
        <v>44682</v>
      </c>
      <c r="Q19" s="33">
        <f ca="1">+(('Modelo Farelo'!AA19*(1+$C$8))*$C$3+('Modelo Oleo'!AA19*(1+$C$8))*$C$2)-('Modelo Soja'!AK19/60*1000)-$C$6</f>
        <v>276.85260476393705</v>
      </c>
      <c r="R19" s="22">
        <f ca="1">+(('Modelo Farelo'!AB19*(1+$C$8))*$C$3+('Modelo Oleo'!AB19*(1+$C$8))*$C$2)-('Modelo Soja'!AA19/60*1000)-$C$6</f>
        <v>327.06900599529854</v>
      </c>
    </row>
    <row r="20" spans="5:18" x14ac:dyDescent="0.3">
      <c r="E20" s="17">
        <f>+'Modelo Soja'!BA20</f>
        <v>44713</v>
      </c>
      <c r="F20" s="32">
        <f>+(('Modelo Farelo'!AA20*(1+$C$8))*$C$3+('Modelo Oleo'!AA20*(1+$C$8))*$C$2)-('Modelo Soja'!AT20/60*1000)-$C$6</f>
        <v>160.37886614339732</v>
      </c>
      <c r="G20" s="32">
        <f>+(('Modelo Farelo'!AB20*(1+$C$8))*$C$3+('Modelo Oleo'!AB20*(1+$C$8))*$C$2)-('Modelo Soja'!AU20/60*1000)-$C$6</f>
        <v>158.71863614339827</v>
      </c>
      <c r="H20" s="32">
        <f>+(('Modelo Farelo'!AC20*(1+$C$8))*$C$3+('Modelo Oleo'!AC20*(1+$C$8))*$C$2)-('Modelo Soja'!AV20/60*1000)-$C$6</f>
        <v>156.00306614339797</v>
      </c>
      <c r="I20" s="32">
        <f>+(('Modelo Farelo'!AD20*(1+$C$8))*($C$3+1%)+('Modelo Oleo'!AD20*(1+$C$8))*($C$2-1%))-('Modelo Soja'!AW20/60*1000)-$C$6</f>
        <v>97.502665905884896</v>
      </c>
      <c r="J20" s="32">
        <f ca="1">+(('Modelo Farelo'!AE20*(1+$C$8))*($C$3+1.5%)+('Modelo Oleo'!AE20*(1+$C$8))*($C$2-1.5%))-('Modelo Soja'!AX20/60*1000)-$C$6</f>
        <v>144.39478265189018</v>
      </c>
      <c r="K20" s="32">
        <f ca="1">+(('Modelo Farelo'!AF20*(1+$C$8))*($C$3+1.5%)+('Modelo Oleo'!AF20*(1+$C$8))*($C$2-1.5%))-('Modelo Soja'!AY20/60*1000)-$C$6</f>
        <v>171.47363283601817</v>
      </c>
      <c r="L20" s="43">
        <f>+(('Modelo Farelo'!AG20*(1+$C$8))*$C$3+('Modelo Oleo'!AG20*(1+$C$8))*$C$2)-('Modelo Soja'!BM20/60*1000)-$C$6</f>
        <v>160.27590614339806</v>
      </c>
      <c r="P20" s="17">
        <f t="shared" si="2"/>
        <v>44713</v>
      </c>
      <c r="Q20" s="33">
        <f ca="1">+(('Modelo Farelo'!AA20*(1+$C$8))*$C$3+('Modelo Oleo'!AA20*(1+$C$8))*$C$2)-('Modelo Soja'!AK20/60*1000)-$C$6</f>
        <v>116.59915714868885</v>
      </c>
      <c r="R20" s="22">
        <f ca="1">+(('Modelo Farelo'!AB20*(1+$C$8))*$C$3+('Modelo Oleo'!AB20*(1+$C$8))*$C$2)-('Modelo Soja'!AA20/60*1000)-$C$6</f>
        <v>174.75435042911249</v>
      </c>
    </row>
    <row r="21" spans="5:18" x14ac:dyDescent="0.3">
      <c r="E21" s="17">
        <f>+'Modelo Soja'!BA21</f>
        <v>44743</v>
      </c>
      <c r="F21" s="32">
        <f>+(('Modelo Farelo'!AA21*(1+$C$8))*$C$3+('Modelo Oleo'!AA21*(1+$C$8))*$C$2)-('Modelo Soja'!AT21/60*1000)-$C$6</f>
        <v>290.09596658859027</v>
      </c>
      <c r="G21" s="32">
        <f>+(('Modelo Farelo'!AB21*(1+$C$8))*$C$3+('Modelo Oleo'!AB21*(1+$C$8))*$C$2)-('Modelo Soja'!AU21/60*1000)-$C$6</f>
        <v>288.73689458859008</v>
      </c>
      <c r="H21" s="32">
        <f>+(('Modelo Farelo'!AC21*(1+$C$8))*$C$3+('Modelo Oleo'!AC21*(1+$C$8))*$C$2)-('Modelo Soja'!AV21/60*1000)-$C$6</f>
        <v>286.16032058859037</v>
      </c>
      <c r="I21" s="32">
        <f>+(('Modelo Farelo'!AD21*(1+$C$8))*($C$3+1%)+('Modelo Oleo'!AD21*(1+$C$8))*($C$2-1%))-('Modelo Soja'!AW21/60*1000)-$C$6</f>
        <v>241.58000428332298</v>
      </c>
      <c r="J21" s="32">
        <f ca="1">+(('Modelo Farelo'!AE21*(1+$C$8))*($C$3+1.5%)+('Modelo Oleo'!AE21*(1+$C$8))*($C$2-1.5%))-('Modelo Soja'!AX21/60*1000)-$C$6</f>
        <v>277.81816008307123</v>
      </c>
      <c r="K21" s="32">
        <f ca="1">+(('Modelo Farelo'!AF21*(1+$C$8))*($C$3+1.5%)+('Modelo Oleo'!AF21*(1+$C$8))*($C$2-1.5%))-('Modelo Soja'!AY21/60*1000)-$C$6</f>
        <v>299.8876583687852</v>
      </c>
      <c r="L21" s="43">
        <f>+(('Modelo Farelo'!AG21*(1+$C$8))*$C$3+('Modelo Oleo'!AG21*(1+$C$8))*$C$2)-('Modelo Soja'!BM21/60*1000)-$C$6</f>
        <v>289.99300658859011</v>
      </c>
      <c r="P21" s="17">
        <f t="shared" si="2"/>
        <v>44743</v>
      </c>
      <c r="Q21" s="33">
        <f ca="1">+(('Modelo Farelo'!AA21*(1+$C$8))*$C$3+('Modelo Oleo'!AA21*(1+$C$8))*$C$2)-('Modelo Soja'!AK21/60*1000)-$C$6</f>
        <v>216.9114511442931</v>
      </c>
      <c r="R21" s="22">
        <f ca="1">+(('Modelo Farelo'!AB21*(1+$C$8))*$C$3+('Modelo Oleo'!AB21*(1+$C$8))*$C$2)-('Modelo Soja'!AA21/60*1000)-$C$6</f>
        <v>262.00673585843197</v>
      </c>
    </row>
    <row r="22" spans="5:18" x14ac:dyDescent="0.3">
      <c r="E22" s="17">
        <f>+'Modelo Soja'!BA22</f>
        <v>44774</v>
      </c>
      <c r="F22" s="32">
        <f>+(('Modelo Farelo'!AA22*(1+$C$8))*$C$3+('Modelo Oleo'!AA22*(1+$C$8))*$C$2)-('Modelo Soja'!AT22/60*1000)-$C$6</f>
        <v>330.55675957934136</v>
      </c>
      <c r="G22" s="32">
        <f>+(('Modelo Farelo'!AB22*(1+$C$8))*$C$3+('Modelo Oleo'!AB22*(1+$C$8))*$C$2)-('Modelo Soja'!AU22/60*1000)-$C$6</f>
        <v>329.32252657934123</v>
      </c>
      <c r="H22" s="32">
        <f>+(('Modelo Farelo'!AC22*(1+$C$8))*$C$3+('Modelo Oleo'!AC22*(1+$C$8))*$C$2)-('Modelo Soja'!AV22/60*1000)-$C$6</f>
        <v>327.11732929934078</v>
      </c>
      <c r="I22" s="32">
        <f>+(('Modelo Farelo'!AD22*(1+$C$8))*($C$3+1%)+('Modelo Oleo'!AD22*(1+$C$8))*($C$2-1%))-('Modelo Soja'!AW22/60*1000)-$C$6</f>
        <v>281.99892355189695</v>
      </c>
      <c r="J22" s="32">
        <f ca="1">+(('Modelo Farelo'!AE22*(1+$C$8))*($C$3+1.5%)+('Modelo Oleo'!AE22*(1+$C$8))*($C$2-1.5%))-('Modelo Soja'!AX22/60*1000)-$C$6</f>
        <v>323.32697721092882</v>
      </c>
      <c r="K22" s="32">
        <f ca="1">+(('Modelo Farelo'!AF22*(1+$C$8))*($C$3+1.5%)+('Modelo Oleo'!AF22*(1+$C$8))*($C$2-1.5%))-('Modelo Soja'!AY22/60*1000)-$C$6</f>
        <v>350.96135911585634</v>
      </c>
      <c r="L22" s="43">
        <f>+(('Modelo Farelo'!AG22*(1+$C$8))*$C$3+('Modelo Oleo'!AG22*(1+$C$8))*$C$2)-('Modelo Soja'!BM22/60*1000)-$C$6</f>
        <v>330.45379957934119</v>
      </c>
      <c r="P22" s="17">
        <f t="shared" si="2"/>
        <v>44774</v>
      </c>
      <c r="Q22" s="33">
        <f ca="1">+(('Modelo Farelo'!AA22*(1+$C$8))*$C$3+('Modelo Oleo'!AA22*(1+$C$8))*$C$2)-('Modelo Soja'!AK22/60*1000)-$C$6</f>
        <v>246.40604016992711</v>
      </c>
      <c r="R22" s="22">
        <f ca="1">+(('Modelo Farelo'!AB22*(1+$C$8))*$C$3+('Modelo Oleo'!AB22*(1+$C$8))*$C$2)-('Modelo Soja'!AA22/60*1000)-$C$6</f>
        <v>330.80078744890625</v>
      </c>
    </row>
    <row r="23" spans="5:18" x14ac:dyDescent="0.3">
      <c r="E23" s="17">
        <f>+'Modelo Soja'!BA23</f>
        <v>44805</v>
      </c>
      <c r="F23" s="32">
        <f>+(('Modelo Farelo'!AA23*(1+$C$8))*$C$3+('Modelo Oleo'!AA23*(1+$C$8))*$C$2)-('Modelo Soja'!AT23/60*1000)-$C$6</f>
        <v>42.963830846437759</v>
      </c>
      <c r="G23" s="32">
        <f>+(('Modelo Farelo'!AB23*(1+$C$8))*$C$3+('Modelo Oleo'!AB23*(1+$C$8))*$C$2)-('Modelo Soja'!AU23/60*1000)-$C$6</f>
        <v>41.563574846438314</v>
      </c>
      <c r="H23" s="32">
        <f>+(('Modelo Farelo'!AC23*(1+$C$8))*$C$3+('Modelo Oleo'!AC23*(1+$C$8))*$C$2)-('Modelo Soja'!AV23/60*1000)-$C$6</f>
        <v>39.917450366438516</v>
      </c>
      <c r="I23" s="32">
        <f>+(('Modelo Farelo'!AD23*(1+$C$8))*($C$3+1%)+('Modelo Oleo'!AD23*(1+$C$8))*($C$2-1%))-('Modelo Soja'!AW23/60*1000)-$C$6</f>
        <v>6.2678249396412866E-3</v>
      </c>
      <c r="J23" s="32">
        <f ca="1">+(('Modelo Farelo'!AE23*(1+$C$8))*($C$3+1.5%)+('Modelo Oleo'!AE23*(1+$C$8))*($C$2-1.5%))-('Modelo Soja'!AX23/60*1000)-$C$6</f>
        <v>86.629415118952693</v>
      </c>
      <c r="K23" s="32">
        <f ca="1">+(('Modelo Farelo'!AF23*(1+$C$8))*($C$3+1.5%)+('Modelo Oleo'!AF23*(1+$C$8))*($C$2-1.5%))-('Modelo Soja'!AY23/60*1000)-$C$6</f>
        <v>107.2421220624442</v>
      </c>
      <c r="L23" s="43">
        <f>+(('Modelo Farelo'!AG23*(1+$C$8))*$C$3+('Modelo Oleo'!AG23*(1+$C$8))*$C$2)-('Modelo Soja'!BM23/60*1000)-$C$6</f>
        <v>42.860870846438047</v>
      </c>
      <c r="P23" s="17">
        <f t="shared" si="2"/>
        <v>44805</v>
      </c>
      <c r="Q23" s="33">
        <f ca="1">+(('Modelo Farelo'!AA23*(1+$C$8))*$C$3+('Modelo Oleo'!AA23*(1+$C$8))*$C$2)-('Modelo Soja'!AK23/60*1000)-$C$6</f>
        <v>-4.5918166650922103</v>
      </c>
      <c r="R23" s="22">
        <f ca="1">+(('Modelo Farelo'!AB23*(1+$C$8))*$C$3+('Modelo Oleo'!AB23*(1+$C$8))*$C$2)-('Modelo Soja'!AA23/60*1000)-$C$6</f>
        <v>103.28579706866003</v>
      </c>
    </row>
    <row r="24" spans="5:18" x14ac:dyDescent="0.3">
      <c r="E24" s="17">
        <f>+'Modelo Soja'!BA24</f>
        <v>44835</v>
      </c>
      <c r="F24" s="32">
        <f>+(('Modelo Farelo'!AA24*(1+$C$8))*$C$3+('Modelo Oleo'!AA24*(1+$C$8))*$C$2)-('Modelo Soja'!AT24/60*1000)-$C$6</f>
        <v>54.331212267402861</v>
      </c>
      <c r="G24" s="32">
        <f>+(('Modelo Farelo'!AB24*(1+$C$8))*$C$3+('Modelo Oleo'!AB24*(1+$C$8))*$C$2)-('Modelo Soja'!AU24/60*1000)-$C$6</f>
        <v>53.095692267403592</v>
      </c>
      <c r="H24" s="32">
        <f>+(('Modelo Farelo'!AC24*(1+$C$8))*$C$3+('Modelo Oleo'!AC24*(1+$C$8))*$C$2)-('Modelo Soja'!AV24/60*1000)-$C$6</f>
        <v>51.607096587403703</v>
      </c>
      <c r="I24" s="32">
        <f>+(('Modelo Farelo'!AD24*(1+$C$8))*($C$3+1%)+('Modelo Oleo'!AD24*(1+$C$8))*($C$2-1%))-('Modelo Soja'!AW24/60*1000)-$C$6</f>
        <v>6.6067418686789097</v>
      </c>
      <c r="J24" s="32">
        <f ca="1">+(('Modelo Farelo'!AE24*(1+$C$8))*($C$3+1.5%)+('Modelo Oleo'!AE24*(1+$C$8))*($C$2-1.5%))-('Modelo Soja'!AX24/60*1000)-$C$6</f>
        <v>62.696609122650443</v>
      </c>
      <c r="K24" s="32">
        <f ca="1">+(('Modelo Farelo'!AF24*(1+$C$8))*($C$3+1.5%)+('Modelo Oleo'!AF24*(1+$C$8))*($C$2-1.5%))-('Modelo Soja'!AY24/60*1000)-$C$6</f>
        <v>73.765367122650332</v>
      </c>
      <c r="L24" s="43">
        <f>+(('Modelo Farelo'!AG24*(1+$C$8))*$C$3+('Modelo Oleo'!AG24*(1+$C$8))*$C$2)-('Modelo Soja'!BM24/60*1000)-$C$6</f>
        <v>54.22825226740315</v>
      </c>
      <c r="P24" s="17">
        <f t="shared" si="2"/>
        <v>44835</v>
      </c>
      <c r="Q24" s="33">
        <f ca="1">+(('Modelo Farelo'!AA24*(1+$C$8))*$C$3+('Modelo Oleo'!AA24*(1+$C$8))*$C$2)-('Modelo Soja'!AK24/60*1000)-$C$6</f>
        <v>29.055088085627176</v>
      </c>
      <c r="R24" s="22">
        <f ca="1">+(('Modelo Farelo'!AB24*(1+$C$8))*$C$3+('Modelo Oleo'!AB24*(1+$C$8))*$C$2)-('Modelo Soja'!AA24/60*1000)-$C$6</f>
        <v>92.904025600736531</v>
      </c>
    </row>
    <row r="25" spans="5:18" x14ac:dyDescent="0.3">
      <c r="E25" s="17">
        <f>+'Modelo Soja'!BA25</f>
        <v>44866</v>
      </c>
      <c r="F25" s="32">
        <f>+(('Modelo Farelo'!AA25*(1+$C$8))*$C$3+('Modelo Oleo'!AA25*(1+$C$8))*$C$2)-('Modelo Soja'!AT25/60*1000)-$C$6</f>
        <v>108.86985803613106</v>
      </c>
      <c r="G25" s="32">
        <f>+(('Modelo Farelo'!AB25*(1+$C$8))*$C$3+('Modelo Oleo'!AB25*(1+$C$8))*$C$2)-('Modelo Soja'!AU25/60*1000)-$C$6</f>
        <v>107.89173803613176</v>
      </c>
      <c r="H25" s="32">
        <f>+(('Modelo Farelo'!AC25*(1+$C$8))*$C$3+('Modelo Oleo'!AC25*(1+$C$8))*$C$2)-('Modelo Soja'!AV25/60*1000)-$C$6</f>
        <v>106.1414180361312</v>
      </c>
      <c r="I25" s="32">
        <f>+(('Modelo Farelo'!AD25*(1+$C$8))*($C$3+1%)+('Modelo Oleo'!AD25*(1+$C$8))*($C$2-1%))-('Modelo Soja'!AW25/60*1000)-$C$6</f>
        <v>57.566338298330265</v>
      </c>
      <c r="J25" s="32">
        <f ca="1">+(('Modelo Farelo'!AE25*(1+$C$8))*($C$3+1.5%)+('Modelo Oleo'!AE25*(1+$C$8))*($C$2-1.5%))-('Modelo Soja'!AX25/60*1000)-$C$6</f>
        <v>122.72632042942996</v>
      </c>
      <c r="K25" s="32">
        <f ca="1">+(('Modelo Farelo'!AF25*(1+$C$8))*($C$3+1.5%)+('Modelo Oleo'!AF25*(1+$C$8))*($C$2-1.5%))-('Modelo Soja'!AY25/60*1000)-$C$6</f>
        <v>139.82680309609668</v>
      </c>
      <c r="L25" s="43">
        <f>+(('Modelo Farelo'!AG25*(1+$C$8))*$C$3+('Modelo Oleo'!AG25*(1+$C$8))*$C$2)-('Modelo Soja'!BM25/60*1000)-$C$6</f>
        <v>108.76689803613226</v>
      </c>
      <c r="P25" s="17">
        <f t="shared" si="2"/>
        <v>44866</v>
      </c>
      <c r="Q25" s="33">
        <f ca="1">+(('Modelo Farelo'!AA25*(1+$C$8))*$C$3+('Modelo Oleo'!AA25*(1+$C$8))*$C$2)-('Modelo Soja'!AK25/60*1000)-$C$6</f>
        <v>176.29264231163506</v>
      </c>
      <c r="R25" s="22">
        <f ca="1">+(('Modelo Farelo'!AB25*(1+$C$8))*$C$3+('Modelo Oleo'!AB25*(1+$C$8))*$C$2)-('Modelo Soja'!AA25/60*1000)-$C$6</f>
        <v>210.97287838700913</v>
      </c>
    </row>
    <row r="26" spans="5:18" x14ac:dyDescent="0.3">
      <c r="E26" s="17">
        <f>+'Modelo Soja'!BA26</f>
        <v>44896</v>
      </c>
      <c r="F26" s="32">
        <f>+(('Modelo Farelo'!AA26*(1+$C$8))*$C$3+('Modelo Oleo'!AA26*(1+$C$8))*$C$2)-('Modelo Soja'!AT26/60*1000)-$C$6</f>
        <v>214.36999288788866</v>
      </c>
      <c r="G26" s="32">
        <f>+(('Modelo Farelo'!AB26*(1+$C$8))*$C$3+('Modelo Oleo'!AB26*(1+$C$8))*$C$2)-('Modelo Soja'!AU26/60*1000)-$C$6</f>
        <v>212.63254288788903</v>
      </c>
      <c r="H26" s="32">
        <f>+(('Modelo Farelo'!AC26*(1+$C$8))*$C$3+('Modelo Oleo'!AC26*(1+$C$8))*$C$2)-('Modelo Soja'!AV26/60*1000)-$C$6</f>
        <v>211.01493832788901</v>
      </c>
      <c r="I26" s="32">
        <f>+(('Modelo Farelo'!AD26*(1+$C$8))*($C$3+1%)+('Modelo Oleo'!AD26*(1+$C$8))*($C$2-1%))-('Modelo Soja'!AW26/60*1000)-$C$6</f>
        <v>171.51711222981339</v>
      </c>
      <c r="J26" s="32">
        <f ca="1">+(('Modelo Farelo'!AE26*(1+$C$8))*($C$3+1.5%)+('Modelo Oleo'!AE26*(1+$C$8))*($C$2-1.5%))-('Modelo Soja'!AX26/60*1000)-$C$6</f>
        <v>182.78822456744228</v>
      </c>
      <c r="K26" s="32">
        <f ca="1">+(('Modelo Farelo'!AF26*(1+$C$8))*($C$3+1.5%)+('Modelo Oleo'!AF26*(1+$C$8))*($C$2-1.5%))-('Modelo Soja'!AY26/60*1000)-$C$6</f>
        <v>202.18651713633153</v>
      </c>
      <c r="L26" s="43">
        <f>+(('Modelo Farelo'!AG26*(1+$C$8))*$C$3+('Modelo Oleo'!AG26*(1+$C$8))*$C$2)-('Modelo Soja'!BM26/60*1000)-$C$6</f>
        <v>214.2670328878894</v>
      </c>
      <c r="P26" s="17">
        <f t="shared" si="2"/>
        <v>44896</v>
      </c>
      <c r="Q26" s="33">
        <f ca="1">+(('Modelo Farelo'!AA26*(1+$C$8))*$C$3+('Modelo Oleo'!AA26*(1+$C$8))*$C$2)-('Modelo Soja'!AK26/60*1000)-$C$6</f>
        <v>171.30421803408763</v>
      </c>
      <c r="R26" s="22">
        <f ca="1">+(('Modelo Farelo'!AB26*(1+$C$8))*$C$3+('Modelo Oleo'!AB26*(1+$C$8))*$C$2)-('Modelo Soja'!AA26/60*1000)-$C$6</f>
        <v>246.47976511011075</v>
      </c>
    </row>
    <row r="27" spans="5:18" x14ac:dyDescent="0.3">
      <c r="E27" s="17">
        <f>+'Modelo Soja'!BA27</f>
        <v>44927</v>
      </c>
      <c r="F27" s="32">
        <f>+(('Modelo Farelo'!AA27*(1+$C$8))*$C$3+('Modelo Oleo'!AA27*(1+$C$8))*$C$2)-('Modelo Soja'!AT27/60*1000)-$C$6</f>
        <v>338.01159950073179</v>
      </c>
      <c r="G27" s="32">
        <f>+(('Modelo Farelo'!AB27*(1+$C$8))*$C$3+('Modelo Oleo'!AB27*(1+$C$8))*$C$2)-('Modelo Soja'!AU27/60*1000)-$C$6</f>
        <v>336.87903950073178</v>
      </c>
      <c r="H27" s="32">
        <f>+(('Modelo Farelo'!AC27*(1+$C$8))*$C$3+('Modelo Oleo'!AC27*(1+$C$8))*$C$2)-('Modelo Soja'!AV27/60*1000)-$C$6</f>
        <v>334.85361038073233</v>
      </c>
      <c r="I27" s="32">
        <f>+(('Modelo Farelo'!AD27*(1+$C$8))*($C$3+1%)+('Modelo Oleo'!AD27*(1+$C$8))*($C$2-1%))-('Modelo Soja'!AW27/60*1000)-$C$6</f>
        <v>300.52670700229737</v>
      </c>
      <c r="J27" s="32">
        <f ca="1">+(('Modelo Farelo'!AE27*(1+$C$8))*($C$3+1.5%)+('Modelo Oleo'!AE27*(1+$C$8))*($C$2-1.5%))-('Modelo Soja'!AX27/60*1000)-$C$6</f>
        <v>271.53229923792833</v>
      </c>
      <c r="K27" s="32">
        <f ca="1">+(('Modelo Farelo'!AF27*(1+$C$8))*($C$3+1.5%)+('Modelo Oleo'!AF27*(1+$C$8))*($C$2-1.5%))-('Modelo Soja'!AY27/60*1000)-$C$6</f>
        <v>291.22107847671668</v>
      </c>
      <c r="L27" s="43">
        <f>+(('Modelo Farelo'!AG27*(1+$C$8))*$C$3+('Modelo Oleo'!AG27*(1+$C$8))*$C$2)-('Modelo Soja'!BM27/60*1000)-$C$6</f>
        <v>337.90863950073162</v>
      </c>
      <c r="P27" s="17">
        <f t="shared" si="2"/>
        <v>44927</v>
      </c>
      <c r="Q27" s="33">
        <f ca="1">+(('Modelo Farelo'!AA27*(1+$C$8))*$C$3+('Modelo Oleo'!AA27*(1+$C$8))*$C$2)-('Modelo Soja'!AK27/60*1000)-$C$6</f>
        <v>314.40830270480046</v>
      </c>
      <c r="R27" s="22">
        <f ca="1">+(('Modelo Farelo'!AB27*(1+$C$8))*$C$3+('Modelo Oleo'!AB27*(1+$C$8))*$C$2)-('Modelo Soja'!AA27/60*1000)-$C$6</f>
        <v>346.5601361818276</v>
      </c>
    </row>
    <row r="28" spans="5:18" x14ac:dyDescent="0.3">
      <c r="E28" s="17">
        <f>+'Modelo Soja'!BA28</f>
        <v>44958</v>
      </c>
      <c r="F28" s="32">
        <f>+(('Modelo Farelo'!AA28*(1+$C$8))*$C$3+('Modelo Oleo'!AA28*(1+$C$8))*$C$2)-('Modelo Soja'!AT28/60*1000)-$C$6</f>
        <v>408.7347650541833</v>
      </c>
      <c r="G28" s="32">
        <f>+(('Modelo Farelo'!AB28*(1+$C$8))*$C$3+('Modelo Oleo'!AB28*(1+$C$8))*$C$2)-('Modelo Soja'!AU28/60*1000)-$C$6</f>
        <v>407.43746905418311</v>
      </c>
      <c r="H28" s="32">
        <f>+(('Modelo Farelo'!AC28*(1+$C$8))*$C$3+('Modelo Oleo'!AC28*(1+$C$8))*$C$2)-('Modelo Soja'!AV28/60*1000)-$C$6</f>
        <v>404.99134537418331</v>
      </c>
      <c r="I28" s="32">
        <f>+(('Modelo Farelo'!AD28*(1+$C$8))*($C$3+1%)+('Modelo Oleo'!AD28*(1+$C$8))*($C$2-1%))-('Modelo Soja'!AW28/60*1000)-$C$6</f>
        <v>372.84197540783589</v>
      </c>
      <c r="J28" s="32">
        <f ca="1">+(('Modelo Farelo'!AE28*(1+$C$8))*($C$3+1.5%)+('Modelo Oleo'!AE28*(1+$C$8))*($C$2-1.5%))-('Modelo Soja'!AX28/60*1000)-$C$6</f>
        <v>389.6341744365136</v>
      </c>
      <c r="K28" s="32">
        <f ca="1">+(('Modelo Farelo'!AF28*(1+$C$8))*($C$3+1.5%)+('Modelo Oleo'!AF28*(1+$C$8))*($C$2-1.5%))-('Modelo Soja'!AY28/60*1000)-$C$6</f>
        <v>400.72623495799508</v>
      </c>
      <c r="L28" s="43">
        <f>+(('Modelo Farelo'!AG28*(1+$C$8))*$C$3+('Modelo Oleo'!AG28*(1+$C$8))*$C$2)-('Modelo Soja'!BM28/60*1000)-$C$6</f>
        <v>408.63180505418359</v>
      </c>
      <c r="P28" s="17">
        <f t="shared" si="2"/>
        <v>44958</v>
      </c>
      <c r="Q28" s="33">
        <f ca="1">+(('Modelo Farelo'!AA28*(1+$C$8))*$C$3+('Modelo Oleo'!AA28*(1+$C$8))*$C$2)-('Modelo Soja'!AK28/60*1000)-$C$6</f>
        <v>306.42922438925007</v>
      </c>
      <c r="R28" s="22">
        <f ca="1">+(('Modelo Farelo'!AB28*(1+$C$8))*$C$3+('Modelo Oleo'!AB28*(1+$C$8))*$C$2)-('Modelo Soja'!AA28/60*1000)-$C$6</f>
        <v>301.75500718054536</v>
      </c>
    </row>
    <row r="29" spans="5:18" x14ac:dyDescent="0.3">
      <c r="E29" s="17">
        <f>+'Modelo Soja'!BA29</f>
        <v>44986</v>
      </c>
      <c r="F29" s="32">
        <f>+(('Modelo Farelo'!AA29*(1+$C$8))*$C$3+('Modelo Oleo'!AA29*(1+$C$8))*$C$2)-('Modelo Soja'!AT29/60*1000)-$C$6</f>
        <v>402.69227552065195</v>
      </c>
      <c r="G29" s="32">
        <f>+(('Modelo Farelo'!AB29*(1+$C$8))*$C$3+('Modelo Oleo'!AB29*(1+$C$8))*$C$2)-('Modelo Soja'!AU29/60*1000)-$C$6</f>
        <v>401.50205792065208</v>
      </c>
      <c r="H29" s="32">
        <f>+(('Modelo Farelo'!AC29*(1+$C$8))*$C$3+('Modelo Oleo'!AC29*(1+$C$8))*$C$2)-('Modelo Soja'!AV29/60*1000)-$C$6</f>
        <v>400.01263856065179</v>
      </c>
      <c r="I29" s="32">
        <f>+(('Modelo Farelo'!AD29*(1+$C$8))*($C$3+1%)+('Modelo Oleo'!AD29*(1+$C$8))*($C$2-1%))-('Modelo Soja'!AW29/60*1000)-$C$6</f>
        <v>372.60883244753541</v>
      </c>
      <c r="J29" s="32">
        <f ca="1">+(('Modelo Farelo'!AE29*(1+$C$8))*($C$3+1.5%)+('Modelo Oleo'!AE29*(1+$C$8))*($C$2-1.5%))-('Modelo Soja'!AX29/60*1000)-$C$6</f>
        <v>381.7863771677894</v>
      </c>
      <c r="K29" s="32">
        <f ca="1">+(('Modelo Farelo'!AF29*(1+$C$8))*($C$3+1.5%)+('Modelo Oleo'!AF29*(1+$C$8))*($C$2-1.5%))-('Modelo Soja'!AY29/60*1000)-$C$6</f>
        <v>406.53502460083291</v>
      </c>
      <c r="L29" s="43">
        <f>+(('Modelo Farelo'!AG29*(1+$C$8))*$C$3+('Modelo Oleo'!AG29*(1+$C$8))*$C$2)-('Modelo Soja'!BM29/60*1000)-$C$6</f>
        <v>402.58931552065224</v>
      </c>
      <c r="P29" s="17">
        <f t="shared" si="2"/>
        <v>44986</v>
      </c>
      <c r="Q29" s="33">
        <f ca="1">+(('Modelo Farelo'!AA29*(1+$C$8))*$C$3+('Modelo Oleo'!AA29*(1+$C$8))*$C$2)-('Modelo Soja'!AK29/60*1000)-$C$6</f>
        <v>373.63864879078392</v>
      </c>
      <c r="R29" s="22">
        <f ca="1">+(('Modelo Farelo'!AB29*(1+$C$8))*$C$3+('Modelo Oleo'!AB29*(1+$C$8))*$C$2)-('Modelo Soja'!AA29/60*1000)-$C$6</f>
        <v>327.857130384421</v>
      </c>
    </row>
    <row r="30" spans="5:18" x14ac:dyDescent="0.3">
      <c r="E30" s="17">
        <f>+'Modelo Soja'!BA30</f>
        <v>45017</v>
      </c>
      <c r="F30" s="32">
        <f>+(('Modelo Farelo'!AA30*(1+$C$8))*$C$3+('Modelo Oleo'!AA30*(1+$C$8))*$C$2)-('Modelo Soja'!AT30/60*1000)-$C$6</f>
        <v>359.47860229496564</v>
      </c>
      <c r="G30" s="32">
        <f>+(('Modelo Farelo'!AB30*(1+$C$8))*$C$3+('Modelo Oleo'!AB30*(1+$C$8))*$C$2)-('Modelo Soja'!AU30/60*1000)-$C$6</f>
        <v>358.26110029496567</v>
      </c>
      <c r="H30" s="32">
        <f>+(('Modelo Farelo'!AC30*(1+$C$8))*$C$3+('Modelo Oleo'!AC30*(1+$C$8))*$C$2)-('Modelo Soja'!AV30/60*1000)-$C$6</f>
        <v>356.64761413496535</v>
      </c>
      <c r="I30" s="32">
        <f>+(('Modelo Farelo'!AD30*(1+$C$8))*($C$3+1%)+('Modelo Oleo'!AD30*(1+$C$8))*($C$2-1%))-('Modelo Soja'!AW30/60*1000)-$C$6</f>
        <v>333.43462132584455</v>
      </c>
      <c r="J30" s="32">
        <f ca="1">+(('Modelo Farelo'!AE30*(1+$C$8))*($C$3+1.5%)+('Modelo Oleo'!AE30*(1+$C$8))*($C$2-1.5%))-('Modelo Soja'!AX30/60*1000)-$C$6</f>
        <v>360.98176299683928</v>
      </c>
      <c r="K30" s="32">
        <f ca="1">+(('Modelo Farelo'!AF30*(1+$C$8))*($C$3+1.5%)+('Modelo Oleo'!AF30*(1+$C$8))*($C$2-1.5%))-('Modelo Soja'!AY30/60*1000)-$C$6</f>
        <v>360.0486155894323</v>
      </c>
      <c r="L30" s="43">
        <f>+(('Modelo Farelo'!AG30*(1+$C$8))*$C$3+('Modelo Oleo'!AG30*(1+$C$8))*$C$2)-('Modelo Soja'!BM30/60*1000)-$C$6</f>
        <v>359.37564229496547</v>
      </c>
      <c r="P30" s="17">
        <f t="shared" si="2"/>
        <v>45017</v>
      </c>
      <c r="Q30" s="33">
        <f ca="1">+(('Modelo Farelo'!AA30*(1+$C$8))*$C$3+('Modelo Oleo'!AA30*(1+$C$8))*$C$2)-('Modelo Soja'!AK30/60*1000)-$C$6</f>
        <v>307.7839543535631</v>
      </c>
      <c r="R30" s="22">
        <f ca="1">+(('Modelo Farelo'!AB30*(1+$C$8))*$C$3+('Modelo Oleo'!AB30*(1+$C$8))*$C$2)-('Modelo Soja'!AA30/60*1000)-$C$6</f>
        <v>257.01110029496567</v>
      </c>
    </row>
    <row r="31" spans="5:18" x14ac:dyDescent="0.3">
      <c r="E31" s="17">
        <f>+'Modelo Soja'!BA31</f>
        <v>45047</v>
      </c>
      <c r="F31" s="32">
        <f>+(('Modelo Farelo'!AA31*(1+$C$8))*$C$3+('Modelo Oleo'!AA31*(1+$C$8))*$C$2)-('Modelo Soja'!AT31/60*1000)-$C$6</f>
        <v>266.00204128600308</v>
      </c>
      <c r="G31" s="32">
        <f>+(('Modelo Farelo'!AB31*(1+$C$8))*$C$3+('Modelo Oleo'!AB31*(1+$C$8))*$C$2)-('Modelo Soja'!AU31/60*1000)-$C$6</f>
        <v>264.79483528600235</v>
      </c>
      <c r="H31" s="32">
        <f>+(('Modelo Farelo'!AC31*(1+$C$8))*$C$3+('Modelo Oleo'!AC31*(1+$C$8))*$C$2)-('Modelo Soja'!AV31/60*1000)-$C$6</f>
        <v>263.03164528600246</v>
      </c>
      <c r="I31" s="32">
        <f>+(('Modelo Farelo'!AD31*(1+$C$8))*($C$3+1%)+('Modelo Oleo'!AD31*(1+$C$8))*($C$2-1%))-('Modelo Soja'!AW31/60*1000)-$C$6</f>
        <v>240.49431791563575</v>
      </c>
      <c r="J31" s="32">
        <f ca="1">+(('Modelo Farelo'!AE31*(1+$C$8))*($C$3+1.5%)+('Modelo Oleo'!AE31*(1+$C$8))*($C$2-1.5%))-('Modelo Soja'!AX31/60*1000)-$C$6</f>
        <v>313.15556552439284</v>
      </c>
      <c r="K31" s="32">
        <f ca="1">+(('Modelo Farelo'!AF31*(1+$C$8))*($C$3+1.5%)+('Modelo Oleo'!AF31*(1+$C$8))*($C$2-1.5%))-('Modelo Soja'!AY31/60*1000)-$C$6</f>
        <v>356.35127510863504</v>
      </c>
      <c r="L31" s="43">
        <f>+(('Modelo Farelo'!AG31*(1+$C$8))*$C$3+('Modelo Oleo'!AG31*(1+$C$8))*$C$2)-('Modelo Soja'!BM31/60*1000)-$C$6</f>
        <v>265.89908128600268</v>
      </c>
      <c r="P31" s="17">
        <f t="shared" si="2"/>
        <v>45047</v>
      </c>
      <c r="Q31" s="33">
        <f ca="1">+(('Modelo Farelo'!AA31*(1+$C$8))*$C$3+('Modelo Oleo'!AA31*(1+$C$8))*$C$2)-('Modelo Soja'!AK31/60*1000)-$C$6</f>
        <v>225.2138618728236</v>
      </c>
      <c r="R31" s="22">
        <f ca="1">+(('Modelo Farelo'!AB31*(1+$C$8))*$C$3+('Modelo Oleo'!AB31*(1+$C$8))*$C$2)-('Modelo Soja'!AA31/60*1000)-$C$6</f>
        <v>241.61740306909701</v>
      </c>
    </row>
    <row r="32" spans="5:18" x14ac:dyDescent="0.3">
      <c r="E32" s="17">
        <f>+'Modelo Soja'!BA32</f>
        <v>45078</v>
      </c>
      <c r="F32" s="32">
        <f>+(('Modelo Farelo'!AA32*(1+$C$8))*$C$3+('Modelo Oleo'!AA32*(1+$C$8))*$C$2)-('Modelo Soja'!AT32/60*1000)-$C$6</f>
        <v>218.10441560027812</v>
      </c>
      <c r="G32" s="32">
        <f>+(('Modelo Farelo'!AB32*(1+$C$8))*$C$3+('Modelo Oleo'!AB32*(1+$C$8))*$C$2)-('Modelo Soja'!AU32/60*1000)-$C$6</f>
        <v>216.61149560027798</v>
      </c>
      <c r="H32" s="32">
        <f>+(('Modelo Farelo'!AC32*(1+$C$8))*$C$3+('Modelo Oleo'!AC32*(1+$C$8))*$C$2)-('Modelo Soja'!AV32/60*1000)-$C$6</f>
        <v>214.58019776027822</v>
      </c>
      <c r="I32" s="32">
        <f>+(('Modelo Farelo'!AD32*(1+$C$8))*($C$3+1%)+('Modelo Oleo'!AD32*(1+$C$8))*($C$2-1%))-('Modelo Soja'!AW32/60*1000)-$C$6</f>
        <v>190.14507696624332</v>
      </c>
      <c r="J32" s="32">
        <f ca="1">+(('Modelo Farelo'!AE32*(1+$C$8))*($C$3+1.5%)+('Modelo Oleo'!AE32*(1+$C$8))*($C$2-1.5%))-('Modelo Soja'!AX32/60*1000)-$C$6</f>
        <v>235.38947308732168</v>
      </c>
      <c r="K32" s="32">
        <f ca="1">+(('Modelo Farelo'!AF32*(1+$C$8))*($C$3+1.5%)+('Modelo Oleo'!AF32*(1+$C$8))*($C$2-1.5%))-('Modelo Soja'!AY32/60*1000)-$C$6</f>
        <v>278.35497280414666</v>
      </c>
      <c r="L32" s="43">
        <f>+(('Modelo Farelo'!AG32*(1+$C$8))*$C$3+('Modelo Oleo'!AG32*(1+$C$8))*$C$2)-('Modelo Soja'!BM32/60*1000)-$C$6</f>
        <v>218.00145560027795</v>
      </c>
      <c r="P32" s="17">
        <f t="shared" si="2"/>
        <v>45078</v>
      </c>
      <c r="Q32" s="33">
        <f ca="1">+(('Modelo Farelo'!AA32*(1+$C$8))*$C$3+('Modelo Oleo'!AA32*(1+$C$8))*$C$2)-('Modelo Soja'!AK32/60*1000)-$C$6</f>
        <v>164.7770875579497</v>
      </c>
      <c r="R32" s="22">
        <f ca="1">+(('Modelo Farelo'!AB32*(1+$C$8))*$C$3+('Modelo Oleo'!AB32*(1+$C$8))*$C$2)-('Modelo Soja'!AA32/60*1000)-$C$6</f>
        <v>221.40514639392836</v>
      </c>
    </row>
    <row r="33" spans="5:21" x14ac:dyDescent="0.3">
      <c r="E33" s="17">
        <f>+'Modelo Soja'!BA33</f>
        <v>45108</v>
      </c>
      <c r="F33" s="32">
        <f>+(('Modelo Farelo'!AA33*(1+$C$8))*$C$3+('Modelo Oleo'!AA33*(1+$C$8))*$C$2)-('Modelo Soja'!AT33/60*1000)-$C$6</f>
        <v>191.59001786816202</v>
      </c>
      <c r="G33" s="32">
        <f>+(('Modelo Farelo'!AB33*(1+$C$8))*$C$3+('Modelo Oleo'!AB33*(1+$C$8))*$C$2)-('Modelo Soja'!AU33/60*1000)-$C$6</f>
        <v>190.28716202816122</v>
      </c>
      <c r="H33" s="32">
        <f>+(('Modelo Farelo'!AC33*(1+$C$8))*$C$3+('Modelo Oleo'!AC33*(1+$C$8))*$C$2)-('Modelo Soja'!AV33/60*1000)-$C$6</f>
        <v>187.8141915281617</v>
      </c>
      <c r="I33" s="32">
        <f>+(('Modelo Farelo'!AD33*(1+$C$8))*($C$3+1%)+('Modelo Oleo'!AD33*(1+$C$8))*($C$2-1%))-('Modelo Soja'!AW33/60*1000)-$C$6</f>
        <v>162.82670913088896</v>
      </c>
      <c r="J33" s="32">
        <f ca="1">+(('Modelo Farelo'!AE33*(1+$C$8))*($C$3+1.5%)+('Modelo Oleo'!AE33*(1+$C$8))*($C$2-1.5%))-('Modelo Soja'!AX33/60*1000)-$C$6</f>
        <v>181.78698794241109</v>
      </c>
      <c r="K33" s="32">
        <f ca="1">+(('Modelo Farelo'!AF33*(1+$C$8))*($C$3+1.5%)+('Modelo Oleo'!AF33*(1+$C$8))*($C$2-1.5%))-('Modelo Soja'!AY33/60*1000)-$C$6</f>
        <v>226.18899559574356</v>
      </c>
      <c r="L33" s="43">
        <f>+(('Modelo Farelo'!AG33*(1+$C$8))*$C$3+('Modelo Oleo'!AG33*(1+$C$8))*$C$2)-('Modelo Soja'!BM33/60*1000)-$C$6</f>
        <v>191.4870578681614</v>
      </c>
      <c r="P33" s="17">
        <f t="shared" si="2"/>
        <v>45108</v>
      </c>
      <c r="Q33" s="33">
        <f ca="1">+(('Modelo Farelo'!AA33*(1+$C$8))*$C$3+('Modelo Oleo'!AA33*(1+$C$8))*$C$2)-('Modelo Soja'!AK33/60*1000)-$C$6</f>
        <v>153.30133575719719</v>
      </c>
      <c r="R33" s="22">
        <f ca="1">+(('Modelo Farelo'!AB33*(1+$C$8))*$C$3+('Modelo Oleo'!AB33*(1+$C$8))*$C$2)-('Modelo Soja'!AA33/60*1000)-$C$6</f>
        <v>207.71241335091258</v>
      </c>
    </row>
    <row r="34" spans="5:21" x14ac:dyDescent="0.3">
      <c r="E34" s="17">
        <f>+'Modelo Soja'!BA34</f>
        <v>45139</v>
      </c>
      <c r="F34" s="32">
        <f>+(('Modelo Farelo'!AA34*(1+$C$8))*$C$3+('Modelo Oleo'!AA34*(1+$C$8))*$C$2)-('Modelo Soja'!AT34/60*1000)-$C$6</f>
        <v>160.64975397534522</v>
      </c>
      <c r="G34" s="32">
        <f>+(('Modelo Farelo'!AB34*(1+$C$8))*$C$3+('Modelo Oleo'!AB34*(1+$C$8))*$C$2)-('Modelo Soja'!AU34/60*1000)-$C$6</f>
        <v>159.72954897534464</v>
      </c>
      <c r="H34" s="32">
        <f>+(('Modelo Farelo'!AC34*(1+$C$8))*$C$3+('Modelo Oleo'!AC34*(1+$C$8))*$C$2)-('Modelo Soja'!AV34/60*1000)-$C$6</f>
        <v>157.6315845353447</v>
      </c>
      <c r="I34" s="32">
        <f>+(('Modelo Farelo'!AD34*(1+$C$8))*($C$3+1%)+('Modelo Oleo'!AD34*(1+$C$8))*($C$2-1%))-('Modelo Soja'!AW34/60*1000)-$C$6</f>
        <v>132.64814297802423</v>
      </c>
      <c r="J34" s="32">
        <f ca="1">+(('Modelo Farelo'!AE34*(1+$C$8))*($C$3+1.5%)+('Modelo Oleo'!AE34*(1+$C$8))*($C$2-1.5%))-('Modelo Soja'!AX34/60*1000)-$C$6</f>
        <v>116.66028579994281</v>
      </c>
      <c r="K34" s="32">
        <f ca="1">+(('Modelo Farelo'!AF34*(1+$C$8))*($C$3+1.5%)+('Modelo Oleo'!AF34*(1+$C$8))*($C$2-1.5%))-('Modelo Soja'!AY34/60*1000)-$C$6</f>
        <v>156.94864568515959</v>
      </c>
      <c r="L34" s="43">
        <f>+(('Modelo Farelo'!AG34*(1+$C$8))*$C$3+('Modelo Oleo'!AG34*(1+$C$8))*$C$2)-('Modelo Soja'!BM34/60*1000)-$C$6</f>
        <v>160.54679397534505</v>
      </c>
      <c r="P34" s="17">
        <f t="shared" si="2"/>
        <v>45139</v>
      </c>
      <c r="Q34" s="33">
        <f ca="1">+(('Modelo Farelo'!AA34*(1+$C$8))*$C$3+('Modelo Oleo'!AA34*(1+$C$8))*$C$2)-('Modelo Soja'!AK34/60*1000)-$C$6</f>
        <v>146.90664326158208</v>
      </c>
      <c r="R34" s="22">
        <f ca="1">+(('Modelo Farelo'!AB34*(1+$C$8))*$C$3+('Modelo Oleo'!AB34*(1+$C$8))*$C$2)-('Modelo Soja'!AA34/60*1000)-$C$6</f>
        <v>124.88353448259113</v>
      </c>
    </row>
    <row r="35" spans="5:21" x14ac:dyDescent="0.3">
      <c r="E35" s="17">
        <f>+'Modelo Soja'!BA35</f>
        <v>45170</v>
      </c>
      <c r="F35" s="32">
        <f>+(('Modelo Farelo'!AA35*(1+$C$8))*$C$3+('Modelo Oleo'!AA35*(1+$C$8))*$C$2)-('Modelo Soja'!AT35/60*1000)-$C$6</f>
        <v>37.303360323474863</v>
      </c>
      <c r="G35" s="32">
        <f>+(('Modelo Farelo'!AB35*(1+$C$8))*$C$3+('Modelo Oleo'!AB35*(1+$C$8))*$C$2)-('Modelo Soja'!AU35/60*1000)-$C$6</f>
        <v>36.085343523474876</v>
      </c>
      <c r="H35" s="32">
        <f>+(('Modelo Farelo'!AC35*(1+$C$8))*$C$3+('Modelo Oleo'!AC35*(1+$C$8))*$C$2)-('Modelo Soja'!AV35/60*1000)-$C$6</f>
        <v>33.936568323474603</v>
      </c>
      <c r="I35" s="32">
        <f>+(('Modelo Farelo'!AD35*(1+$C$8))*($C$3+1%)+('Modelo Oleo'!AD35*(1+$C$8))*($C$2-1%))-('Modelo Soja'!AW35/60*1000)-$C$6</f>
        <v>9.7929856722025761</v>
      </c>
      <c r="J35" s="32">
        <f ca="1">+(('Modelo Farelo'!AE35*(1+$C$8))*($C$3+1.5%)+('Modelo Oleo'!AE35*(1+$C$8))*($C$2-1.5%))-('Modelo Soja'!AX35/60*1000)-$C$6</f>
        <v>-2.3226275200995588</v>
      </c>
      <c r="K35" s="32">
        <f ca="1">+(('Modelo Farelo'!AF35*(1+$C$8))*($C$3+1.5%)+('Modelo Oleo'!AF35*(1+$C$8))*($C$2-1.5%))-('Modelo Soja'!AY35/60*1000)-$C$6</f>
        <v>38.824611839899717</v>
      </c>
      <c r="L35" s="43">
        <f>+(('Modelo Farelo'!AG35*(1+$C$8))*$C$3+('Modelo Oleo'!AG35*(1+$C$8))*$C$2)-('Modelo Soja'!BM35/60*1000)-$C$6</f>
        <v>37.200400323474696</v>
      </c>
      <c r="P35" s="17">
        <f t="shared" si="2"/>
        <v>45170</v>
      </c>
      <c r="Q35" s="33">
        <f ca="1">+(('Modelo Farelo'!AA35*(1+$C$8))*$C$3+('Modelo Oleo'!AA35*(1+$C$8))*$C$2)-('Modelo Soja'!AK35/60*1000)-$C$6</f>
        <v>-62.356652267419349</v>
      </c>
      <c r="R35" s="22">
        <f ca="1">+(('Modelo Farelo'!AB35*(1+$C$8))*$C$3+('Modelo Oleo'!AB35*(1+$C$8))*$C$2)-('Modelo Soja'!AA35/60*1000)-$C$6</f>
        <v>-33.822989809858882</v>
      </c>
    </row>
    <row r="36" spans="5:21" x14ac:dyDescent="0.3">
      <c r="E36" s="17">
        <f>+'Modelo Soja'!BA36</f>
        <v>45200</v>
      </c>
      <c r="F36" s="32">
        <f>+(('Modelo Farelo'!AA36*(1+$C$8))*$C$3+('Modelo Oleo'!AA36*(1+$C$8))*$C$2)-('Modelo Soja'!AT36/60*1000)-$C$6</f>
        <v>138.4463961594281</v>
      </c>
      <c r="G36" s="32">
        <f>+(('Modelo Farelo'!AB36*(1+$C$8))*$C$3+('Modelo Oleo'!AB36*(1+$C$8))*$C$2)-('Modelo Soja'!AU36/60*1000)-$C$6</f>
        <v>137.12078615942823</v>
      </c>
      <c r="H36" s="32">
        <f>+(('Modelo Farelo'!AC36*(1+$C$8))*$C$3+('Modelo Oleo'!AC36*(1+$C$8))*$C$2)-('Modelo Soja'!AV36/60*1000)-$C$6</f>
        <v>134.83250015942804</v>
      </c>
      <c r="I36" s="32">
        <f>+(('Modelo Farelo'!AD36*(1+$C$8))*($C$3+1%)+('Modelo Oleo'!AD36*(1+$C$8))*($C$2-1%))-('Modelo Soja'!AW36/60*1000)-$C$6</f>
        <v>110.92931886009364</v>
      </c>
      <c r="J36" s="32">
        <f ca="1">+(('Modelo Farelo'!AE36*(1+$C$8))*($C$3+1.5%)+('Modelo Oleo'!AE36*(1+$C$8))*($C$2-1.5%))-('Modelo Soja'!AX36/60*1000)-$C$6</f>
        <v>128.35546330566558</v>
      </c>
      <c r="K36" s="32">
        <f ca="1">+(('Modelo Farelo'!AF36*(1+$C$8))*($C$3+1.5%)+('Modelo Oleo'!AF36*(1+$C$8))*($C$2-1.5%))-('Modelo Soja'!AY36/60*1000)-$C$6</f>
        <v>144.15486201677641</v>
      </c>
      <c r="L36" s="43">
        <f>+(('Modelo Farelo'!AG36*(1+$C$8))*$C$3+('Modelo Oleo'!AG36*(1+$C$8))*$C$2)-('Modelo Soja'!BM36/60*1000)-$C$6</f>
        <v>138.34343615942817</v>
      </c>
      <c r="P36" s="17">
        <f t="shared" si="2"/>
        <v>45200</v>
      </c>
      <c r="Q36" s="33">
        <f ca="1">+(('Modelo Farelo'!AA36*(1+$C$8))*$C$3+('Modelo Oleo'!AA36*(1+$C$8))*$C$2)-('Modelo Soja'!AK36/60*1000)-$C$6</f>
        <v>1.3341608665407421</v>
      </c>
      <c r="R36" s="22">
        <f ca="1">+(('Modelo Farelo'!AB36*(1+$C$8))*$C$3+('Modelo Oleo'!AB36*(1+$C$8))*$C$2)-('Modelo Soja'!AA36/60*1000)-$C$6</f>
        <v>35.628722667365309</v>
      </c>
    </row>
    <row r="37" spans="5:21" x14ac:dyDescent="0.3">
      <c r="E37" s="17">
        <f>+'Modelo Soja'!BA37</f>
        <v>45231</v>
      </c>
      <c r="F37" s="32">
        <f>+(('Modelo Farelo'!AA37*(1+$C$8))*$C$3+('Modelo Oleo'!AA37*(1+$C$8))*$C$2)-('Modelo Soja'!AT37/60*1000)-$C$6</f>
        <v>359.91895700041528</v>
      </c>
      <c r="G37" s="32">
        <f>+(('Modelo Farelo'!AB37*(1+$C$8))*$C$3+('Modelo Oleo'!AB37*(1+$C$8))*$C$2)-('Modelo Soja'!AU37/60*1000)-$C$6</f>
        <v>358.59764558041547</v>
      </c>
      <c r="H37" s="32">
        <f>+(('Modelo Farelo'!AC37*(1+$C$8))*$C$3+('Modelo Oleo'!AC37*(1+$C$8))*$C$2)-('Modelo Soja'!AV37/60*1000)-$C$6</f>
        <v>356.53543400041508</v>
      </c>
      <c r="I37" s="32">
        <f>+(('Modelo Farelo'!AD37*(1+$C$8))*($C$3+1%)+('Modelo Oleo'!AD37*(1+$C$8))*($C$2-1%))-('Modelo Soja'!AW37/60*1000)-$C$6</f>
        <v>332.04765661422789</v>
      </c>
      <c r="J37" s="32">
        <f ca="1">+(('Modelo Farelo'!AE37*(1+$C$8))*($C$3+1.5%)+('Modelo Oleo'!AE37*(1+$C$8))*($C$2-1.5%))-('Modelo Soja'!AX37/60*1000)-$C$6</f>
        <v>269.53594308780021</v>
      </c>
      <c r="K37" s="32">
        <f ca="1">+(('Modelo Farelo'!AF37*(1+$C$8))*($C$3+1.5%)+('Modelo Oleo'!AF37*(1+$C$8))*($C$2-1.5%))-('Modelo Soja'!AY37/60*1000)-$C$6</f>
        <v>289.73768022113336</v>
      </c>
      <c r="L37" s="43">
        <f>+(('Modelo Farelo'!AG37*(1+$C$8))*$C$3+('Modelo Oleo'!AG37*(1+$C$8))*$C$2)-('Modelo Soja'!BM37/60*1000)-$C$6</f>
        <v>359.81599700041511</v>
      </c>
      <c r="P37" s="17">
        <f t="shared" si="2"/>
        <v>45231</v>
      </c>
      <c r="Q37" s="33">
        <f ca="1">+(('Modelo Farelo'!AA37*(1+$C$8))*$C$3+('Modelo Oleo'!AA37*(1+$C$8))*$C$2)-('Modelo Soja'!AK37/60*1000)-$C$6</f>
        <v>241.90840794258588</v>
      </c>
      <c r="R37" s="22">
        <f ca="1">+(('Modelo Farelo'!AB37*(1+$C$8))*$C$3+('Modelo Oleo'!AB37*(1+$C$8))*$C$2)-('Modelo Soja'!AA37/60*1000)-$C$6</f>
        <v>309.29681224708247</v>
      </c>
    </row>
    <row r="38" spans="5:21" x14ac:dyDescent="0.3">
      <c r="E38" s="17">
        <f>+'Modelo Soja'!BA38</f>
        <v>45261</v>
      </c>
      <c r="F38" s="32">
        <f>+(('Modelo Farelo'!AA38*(1+$C$8))*$C$3+('Modelo Oleo'!AA38*(1+$C$8))*$C$2)-('Modelo Soja'!AT38/60*1000)-$C$6</f>
        <v>59.535417710379079</v>
      </c>
      <c r="G38" s="32">
        <f>+(('Modelo Farelo'!AB38*(1+$C$8))*$C$3+('Modelo Oleo'!AB38*(1+$C$8))*$C$2)-('Modelo Soja'!AU38/60*1000)-$C$6</f>
        <v>58.304016110379507</v>
      </c>
      <c r="H38" s="32">
        <f>+(('Modelo Farelo'!AC38*(1+$C$8))*$C$3+('Modelo Oleo'!AC38*(1+$C$8))*$C$2)-('Modelo Soja'!AV38/60*1000)-$C$6</f>
        <v>56.234520110379435</v>
      </c>
      <c r="I38" s="32">
        <f>+(('Modelo Farelo'!AD38*(1+$C$8))*($C$3+1%)+('Modelo Oleo'!AD38*(1+$C$8))*($C$2-1%))-('Modelo Soja'!AW38/60*1000)-$C$6</f>
        <v>34.506900997481807</v>
      </c>
      <c r="J38" s="32">
        <f ca="1">+(('Modelo Farelo'!AE38*(1+$C$8))*($C$3+1.5%)+('Modelo Oleo'!AE38*(1+$C$8))*($C$2-1.5%))-('Modelo Soja'!AX38/60*1000)-$C$6</f>
        <v>50.521436002436076</v>
      </c>
      <c r="K38" s="32">
        <f ca="1">+(('Modelo Farelo'!AF38*(1+$C$8))*($C$3+1.5%)+('Modelo Oleo'!AF38*(1+$C$8))*($C$2-1.5%))-('Modelo Soja'!AY38/60*1000)-$C$6</f>
        <v>64.934868283138258</v>
      </c>
      <c r="L38" s="43">
        <f>+(('Modelo Farelo'!AG38*(1+$C$8))*$C$3+('Modelo Oleo'!AG38*(1+$C$8))*$C$2)-('Modelo Soja'!BM38/60*1000)-$C$6</f>
        <v>59.432457710378912</v>
      </c>
      <c r="P38" s="17">
        <f t="shared" si="2"/>
        <v>45261</v>
      </c>
      <c r="Q38" s="33">
        <f ca="1">+(('Modelo Farelo'!AA38*(1+$C$8))*$C$3+('Modelo Oleo'!AA38*(1+$C$8))*$C$2)-('Modelo Soja'!AK38/60*1000)-$C$6</f>
        <v>-5.0543337516096472</v>
      </c>
      <c r="R38" s="22">
        <f ca="1">+(('Modelo Farelo'!AB38*(1+$C$8))*$C$3+('Modelo Oleo'!AB38*(1+$C$8))*$C$2)-('Modelo Soja'!AA38/60*1000)-$C$6</f>
        <v>-5.2749312580422156</v>
      </c>
      <c r="U38" t="s">
        <v>361</v>
      </c>
    </row>
    <row r="39" spans="5:21" x14ac:dyDescent="0.3">
      <c r="E39" s="17">
        <f>+'Modelo Soja'!BA39</f>
        <v>45292</v>
      </c>
      <c r="F39" s="32">
        <f>+(('Modelo Farelo'!AA39*(1+$C$8))*$C$3+('Modelo Oleo'!AA39*(1+$C$8))*$C$2)-('Modelo Soja'!AT39/60*1000)-$C$6</f>
        <v>121.67906026742776</v>
      </c>
      <c r="G39" s="32">
        <f>+(('Modelo Farelo'!AB39*(1+$C$8))*$C$3+('Modelo Oleo'!AB39*(1+$C$8))*$C$2)-('Modelo Soja'!AU39/60*1000)-$C$6</f>
        <v>120.35345026742766</v>
      </c>
      <c r="H39" s="32">
        <f>+(('Modelo Farelo'!AC39*(1+$C$8))*$C$3+('Modelo Oleo'!AC39*(1+$C$8))*$C$2)-('Modelo Soja'!AV39/60*1000)-$C$6</f>
        <v>118.87545946742785</v>
      </c>
      <c r="I39" s="32">
        <f>+(('Modelo Farelo'!AD39*(1+$C$8))*($C$3+1%)+('Modelo Oleo'!AD39*(1+$C$8))*($C$2-1%))-('Modelo Soja'!AW39/60*1000)-$C$6</f>
        <v>97.061518947587729</v>
      </c>
      <c r="J39" s="32">
        <f ca="1">+(('Modelo Farelo'!AE39*(1+$C$8))*($C$3+1.5%)+('Modelo Oleo'!AE39*(1+$C$8))*($C$2-1.5%))-('Modelo Soja'!AX39/60*1000)-$C$6</f>
        <v>107.10099768160762</v>
      </c>
      <c r="K39" s="32">
        <f ca="1">+(('Modelo Farelo'!AF39*(1+$C$8))*($C$3+1.5%)+('Modelo Oleo'!AF39*(1+$C$8))*($C$2-1.5%))-('Modelo Soja'!AY39/60*1000)-$C$6</f>
        <v>114.14716245494128</v>
      </c>
      <c r="L39" s="43">
        <f>+(('Modelo Farelo'!AG39*(1+$C$8))*$C$3+('Modelo Oleo'!AG39*(1+$C$8))*$C$2)-('Modelo Soja'!BM39/60*1000)-$C$6</f>
        <v>121.57610026742759</v>
      </c>
      <c r="P39" s="17">
        <f t="shared" si="2"/>
        <v>45292</v>
      </c>
      <c r="Q39" s="33">
        <f ca="1">+(('Modelo Farelo'!AA39*(1+$C$8))*$C$3+('Modelo Oleo'!AA39*(1+$C$8))*$C$2)-('Modelo Soja'!AK39/60*1000)-$C$6</f>
        <v>-61.74602585029379</v>
      </c>
      <c r="R39" s="22">
        <f ca="1">+(('Modelo Farelo'!AB39*(1+$C$8))*$C$3+('Modelo Oleo'!AB39*(1+$C$8))*$C$2)-('Modelo Soja'!AA39/60*1000)-$C$6</f>
        <v>66.585412749390571</v>
      </c>
      <c r="U39" s="22">
        <f>+'[1]Margem esmagamento stonex'!L3</f>
        <v>284.70270833333274</v>
      </c>
    </row>
    <row r="40" spans="5:21" x14ac:dyDescent="0.3">
      <c r="E40" s="17">
        <f>+'Modelo Soja'!BA40</f>
        <v>45323</v>
      </c>
      <c r="F40" s="32">
        <f>+(('Modelo Farelo'!AA40*(1+$C$8))*$C$3+('Modelo Oleo'!AA40*(1+$C$8))*$C$2)-('Modelo Soja'!AT40/60*1000)-$C$6</f>
        <v>203.4497312984422</v>
      </c>
      <c r="G40" s="32">
        <f>+(('Modelo Farelo'!AB40*(1+$C$8))*$C$3+('Modelo Oleo'!AB40*(1+$C$8))*$C$2)-('Modelo Soja'!AU40/60*1000)-$C$6</f>
        <v>202.1820362984422</v>
      </c>
      <c r="H40" s="32">
        <f>+(('Modelo Farelo'!AC40*(1+$C$8))*$C$3+('Modelo Oleo'!AC40*(1+$C$8))*$C$2)-('Modelo Soja'!AV40/60*1000)-$C$6</f>
        <v>200.45735333844209</v>
      </c>
      <c r="I40" s="32">
        <f>+(('Modelo Farelo'!AD40*(1+$C$8))*($C$3+1%)+('Modelo Oleo'!AD40*(1+$C$8))*($C$2-1%))-('Modelo Soja'!AW40/60*1000)-$C$6</f>
        <v>178.08159183857788</v>
      </c>
      <c r="J40" s="32">
        <f ca="1">+(('Modelo Farelo'!AE40*(1+$C$8))*($C$3+1.5%)+('Modelo Oleo'!AE40*(1+$C$8))*($C$2-1.5%))-('Modelo Soja'!AX40/60*1000)-$C$6</f>
        <v>199.53640413917128</v>
      </c>
      <c r="K40" s="32">
        <f ca="1">+(('Modelo Farelo'!AF40*(1+$C$8))*($C$3+1.5%)+('Modelo Oleo'!AF40*(1+$C$8))*($C$2-1.5%))-('Modelo Soja'!AY40/60*1000)-$C$6</f>
        <v>205.86096554268056</v>
      </c>
      <c r="L40" s="43">
        <f>+(('Modelo Farelo'!AG40*(1+$C$8))*$C$3+('Modelo Oleo'!AG40*(1+$C$8))*$C$2)-('Modelo Soja'!BM40/60*1000)-$C$6</f>
        <v>203.34677129844204</v>
      </c>
      <c r="P40" s="17">
        <f t="shared" si="2"/>
        <v>45323</v>
      </c>
      <c r="Q40" s="33">
        <f ca="1">+(('Modelo Farelo'!AA40*(1+$C$8))*$C$3+('Modelo Oleo'!AA40*(1+$C$8))*$C$2)-('Modelo Soja'!AK40/60*1000)-$C$6</f>
        <v>118.08790408380082</v>
      </c>
      <c r="R40" s="22">
        <f ca="1">+(('Modelo Farelo'!AB40*(1+$C$8))*$C$3+('Modelo Oleo'!AB40*(1+$C$8))*$C$2)-('Modelo Soja'!AA40/60*1000)-$C$6</f>
        <v>161.17326436861731</v>
      </c>
      <c r="U40" s="22">
        <f>+'[1]Margem esmagamento stonex'!L4</f>
        <v>285.9854999999996</v>
      </c>
    </row>
    <row r="41" spans="5:21" x14ac:dyDescent="0.3">
      <c r="E41" s="17">
        <f>+'Modelo Soja'!BA41</f>
        <v>45352</v>
      </c>
      <c r="F41" s="32">
        <f>+(('Modelo Farelo'!AA41*(1+$C$8))*$C$3+('Modelo Oleo'!AA41*(1+$C$8))*$C$2)-('Modelo Soja'!AT41/60*1000)-$C$6</f>
        <v>196.95185400071796</v>
      </c>
      <c r="G41" s="32">
        <f>+(('Modelo Farelo'!AB41*(1+$C$8))*$C$3+('Modelo Oleo'!AB41*(1+$C$8))*$C$2)-('Modelo Soja'!AU41/60*1000)-$C$6</f>
        <v>195.91195800071819</v>
      </c>
      <c r="H41" s="32">
        <f>+(('Modelo Farelo'!AC41*(1+$C$8))*$C$3+('Modelo Oleo'!AC41*(1+$C$8))*$C$2)-('Modelo Soja'!AV41/60*1000)-$C$6</f>
        <v>194.32184376071791</v>
      </c>
      <c r="I41" s="32">
        <f>+(('Modelo Farelo'!AD41*(1+$C$8))*($C$3+1%)+('Modelo Oleo'!AD41*(1+$C$8))*($C$2-1%))-('Modelo Soja'!AW41/60*1000)-$C$6</f>
        <v>167.13838839861546</v>
      </c>
      <c r="J41" s="32">
        <f ca="1">+(('Modelo Farelo'!AE41*(1+$C$8))*($C$3+1.5%)+('Modelo Oleo'!AE41*(1+$C$8))*($C$2-1.5%))-('Modelo Soja'!AX41/60*1000)-$C$6</f>
        <v>259.54180231756391</v>
      </c>
      <c r="K41" s="32">
        <f ca="1">+(('Modelo Farelo'!AF41*(1+$C$8))*($C$3+1.5%)+('Modelo Oleo'!AF41*(1+$C$8))*($C$2-1.5%))-('Modelo Soja'!AY41/60*1000)-$C$6</f>
        <v>272.94328218423038</v>
      </c>
      <c r="L41" s="43">
        <f>+(('Modelo Farelo'!AG41*(1+$C$8))*$C$3+('Modelo Oleo'!AG41*(1+$C$8))*$C$2)-('Modelo Soja'!BM41/60*1000)-$C$6</f>
        <v>196.84889400071779</v>
      </c>
      <c r="P41" s="17">
        <f t="shared" si="2"/>
        <v>45352</v>
      </c>
      <c r="Q41" s="33">
        <f ca="1">+(('Modelo Farelo'!AA41*(1+$C$8))*$C$3+('Modelo Oleo'!AA41*(1+$C$8))*$C$2)-('Modelo Soja'!AK41/60*1000)-$C$6</f>
        <v>112.7046282370336</v>
      </c>
      <c r="R41" s="22">
        <f ca="1">+(('Modelo Farelo'!AB41*(1+$C$8))*$C$3+('Modelo Oleo'!AB41*(1+$C$8))*$C$2)-('Modelo Soja'!AA41/60*1000)-$C$6</f>
        <v>140.39529133405108</v>
      </c>
      <c r="U41" s="22">
        <f>+'[1]Margem esmagamento stonex'!L5</f>
        <v>158.97833333333327</v>
      </c>
    </row>
    <row r="42" spans="5:21" x14ac:dyDescent="0.3">
      <c r="E42" s="17">
        <f>+'Modelo Soja'!BA42</f>
        <v>45383</v>
      </c>
      <c r="F42" s="32">
        <f>+(('Modelo Farelo'!AA42*(1+$C$8))*$C$3+('Modelo Oleo'!AA42*(1+$C$8))*$C$2)-('Modelo Soja'!AT42/60*1000)-$C$6</f>
        <v>182.78787813021404</v>
      </c>
      <c r="G42" s="32">
        <f>+(('Modelo Farelo'!AB42*(1+$C$8))*$C$3+('Modelo Oleo'!AB42*(1+$C$8))*$C$2)-('Modelo Soja'!AU42/60*1000)-$C$6</f>
        <v>181.78401813021446</v>
      </c>
      <c r="H42" s="32">
        <f>+(('Modelo Farelo'!AC42*(1+$C$8))*$C$3+('Modelo Oleo'!AC42*(1+$C$8))*$C$2)-('Modelo Soja'!AV42/60*1000)-$C$6</f>
        <v>179.89212813021436</v>
      </c>
      <c r="I42" s="32">
        <f>+(('Modelo Farelo'!AD42*(1+$C$8))*($C$3+1%)+('Modelo Oleo'!AD42*(1+$C$8))*($C$2-1%))-('Modelo Soja'!AW42/60*1000)-$C$6</f>
        <v>152.60775012281465</v>
      </c>
      <c r="J42" s="32">
        <f ca="1">+(('Modelo Farelo'!AE42*(1+$C$8))*($C$3+1.5%)+('Modelo Oleo'!AE42*(1+$C$8))*($C$2-1.5%))-('Modelo Soja'!AX42/60*1000)-$C$6</f>
        <v>231.8422861894187</v>
      </c>
      <c r="K42" s="32">
        <f ca="1">+(('Modelo Farelo'!AF42*(1+$C$8))*($C$3+1.5%)+('Modelo Oleo'!AF42*(1+$C$8))*($C$2-1.5%))-('Modelo Soja'!AY42/60*1000)-$C$6</f>
        <v>225.60436398578213</v>
      </c>
      <c r="L42" s="43">
        <f>+(('Modelo Farelo'!AG42*(1+$C$8))*$C$3+('Modelo Oleo'!AG42*(1+$C$8))*$C$2)-('Modelo Soja'!BM42/60*1000)-$C$6</f>
        <v>182.68491813021456</v>
      </c>
      <c r="P42" s="17">
        <f t="shared" si="2"/>
        <v>45383</v>
      </c>
      <c r="Q42" s="33">
        <f ca="1">+(('Modelo Farelo'!AA42*(1+$C$8))*$C$3+('Modelo Oleo'!AA42*(1+$C$8))*$C$2)-('Modelo Soja'!AK42/60*1000)-$C$6</f>
        <v>78.684981030563449</v>
      </c>
      <c r="R42" s="22">
        <f ca="1">+(('Modelo Farelo'!AB42*(1+$C$8))*$C$3+('Modelo Oleo'!AB42*(1+$C$8))*$C$2)-('Modelo Soja'!AA42/60*1000)-$C$6</f>
        <v>108.08704843324517</v>
      </c>
      <c r="U42" s="22">
        <f>+'[1]Margem esmagamento stonex'!L6</f>
        <v>148.00916666666623</v>
      </c>
    </row>
    <row r="43" spans="5:21" x14ac:dyDescent="0.3">
      <c r="E43" s="17">
        <f>+'Modelo Soja'!BA43</f>
        <v>45413</v>
      </c>
      <c r="F43" s="32">
        <f>+(('Modelo Farelo'!AA43*(1+$C$8))*$C$3+('Modelo Oleo'!AA43*(1+$C$8))*$C$2)-('Modelo Soja'!AT43/60*1000)-$C$6</f>
        <v>175.06384824806696</v>
      </c>
      <c r="G43" s="32">
        <f>+(('Modelo Farelo'!AB43*(1+$C$8))*$C$3+('Modelo Oleo'!AB43*(1+$C$8))*$C$2)-('Modelo Soja'!AU43/60*1000)-$C$6</f>
        <v>174.03296124806639</v>
      </c>
      <c r="H43" s="32">
        <f>+(('Modelo Farelo'!AC43*(1+$C$8))*$C$3+('Modelo Oleo'!AC43*(1+$C$8))*$C$2)-('Modelo Soja'!AV43/60*1000)-$C$6</f>
        <v>172.00089120806661</v>
      </c>
      <c r="I43" s="32">
        <f>+(('Modelo Farelo'!AD43*(1+$C$8))*($C$3+1%)+('Modelo Oleo'!AD43*(1+$C$8))*($C$2-1%))-('Modelo Soja'!AW43/60*1000)-$C$6</f>
        <v>146.2196071257913</v>
      </c>
      <c r="J43" s="32">
        <f ca="1">+(('Modelo Farelo'!AE43*(1+$C$8))*($C$3+1.5%)+('Modelo Oleo'!AE43*(1+$C$8))*($C$2-1.5%))-('Modelo Soja'!AX43/60*1000)-$C$6</f>
        <v>269.40544723639982</v>
      </c>
      <c r="K43" s="32">
        <f ca="1">+(('Modelo Farelo'!AF43*(1+$C$8))*($C$3+1.5%)+('Modelo Oleo'!AF43*(1+$C$8))*($C$2-1.5%))-('Modelo Soja'!AY43/60*1000)-$C$6</f>
        <v>278.70330216655816</v>
      </c>
      <c r="L43" s="43">
        <f>+(('Modelo Farelo'!AG43*(1+$C$8))*$C$3+('Modelo Oleo'!AG43*(1+$C$8))*$C$2)-('Modelo Soja'!BM43/60*1000)-$C$6</f>
        <v>174.96088824806657</v>
      </c>
      <c r="P43" s="17">
        <f t="shared" si="2"/>
        <v>45413</v>
      </c>
      <c r="Q43" s="33">
        <f ca="1">+(('Modelo Farelo'!AA43*(1+$C$8))*$C$3+('Modelo Oleo'!AA43*(1+$C$8))*$C$2)-('Modelo Soja'!AK43/60*1000)-$C$6</f>
        <v>88.684579368797586</v>
      </c>
      <c r="R43" s="22">
        <f ca="1">+(('Modelo Farelo'!AB43*(1+$C$8))*$C$3+('Modelo Oleo'!AB43*(1+$C$8))*$C$2)-('Modelo Soja'!AA43/60*1000)-$C$6</f>
        <v>87.453596168702006</v>
      </c>
      <c r="U43" s="22">
        <f>+'[1]Margem esmagamento stonex'!L7</f>
        <v>252.65416666666616</v>
      </c>
    </row>
    <row r="44" spans="5:21" x14ac:dyDescent="0.3">
      <c r="E44" s="17">
        <f>+'Modelo Soja'!BA44</f>
        <v>45444</v>
      </c>
      <c r="F44" s="32">
        <f>+(('Modelo Farelo'!AA44*(1+$C$8))*$C$3+('Modelo Oleo'!AA44*(1+$C$8))*$C$2)-('Modelo Soja'!AT44/60*1000)-$C$6</f>
        <v>279.7515649906195</v>
      </c>
      <c r="G44" s="32">
        <f>+(('Modelo Farelo'!AB44*(1+$C$8))*$C$3+('Modelo Oleo'!AB44*(1+$C$8))*$C$2)-('Modelo Soja'!AU44/60*1000)-$C$6</f>
        <v>278.75208079061963</v>
      </c>
      <c r="H44" s="32">
        <f>+(('Modelo Farelo'!AC44*(1+$C$8))*$C$3+('Modelo Oleo'!AC44*(1+$C$8))*$C$2)-('Modelo Soja'!AV44/60*1000)-$C$6</f>
        <v>276.70595671061983</v>
      </c>
      <c r="I44" s="32">
        <f>+(('Modelo Farelo'!AD44*(1+$C$8))*($C$3+1%)+('Modelo Oleo'!AD44*(1+$C$8))*($C$2-1%))-('Modelo Soja'!AW44/60*1000)-$C$6</f>
        <v>246.3319411382231</v>
      </c>
      <c r="J44" s="32">
        <f ca="1">+(('Modelo Farelo'!AE44*(1+$C$8))*($C$3+1.5%)+('Modelo Oleo'!AE44*(1+$C$8))*($C$2-1.5%))-('Modelo Soja'!AX44/60*1000)-$C$6</f>
        <v>357.32131688535856</v>
      </c>
      <c r="K44" s="32">
        <f ca="1">+(('Modelo Farelo'!AF44*(1+$C$8))*($C$3+1.5%)+('Modelo Oleo'!AF44*(1+$C$8))*($C$2-1.5%))-('Modelo Soja'!AY44/60*1000)-$C$6</f>
        <v>361.16432845869213</v>
      </c>
      <c r="L44" s="43">
        <f>+(('Modelo Farelo'!AG44*(1+$C$8))*$C$3+('Modelo Oleo'!AG44*(1+$C$8))*$C$2)-('Modelo Soja'!BM44/60*1000)-$C$6</f>
        <v>279.64860499061933</v>
      </c>
      <c r="P44" s="17">
        <f t="shared" si="2"/>
        <v>45444</v>
      </c>
      <c r="Q44" s="33">
        <f ca="1">+(('Modelo Farelo'!AA44*(1+$C$8))*$C$3+('Modelo Oleo'!AA44*(1+$C$8))*$C$2)-('Modelo Soja'!AK44/60*1000)-$C$6</f>
        <v>141.55558615464111</v>
      </c>
      <c r="R44" s="22">
        <f ca="1">+(('Modelo Farelo'!AB44*(1+$C$8))*$C$3+('Modelo Oleo'!AB44*(1+$C$8))*$C$2)-('Modelo Soja'!AA44/60*1000)-$C$6</f>
        <v>123.79374745728683</v>
      </c>
      <c r="U44" s="22">
        <f>+'[1]Margem esmagamento stonex'!L8</f>
        <v>257.44208333333302</v>
      </c>
    </row>
    <row r="45" spans="5:21" x14ac:dyDescent="0.3">
      <c r="E45" s="17">
        <f>+'Modelo Soja'!BA45</f>
        <v>45474</v>
      </c>
      <c r="F45" s="32">
        <f>+(('Modelo Farelo'!AA45*(1+$C$8))*$C$3+('Modelo Oleo'!AA45*(1+$C$8))*$C$2)-('Modelo Soja'!AT45/60*1000)-$C$6</f>
        <v>354.9913552495816</v>
      </c>
      <c r="G45" s="32">
        <f>+(('Modelo Farelo'!AB45*(1+$C$8))*$C$3+('Modelo Oleo'!AB45*(1+$C$8))*$C$2)-('Modelo Soja'!AU45/60*1000)-$C$6</f>
        <v>353.89740524958165</v>
      </c>
      <c r="H45" s="32">
        <f>+(('Modelo Farelo'!AC45*(1+$C$8))*$C$3+('Modelo Oleo'!AC45*(1+$C$8))*$C$2)-('Modelo Soja'!AV45/60*1000)-$C$6</f>
        <v>352.10332724958198</v>
      </c>
      <c r="I45" s="32">
        <f>+(('Modelo Farelo'!AD45*(1+$C$8))*($C$3+1%)+('Modelo Oleo'!AD45*(1+$C$8))*($C$2-1%))-('Modelo Soja'!AW45/60*1000)-$C$6</f>
        <v>319.85890955072091</v>
      </c>
      <c r="J45" s="32">
        <f ca="1">+(('Modelo Farelo'!AE45*(1+$C$8))*($C$3+1.5%)+('Modelo Oleo'!AE45*(1+$C$8))*($C$2-1.5%))-('Modelo Soja'!AX45/60*1000)-$C$6</f>
        <v>431.37727931114614</v>
      </c>
      <c r="K45" s="32">
        <f ca="1">+(('Modelo Farelo'!AF45*(1+$C$8))*($C$3+1.5%)+('Modelo Oleo'!AF45*(1+$C$8))*($C$2-1.5%))-('Modelo Soja'!AY45/60*1000)-$C$6</f>
        <v>410.9926181505657</v>
      </c>
      <c r="L45" s="43">
        <f>+(('Modelo Farelo'!AG45*(1+$C$8))*$C$3+('Modelo Oleo'!AG45*(1+$C$8))*$C$2)-('Modelo Soja'!BM45/60*1000)-$C$6</f>
        <v>354.88839524958144</v>
      </c>
      <c r="P45" s="17">
        <f t="shared" si="2"/>
        <v>45474</v>
      </c>
      <c r="Q45" s="33">
        <f ca="1">+(('Modelo Farelo'!AA45*(1+$C$8))*$C$3+('Modelo Oleo'!AA45*(1+$C$8))*$C$2)-('Modelo Soja'!AK45/60*1000)-$C$6</f>
        <v>206.51940019175686</v>
      </c>
      <c r="R45" s="22">
        <f ca="1">+(('Modelo Farelo'!AB45*(1+$C$8))*$C$3+('Modelo Oleo'!AB45*(1+$C$8))*$C$2)-('Modelo Soja'!AA45/60*1000)-$C$6</f>
        <v>194.6618980032049</v>
      </c>
      <c r="U45" s="22">
        <f>+'[1]Margem esmagamento stonex'!L9</f>
        <v>369.95270833333302</v>
      </c>
    </row>
    <row r="46" spans="5:21" x14ac:dyDescent="0.3">
      <c r="E46" s="17">
        <f>+'Modelo Soja'!BA46</f>
        <v>45505</v>
      </c>
      <c r="F46" s="32">
        <f>+(('Modelo Farelo'!AA46*(1+$C$8))*$C$3+('Modelo Oleo'!AA46*(1+$C$8))*$C$2)-('Modelo Soja'!AT46/60*1000)-$C$6</f>
        <v>241.20119031979675</v>
      </c>
      <c r="G46" s="32">
        <f>+(('Modelo Farelo'!AB46*(1+$C$8))*$C$3+('Modelo Oleo'!AB46*(1+$C$8))*$C$2)-('Modelo Soja'!AU46/60*1000)-$C$6</f>
        <v>240.1407023197969</v>
      </c>
      <c r="H46" s="32">
        <f>+(('Modelo Farelo'!AC46*(1+$C$8))*$C$3+('Modelo Oleo'!AC46*(1+$C$8))*$C$2)-('Modelo Soja'!AV46/60*1000)-$C$6</f>
        <v>238.68639231979705</v>
      </c>
      <c r="I46" s="32">
        <f>+(('Modelo Farelo'!AD46*(1+$C$8))*($C$3+1%)+('Modelo Oleo'!AD46*(1+$C$8))*($C$2-1%))-('Modelo Soja'!AW46/60*1000)-$C$6</f>
        <v>206.04144104512079</v>
      </c>
      <c r="J46" s="32">
        <f ca="1">+(('Modelo Farelo'!AE46*(1+$C$8))*($C$3+1.5%)+('Modelo Oleo'!AE46*(1+$C$8))*($C$2-1.5%))-('Modelo Soja'!AX46/60*1000)-$C$6</f>
        <v>306.55189149020657</v>
      </c>
      <c r="K46" s="32">
        <f ca="1">+(('Modelo Farelo'!AF46*(1+$C$8))*($C$3+1.5%)+('Modelo Oleo'!AF46*(1+$C$8))*($C$2-1.5%))-('Modelo Soja'!AY46/60*1000)-$C$6</f>
        <v>307.02532649626824</v>
      </c>
      <c r="L46" s="43">
        <f>+(('Modelo Farelo'!AG46*(1+$C$8))*$C$3+('Modelo Oleo'!AG46*(1+$C$8))*$C$2)-('Modelo Soja'!BM46/60*1000)-$C$6</f>
        <v>241.09823031979681</v>
      </c>
      <c r="P46" s="17">
        <f t="shared" si="2"/>
        <v>45505</v>
      </c>
      <c r="Q46" s="33">
        <f ca="1">+(('Modelo Farelo'!AA46*(1+$C$8))*$C$3+('Modelo Oleo'!AA46*(1+$C$8))*$C$2)-('Modelo Soja'!AK46/60*1000)-$C$6</f>
        <v>95.365523611303843</v>
      </c>
      <c r="R46" s="22">
        <f ca="1">+(('Modelo Farelo'!AB46*(1+$C$8))*$C$3+('Modelo Oleo'!AB46*(1+$C$8))*$C$2)-('Modelo Soja'!AA46/60*1000)-$C$6</f>
        <v>93.951308380403589</v>
      </c>
      <c r="U46" s="22">
        <f>+'[1]Margem esmagamento stonex'!L10</f>
        <v>247.767333333333</v>
      </c>
    </row>
    <row r="47" spans="5:21" x14ac:dyDescent="0.3">
      <c r="E47" s="17">
        <f>+'Modelo Soja'!BA47</f>
        <v>45536</v>
      </c>
      <c r="F47" s="32">
        <f>+(('Modelo Farelo'!AA47*(1+$C$8))*$C$3+('Modelo Oleo'!AA47*(1+$C$8))*$C$2)-('Modelo Soja'!AT47/60*1000)-$C$6</f>
        <v>162.41288430614895</v>
      </c>
      <c r="G47" s="32">
        <f>+(('Modelo Farelo'!AB47*(1+$C$8))*$C$3+('Modelo Oleo'!AB47*(1+$C$8))*$C$2)-('Modelo Soja'!AU47/60*1000)-$C$6</f>
        <v>161.21597430614884</v>
      </c>
      <c r="H47" s="32">
        <f>+(('Modelo Farelo'!AC47*(1+$C$8))*$C$3+('Modelo Oleo'!AC47*(1+$C$8))*$C$2)-('Modelo Soja'!AV47/60*1000)-$C$6</f>
        <v>159.69010710614839</v>
      </c>
      <c r="I47" s="32">
        <f>+(('Modelo Farelo'!AD47*(1+$C$8))*($C$3+1%)+('Modelo Oleo'!AD47*(1+$C$8))*($C$2-1%))-('Modelo Soja'!AW47/60*1000)-$C$6</f>
        <v>125.1418591550273</v>
      </c>
      <c r="J47" s="32">
        <f ca="1">+(('Modelo Farelo'!AE47*(1+$C$8))*($C$3+1.5%)+('Modelo Oleo'!AE47*(1+$C$8))*($C$2-1.5%))-('Modelo Soja'!AX47/60*1000)-$C$6</f>
        <v>259.78942517819678</v>
      </c>
      <c r="K47" s="32">
        <f ca="1">+(('Modelo Farelo'!AF47*(1+$C$8))*($C$3+1.5%)+('Modelo Oleo'!AF47*(1+$C$8))*($C$2-1.5%))-('Modelo Soja'!AY47/60*1000)-$C$6</f>
        <v>262.46787231978442</v>
      </c>
      <c r="L47" s="43">
        <f>+(('Modelo Farelo'!AG47*(1+$C$8))*$C$3+('Modelo Oleo'!AG47*(1+$C$8))*$C$2)-('Modelo Soja'!BM47/60*1000)-$C$6</f>
        <v>162.30992430614856</v>
      </c>
      <c r="P47" s="17">
        <f t="shared" si="2"/>
        <v>45536</v>
      </c>
      <c r="Q47" s="33">
        <f ca="1">+(('Modelo Farelo'!AA47*(1+$C$8))*$C$3+('Modelo Oleo'!AA47*(1+$C$8))*$C$2)-('Modelo Soja'!AK47/60*1000)-$C$6</f>
        <v>-24.130858443476427</v>
      </c>
      <c r="R47" s="22">
        <f ca="1">+(('Modelo Farelo'!AB47*(1+$C$8))*$C$3+('Modelo Oleo'!AB47*(1+$C$8))*$C$2)-('Modelo Soja'!AA47/60*1000)-$C$6</f>
        <v>54.922323512497769</v>
      </c>
      <c r="U47" s="22">
        <f>+'[1]Margem esmagamento stonex'!L11</f>
        <v>124.12499999999987</v>
      </c>
    </row>
    <row r="48" spans="5:21" x14ac:dyDescent="0.3">
      <c r="E48" s="17">
        <f>+'Modelo Soja'!BA48</f>
        <v>45566</v>
      </c>
      <c r="F48" s="32">
        <f>+(('Modelo Farelo'!AA48*(1+$C$8))*$C$3+('Modelo Oleo'!AA48*(1+$C$8))*$C$2)-('Modelo Soja'!AT48/60*1000)-$C$6</f>
        <v>267.16409144946442</v>
      </c>
      <c r="G48" s="32">
        <f>+(('Modelo Farelo'!AB48*(1+$C$8))*$C$3+('Modelo Oleo'!AB48*(1+$C$8))*$C$2)-('Modelo Soja'!AU48/60*1000)-$C$6</f>
        <v>266.07014144946424</v>
      </c>
      <c r="H48" s="32">
        <f>+(('Modelo Farelo'!AC48*(1+$C$8))*$C$3+('Modelo Oleo'!AC48*(1+$C$8))*$C$2)-('Modelo Soja'!AV48/60*1000)-$C$6</f>
        <v>264.5213141694644</v>
      </c>
      <c r="I48" s="32">
        <f>+(('Modelo Farelo'!AD48*(1+$C$8))*($C$3+1%)+('Modelo Oleo'!AD48*(1+$C$8))*($C$2-1%))-('Modelo Soja'!AW48/60*1000)-$C$6</f>
        <v>223.44686492181245</v>
      </c>
      <c r="J48" s="32">
        <f ca="1">+(('Modelo Farelo'!AE48*(1+$C$8))*($C$3+1.5%)+('Modelo Oleo'!AE48*(1+$C$8))*($C$2-1.5%))-('Modelo Soja'!AX48/60*1000)-$C$6</f>
        <v>365.14332128813248</v>
      </c>
      <c r="K48" s="32">
        <f ca="1">+(('Modelo Farelo'!AF48*(1+$C$8))*($C$3+1.5%)+('Modelo Oleo'!AF48*(1+$C$8))*($C$2-1.5%))-('Modelo Soja'!AY48/60*1000)-$C$6</f>
        <v>369.14522378088577</v>
      </c>
      <c r="L48" s="43">
        <f>+(('Modelo Farelo'!AG48*(1+$C$8))*$C$3+('Modelo Oleo'!AG48*(1+$C$8))*$C$2)-('Modelo Soja'!BM48/60*1000)-$C$6</f>
        <v>267.06113144946426</v>
      </c>
      <c r="P48" s="17">
        <f t="shared" si="2"/>
        <v>45566</v>
      </c>
      <c r="Q48" s="33">
        <f ca="1">+(('Modelo Farelo'!AA48*(1+$C$8))*$C$3+('Modelo Oleo'!AA48*(1+$C$8))*$C$2)-('Modelo Soja'!AK48/60*1000)-$C$6</f>
        <v>-26.351525485934417</v>
      </c>
      <c r="R48" s="22">
        <f ca="1">+(('Modelo Farelo'!AB48*(1+$C$8))*$C$3+('Modelo Oleo'!AB48*(1+$C$8))*$C$2)-('Modelo Soja'!AA48/60*1000)-$C$6</f>
        <v>6.3310110146817351</v>
      </c>
      <c r="U48" s="22">
        <f>+'[1]Margem esmagamento stonex'!L12</f>
        <v>-18.799999999999841</v>
      </c>
    </row>
    <row r="49" spans="5:21" x14ac:dyDescent="0.3">
      <c r="E49" s="17">
        <f>+'Modelo Soja'!BA49</f>
        <v>45597</v>
      </c>
      <c r="F49" s="32">
        <f>+(('Modelo Farelo'!AA49*(1+$C$8))*$C$3+('Modelo Oleo'!AA49*(1+$C$8))*$C$2)-('Modelo Soja'!AT49/60*1000)-$C$6</f>
        <v>252.38520499775041</v>
      </c>
      <c r="G49" s="32">
        <f>+(('Modelo Farelo'!AB49*(1+$C$8))*$C$3+('Modelo Oleo'!AB49*(1+$C$8))*$C$2)-('Modelo Soja'!AU49/60*1000)-$C$6</f>
        <v>251.12868115775063</v>
      </c>
      <c r="H49" s="32">
        <f>+(('Modelo Farelo'!AC49*(1+$C$8))*$C$3+('Modelo Oleo'!AC49*(1+$C$8))*$C$2)-('Modelo Soja'!AV49/60*1000)-$C$6</f>
        <v>249.9852073977504</v>
      </c>
      <c r="I49" s="32">
        <f>+(('Modelo Farelo'!AD49*(1+$C$8))*($C$3+1%)+('Modelo Oleo'!AD49*(1+$C$8))*($C$2-1%))-('Modelo Soja'!AW49/60*1000)-$C$6</f>
        <v>203.44093573371947</v>
      </c>
      <c r="J49" s="32">
        <f ca="1">+(('Modelo Farelo'!AE49*(1+$C$8))*($C$3+1.5%)+('Modelo Oleo'!AE49*(1+$C$8))*($C$2-1.5%))-('Modelo Soja'!AX49/60*1000)-$C$6</f>
        <v>338.91826771573869</v>
      </c>
      <c r="K49" s="32">
        <f ca="1">+(('Modelo Farelo'!AF49*(1+$C$8))*($C$3+1.5%)+('Modelo Oleo'!AF49*(1+$C$8))*($C$2-1.5%))-('Modelo Soja'!AY49/60*1000)-$C$6</f>
        <v>340.86506034731838</v>
      </c>
      <c r="L49" s="43">
        <f>+(('Modelo Farelo'!AG49*(1+$C$8))*$C$3+('Modelo Oleo'!AG49*(1+$C$8))*$C$2)-('Modelo Soja'!BM49/60*1000)-$C$6</f>
        <v>252.28224499775047</v>
      </c>
      <c r="P49" s="17">
        <f t="shared" si="2"/>
        <v>45597</v>
      </c>
      <c r="Q49" s="33">
        <f ca="1">+(('Modelo Farelo'!AA49*(1+$C$8))*$C$3+('Modelo Oleo'!AA49*(1+$C$8))*$C$2)-('Modelo Soja'!AK49/60*1000)-$C$6</f>
        <v>-34.011221253061194</v>
      </c>
      <c r="R49" s="22">
        <f ca="1">+(('Modelo Farelo'!AB49*(1+$C$8))*$C$3+('Modelo Oleo'!AB49*(1+$C$8))*$C$2)-('Modelo Soja'!AA49/60*1000)-$C$6</f>
        <v>49.487628526170738</v>
      </c>
      <c r="U49" s="22">
        <f>+'[1]Margem esmagamento stonex'!L13</f>
        <v>29.250000000000099</v>
      </c>
    </row>
    <row r="50" spans="5:21" x14ac:dyDescent="0.3">
      <c r="E50" s="17">
        <f>+'Modelo Soja'!BA50</f>
        <v>45627</v>
      </c>
      <c r="F50" s="32">
        <f>+(('Modelo Farelo'!AA50*(1+$C$8))*$C$3+('Modelo Oleo'!AA50*(1+$C$8))*$C$2)-('Modelo Soja'!AT50/60*1000)-$C$6</f>
        <v>302.00402217932833</v>
      </c>
      <c r="G50" s="32">
        <f>+(('Modelo Farelo'!AB50*(1+$C$8))*$C$3+('Modelo Oleo'!AB50*(1+$C$8))*$C$2)-('Modelo Soja'!AU50/60*1000)-$C$6</f>
        <v>300.93478257932748</v>
      </c>
      <c r="H50" s="32">
        <f>+(('Modelo Farelo'!AC50*(1+$C$8))*$C$3+('Modelo Oleo'!AC50*(1+$C$8))*$C$2)-('Modelo Soja'!AV50/60*1000)-$C$6</f>
        <v>299.93735757932745</v>
      </c>
      <c r="I50" s="32">
        <f>+(('Modelo Farelo'!AD50*(1+$C$8))*($C$3+1%)+('Modelo Oleo'!AD50*(1+$C$8))*($C$2-1%))-('Modelo Soja'!AW50/60*1000)-$C$6</f>
        <v>256.95324027092829</v>
      </c>
      <c r="J50" s="32">
        <f ca="1">+(('Modelo Farelo'!AE50*(1+$C$8))*($C$3+1.5%)+('Modelo Oleo'!AE50*(1+$C$8))*($C$2-1.5%))-('Modelo Soja'!AX50/60*1000)-$C$6</f>
        <v>351.99666182374631</v>
      </c>
      <c r="K50" s="32">
        <f ca="1">+(('Modelo Farelo'!AF50*(1+$C$8))*($C$3+1.5%)+('Modelo Oleo'!AF50*(1+$C$8))*($C$2-1.5%))-('Modelo Soja'!AY50/60*1000)-$C$6</f>
        <v>367.93525831497482</v>
      </c>
      <c r="L50" s="43">
        <f>+(('Modelo Farelo'!AG50*(1+$C$8))*$C$3+('Modelo Oleo'!AG50*(1+$C$8))*$C$2)-('Modelo Soja'!BM50/60*1000)-$C$6</f>
        <v>301.90106217932748</v>
      </c>
      <c r="P50" s="17">
        <f t="shared" si="2"/>
        <v>45627</v>
      </c>
      <c r="Q50" s="33">
        <f ca="1">+(('Modelo Farelo'!AA50*(1+$C$8))*$C$3+('Modelo Oleo'!AA50*(1+$C$8))*$C$2)-('Modelo Soja'!AK50/60*1000)-$C$6</f>
        <v>133.30067422611228</v>
      </c>
      <c r="R50" s="22">
        <f ca="1">+(('Modelo Farelo'!AB50*(1+$C$8))*$C$3+('Modelo Oleo'!AB50*(1+$C$8))*$C$2)-('Modelo Soja'!AA50/60*1000)-$C$6</f>
        <v>254.53609836880059</v>
      </c>
      <c r="U50" s="22">
        <f>+'[1]Margem esmagamento stonex'!L14</f>
        <v>21.616666666666649</v>
      </c>
    </row>
    <row r="51" spans="5:21" x14ac:dyDescent="0.3">
      <c r="E51" s="17">
        <f>+'Modelo Soja'!BA51</f>
        <v>45658</v>
      </c>
      <c r="F51" s="32">
        <f>+(('Modelo Farelo'!AA51*(1+$C$8))*$C$3+('Modelo Oleo'!AA51*(1+$C$8))*$C$2)-('Modelo Soja'!AT51/60*1000)-$C$6</f>
        <v>435.30021663745447</v>
      </c>
      <c r="G51" s="32">
        <f>+(('Modelo Farelo'!AB51*(1+$C$8))*$C$3+('Modelo Oleo'!AB51*(1+$C$8))*$C$2)-('Modelo Soja'!AU51/60*1000)-$C$6</f>
        <v>434.40789663745454</v>
      </c>
      <c r="H51" s="32">
        <f>+(('Modelo Farelo'!AC51*(1+$C$8))*$C$3+('Modelo Oleo'!AC51*(1+$C$8))*$C$2)-('Modelo Soja'!AV51/60*1000)-$C$6</f>
        <v>433.26847263745412</v>
      </c>
      <c r="I51" s="32">
        <f>+(('Modelo Farelo'!AD51*(1+$C$8))*($C$3+1%)+('Modelo Oleo'!AD51*(1+$C$8))*($C$2-1%))-('Modelo Soja'!AW51/60*1000)-$C$6</f>
        <v>391.25697505923108</v>
      </c>
      <c r="J51" s="32">
        <f ca="1">+(('Modelo Farelo'!AE51*(1+$C$8))*($C$3+1.5%)+('Modelo Oleo'!AE51*(1+$C$8))*($C$2-1.5%))-('Modelo Soja'!AX51/60*1000)-$C$6</f>
        <v>377.74305340345336</v>
      </c>
      <c r="K51" s="32">
        <f ca="1">+(('Modelo Farelo'!AF51*(1+$C$8))*($C$3+1.5%)+('Modelo Oleo'!AF51*(1+$C$8))*($C$2-1.5%))-('Modelo Soja'!AY51/60*1000)-$C$6</f>
        <v>394.96527059860455</v>
      </c>
      <c r="L51" s="43">
        <f>+(('Modelo Farelo'!AG51*(1+$C$8))*$C$3+('Modelo Oleo'!AG51*(1+$C$8))*$C$2)-('Modelo Soja'!BM51/60*1000)-$C$6</f>
        <v>435.1972566374543</v>
      </c>
      <c r="P51" s="17">
        <f t="shared" si="2"/>
        <v>45658</v>
      </c>
      <c r="Q51" s="33">
        <f ca="1">+(('Modelo Farelo'!AA51*(1+$C$8))*$C$3+('Modelo Oleo'!AA51*(1+$C$8))*$C$2)-('Modelo Soja'!AK51/60*1000)-$C$6</f>
        <v>411.92816082276318</v>
      </c>
      <c r="R51" s="22">
        <f ca="1">+(('Modelo Farelo'!AB51*(1+$C$8))*$C$3+('Modelo Oleo'!AB51*(1+$C$8))*$C$2)-('Modelo Soja'!AA51/60*1000)-$C$6</f>
        <v>441.02153300109103</v>
      </c>
      <c r="U51" s="22">
        <f>+'[1]Margem esmagamento stonex'!L15</f>
        <v>410.5999999999998</v>
      </c>
    </row>
    <row r="52" spans="5:21" x14ac:dyDescent="0.3">
      <c r="E52" s="17">
        <f>+'Modelo Soja'!BA52</f>
        <v>45689</v>
      </c>
      <c r="F52" s="32">
        <f>+(('Modelo Farelo'!AA52*(1+$C$8))*$C$3+('Modelo Oleo'!AA52*(1+$C$8))*$C$2)-('Modelo Soja'!AT52/60*1000)-$C$6</f>
        <v>397.10126782110319</v>
      </c>
      <c r="G52" s="32">
        <f>+(('Modelo Farelo'!AB52*(1+$C$8))*$C$3+('Modelo Oleo'!AB52*(1+$C$8))*$C$2)-('Modelo Soja'!AU52/60*1000)-$C$6</f>
        <v>396.08453782110337</v>
      </c>
      <c r="H52" s="32">
        <f>+(('Modelo Farelo'!AC52*(1+$C$8))*$C$3+('Modelo Oleo'!AC52*(1+$C$8))*$C$2)-('Modelo Soja'!AV52/60*1000)-$C$6</f>
        <v>393.76793782110326</v>
      </c>
      <c r="I52" s="32">
        <f>+(('Modelo Farelo'!AD52*(1+$C$8))*($C$3+1%)+('Modelo Oleo'!AD52*(1+$C$8))*($C$2-1%))-('Modelo Soja'!AW52/60*1000)-$C$6</f>
        <v>351.09649389803394</v>
      </c>
      <c r="J52" s="32">
        <f ca="1">+(('Modelo Farelo'!AE52*(1+$C$8))*($C$3+1.5%)+('Modelo Oleo'!AE52*(1+$C$8))*($C$2-1.5%))-('Modelo Soja'!AX52/60*1000)-$C$6</f>
        <v>332.54822360316598</v>
      </c>
      <c r="K52" s="32">
        <f ca="1">+(('Modelo Farelo'!AF52*(1+$C$8))*($C$3+1.5%)+('Modelo Oleo'!AF52*(1+$C$8))*($C$2-1.5%))-('Modelo Soja'!AY52/60*1000)-$C$6</f>
        <v>339.27628026983371</v>
      </c>
      <c r="L52" s="43">
        <f>+(('Modelo Farelo'!AG52*(1+$C$8))*$C$3+('Modelo Oleo'!AG52*(1+$C$8))*$C$2)-('Modelo Soja'!BM52/60*1000)-$C$6</f>
        <v>396.99830782110325</v>
      </c>
      <c r="P52" s="17">
        <f t="shared" si="2"/>
        <v>45689</v>
      </c>
      <c r="Q52" s="33">
        <f ca="1">+(('Modelo Farelo'!AA52*(1+$C$8))*$C$3+('Modelo Oleo'!AA52*(1+$C$8))*$C$2)-('Modelo Soja'!AK52/60*1000)-$C$6</f>
        <v>314.5762827117253</v>
      </c>
      <c r="R52" s="22">
        <f ca="1">+(('Modelo Farelo'!AB52*(1+$C$8))*$C$3+('Modelo Oleo'!AB52*(1+$C$8))*$C$2)-('Modelo Soja'!AA52/60*1000)-$C$6</f>
        <v>328.7762044877702</v>
      </c>
      <c r="U52" s="22">
        <f>+'[1]Margem esmagamento stonex'!L16</f>
        <v>405.33333333333303</v>
      </c>
    </row>
    <row r="53" spans="5:21" x14ac:dyDescent="0.3">
      <c r="E53" s="17">
        <f>+'Modelo Soja'!BA53</f>
        <v>45717</v>
      </c>
      <c r="F53" s="32">
        <f>+(('Modelo Farelo'!AA53*(1+$C$8))*$C$3+('Modelo Oleo'!AA53*(1+$C$8))*$C$2)-('Modelo Soja'!AT53/60*1000)-$C$6</f>
        <v>273.07692274067153</v>
      </c>
      <c r="G53" s="32">
        <f>+(('Modelo Farelo'!AB53*(1+$C$8))*$C$3+('Modelo Oleo'!AB53*(1+$C$8))*$C$2)-('Modelo Soja'!AU53/60*1000)-$C$6</f>
        <v>272.47821034067192</v>
      </c>
      <c r="H53" s="32">
        <f>+(('Modelo Farelo'!AC53*(1+$C$8))*$C$3+('Modelo Oleo'!AC53*(1+$C$8))*$C$2)-('Modelo Soja'!AV53/60*1000)-$C$6</f>
        <v>270.40794214067137</v>
      </c>
      <c r="I53" s="32">
        <f>+(('Modelo Farelo'!AD53*(1+$C$8))*($C$3+1%)+('Modelo Oleo'!AD53*(1+$C$8))*($C$2-1%))-('Modelo Soja'!AW53/60*1000)-$C$6</f>
        <v>231.23365782155315</v>
      </c>
      <c r="J53" s="32">
        <f ca="1">+(('Modelo Farelo'!AE53*(1+$C$8))*($C$3+1.5%)+('Modelo Oleo'!AE53*(1+$C$8))*($C$2-1.5%))-('Modelo Soja'!AX53/60*1000)-$C$6</f>
        <v>273.30455237427418</v>
      </c>
      <c r="K53" s="32">
        <f ca="1">+(('Modelo Farelo'!AF53*(1+$C$8))*($C$3+1.5%)+('Modelo Oleo'!AF53*(1+$C$8))*($C$2-1.5%))-('Modelo Soja'!AY53/60*1000)-$C$6</f>
        <v>262.7629958830471</v>
      </c>
      <c r="L53" s="43">
        <f>+(('Modelo Farelo'!AG53*(1+$C$8))*$C$3+('Modelo Oleo'!AG53*(1+$C$8))*$C$2)-('Modelo Soja'!BM53/60*1000)-$C$6</f>
        <v>272.97396274067137</v>
      </c>
      <c r="P53" s="17">
        <f t="shared" si="2"/>
        <v>45717</v>
      </c>
      <c r="Q53" s="33">
        <f ca="1">+(('Modelo Farelo'!AA53*(1+$C$8))*$C$3+('Modelo Oleo'!AA53*(1+$C$8))*$C$2)-('Modelo Soja'!AK53/60*1000)-$C$6</f>
        <v>237.05601276646075</v>
      </c>
      <c r="R53" s="22">
        <f ca="1">+(('Modelo Farelo'!AB53*(1+$C$8))*$C$3+('Modelo Oleo'!AB53*(1+$C$8))*$C$2)-('Modelo Soja'!AA53/60*1000)-$C$6</f>
        <v>216.57172885919067</v>
      </c>
      <c r="U53" s="22">
        <f>+'[1]Margem esmagamento stonex'!L17</f>
        <v>226.49999999999977</v>
      </c>
    </row>
    <row r="54" spans="5:21" x14ac:dyDescent="0.3">
      <c r="E54" s="17">
        <f>+'Modelo Soja'!BA54</f>
        <v>45748</v>
      </c>
      <c r="F54" s="32">
        <f>+(('Modelo Farelo'!AA54*(1+$C$8))*$C$3+('Modelo Oleo'!AA54*(1+$C$8))*$C$2)-('Modelo Soja'!AT54/60*1000)-$C$6</f>
        <v>279.99265370487797</v>
      </c>
      <c r="G54" s="32">
        <f>+(('Modelo Farelo'!AB54*(1+$C$8))*$C$3+('Modelo Oleo'!AB54*(1+$C$8))*$C$2)-('Modelo Soja'!AU54/60*1000)-$C$6</f>
        <v>278.95018370487765</v>
      </c>
      <c r="H54" s="32">
        <f>+(('Modelo Farelo'!AC54*(1+$C$8))*$C$3+('Modelo Oleo'!AC54*(1+$C$8))*$C$2)-('Modelo Soja'!AV54/60*1000)-$C$6</f>
        <v>277.17525626487759</v>
      </c>
      <c r="I54" s="32">
        <f>+(('Modelo Farelo'!AD54*(1+$C$8))*($C$3+1%)+('Modelo Oleo'!AD54*(1+$C$8))*($C$2-1%))-('Modelo Soja'!AW54/60*1000)-$C$6</f>
        <v>235.7060713395731</v>
      </c>
      <c r="J54" s="32">
        <f ca="1">+(('Modelo Farelo'!AE54*(1+$C$8))*($C$3+1.5%)+('Modelo Oleo'!AE54*(1+$C$8))*($C$2-1.5%))-('Modelo Soja'!AX54/60*1000)-$C$6</f>
        <v>269.02643997025416</v>
      </c>
      <c r="K54" s="32">
        <f ca="1">+(('Modelo Farelo'!AF54*(1+$C$8))*($C$3+1.5%)+('Modelo Oleo'!AF54*(1+$C$8))*($C$2-1.5%))-('Modelo Soja'!AY54/60*1000)-$C$6</f>
        <v>293.46369863692007</v>
      </c>
      <c r="L54" s="43">
        <f>+(('Modelo Farelo'!AG54*(1+$C$8))*$C$3+('Modelo Oleo'!AG54*(1+$C$8))*$C$2)-('Modelo Soja'!BM54/60*1000)-$C$6</f>
        <v>279.8896937048778</v>
      </c>
      <c r="P54" s="17">
        <f t="shared" si="2"/>
        <v>45748</v>
      </c>
      <c r="Q54" s="33">
        <f ca="1">+(('Modelo Farelo'!AA54*(1+$C$8))*$C$3+('Modelo Oleo'!AA54*(1+$C$8))*$C$2)-('Modelo Soja'!AK54/60*1000)-$C$6</f>
        <v>246.98596872643884</v>
      </c>
      <c r="R54" s="22">
        <f ca="1">+(('Modelo Farelo'!AB54*(1+$C$8))*$C$3+('Modelo Oleo'!AB54*(1+$C$8))*$C$2)-('Modelo Soja'!AA54/60*1000)-$C$6</f>
        <v>261.34185037154452</v>
      </c>
      <c r="U54" s="22">
        <f>+'[1]Margem esmagamento stonex'!L18</f>
        <v>176.74999999999974</v>
      </c>
    </row>
    <row r="55" spans="5:21" x14ac:dyDescent="0.3">
      <c r="E55" s="17">
        <f>+'Modelo Soja'!BA55</f>
        <v>45778</v>
      </c>
      <c r="F55" s="32">
        <f>+(('Modelo Farelo'!AA55*(1+$C$8))*$C$3+('Modelo Oleo'!AA55*(1+$C$8))*$C$2)-('Modelo Soja'!AT55/60*1000)-$C$6</f>
        <v>247.57537961894536</v>
      </c>
      <c r="G55" s="32">
        <f>+(('Modelo Farelo'!AB55*(1+$C$8))*$C$3+('Modelo Oleo'!AB55*(1+$C$8))*$C$2)-('Modelo Soja'!AU55/60*1000)-$C$6</f>
        <v>246.48400361894505</v>
      </c>
      <c r="H55" s="32">
        <f>+(('Modelo Farelo'!AC55*(1+$C$8))*$C$3+('Modelo Oleo'!AC55*(1+$C$8))*$C$2)-('Modelo Soja'!AV55/60*1000)-$C$6</f>
        <v>244.41450761894566</v>
      </c>
      <c r="I55" s="32">
        <f>+(('Modelo Farelo'!AD55*(1+$C$8))*($C$3+1%)+('Modelo Oleo'!AD55*(1+$C$8))*($C$2-1%))-('Modelo Soja'!AW55/60*1000)-$C$6</f>
        <v>204.55130355360689</v>
      </c>
      <c r="J55" s="32">
        <f ca="1">+(('Modelo Farelo'!AE55*(1+$C$8))*($C$3+1.5%)+('Modelo Oleo'!AE55*(1+$C$8))*($C$2-1.5%))-('Modelo Soja'!AX55/60*1000)-$C$6</f>
        <v>258.41506842569993</v>
      </c>
      <c r="K55" s="32">
        <f ca="1">+(('Modelo Farelo'!AF55*(1+$C$8))*($C$3+1.5%)+('Modelo Oleo'!AF55*(1+$C$8))*($C$2-1.5%))-('Modelo Soja'!AY55/60*1000)-$C$6</f>
        <v>272.64801566379447</v>
      </c>
      <c r="L55" s="43">
        <f>+(('Modelo Farelo'!AG55*(1+$C$8))*$C$3+('Modelo Oleo'!AG55*(1+$C$8))*$C$2)-('Modelo Soja'!BM55/60*1000)-$C$6</f>
        <v>247.47241961894451</v>
      </c>
      <c r="P55" s="17">
        <f t="shared" si="2"/>
        <v>45778</v>
      </c>
      <c r="Q55" s="33">
        <f ca="1">+(('Modelo Farelo'!AA55*(1+$C$8))*$C$3+('Modelo Oleo'!AA55*(1+$C$8))*$C$2)-('Modelo Soja'!AK55/60*1000)-$C$6</f>
        <v>172.06714248570779</v>
      </c>
      <c r="R55" s="22">
        <f ca="1">+(('Modelo Farelo'!AB55*(1+$C$8))*$C$3+('Modelo Oleo'!AB55*(1+$C$8))*$C$2)-('Modelo Soja'!AA55/60*1000)-$C$6</f>
        <v>237.03955917450094</v>
      </c>
      <c r="U55" s="22">
        <f>+'[1]Margem esmagamento stonex'!L19</f>
        <v>209.933333333333</v>
      </c>
    </row>
    <row r="56" spans="5:21" x14ac:dyDescent="0.3">
      <c r="E56" s="17">
        <f>+'Modelo Soja'!BA56</f>
        <v>45809</v>
      </c>
      <c r="F56" s="32">
        <f>+(('Modelo Farelo'!AA56*(1+$C$8))*$C$3+('Modelo Oleo'!AA56*(1+$C$8))*$C$2)-('Modelo Soja'!AT56/60*1000)-$C$6</f>
        <v>161.65341224249801</v>
      </c>
      <c r="G56" s="32">
        <f>+(('Modelo Farelo'!AB56*(1+$C$8))*$C$3+('Modelo Oleo'!AB56*(1+$C$8))*$C$2)-('Modelo Soja'!AU56/60*1000)-$C$6</f>
        <v>160.41609044249799</v>
      </c>
      <c r="H56" s="32">
        <f>+(('Modelo Farelo'!AC56*(1+$C$8))*$C$3+('Modelo Oleo'!AC56*(1+$C$8))*$C$2)-('Modelo Soja'!AV56/60*1000)-$C$6</f>
        <v>158.68692872249812</v>
      </c>
      <c r="I56" s="32">
        <f>+(('Modelo Farelo'!AD56*(1+$C$8))*($C$3+1%)+('Modelo Oleo'!AD56*(1+$C$8))*($C$2-1%))-('Modelo Soja'!AW56/60*1000)-$C$6</f>
        <v>118.3308153639141</v>
      </c>
      <c r="J56" s="32">
        <f ca="1">+(('Modelo Farelo'!AE56*(1+$C$8))*($C$3+1.5%)+('Modelo Oleo'!AE56*(1+$C$8))*($C$2-1.5%))-('Modelo Soja'!AX56/60*1000)-$C$6</f>
        <v>187.54134311128792</v>
      </c>
      <c r="K56" s="32">
        <f ca="1">+(('Modelo Farelo'!AF56*(1+$C$8))*($C$3+1.5%)+('Modelo Oleo'!AF56*(1+$C$8))*($C$2-1.5%))-('Modelo Soja'!AY56/60*1000)-$C$6</f>
        <v>200.795139777955</v>
      </c>
      <c r="L56" s="43">
        <f>+(('Modelo Farelo'!AG56*(1+$C$8))*$C$3+('Modelo Oleo'!AG56*(1+$C$8))*$C$2)-('Modelo Soja'!BM56/60*1000)-$C$6</f>
        <v>161.55045224249807</v>
      </c>
      <c r="P56" s="17">
        <f t="shared" si="2"/>
        <v>45809</v>
      </c>
      <c r="Q56" s="33">
        <f ca="1">+(('Modelo Farelo'!AA56*(1+$C$8))*$C$3+('Modelo Oleo'!AA56*(1+$C$8))*$C$2)-('Modelo Soja'!AK56/60*1000)-$C$6</f>
        <v>52.465766739852143</v>
      </c>
      <c r="R56" s="22">
        <f ca="1">+(('Modelo Farelo'!AB56*(1+$C$8))*$C$3+('Modelo Oleo'!AB56*(1+$C$8))*$C$2)-('Modelo Soja'!AA56/60*1000)-$C$6</f>
        <v>145.96609044249726</v>
      </c>
      <c r="U56" s="22">
        <f>+'[1]Margem esmagamento stonex'!L20</f>
        <v>174.20833333333292</v>
      </c>
    </row>
    <row r="57" spans="5:21" x14ac:dyDescent="0.3">
      <c r="E57" s="17">
        <f>+'Modelo Soja'!BA57</f>
        <v>45839</v>
      </c>
      <c r="F57" s="32">
        <f>+(('Modelo Farelo'!AA57*(1+$C$8))*$C$3+('Modelo Oleo'!AA57*(1+$C$8))*$C$2)-('Modelo Soja'!AT57/60*1000)-$C$6</f>
        <v>129.73430278493811</v>
      </c>
      <c r="G57" s="32">
        <f>+(('Modelo Farelo'!AB57*(1+$C$8))*$C$3+('Modelo Oleo'!AB57*(1+$C$8))*$C$2)-('Modelo Soja'!AU57/60*1000)-$C$6</f>
        <v>128.26635058493844</v>
      </c>
      <c r="H57" s="32">
        <f>+(('Modelo Farelo'!AC57*(1+$C$8))*$C$3+('Modelo Oleo'!AC57*(1+$C$8))*$C$2)-('Modelo Soja'!AV57/60*1000)-$C$6</f>
        <v>126.88025158493838</v>
      </c>
      <c r="I57" s="32">
        <f>+(('Modelo Farelo'!AD57*(1+$C$8))*($C$3+1%)+('Modelo Oleo'!AD57*(1+$C$8))*($C$2-1%))-('Modelo Soja'!AW57/60*1000)-$C$6</f>
        <v>80.335172620188587</v>
      </c>
      <c r="J57" s="32">
        <f ca="1">+(('Modelo Farelo'!AE57*(1+$C$8))*($C$3+1.5%)+('Modelo Oleo'!AE57*(1+$C$8))*($C$2-1.5%))-('Modelo Soja'!AX57/60*1000)-$C$6</f>
        <v>173.22502406361059</v>
      </c>
      <c r="K57" s="32">
        <f ca="1">+(('Modelo Farelo'!AF57*(1+$C$8))*($C$3+1.5%)+('Modelo Oleo'!AF57*(1+$C$8))*($C$2-1.5%))-('Modelo Soja'!AY57/60*1000)-$C$6</f>
        <v>184.83934333897332</v>
      </c>
      <c r="L57" s="43">
        <f>+(('Modelo Farelo'!AG57*(1+$C$8))*$C$3+('Modelo Oleo'!AG57*(1+$C$8))*$C$2)-('Modelo Soja'!BM57/60*1000)-$C$6</f>
        <v>129.63134278493794</v>
      </c>
      <c r="P57" s="17">
        <f t="shared" si="2"/>
        <v>45839</v>
      </c>
      <c r="Q57" s="33">
        <f ca="1">+(('Modelo Farelo'!AA57*(1+$C$8))*$C$3+('Modelo Oleo'!AA57*(1+$C$8))*$C$2)-('Modelo Soja'!AK57/60*1000)-$C$6</f>
        <v>-45.647797200423611</v>
      </c>
      <c r="R57" s="22">
        <f ca="1">+(('Modelo Farelo'!AB57*(1+$C$8))*$C$3+('Modelo Oleo'!AB57*(1+$C$8))*$C$2)-('Modelo Soja'!AA57/60*1000)-$C$6</f>
        <v>80.163089715372962</v>
      </c>
      <c r="U57" s="22">
        <f>+'[1]Margem esmagamento stonex'!L21</f>
        <v>147.67333333333286</v>
      </c>
    </row>
    <row r="58" spans="5:21" x14ac:dyDescent="0.3">
      <c r="E58" s="17">
        <f>+'Modelo Soja'!BA58</f>
        <v>45870</v>
      </c>
      <c r="F58" s="32">
        <f>+(('Modelo Farelo'!AA58*(1+$C$8))*$C$3+('Modelo Oleo'!AA58*(1+$C$8))*$C$2)-('Modelo Soja'!AT58/60*1000)-$C$6</f>
        <v>92.966682269029889</v>
      </c>
      <c r="G58" s="32">
        <f>+(('Modelo Farelo'!AB58*(1+$C$8))*$C$3+('Modelo Oleo'!AB58*(1+$C$8))*$C$2)-('Modelo Soja'!AU58/60*1000)-$C$6</f>
        <v>91.986914909030247</v>
      </c>
      <c r="H58" s="32">
        <f>+(('Modelo Farelo'!AC58*(1+$C$8))*$C$3+('Modelo Oleo'!AC58*(1+$C$8))*$C$2)-('Modelo Soja'!AV58/60*1000)-$C$6</f>
        <v>90.194278349029901</v>
      </c>
      <c r="I58" s="32">
        <f>+(('Modelo Farelo'!AD58*(1+$C$8))*($C$3+1%)+('Modelo Oleo'!AD58*(1+$C$8))*($C$2-1%))-('Modelo Soja'!AW58/60*1000)-$C$6</f>
        <v>45.884702230451239</v>
      </c>
      <c r="J58" s="32">
        <f ca="1">+(('Modelo Farelo'!AE58*(1+$C$8))*($C$3+1.5%)+('Modelo Oleo'!AE58*(1+$C$8))*($C$2-1.5%))-('Modelo Soja'!AX58/60*1000)-$C$6</f>
        <v>142.78457777179801</v>
      </c>
      <c r="K58" s="32">
        <f ca="1">+(('Modelo Farelo'!AF58*(1+$C$8))*($C$3+1.5%)+('Modelo Oleo'!AF58*(1+$C$8))*($C$2-1.5%))-('Modelo Soja'!AY58/60*1000)-$C$6</f>
        <v>163.37488237497291</v>
      </c>
      <c r="L58" s="43">
        <f>+(('Modelo Farelo'!AG58*(1+$C$8))*$C$3+('Modelo Oleo'!AG58*(1+$C$8))*$C$2)-('Modelo Soja'!BM58/60*1000)-$C$6</f>
        <v>92.863722269030177</v>
      </c>
      <c r="P58" s="17">
        <f t="shared" si="2"/>
        <v>45870</v>
      </c>
      <c r="Q58" s="33">
        <f ca="1">+(('Modelo Farelo'!AA58*(1+$C$8))*$C$3+('Modelo Oleo'!AA58*(1+$C$8))*$C$2)-('Modelo Soja'!AK58/60*1000)-$C$6</f>
        <v>-51.344799735278912</v>
      </c>
      <c r="R58" s="22">
        <f ca="1">+(('Modelo Farelo'!AB58*(1+$C$8))*$C$3+('Modelo Oleo'!AB58*(1+$C$8))*$C$2)-('Modelo Soja'!AA58/60*1000)-$C$6</f>
        <v>28.585962528077744</v>
      </c>
      <c r="U58" s="22">
        <f>+'[1]Margem esmagamento stonex'!L22</f>
        <v>70.183333333332925</v>
      </c>
    </row>
    <row r="59" spans="5:21" x14ac:dyDescent="0.3">
      <c r="E59" s="17">
        <f>+'Modelo Soja'!BA59</f>
        <v>45901</v>
      </c>
      <c r="F59" s="32">
        <f>+(('Modelo Farelo'!AA59*(1+$C$8))*$C$3+('Modelo Oleo'!AA59*(1+$C$8))*$C$2)-('Modelo Soja'!AT59/60*1000)-$C$6</f>
        <v>67.525666922258324</v>
      </c>
      <c r="G59" s="32">
        <f>+(('Modelo Farelo'!AB59*(1+$C$8))*$C$3+('Modelo Oleo'!AB59*(1+$C$8))*$C$2)-('Modelo Soja'!AU59/60*1000)-$C$6</f>
        <v>66.534934322259005</v>
      </c>
      <c r="H59" s="32">
        <f>+(('Modelo Farelo'!AC59*(1+$C$8))*$C$3+('Modelo Oleo'!AC59*(1+$C$8))*$C$2)-('Modelo Soja'!AV59/60*1000)-$C$6</f>
        <v>64.808346602258553</v>
      </c>
      <c r="I59" s="32">
        <f>+(('Modelo Farelo'!AD59*(1+$C$8))*($C$3+1%)+('Modelo Oleo'!AD59*(1+$C$8))*($C$2-1%))-('Modelo Soja'!AW59/60*1000)-$C$6</f>
        <v>21.028722357579682</v>
      </c>
      <c r="J59" s="32">
        <f ca="1">+(('Modelo Farelo'!AE59*(1+$C$8))*($C$3+1.5%)+('Modelo Oleo'!AE59*(1+$C$8))*($C$2-1.5%))-('Modelo Soja'!AX59/60*1000)-$C$6</f>
        <v>97.712869952816618</v>
      </c>
      <c r="K59" s="32">
        <f ca="1">+(('Modelo Farelo'!AF59*(1+$C$8))*($C$3+1.5%)+('Modelo Oleo'!AF59*(1+$C$8))*($C$2-1.5%))-('Modelo Soja'!AY59/60*1000)-$C$6</f>
        <v>119.92212926917955</v>
      </c>
      <c r="L59" s="43">
        <f>+(('Modelo Farelo'!AG59*(1+$C$8))*$C$3+('Modelo Oleo'!AG59*(1+$C$8))*$C$2)-('Modelo Soja'!BM59/60*1000)-$C$6</f>
        <v>67.422706922258385</v>
      </c>
      <c r="P59" s="17">
        <f t="shared" si="2"/>
        <v>45901</v>
      </c>
      <c r="Q59" s="33">
        <f ca="1">+(('Modelo Farelo'!AA59*(1+$C$8))*$C$3+('Modelo Oleo'!AA59*(1+$C$8))*$C$2)-('Modelo Soja'!AK59/60*1000)-$C$6</f>
        <v>-131.6941941534842</v>
      </c>
      <c r="R59" s="22">
        <f ca="1">+(('Modelo Farelo'!AB59*(1+$C$8))*$C$3+('Modelo Oleo'!AB59*(1+$C$8))*$C$2)-('Modelo Soja'!AA59/60*1000)-$C$6</f>
        <v>-38.514308101983715</v>
      </c>
      <c r="U59" s="22">
        <f>+'[1]Margem esmagamento stonex'!L23</f>
        <v>200.70833333333303</v>
      </c>
    </row>
    <row r="60" spans="5:21" x14ac:dyDescent="0.3">
      <c r="E60" s="17">
        <f>+'Modelo Soja'!BA60</f>
        <v>45931</v>
      </c>
      <c r="F60" s="32">
        <f>+(('Modelo Farelo'!AA60*(1+$C$8))*$C$3+('Modelo Oleo'!AA60*(1+$C$8))*$C$2)-('Modelo Soja'!AT60/60*1000)-$C$6</f>
        <v>116.77252614017698</v>
      </c>
      <c r="G60" s="32">
        <f>+(('Modelo Farelo'!AB60*(1+$C$8))*$C$3+('Modelo Oleo'!AB60*(1+$C$8))*$C$2)-('Modelo Soja'!AU60/60*1000)-$C$6</f>
        <v>115.73880774017744</v>
      </c>
      <c r="H60" s="32">
        <f>+(('Modelo Farelo'!AC60*(1+$C$8))*$C$3+('Modelo Oleo'!AC60*(1+$C$8))*$C$2)-('Modelo Soja'!AV60/60*1000)-$C$6</f>
        <v>113.97283782017666</v>
      </c>
      <c r="I60" s="32">
        <f>+(('Modelo Farelo'!AD60*(1+$C$8))*($C$3+1%)+('Modelo Oleo'!AD60*(1+$C$8))*($C$2-1%))-('Modelo Soja'!AW60/60*1000)-$C$6</f>
        <v>69.90657384887345</v>
      </c>
      <c r="J60" s="32">
        <f ca="1">+(('Modelo Farelo'!AE60*(1+$C$8))*($C$3+1.5%)+('Modelo Oleo'!AE60*(1+$C$8))*($C$2-1.5%))-('Modelo Soja'!AX60/60*1000)-$C$6</f>
        <v>160.55633606612105</v>
      </c>
      <c r="K60" s="32">
        <f ca="1">+(('Modelo Farelo'!AF60*(1+$C$8))*($C$3+1.5%)+('Modelo Oleo'!AF60*(1+$C$8))*($C$2-1.5%))-('Modelo Soja'!AY60/60*1000)-$C$6</f>
        <v>160.49072690670027</v>
      </c>
      <c r="L60" s="43">
        <f>+(('Modelo Farelo'!AG60*(1+$C$8))*$C$3+('Modelo Oleo'!AG60*(1+$C$8))*$C$2)-('Modelo Soja'!BM60/60*1000)-$C$6</f>
        <v>116.66956614017681</v>
      </c>
      <c r="P60" s="17">
        <f t="shared" si="2"/>
        <v>45931</v>
      </c>
      <c r="Q60" s="33">
        <f ca="1">+(('Modelo Farelo'!AA60*(1+$C$8))*$C$3+('Modelo Oleo'!AA60*(1+$C$8))*$C$2)-('Modelo Soja'!AK60/60*1000)-$C$6</f>
        <v>-61.398598041599371</v>
      </c>
      <c r="R60" s="22">
        <f ca="1">+(('Modelo Farelo'!AB60*(1+$C$8))*$C$3+('Modelo Oleo'!AB60*(1+$C$8))*$C$2)-('Modelo Soja'!AA60/60*1000)-$C$6</f>
        <v>11.370981653221406</v>
      </c>
      <c r="U60" s="22">
        <f>+'[1]Margem esmagamento stonex'!L24</f>
        <v>307.4999999999996</v>
      </c>
    </row>
    <row r="61" spans="5:21" x14ac:dyDescent="0.3">
      <c r="E61" s="17">
        <f>+'Modelo Soja'!BA61</f>
        <v>45962</v>
      </c>
      <c r="F61" s="32">
        <f>+(('Modelo Farelo'!AA61*(1+$C$8))*$C$3+('Modelo Oleo'!AA61*(1+$C$8))*$C$2)-('Modelo Soja'!AT61/60*1000)-$C$6</f>
        <v>200.84868633021983</v>
      </c>
      <c r="G61" s="32">
        <f>+(('Modelo Farelo'!AB61*(1+$C$8))*$C$3+('Modelo Oleo'!AB61*(1+$C$8))*$C$2)-('Modelo Soja'!AU61/60*1000)-$C$6</f>
        <v>199.72462053021968</v>
      </c>
      <c r="H61" s="32">
        <f>+(('Modelo Farelo'!AC61*(1+$C$8))*$C$3+('Modelo Oleo'!AC61*(1+$C$8))*$C$2)-('Modelo Soja'!AV61/60*1000)-$C$6</f>
        <v>198.15319353022005</v>
      </c>
      <c r="I61" s="32">
        <f>+(('Modelo Farelo'!AD61*(1+$C$8))*($C$3+1%)+('Modelo Oleo'!AD61*(1+$C$8))*($C$2-1%))-('Modelo Soja'!AW61/60*1000)-$C$6</f>
        <v>157.26475580394026</v>
      </c>
      <c r="J61" s="32">
        <f ca="1">+(('Modelo Farelo'!AE61*(1+$C$8))*($C$3+1.5%)+('Modelo Oleo'!AE61*(1+$C$8))*($C$2-1.5%))-('Modelo Soja'!AX61/60*1000)-$C$6</f>
        <v>257.49374025659063</v>
      </c>
      <c r="K61" s="32">
        <f ca="1">+(('Modelo Farelo'!AF61*(1+$C$8))*($C$3+1.5%)+('Modelo Oleo'!AF61*(1+$C$8))*($C$2-1.5%))-('Modelo Soja'!AY61/60*1000)-$C$6</f>
        <v>279.27220115343289</v>
      </c>
      <c r="L61" s="43">
        <f>+(('Modelo Farelo'!AG61*(1+$C$8))*$C$3+('Modelo Oleo'!AG61*(1+$C$8))*$C$2)-('Modelo Soja'!BM61/60*1000)-$C$6</f>
        <v>200.74572633022012</v>
      </c>
      <c r="P61" s="17">
        <f t="shared" si="2"/>
        <v>45962</v>
      </c>
      <c r="Q61" s="33">
        <f ca="1">+(('Modelo Farelo'!AA61*(1+$C$8))*$C$3+('Modelo Oleo'!AA61*(1+$C$8))*$C$2)-('Modelo Soja'!AK61/60*1000)-$C$6</f>
        <v>98.078926746074103</v>
      </c>
      <c r="R61" s="22">
        <f ca="1">+(('Modelo Farelo'!AB61*(1+$C$8))*$C$3+('Modelo Oleo'!AB61*(1+$C$8))*$C$2)-('Modelo Soja'!AA61/60*1000)-$C$6</f>
        <v>150.67856789864027</v>
      </c>
      <c r="U61" s="22">
        <f>+'[1]Margem esmagamento stonex'!L25</f>
        <v>403.91666666666652</v>
      </c>
    </row>
    <row r="62" spans="5:21" x14ac:dyDescent="0.3">
      <c r="E62" s="17">
        <f>+'Modelo Soja'!BA62</f>
        <v>45992</v>
      </c>
      <c r="F62" s="32">
        <f>+(('Modelo Farelo'!AA62*(1+$C$8))*$C$3+('Modelo Oleo'!AA62*(1+$C$8))*$C$2)-('Modelo Soja'!AT62/60*1000)-$C$6</f>
        <v>146.22913939593991</v>
      </c>
      <c r="G62" s="32">
        <f>+(('Modelo Farelo'!AB62*(1+$C$8))*$C$3+('Modelo Oleo'!AB62*(1+$C$8))*$C$2)-('Modelo Soja'!AU62/60*1000)-$C$6</f>
        <v>145.11768619593977</v>
      </c>
      <c r="H62" s="32">
        <f>+(('Modelo Farelo'!AC62*(1+$C$8))*$C$3+('Modelo Oleo'!AC62*(1+$C$8))*$C$2)-('Modelo Soja'!AV62/60*1000)-$C$6</f>
        <v>143.48834419593913</v>
      </c>
      <c r="I62" s="32">
        <f>+(('Modelo Farelo'!AD62*(1+$C$8))*($C$3+1%)+('Modelo Oleo'!AD62*(1+$C$8))*($C$2-1%))-('Modelo Soja'!AW62/60*1000)-$C$6</f>
        <v>100.90107756042289</v>
      </c>
      <c r="J62" s="32">
        <f ca="1">+(('Modelo Farelo'!AE62*(1+$C$8))*($C$3+1.5%)+('Modelo Oleo'!AE62*(1+$C$8))*($C$2-1.5%))-('Modelo Soja'!AX62/60*1000)-$C$6</f>
        <v>203.01983157599716</v>
      </c>
      <c r="K62" s="32">
        <f ca="1">+(('Modelo Farelo'!AF62*(1+$C$8))*($C$3+1.5%)+('Modelo Oleo'!AF62*(1+$C$8))*($C$2-1.5%))-('Modelo Soja'!AY62/60*1000)-$C$6</f>
        <v>216.96389189599768</v>
      </c>
      <c r="L62" s="43">
        <f>+(('Modelo Farelo'!AG62*(1+$C$8))*$C$3+('Modelo Oleo'!AG62*(1+$C$8))*$C$2)-('Modelo Soja'!BM62/60*1000)-$C$6</f>
        <v>146.12617939593974</v>
      </c>
      <c r="P62" s="17">
        <f t="shared" si="2"/>
        <v>45992</v>
      </c>
      <c r="Q62" s="33">
        <f ca="1">+(('Modelo Farelo'!AA62*(1+$C$8))*$C$3+('Modelo Oleo'!AA62*(1+$C$8))*$C$2)-('Modelo Soja'!AK62/60*1000)-$C$6</f>
        <v>100.6064931971091</v>
      </c>
      <c r="R62" s="22">
        <f ca="1">+(('Modelo Farelo'!AB62*(1+$C$8))*$C$3+('Modelo Oleo'!AB62*(1+$C$8))*$C$2)-('Modelo Soja'!AA62/60*1000)-$C$6</f>
        <v>169.60101952927221</v>
      </c>
      <c r="U62" s="22">
        <f>+'[1]Margem esmagamento stonex'!L26</f>
        <v>297.83333333333303</v>
      </c>
    </row>
    <row r="63" spans="5:21" x14ac:dyDescent="0.3">
      <c r="E63" s="17">
        <f>+'Modelo Soja'!BA63</f>
        <v>46023</v>
      </c>
      <c r="F63" s="32">
        <f>+(('Modelo Farelo'!AA63*(1+$C$8))*$C$3+('Modelo Oleo'!AA63*(1+$C$8))*$C$2)-('Modelo Soja'!AT63/60*1000)-$C$6</f>
        <v>284.85602962020289</v>
      </c>
      <c r="G63" s="32">
        <f>+(('Modelo Farelo'!AB63*(1+$C$8))*$C$3+('Modelo Oleo'!AB63*(1+$C$8))*$C$2)-('Modelo Soja'!AU63/60*1000)-$C$6</f>
        <v>283.71811570020259</v>
      </c>
      <c r="H63" s="32">
        <f>+(('Modelo Farelo'!AC63*(1+$C$8))*$C$3+('Modelo Oleo'!AC63*(1+$C$8))*$C$2)-('Modelo Soja'!AV63/60*1000)-$C$6</f>
        <v>281.84836210020308</v>
      </c>
      <c r="I63" s="32">
        <f>+(('Modelo Farelo'!AD63*(1+$C$8))*($C$3+1%)+('Modelo Oleo'!AD63*(1+$C$8))*($C$2-1%))-('Modelo Soja'!AW63/60*1000)-$C$6</f>
        <v>237.50598377182882</v>
      </c>
      <c r="J63" s="32">
        <f ca="1">+(('Modelo Farelo'!AE63*(1+$C$8))*($C$3+1.5%)+('Modelo Oleo'!AE63*(1+$C$8))*($C$2-1.5%))-('Modelo Soja'!AX63/60*1000)-$C$6</f>
        <v>193.8051936076422</v>
      </c>
      <c r="K63" s="32">
        <f ca="1">+(('Modelo Farelo'!AF63*(1+$C$8))*($C$3+1.5%)+('Modelo Oleo'!AF63*(1+$C$8))*($C$2-1.5%))-('Modelo Soja'!AY63/60*1000)-$C$6</f>
        <v>245.58683233780152</v>
      </c>
      <c r="L63" s="43">
        <f>+(('Modelo Farelo'!AG63*(1+$C$8))*$C$3+('Modelo Oleo'!AG63*(1+$C$8))*$C$2)-('Modelo Soja'!BM63/60*1000)-$C$6</f>
        <v>284.75306962020318</v>
      </c>
      <c r="P63" s="17">
        <f t="shared" si="2"/>
        <v>46023</v>
      </c>
      <c r="Q63" s="33">
        <f ca="1">+(('Modelo Farelo'!AA63*(1+$C$8))*$C$3+('Modelo Oleo'!AA63*(1+$C$8))*$C$2)-('Modelo Soja'!AK63/60*1000)-$C$6</f>
        <v>235.9992551907942</v>
      </c>
      <c r="R63" s="22">
        <f ca="1">+(('Modelo Farelo'!AB63*(1+$C$8))*$C$3+('Modelo Oleo'!AB63*(1+$C$8))*$C$2)-('Modelo Soja'!AA63/60*1000)-$C$6</f>
        <v>311.34033792242485</v>
      </c>
      <c r="U63" s="22">
        <f>+'[1]Margem esmagamento stonex'!L27</f>
        <v>318.53333333333302</v>
      </c>
    </row>
    <row r="64" spans="5:21" x14ac:dyDescent="0.3">
      <c r="E64" s="17">
        <f>+'Modelo Soja'!BA64</f>
        <v>46054</v>
      </c>
      <c r="F64" s="32">
        <f>+(('Modelo Farelo'!AA64*(1+$C$8))*$C$3+('Modelo Oleo'!AA64*(1+$C$8))*$C$2)-('Modelo Soja'!AT64/60*1000)-$C$6</f>
        <v>383.61865548587775</v>
      </c>
      <c r="G64" s="32">
        <f>+(('Modelo Farelo'!AB64*(1+$C$8))*$C$3+('Modelo Oleo'!AB64*(1+$C$8))*$C$2)-('Modelo Soja'!AU64/60*1000)-$C$6</f>
        <v>382.57875948587844</v>
      </c>
      <c r="H64" s="32">
        <f>+(('Modelo Farelo'!AC64*(1+$C$8))*$C$3+('Modelo Oleo'!AC64*(1+$C$8))*$C$2)-('Modelo Soja'!AV64/60*1000)-$C$6</f>
        <v>380.59600728587839</v>
      </c>
      <c r="I64" s="32">
        <f>+(('Modelo Farelo'!AD64*(1+$C$8))*($C$3+1%)+('Modelo Oleo'!AD64*(1+$C$8))*($C$2-1%))-('Modelo Soja'!AW64/60*1000)-$C$6</f>
        <v>336.06859548478383</v>
      </c>
      <c r="J64" s="32">
        <f ca="1">+(('Modelo Farelo'!AE64*(1+$C$8))*($C$3+1.5%)+('Modelo Oleo'!AE64*(1+$C$8))*($C$2-1.5%))-('Modelo Soja'!AX64/60*1000)-$C$6</f>
        <v>354.11659417682927</v>
      </c>
      <c r="K64" s="32">
        <f ca="1">+(('Modelo Farelo'!AF64*(1+$C$8))*($C$3+1.5%)+('Modelo Oleo'!AF64*(1+$C$8))*($C$2-1.5%))-('Modelo Soja'!AY64/60*1000)-$C$6</f>
        <v>385.86094565831081</v>
      </c>
      <c r="L64" s="43">
        <f>+(('Modelo Farelo'!AG64*(1+$C$8))*$C$3+('Modelo Oleo'!AG64*(1+$C$8))*$C$2)-('Modelo Soja'!BM64/60*1000)-$C$6</f>
        <v>383.5156954858785</v>
      </c>
      <c r="P64" s="17">
        <f t="shared" si="2"/>
        <v>46054</v>
      </c>
      <c r="Q64" s="33">
        <f ca="1">+(('Modelo Farelo'!AA64*(1+$C$8))*$C$3+('Modelo Oleo'!AA64*(1+$C$8))*$C$2)-('Modelo Soja'!AK64/60*1000)-$C$6</f>
        <v>317.33996667279598</v>
      </c>
      <c r="R64" s="22">
        <f ca="1">+(('Modelo Farelo'!AB64*(1+$C$8))*$C$3+('Modelo Oleo'!AB64*(1+$C$8))*$C$2)-('Modelo Soja'!AA64/60*1000)-$C$6</f>
        <v>393.75375948587885</v>
      </c>
      <c r="U64" s="22">
        <f>+'[1]Margem esmagamento stonex'!L28</f>
        <v>366.41666666666629</v>
      </c>
    </row>
    <row r="65" spans="5:21" x14ac:dyDescent="0.3">
      <c r="E65" s="17">
        <f>+'Modelo Soja'!BA65</f>
        <v>46082</v>
      </c>
      <c r="F65" s="32">
        <f>+(('Modelo Farelo'!AA65*(1+$C$8))*$C$3+('Modelo Oleo'!AA65*(1+$C$8))*$C$2)-('Modelo Soja'!AT65/60*1000)-$C$6</f>
        <v>345.4932219021166</v>
      </c>
      <c r="G65" s="32">
        <f>+(('Modelo Farelo'!AB65*(1+$C$8))*$C$3+('Modelo Oleo'!AB65*(1+$C$8))*$C$2)-('Modelo Soja'!AU65/60*1000)-$C$6</f>
        <v>344.54187150211601</v>
      </c>
      <c r="H65" s="32">
        <f>+(('Modelo Farelo'!AC65*(1+$C$8))*$C$3+('Modelo Oleo'!AC65*(1+$C$8))*$C$2)-('Modelo Soja'!AV65/60*1000)-$C$6</f>
        <v>342.28962150211646</v>
      </c>
      <c r="I65" s="32">
        <f>+(('Modelo Farelo'!AD65*(1+$C$8))*($C$3+1%)+('Modelo Oleo'!AD65*(1+$C$8))*($C$2-1%))-('Modelo Soja'!AW65/60*1000)-$C$6</f>
        <v>300.86732998092248</v>
      </c>
      <c r="J65" s="32">
        <f ca="1">+(('Modelo Farelo'!AE65*(1+$C$8))*($C$3+1.5%)+('Modelo Oleo'!AE65*(1+$C$8))*($C$2-1.5%))-('Modelo Soja'!AX65/60*1000)-$C$6</f>
        <v>344.02923140551047</v>
      </c>
      <c r="K65" s="32">
        <f ca="1">+(('Modelo Farelo'!AF65*(1+$C$8))*($C$3+1.5%)+('Modelo Oleo'!AF65*(1+$C$8))*($C$2-1.5%))-('Modelo Soja'!AY65/60*1000)-$C$6</f>
        <v>387.64395325736245</v>
      </c>
      <c r="L65" s="43">
        <f>+(('Modelo Farelo'!AG65*(1+$C$8))*$C$3+('Modelo Oleo'!AG65*(1+$C$8))*$C$2)-('Modelo Soja'!BM65/60*1000)-$C$6</f>
        <v>345.39026190211644</v>
      </c>
      <c r="P65" s="17">
        <f t="shared" si="2"/>
        <v>46082</v>
      </c>
      <c r="Q65" s="33">
        <f ca="1">+(('Modelo Farelo'!AA65*(1+$C$8))*$C$3+('Modelo Oleo'!AA65*(1+$C$8))*$C$2)-('Modelo Soja'!AK65/60*1000)-$C$6</f>
        <v>327.4045609532468</v>
      </c>
      <c r="R65" s="22">
        <f ca="1">+(('Modelo Farelo'!AB65*(1+$C$8))*$C$3+('Modelo Oleo'!AB65*(1+$C$8))*$C$2)-('Modelo Soja'!AA65/60*1000)-$C$6</f>
        <v>409.98284372433795</v>
      </c>
      <c r="U65" s="22">
        <f>+'[1]Margem esmagamento stonex'!L29</f>
        <v>324.166666666666</v>
      </c>
    </row>
    <row r="66" spans="5:21" x14ac:dyDescent="0.3">
      <c r="E66" s="17"/>
      <c r="F66" s="32"/>
      <c r="G66" s="32"/>
      <c r="H66" s="32"/>
      <c r="I66" s="32"/>
      <c r="J66" s="32"/>
      <c r="K66" s="32"/>
    </row>
    <row r="67" spans="5:21" x14ac:dyDescent="0.3">
      <c r="E67" s="17"/>
      <c r="F67" s="32"/>
      <c r="G67" s="32"/>
      <c r="H67" s="32"/>
      <c r="I67" s="32"/>
      <c r="J67" s="32"/>
      <c r="K67" s="32"/>
    </row>
    <row r="68" spans="5:21" x14ac:dyDescent="0.3">
      <c r="E68" s="17"/>
      <c r="F68" s="32"/>
      <c r="G68" s="32"/>
      <c r="H68" s="32"/>
      <c r="I68" s="32"/>
      <c r="J68" s="32"/>
      <c r="K68" s="32"/>
    </row>
    <row r="69" spans="5:21" x14ac:dyDescent="0.3">
      <c r="E69" s="17"/>
      <c r="F69" s="32"/>
      <c r="G69" s="32"/>
      <c r="H69" s="32"/>
      <c r="I69" s="32"/>
      <c r="J69" s="32"/>
      <c r="K69" s="32"/>
    </row>
    <row r="70" spans="5:21" x14ac:dyDescent="0.3">
      <c r="E70" s="17"/>
      <c r="F70" s="32"/>
      <c r="G70" s="32"/>
      <c r="H70" s="32"/>
      <c r="I70" s="32"/>
      <c r="J70" s="32"/>
      <c r="K70" s="32"/>
    </row>
    <row r="71" spans="5:21" x14ac:dyDescent="0.3">
      <c r="E71" s="17"/>
      <c r="F71" s="32"/>
      <c r="G71" s="32"/>
      <c r="H71" s="32"/>
      <c r="I71" s="32"/>
      <c r="J71" s="32"/>
      <c r="K71" s="32"/>
    </row>
    <row r="72" spans="5:21" x14ac:dyDescent="0.3">
      <c r="E72" s="17"/>
      <c r="F72" s="32"/>
      <c r="G72" s="32"/>
      <c r="H72" s="32"/>
      <c r="I72" s="32"/>
      <c r="J72" s="32"/>
      <c r="K72" s="32"/>
    </row>
    <row r="73" spans="5:21" x14ac:dyDescent="0.3">
      <c r="E73" s="17"/>
      <c r="F73" s="32"/>
      <c r="G73" s="32"/>
      <c r="H73" s="32"/>
      <c r="I73" s="32"/>
      <c r="J73" s="32"/>
      <c r="K73" s="32"/>
    </row>
    <row r="74" spans="5:21" x14ac:dyDescent="0.3">
      <c r="E74" s="17"/>
      <c r="F74" s="32"/>
      <c r="G74" s="32"/>
      <c r="H74" s="32"/>
      <c r="I74" s="32"/>
      <c r="J74" s="32"/>
      <c r="K74" s="32"/>
    </row>
    <row r="75" spans="5:21" x14ac:dyDescent="0.3">
      <c r="E75" s="17"/>
      <c r="F75" s="32"/>
      <c r="G75" s="32"/>
      <c r="H75" s="32"/>
      <c r="I75" s="32"/>
      <c r="J75" s="32"/>
      <c r="K75" s="32"/>
    </row>
    <row r="76" spans="5:21" x14ac:dyDescent="0.3">
      <c r="E76" s="17"/>
      <c r="F76" s="32"/>
      <c r="G76" s="32"/>
      <c r="H76" s="32"/>
      <c r="I76" s="32"/>
      <c r="J76" s="32"/>
      <c r="K76" s="32"/>
    </row>
    <row r="77" spans="5:21" x14ac:dyDescent="0.3">
      <c r="E77" s="17"/>
      <c r="F77" s="32"/>
      <c r="G77" s="32"/>
      <c r="H77" s="32"/>
      <c r="I77" s="32"/>
      <c r="J77" s="32"/>
      <c r="K77" s="32"/>
    </row>
    <row r="78" spans="5:21" x14ac:dyDescent="0.3">
      <c r="E78" s="17"/>
      <c r="F78" s="32"/>
      <c r="G78" s="32"/>
      <c r="H78" s="32"/>
      <c r="I78" s="32"/>
      <c r="J78" s="32"/>
      <c r="K78" s="32"/>
    </row>
    <row r="79" spans="5:21" x14ac:dyDescent="0.3">
      <c r="E79" s="17"/>
      <c r="F79" s="32"/>
      <c r="G79" s="32"/>
      <c r="H79" s="32"/>
      <c r="I79" s="32"/>
      <c r="J79" s="32"/>
      <c r="K79" s="32"/>
    </row>
    <row r="80" spans="5:21" x14ac:dyDescent="0.3">
      <c r="E80" s="17"/>
      <c r="F80" s="32"/>
      <c r="G80" s="32"/>
      <c r="H80" s="32"/>
      <c r="I80" s="32"/>
      <c r="J80" s="32"/>
      <c r="K80" s="32"/>
    </row>
    <row r="81" spans="5:11" x14ac:dyDescent="0.3">
      <c r="E81" s="17"/>
      <c r="F81" s="32"/>
      <c r="G81" s="32"/>
      <c r="H81" s="32"/>
      <c r="I81" s="32"/>
      <c r="J81" s="32"/>
      <c r="K81" s="32"/>
    </row>
    <row r="82" spans="5:11" x14ac:dyDescent="0.3">
      <c r="E82" s="17"/>
      <c r="F82" s="32"/>
      <c r="G82" s="32"/>
      <c r="H82" s="32"/>
      <c r="I82" s="32"/>
      <c r="J82" s="32"/>
      <c r="K82" s="32"/>
    </row>
    <row r="83" spans="5:11" x14ac:dyDescent="0.3">
      <c r="E83" s="17"/>
      <c r="F83" s="32"/>
      <c r="G83" s="32"/>
      <c r="H83" s="32"/>
      <c r="I83" s="32"/>
      <c r="J83" s="32"/>
      <c r="K83" s="32"/>
    </row>
    <row r="84" spans="5:11" x14ac:dyDescent="0.3">
      <c r="E84" s="17"/>
      <c r="F84" s="32"/>
      <c r="G84" s="32"/>
      <c r="H84" s="32"/>
      <c r="I84" s="32"/>
      <c r="J84" s="32"/>
      <c r="K84" s="32"/>
    </row>
    <row r="85" spans="5:11" x14ac:dyDescent="0.3">
      <c r="E85" s="17"/>
      <c r="F85" s="32"/>
      <c r="G85" s="32"/>
      <c r="H85" s="32"/>
      <c r="I85" s="32"/>
      <c r="J85" s="32"/>
      <c r="K85" s="32"/>
    </row>
    <row r="86" spans="5:11" x14ac:dyDescent="0.3">
      <c r="E86" s="17"/>
      <c r="F86" s="32"/>
      <c r="G86" s="32"/>
      <c r="H86" s="32"/>
      <c r="I86" s="32"/>
      <c r="J86" s="32"/>
      <c r="K86" s="32"/>
    </row>
    <row r="87" spans="5:11" x14ac:dyDescent="0.3">
      <c r="E87" s="17"/>
      <c r="F87" s="32"/>
      <c r="G87" s="32"/>
      <c r="H87" s="32"/>
      <c r="I87" s="32"/>
      <c r="J87" s="32"/>
      <c r="K87" s="32"/>
    </row>
    <row r="88" spans="5:11" x14ac:dyDescent="0.3">
      <c r="E88" s="17"/>
      <c r="F88" s="32"/>
      <c r="G88" s="32"/>
      <c r="H88" s="32"/>
      <c r="I88" s="32"/>
      <c r="J88" s="32"/>
      <c r="K88" s="32"/>
    </row>
    <row r="89" spans="5:11" x14ac:dyDescent="0.3">
      <c r="E89" s="17"/>
      <c r="F89" s="32"/>
      <c r="G89" s="32"/>
      <c r="H89" s="32"/>
      <c r="I89" s="32"/>
      <c r="J89" s="32"/>
      <c r="K89" s="32"/>
    </row>
    <row r="90" spans="5:11" x14ac:dyDescent="0.3">
      <c r="E90" s="17"/>
      <c r="F90" s="32"/>
      <c r="G90" s="32"/>
      <c r="H90" s="32"/>
      <c r="I90" s="32"/>
      <c r="J90" s="32"/>
      <c r="K90" s="32"/>
    </row>
    <row r="91" spans="5:11" x14ac:dyDescent="0.3">
      <c r="E91" s="17"/>
      <c r="F91" s="32"/>
      <c r="G91" s="32"/>
      <c r="H91" s="32"/>
      <c r="I91" s="32"/>
      <c r="J91" s="32"/>
      <c r="K91" s="32"/>
    </row>
    <row r="92" spans="5:11" x14ac:dyDescent="0.3">
      <c r="E92" s="17"/>
      <c r="F92" s="32"/>
      <c r="G92" s="32"/>
      <c r="H92" s="32"/>
      <c r="I92" s="32"/>
      <c r="J92" s="32"/>
      <c r="K92" s="32"/>
    </row>
    <row r="93" spans="5:11" x14ac:dyDescent="0.3">
      <c r="E93" s="17"/>
      <c r="F93" s="32"/>
      <c r="G93" s="32"/>
      <c r="H93" s="32"/>
      <c r="I93" s="32"/>
      <c r="J93" s="32"/>
      <c r="K93" s="32"/>
    </row>
    <row r="94" spans="5:11" x14ac:dyDescent="0.3">
      <c r="E94" s="17"/>
      <c r="F94" s="32"/>
      <c r="G94" s="32"/>
      <c r="H94" s="32"/>
      <c r="I94" s="32"/>
      <c r="J94" s="32"/>
      <c r="K94" s="32"/>
    </row>
    <row r="95" spans="5:11" x14ac:dyDescent="0.3">
      <c r="E95" s="17"/>
      <c r="F95" s="32"/>
      <c r="G95" s="32"/>
      <c r="H95" s="32"/>
      <c r="I95" s="32"/>
      <c r="J95" s="32"/>
      <c r="K95" s="32"/>
    </row>
    <row r="96" spans="5:11" x14ac:dyDescent="0.3">
      <c r="E96" s="17"/>
      <c r="F96" s="32"/>
      <c r="G96" s="32"/>
      <c r="H96" s="32"/>
      <c r="I96" s="32"/>
      <c r="J96" s="32"/>
      <c r="K96" s="32"/>
    </row>
    <row r="97" spans="5:11" x14ac:dyDescent="0.3">
      <c r="E97" s="17"/>
      <c r="F97" s="32"/>
      <c r="G97" s="32"/>
      <c r="H97" s="32"/>
      <c r="I97" s="32"/>
      <c r="J97" s="32"/>
      <c r="K97" s="32"/>
    </row>
    <row r="98" spans="5:11" x14ac:dyDescent="0.3">
      <c r="E98" s="17"/>
      <c r="F98" s="32"/>
      <c r="G98" s="32"/>
      <c r="H98" s="32"/>
      <c r="I98" s="32"/>
      <c r="J98" s="32"/>
      <c r="K98" s="32"/>
    </row>
    <row r="99" spans="5:11" x14ac:dyDescent="0.3">
      <c r="E99" s="17"/>
      <c r="F99" s="32"/>
      <c r="G99" s="32"/>
      <c r="H99" s="32"/>
      <c r="I99" s="32"/>
      <c r="J99" s="32"/>
      <c r="K99" s="32"/>
    </row>
    <row r="100" spans="5:11" x14ac:dyDescent="0.3">
      <c r="E100" s="17"/>
      <c r="F100" s="32"/>
      <c r="G100" s="32"/>
      <c r="H100" s="32"/>
      <c r="I100" s="32"/>
      <c r="J100" s="32"/>
      <c r="K100" s="32"/>
    </row>
    <row r="101" spans="5:11" x14ac:dyDescent="0.3">
      <c r="E101" s="17"/>
      <c r="F101" s="32"/>
      <c r="G101" s="32"/>
      <c r="H101" s="32"/>
      <c r="I101" s="32"/>
      <c r="J101" s="32"/>
      <c r="K101" s="32"/>
    </row>
    <row r="102" spans="5:11" x14ac:dyDescent="0.3">
      <c r="E102" s="17"/>
      <c r="F102" s="32"/>
      <c r="G102" s="32"/>
      <c r="H102" s="32"/>
      <c r="I102" s="32"/>
      <c r="J102" s="32"/>
      <c r="K102" s="32"/>
    </row>
    <row r="103" spans="5:11" x14ac:dyDescent="0.3">
      <c r="E103" s="17"/>
      <c r="F103" s="32"/>
      <c r="G103" s="32"/>
      <c r="H103" s="32"/>
      <c r="I103" s="32"/>
      <c r="J103" s="32"/>
      <c r="K103" s="32"/>
    </row>
    <row r="104" spans="5:11" x14ac:dyDescent="0.3">
      <c r="E104" s="17"/>
      <c r="F104" s="32"/>
      <c r="G104" s="32"/>
      <c r="H104" s="32"/>
      <c r="I104" s="32"/>
      <c r="J104" s="32"/>
      <c r="K104" s="32"/>
    </row>
    <row r="105" spans="5:11" x14ac:dyDescent="0.3">
      <c r="E105" s="17"/>
      <c r="F105" s="32"/>
      <c r="G105" s="32"/>
      <c r="H105" s="32"/>
      <c r="I105" s="32"/>
      <c r="J105" s="32"/>
      <c r="K105" s="32"/>
    </row>
    <row r="106" spans="5:11" x14ac:dyDescent="0.3">
      <c r="E106" s="17"/>
      <c r="F106" s="32"/>
      <c r="G106" s="32"/>
      <c r="H106" s="32"/>
      <c r="I106" s="32"/>
      <c r="J106" s="32"/>
      <c r="K106" s="32"/>
    </row>
    <row r="107" spans="5:11" x14ac:dyDescent="0.3">
      <c r="E107" s="17"/>
      <c r="F107" s="32"/>
      <c r="G107" s="32"/>
      <c r="H107" s="32"/>
      <c r="I107" s="32"/>
      <c r="J107" s="32"/>
      <c r="K107" s="32"/>
    </row>
    <row r="108" spans="5:11" x14ac:dyDescent="0.3">
      <c r="E108" s="17"/>
      <c r="F108" s="32"/>
      <c r="G108" s="32"/>
      <c r="H108" s="32"/>
      <c r="I108" s="32"/>
      <c r="J108" s="32"/>
      <c r="K108" s="32"/>
    </row>
    <row r="109" spans="5:11" x14ac:dyDescent="0.3">
      <c r="E109" s="17"/>
      <c r="F109" s="32"/>
      <c r="G109" s="32"/>
      <c r="H109" s="32"/>
      <c r="I109" s="32"/>
      <c r="J109" s="32"/>
      <c r="K109" s="32"/>
    </row>
    <row r="110" spans="5:11" x14ac:dyDescent="0.3">
      <c r="E110" s="17"/>
      <c r="F110" s="32"/>
      <c r="G110" s="32"/>
      <c r="H110" s="32"/>
      <c r="I110" s="32"/>
      <c r="J110" s="32"/>
      <c r="K110" s="32"/>
    </row>
    <row r="111" spans="5:11" x14ac:dyDescent="0.3">
      <c r="E111" s="17"/>
      <c r="F111" s="32"/>
      <c r="G111" s="32"/>
      <c r="H111" s="32"/>
      <c r="I111" s="32"/>
      <c r="J111" s="32"/>
      <c r="K111" s="32"/>
    </row>
    <row r="112" spans="5:11" x14ac:dyDescent="0.3">
      <c r="E112" s="17"/>
      <c r="F112" s="32"/>
      <c r="G112" s="32"/>
      <c r="H112" s="32"/>
      <c r="I112" s="32"/>
      <c r="J112" s="32"/>
      <c r="K112" s="32"/>
    </row>
    <row r="113" spans="5:11" x14ac:dyDescent="0.3">
      <c r="E113" s="17"/>
      <c r="F113" s="32"/>
      <c r="G113" s="32"/>
      <c r="H113" s="32"/>
      <c r="I113" s="32"/>
      <c r="J113" s="32"/>
      <c r="K113" s="32"/>
    </row>
    <row r="114" spans="5:11" x14ac:dyDescent="0.3">
      <c r="E114" s="17"/>
      <c r="F114" s="32"/>
      <c r="G114" s="32"/>
      <c r="H114" s="32"/>
      <c r="I114" s="32"/>
      <c r="J114" s="32"/>
      <c r="K114" s="32"/>
    </row>
    <row r="115" spans="5:11" x14ac:dyDescent="0.3">
      <c r="E115" s="17"/>
      <c r="F115" s="32"/>
      <c r="G115" s="32"/>
      <c r="H115" s="32"/>
      <c r="I115" s="32"/>
      <c r="J115" s="32"/>
      <c r="K115" s="32"/>
    </row>
    <row r="116" spans="5:11" x14ac:dyDescent="0.3">
      <c r="E116" s="17"/>
      <c r="F116" s="32"/>
      <c r="G116" s="32"/>
      <c r="H116" s="32"/>
      <c r="I116" s="32"/>
      <c r="J116" s="32"/>
      <c r="K116" s="32"/>
    </row>
    <row r="117" spans="5:11" x14ac:dyDescent="0.3">
      <c r="E117" s="17"/>
      <c r="F117" s="32"/>
      <c r="G117" s="32"/>
      <c r="H117" s="32"/>
      <c r="I117" s="32"/>
      <c r="J117" s="32"/>
      <c r="K117" s="32"/>
    </row>
    <row r="118" spans="5:11" x14ac:dyDescent="0.3">
      <c r="E118" s="17"/>
      <c r="F118" s="32"/>
      <c r="G118" s="32"/>
      <c r="H118" s="32"/>
      <c r="I118" s="32"/>
      <c r="J118" s="32"/>
      <c r="K118" s="32"/>
    </row>
    <row r="119" spans="5:11" x14ac:dyDescent="0.3">
      <c r="E119" s="17"/>
      <c r="F119" s="32"/>
      <c r="G119" s="32"/>
      <c r="H119" s="32"/>
      <c r="I119" s="32"/>
      <c r="J119" s="32"/>
      <c r="K119" s="32"/>
    </row>
    <row r="120" spans="5:11" x14ac:dyDescent="0.3">
      <c r="E120" s="17"/>
      <c r="F120" s="32"/>
      <c r="G120" s="32"/>
      <c r="H120" s="32"/>
      <c r="I120" s="32"/>
      <c r="J120" s="32"/>
      <c r="K120" s="32"/>
    </row>
    <row r="121" spans="5:11" x14ac:dyDescent="0.3">
      <c r="E121" s="17"/>
      <c r="F121" s="32"/>
      <c r="G121" s="32"/>
      <c r="H121" s="32"/>
      <c r="I121" s="32"/>
      <c r="J121" s="32"/>
      <c r="K121" s="32"/>
    </row>
    <row r="122" spans="5:11" x14ac:dyDescent="0.3">
      <c r="E122" s="17"/>
      <c r="F122" s="32"/>
      <c r="G122" s="32"/>
      <c r="H122" s="32"/>
      <c r="I122" s="32"/>
      <c r="J122" s="32"/>
      <c r="K122" s="32"/>
    </row>
    <row r="123" spans="5:11" x14ac:dyDescent="0.3">
      <c r="E123" s="17"/>
      <c r="F123" s="32"/>
      <c r="G123" s="32"/>
      <c r="H123" s="32"/>
      <c r="I123" s="32"/>
      <c r="J123" s="32"/>
      <c r="K123" s="32"/>
    </row>
    <row r="124" spans="5:11" x14ac:dyDescent="0.3">
      <c r="E124" s="17"/>
      <c r="F124" s="32"/>
      <c r="G124" s="32"/>
      <c r="H124" s="32"/>
      <c r="I124" s="32"/>
      <c r="J124" s="32"/>
      <c r="K124" s="32"/>
    </row>
    <row r="125" spans="5:11" x14ac:dyDescent="0.3">
      <c r="E125" s="17"/>
      <c r="F125" s="32"/>
      <c r="G125" s="32"/>
      <c r="H125" s="32"/>
      <c r="I125" s="32"/>
      <c r="J125" s="32"/>
      <c r="K125" s="32"/>
    </row>
    <row r="126" spans="5:11" x14ac:dyDescent="0.3">
      <c r="E126" s="17"/>
      <c r="F126" s="32"/>
      <c r="G126" s="32"/>
      <c r="H126" s="32"/>
      <c r="I126" s="32"/>
      <c r="J126" s="32"/>
      <c r="K126" s="32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3426-31EA-4694-BE44-5E92C90258DF}">
  <dimension ref="B1:AG65"/>
  <sheetViews>
    <sheetView workbookViewId="0">
      <selection activeCell="R1" sqref="R1"/>
    </sheetView>
  </sheetViews>
  <sheetFormatPr defaultRowHeight="14.4" x14ac:dyDescent="0.3"/>
  <cols>
    <col min="2" max="2" width="11.33203125" customWidth="1"/>
    <col min="4" max="14" width="12.6640625" customWidth="1"/>
    <col min="18" max="18" width="9.44140625" bestFit="1" customWidth="1"/>
    <col min="31" max="31" width="6.88671875" bestFit="1" customWidth="1"/>
    <col min="32" max="32" width="11.33203125" bestFit="1" customWidth="1"/>
    <col min="33" max="33" width="9.44140625" bestFit="1" customWidth="1"/>
  </cols>
  <sheetData>
    <row r="1" spans="2:33" x14ac:dyDescent="0.3"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159</v>
      </c>
      <c r="R1" t="s">
        <v>351</v>
      </c>
      <c r="T1" t="s">
        <v>228</v>
      </c>
      <c r="AA1" t="s">
        <v>223</v>
      </c>
    </row>
    <row r="2" spans="2:33" x14ac:dyDescent="0.3">
      <c r="B2" s="30" t="s">
        <v>210</v>
      </c>
      <c r="C2" t="s">
        <v>211</v>
      </c>
      <c r="D2" s="1" t="s">
        <v>212</v>
      </c>
      <c r="E2" s="1" t="s">
        <v>234</v>
      </c>
      <c r="F2" s="1" t="s">
        <v>237</v>
      </c>
      <c r="G2" s="1" t="s">
        <v>239</v>
      </c>
      <c r="H2" s="1" t="s">
        <v>238</v>
      </c>
      <c r="I2" s="1" t="s">
        <v>240</v>
      </c>
      <c r="J2" s="1" t="s">
        <v>241</v>
      </c>
      <c r="K2" s="1" t="s">
        <v>242</v>
      </c>
      <c r="L2" s="1" t="s">
        <v>243</v>
      </c>
      <c r="M2" s="1" t="s">
        <v>244</v>
      </c>
      <c r="N2" s="1" t="s">
        <v>245</v>
      </c>
      <c r="O2" s="1" t="s">
        <v>251</v>
      </c>
      <c r="R2" s="1" t="s">
        <v>350</v>
      </c>
      <c r="T2" s="15" t="s">
        <v>221</v>
      </c>
      <c r="U2" s="15" t="s">
        <v>222</v>
      </c>
      <c r="V2" s="15" t="s">
        <v>233</v>
      </c>
      <c r="W2" s="15" t="s">
        <v>235</v>
      </c>
      <c r="X2" s="35" t="s">
        <v>347</v>
      </c>
      <c r="Y2" s="35" t="s">
        <v>348</v>
      </c>
      <c r="AA2" s="15" t="s">
        <v>224</v>
      </c>
      <c r="AB2" s="15" t="s">
        <v>225</v>
      </c>
      <c r="AC2" s="15" t="s">
        <v>234</v>
      </c>
      <c r="AD2" s="15" t="s">
        <v>236</v>
      </c>
      <c r="AE2" s="15" t="s">
        <v>217</v>
      </c>
      <c r="AF2" s="15" t="s">
        <v>216</v>
      </c>
      <c r="AG2" s="15" t="s">
        <v>291</v>
      </c>
    </row>
    <row r="3" spans="2:33" x14ac:dyDescent="0.3">
      <c r="B3" s="31" t="str">
        <f>YEAR(C3)&amp;MONTH(C3)</f>
        <v>20211</v>
      </c>
      <c r="C3" s="17">
        <v>44197</v>
      </c>
      <c r="D3" s="32">
        <f ca="1">IFERROR(AVERAGEIF('Preço Soja ESALQ'!$C:$C,'Modelo Soja'!$B3,'Preço Soja ESALQ'!E:E),NA())</f>
        <v>3028.8178571428575</v>
      </c>
      <c r="E3" s="32">
        <f ca="1">IFERROR(AVERAGEIF('Preço Soja ESALQ'!$C:$C,'Modelo Soja'!$B3,'Preço Soja ESALQ'!F:F),NA())</f>
        <v>3050.7015000000001</v>
      </c>
      <c r="F3" s="32">
        <f ca="1">IFERROR(AVERAGEIF('Preço Soja ESALQ'!$C:$C,'Modelo Soja'!$B3,'Preço Soja ESALQ'!G:G),NA())</f>
        <v>3212.5170000000003</v>
      </c>
      <c r="G3" s="32">
        <f ca="1">IFERROR(AVERAGEIF('Preço Soja ESALQ'!$C:$C,'Modelo Soja'!$B3,'Preço Soja ESALQ'!H:H),NA())</f>
        <v>2701.2113333333341</v>
      </c>
      <c r="H3" s="32">
        <f ca="1">IFERROR(AVERAGEIF('Preço Soja ESALQ'!$C:$C,'Modelo Soja'!$B3,'Preço Soja ESALQ'!I:I),NA())</f>
        <v>2720.5165000000006</v>
      </c>
      <c r="I3" s="32">
        <f ca="1">IFERROR(AVERAGEIF('Preço Soja ESALQ'!$C:$C,'Modelo Soja'!$B3,'Preço Soja ESALQ'!J:J),NA())</f>
        <v>2774.7830000000008</v>
      </c>
      <c r="J3" s="32">
        <f ca="1">IFERROR(AVERAGEIF('Preço Soja ESALQ'!$C:$C,'Modelo Soja'!$B3,'Preço Soja ESALQ'!K:K),NA())</f>
        <v>2762.2555000000002</v>
      </c>
      <c r="K3" s="32">
        <f ca="1">IFERROR(AVERAGEIF('Preço Soja ESALQ'!$C:$C,'Modelo Soja'!$B3,'Preço Soja ESALQ'!L:L),NA())</f>
        <v>2778.1285714285709</v>
      </c>
      <c r="L3" s="37">
        <f ca="1">M3+(L4-M4)</f>
        <v>2593.3873333333336</v>
      </c>
      <c r="M3" s="32">
        <f ca="1">IFERROR(AVERAGEIF('Preço Soja ESALQ'!$C:$C,'Modelo Soja'!$B3,'Preço Soja ESALQ'!N:N),NA())</f>
        <v>2678.7629999999999</v>
      </c>
      <c r="N3" s="32">
        <f ca="1">IFERROR(AVERAGEIF('Preço Soja ESALQ'!$C:$C,'Modelo Soja'!$B3,'Preço Soja ESALQ'!P:P),NA())</f>
        <v>2726.4009999999994</v>
      </c>
      <c r="P3" s="33"/>
      <c r="Q3" s="33"/>
      <c r="R3" s="32">
        <f>+[3]mensal!AF3/0.90718</f>
        <v>2613.7496452555797</v>
      </c>
      <c r="T3" s="36">
        <f>+[6]FSORPRA!H2</f>
        <v>237.5</v>
      </c>
      <c r="U3" s="36">
        <f>+[6]FRONPRA!H2</f>
        <v>176.25</v>
      </c>
      <c r="V3" s="36">
        <f>VLOOKUP(B3,'Frete ESALQ'!$C$5:$AL$131,36,FALSE)</f>
        <v>86.07</v>
      </c>
      <c r="W3" s="36">
        <f>VLOOKUP(B3,'Frete ESALQ'!$C$5:$AW$131,47,FALSE)</f>
        <v>71.63</v>
      </c>
      <c r="X3" s="36">
        <f>VLOOKUP(B3,'Frete ESALQ'!$C$5:$BH$131,58,FALSE)</f>
        <v>52.83</v>
      </c>
      <c r="Y3" s="36">
        <f>VLOOKUP(B3,'Frete ESALQ'!$C$5:$BH$131,32,FALSE)</f>
        <v>61.11</v>
      </c>
      <c r="AA3" s="33">
        <f>+R3-T3</f>
        <v>2376.2496452555797</v>
      </c>
      <c r="AB3" s="33">
        <f>+R3-U3</f>
        <v>2437.4996452555797</v>
      </c>
      <c r="AC3" s="33">
        <f>+R3-V3</f>
        <v>2527.6796452555795</v>
      </c>
      <c r="AD3" s="33">
        <f>+R3-W3</f>
        <v>2542.1196452555796</v>
      </c>
      <c r="AE3" s="33">
        <f>+R3-X3</f>
        <v>2560.9196452555798</v>
      </c>
      <c r="AF3" s="33">
        <f>+R3-Y3</f>
        <v>2552.6396452555796</v>
      </c>
      <c r="AG3" s="42">
        <f>+R3-'Modelo Soja'!BL3</f>
        <v>2386.2496452555797</v>
      </c>
    </row>
    <row r="4" spans="2:33" x14ac:dyDescent="0.3">
      <c r="B4" s="31" t="str">
        <f t="shared" ref="B4:B65" si="0">YEAR(C4)&amp;MONTH(C4)</f>
        <v>20212</v>
      </c>
      <c r="C4" s="17">
        <f>EDATE(C3,1)</f>
        <v>44228</v>
      </c>
      <c r="D4" s="32">
        <f ca="1">IFERROR(AVERAGEIF('Preço Soja ESALQ'!$C:$C,'Modelo Soja'!$B4,'Preço Soja ESALQ'!E:E),NA())</f>
        <v>3063.5233333333326</v>
      </c>
      <c r="E4" s="32">
        <f ca="1">IFERROR(AVERAGEIF('Preço Soja ESALQ'!$C:$C,'Modelo Soja'!$B4,'Preço Soja ESALQ'!F:F),NA())</f>
        <v>3131.5800000000004</v>
      </c>
      <c r="F4" s="32">
        <f ca="1">IFERROR(AVERAGEIF('Preço Soja ESALQ'!$C:$C,'Modelo Soja'!$B4,'Preço Soja ESALQ'!G:G),NA())</f>
        <v>3260.1672222222219</v>
      </c>
      <c r="G4" s="32">
        <f ca="1">IFERROR(AVERAGEIF('Preço Soja ESALQ'!$C:$C,'Modelo Soja'!$B4,'Preço Soja ESALQ'!H:H),NA())</f>
        <v>2816.742777777778</v>
      </c>
      <c r="H4" s="32">
        <f ca="1">IFERROR(AVERAGEIF('Preço Soja ESALQ'!$C:$C,'Modelo Soja'!$B4,'Preço Soja ESALQ'!I:I),NA())</f>
        <v>2958.3833333333332</v>
      </c>
      <c r="I4" s="32">
        <f ca="1">IFERROR(AVERAGEIF('Preço Soja ESALQ'!$C:$C,'Modelo Soja'!$B4,'Preço Soja ESALQ'!J:J),NA())</f>
        <v>2868.7172222222216</v>
      </c>
      <c r="J4" s="32">
        <f ca="1">IFERROR(AVERAGEIF('Preço Soja ESALQ'!$C:$C,'Modelo Soja'!$B4,'Preço Soja ESALQ'!K:K),NA())</f>
        <v>2819.0500000000006</v>
      </c>
      <c r="K4" s="32">
        <f ca="1">IFERROR(AVERAGEIF('Preço Soja ESALQ'!$C:$C,'Modelo Soja'!$B4,'Preço Soja ESALQ'!L:L),NA())</f>
        <v>2762.8500000000004</v>
      </c>
      <c r="L4" s="32">
        <f ca="1">IFERROR(AVERAGEIF('Preço Soja ESALQ'!$C:$C,'Modelo Soja'!$B4,'Preço Soja ESALQ'!M:M),NA())</f>
        <v>2580.9659999999999</v>
      </c>
      <c r="M4" s="32">
        <f ca="1">IFERROR(AVERAGEIF('Preço Soja ESALQ'!$C:$C,'Modelo Soja'!$B4,'Preço Soja ESALQ'!N:N),NA())</f>
        <v>2666.3416666666662</v>
      </c>
      <c r="N4" s="32">
        <f ca="1">IFERROR(AVERAGEIF('Preço Soja ESALQ'!$C:$C,'Modelo Soja'!$B4,'Preço Soja ESALQ'!P:P),NA())</f>
        <v>2810.7172222222225</v>
      </c>
      <c r="P4" s="33"/>
      <c r="Q4" s="33"/>
      <c r="R4" s="32">
        <f>+[3]mensal!AF4/0.90718</f>
        <v>2557.468522349769</v>
      </c>
      <c r="T4" s="36">
        <f>+[6]FSORPRA!H3</f>
        <v>304.16750000000002</v>
      </c>
      <c r="U4" s="36">
        <f>+[6]FRONPRA!H3</f>
        <v>247.5</v>
      </c>
      <c r="V4" s="36">
        <f>VLOOKUP(B4,'Frete ESALQ'!$C$5:$AL$131,36,FALSE)</f>
        <v>131.08000000000001</v>
      </c>
      <c r="W4" s="36">
        <f>VLOOKUP(B4,'Frete ESALQ'!$C$5:$AW$131,47,FALSE)</f>
        <v>113.68</v>
      </c>
      <c r="X4" s="36">
        <f>VLOOKUP(B4,'Frete ESALQ'!$C$5:$BH$131,58,FALSE)</f>
        <v>61.48</v>
      </c>
      <c r="Y4" s="36">
        <f>VLOOKUP(B4,'Frete ESALQ'!$C$5:$BH$131,32,FALSE)</f>
        <v>69.66</v>
      </c>
      <c r="AA4" s="33">
        <f t="shared" ref="AA4:AA65" si="1">+R4-T4</f>
        <v>2253.301022349769</v>
      </c>
      <c r="AB4" s="33">
        <f t="shared" ref="AB4:AB65" si="2">+R4-U4</f>
        <v>2309.968522349769</v>
      </c>
      <c r="AC4" s="33">
        <f t="shared" ref="AC4:AC65" si="3">+R4-V4</f>
        <v>2426.3885223497691</v>
      </c>
      <c r="AD4" s="33">
        <f t="shared" ref="AD4:AD65" si="4">+R4-W4</f>
        <v>2443.7885223497692</v>
      </c>
      <c r="AE4" s="33">
        <f t="shared" ref="AE4:AE65" si="5">+R4-X4</f>
        <v>2495.988522349769</v>
      </c>
      <c r="AF4" s="33">
        <f t="shared" ref="AF4:AF65" si="6">+R4-Y4</f>
        <v>2487.8085223497692</v>
      </c>
      <c r="AG4" s="42">
        <f>+R4-'Modelo Soja'!BL4</f>
        <v>2263.301022349769</v>
      </c>
    </row>
    <row r="5" spans="2:33" x14ac:dyDescent="0.3">
      <c r="B5" s="31" t="str">
        <f t="shared" si="0"/>
        <v>20213</v>
      </c>
      <c r="C5" s="17">
        <f t="shared" ref="C5:C65" si="7">EDATE(C4,1)</f>
        <v>44256</v>
      </c>
      <c r="D5" s="32">
        <f ca="1">IFERROR(AVERAGEIF('Preço Soja ESALQ'!$C:$C,'Modelo Soja'!$B5,'Preço Soja ESALQ'!E:E),NA())</f>
        <v>2522.387826086956</v>
      </c>
      <c r="E5" s="32">
        <f ca="1">IFERROR(AVERAGEIF('Preço Soja ESALQ'!$C:$C,'Modelo Soja'!$B5,'Preço Soja ESALQ'!F:F),NA())</f>
        <v>2613.3204347826086</v>
      </c>
      <c r="F5" s="32">
        <f ca="1">IFERROR(AVERAGEIF('Preço Soja ESALQ'!$C:$C,'Modelo Soja'!$B5,'Preço Soja ESALQ'!G:G),NA())</f>
        <v>2773.1330434782608</v>
      </c>
      <c r="G5" s="32">
        <f ca="1">IFERROR(AVERAGEIF('Preço Soja ESALQ'!$C:$C,'Modelo Soja'!$B5,'Preço Soja ESALQ'!H:H),NA())</f>
        <v>2413.01652173913</v>
      </c>
      <c r="H5" s="32">
        <f ca="1">IFERROR(AVERAGEIF('Preço Soja ESALQ'!$C:$C,'Modelo Soja'!$B5,'Preço Soja ESALQ'!I:I),NA())</f>
        <v>2666.2086956521739</v>
      </c>
      <c r="I5" s="32">
        <f ca="1">IFERROR(AVERAGEIF('Preço Soja ESALQ'!$C:$C,'Modelo Soja'!$B5,'Preço Soja ESALQ'!J:J),NA())</f>
        <v>2631.0947826086958</v>
      </c>
      <c r="J5" s="32">
        <f ca="1">IFERROR(AVERAGEIF('Preço Soja ESALQ'!$C:$C,'Modelo Soja'!$B5,'Preço Soja ESALQ'!K:K),NA())</f>
        <v>2644.1213043478269</v>
      </c>
      <c r="K5" s="32">
        <f ca="1">IFERROR(AVERAGEIF('Preço Soja ESALQ'!$C:$C,'Modelo Soja'!$B5,'Preço Soja ESALQ'!L:L),NA())</f>
        <v>2574.2913043478261</v>
      </c>
      <c r="L5" s="37">
        <f ca="1">M5+(L4-M4)</f>
        <v>2199.139550724638</v>
      </c>
      <c r="M5" s="32">
        <f ca="1">IFERROR(AVERAGEIF('Preço Soja ESALQ'!$C:$C,'Modelo Soja'!$B5,'Preço Soja ESALQ'!N:N),NA())</f>
        <v>2284.5152173913043</v>
      </c>
      <c r="N5" s="32">
        <f ca="1">IFERROR(AVERAGEIF('Preço Soja ESALQ'!$C:$C,'Modelo Soja'!$B5,'Preço Soja ESALQ'!P:P),NA())</f>
        <v>2677.1739130434785</v>
      </c>
      <c r="P5" s="33"/>
      <c r="Q5" s="33"/>
      <c r="R5" s="32">
        <f>+[3]mensal!AF5/0.90718</f>
        <v>2542.4854557076706</v>
      </c>
      <c r="T5" s="36">
        <f>+[6]FSORPRA!H4</f>
        <v>320</v>
      </c>
      <c r="U5" s="36">
        <f>+[6]FRONPRA!H4</f>
        <v>273.75</v>
      </c>
      <c r="V5" s="36">
        <f>VLOOKUP(B5,'Frete ESALQ'!$C$5:$AL$131,36,FALSE)</f>
        <v>184.08</v>
      </c>
      <c r="W5" s="36">
        <f>VLOOKUP(B5,'Frete ESALQ'!$C$5:$AW$131,47,FALSE)</f>
        <v>151.22</v>
      </c>
      <c r="X5" s="36">
        <f>VLOOKUP(B5,'Frete ESALQ'!$C$5:$BH$131,58,FALSE)</f>
        <v>123.2</v>
      </c>
      <c r="Y5" s="36">
        <f>VLOOKUP(B5,'Frete ESALQ'!$C$5:$BH$131,32,FALSE)</f>
        <v>124.1</v>
      </c>
      <c r="AA5" s="33">
        <f t="shared" si="1"/>
        <v>2222.4854557076706</v>
      </c>
      <c r="AB5" s="33">
        <f t="shared" si="2"/>
        <v>2268.7354557076706</v>
      </c>
      <c r="AC5" s="33">
        <f t="shared" si="3"/>
        <v>2358.4054557076706</v>
      </c>
      <c r="AD5" s="33">
        <f t="shared" si="4"/>
        <v>2391.2654557076708</v>
      </c>
      <c r="AE5" s="33">
        <f t="shared" si="5"/>
        <v>2419.2854557076707</v>
      </c>
      <c r="AF5" s="33">
        <f t="shared" si="6"/>
        <v>2418.3854557076706</v>
      </c>
      <c r="AG5" s="42">
        <f>+R5-'Modelo Soja'!BL5</f>
        <v>2232.4854557076706</v>
      </c>
    </row>
    <row r="6" spans="2:33" x14ac:dyDescent="0.3">
      <c r="B6" s="31" t="str">
        <f t="shared" si="0"/>
        <v>20214</v>
      </c>
      <c r="C6" s="17">
        <f t="shared" si="7"/>
        <v>44287</v>
      </c>
      <c r="D6" s="32">
        <f ca="1">IFERROR(AVERAGEIF('Preço Soja ESALQ'!$C:$C,'Modelo Soja'!$B6,'Preço Soja ESALQ'!E:E),NA())</f>
        <v>2504.8240000000001</v>
      </c>
      <c r="E6" s="32">
        <f ca="1">IFERROR(AVERAGEIF('Preço Soja ESALQ'!$C:$C,'Modelo Soja'!$B6,'Preço Soja ESALQ'!F:F),NA())</f>
        <v>2548.6319999999996</v>
      </c>
      <c r="F6" s="32">
        <f ca="1">IFERROR(AVERAGEIF('Preço Soja ESALQ'!$C:$C,'Modelo Soja'!$B6,'Preço Soja ESALQ'!G:G),NA())</f>
        <v>2601.4155000000001</v>
      </c>
      <c r="G6" s="32">
        <f ca="1">IFERROR(AVERAGEIF('Preço Soja ESALQ'!$C:$C,'Modelo Soja'!$B6,'Preço Soja ESALQ'!H:H),NA())</f>
        <v>2417.9490000000001</v>
      </c>
      <c r="H6" s="32">
        <f ca="1">IFERROR(AVERAGEIF('Preço Soja ESALQ'!$C:$C,'Modelo Soja'!$B6,'Preço Soja ESALQ'!I:I),NA())</f>
        <v>2426.9170000000004</v>
      </c>
      <c r="I6" s="32">
        <f ca="1">IFERROR(AVERAGEIF('Preço Soja ESALQ'!$C:$C,'Modelo Soja'!$B6,'Preço Soja ESALQ'!J:J),NA())</f>
        <v>2495.2539999999999</v>
      </c>
      <c r="J6" s="32">
        <f ca="1">IFERROR(AVERAGEIF('Preço Soja ESALQ'!$C:$C,'Modelo Soja'!$B6,'Preço Soja ESALQ'!K:K),NA())</f>
        <v>2403.35</v>
      </c>
      <c r="K6" s="32">
        <f ca="1">IFERROR(AVERAGEIF('Preço Soja ESALQ'!$C:$C,'Modelo Soja'!$B6,'Preço Soja ESALQ'!L:L),NA())</f>
        <v>2452.3435000000004</v>
      </c>
      <c r="L6" s="32">
        <f ca="1">IFERROR(AVERAGEIF('Preço Soja ESALQ'!$C:$C,'Modelo Soja'!$B6,'Preço Soja ESALQ'!M:M),NA())</f>
        <v>2380.7683333333334</v>
      </c>
      <c r="M6" s="32">
        <f ca="1">IFERROR(AVERAGEIF('Preço Soja ESALQ'!$C:$C,'Modelo Soja'!$B6,'Preço Soja ESALQ'!N:N),NA())</f>
        <v>2253.0880000000002</v>
      </c>
      <c r="N6" s="32">
        <f ca="1">IFERROR(AVERAGEIF('Preço Soja ESALQ'!$C:$C,'Modelo Soja'!$B6,'Preço Soja ESALQ'!P:P),NA())</f>
        <v>2407.58</v>
      </c>
      <c r="P6" s="33"/>
      <c r="Q6" s="33"/>
      <c r="R6" s="32">
        <f>+[3]mensal!AF6/0.90718</f>
        <v>2523.6890143080755</v>
      </c>
      <c r="T6" s="36">
        <f>+[6]FSORPRA!H5</f>
        <v>307</v>
      </c>
      <c r="U6" s="36">
        <f>+[6]FRONPRA!H5</f>
        <v>263</v>
      </c>
      <c r="V6" s="36">
        <f>VLOOKUP(B6,'Frete ESALQ'!$C$5:$AL$131,36,FALSE)</f>
        <v>94.82</v>
      </c>
      <c r="W6" s="36">
        <f>VLOOKUP(B6,'Frete ESALQ'!$C$5:$AW$131,47,FALSE)</f>
        <v>123.97</v>
      </c>
      <c r="X6" s="36">
        <f>VLOOKUP(B6,'Frete ESALQ'!$C$5:$BH$131,58,FALSE)</f>
        <v>121.3</v>
      </c>
      <c r="Y6" s="36">
        <f>VLOOKUP(B6,'Frete ESALQ'!$C$5:$BH$131,32,FALSE)</f>
        <v>129.03</v>
      </c>
      <c r="AA6" s="33">
        <f t="shared" si="1"/>
        <v>2216.6890143080755</v>
      </c>
      <c r="AB6" s="33">
        <f t="shared" si="2"/>
        <v>2260.6890143080755</v>
      </c>
      <c r="AC6" s="33">
        <f t="shared" si="3"/>
        <v>2428.8690143080753</v>
      </c>
      <c r="AD6" s="33">
        <f t="shared" si="4"/>
        <v>2399.7190143080757</v>
      </c>
      <c r="AE6" s="33">
        <f t="shared" si="5"/>
        <v>2402.3890143080753</v>
      </c>
      <c r="AF6" s="33">
        <f t="shared" si="6"/>
        <v>2394.6590143080753</v>
      </c>
      <c r="AG6" s="42">
        <f>+R6-'Modelo Soja'!BL6</f>
        <v>2226.6890143080755</v>
      </c>
    </row>
    <row r="7" spans="2:33" x14ac:dyDescent="0.3">
      <c r="B7" s="31" t="str">
        <f t="shared" si="0"/>
        <v>20215</v>
      </c>
      <c r="C7" s="17">
        <f t="shared" si="7"/>
        <v>44317</v>
      </c>
      <c r="D7" s="32">
        <f ca="1">IFERROR(AVERAGEIF('Preço Soja ESALQ'!$C:$C,'Modelo Soja'!$B7,'Preço Soja ESALQ'!E:E),NA())</f>
        <v>2425.9352380952382</v>
      </c>
      <c r="E7" s="32">
        <f ca="1">IFERROR(AVERAGEIF('Preço Soja ESALQ'!$C:$C,'Modelo Soja'!$B7,'Preço Soja ESALQ'!F:F),NA())</f>
        <v>2467.0247619047623</v>
      </c>
      <c r="F7" s="32">
        <f ca="1">IFERROR(AVERAGEIF('Preço Soja ESALQ'!$C:$C,'Modelo Soja'!$B7,'Preço Soja ESALQ'!G:G),NA())</f>
        <v>2546.0552380952381</v>
      </c>
      <c r="G7" s="32">
        <f ca="1">IFERROR(AVERAGEIF('Preço Soja ESALQ'!$C:$C,'Modelo Soja'!$B7,'Preço Soja ESALQ'!H:H),NA())</f>
        <v>2346.2671428571425</v>
      </c>
      <c r="H7" s="32">
        <f ca="1">IFERROR(AVERAGEIF('Preço Soja ESALQ'!$C:$C,'Modelo Soja'!$B7,'Preço Soja ESALQ'!I:I),NA())</f>
        <v>2444.6042857142861</v>
      </c>
      <c r="I7" s="32">
        <f ca="1">IFERROR(AVERAGEIF('Preço Soja ESALQ'!$C:$C,'Modelo Soja'!$B7,'Preço Soja ESALQ'!J:J),NA())</f>
        <v>2499.207142857143</v>
      </c>
      <c r="J7" s="32">
        <f ca="1">IFERROR(AVERAGEIF('Preço Soja ESALQ'!$C:$C,'Modelo Soja'!$B7,'Preço Soja ESALQ'!K:K),NA())</f>
        <v>2333.861904761905</v>
      </c>
      <c r="K7" s="32">
        <f ca="1">IFERROR(AVERAGEIF('Preço Soja ESALQ'!$C:$C,'Modelo Soja'!$B7,'Preço Soja ESALQ'!L:L),NA())</f>
        <v>2416.0027777777777</v>
      </c>
      <c r="L7" s="32">
        <f ca="1">IFERROR(AVERAGEIF('Preço Soja ESALQ'!$C:$C,'Modelo Soja'!$B7,'Preço Soja ESALQ'!M:M),NA())</f>
        <v>2399.4542105263158</v>
      </c>
      <c r="M7" s="32">
        <f ca="1">IFERROR(AVERAGEIF('Preço Soja ESALQ'!$C:$C,'Modelo Soja'!$B7,'Preço Soja ESALQ'!N:N),NA())</f>
        <v>2208.0609523809521</v>
      </c>
      <c r="N7" s="32">
        <f ca="1">IFERROR(AVERAGEIF('Preço Soja ESALQ'!$C:$C,'Modelo Soja'!$B7,'Preço Soja ESALQ'!P:P),NA())</f>
        <v>2352.1280952380948</v>
      </c>
      <c r="P7" s="33"/>
      <c r="Q7" s="33"/>
      <c r="R7" s="32">
        <f>+[3]mensal!AF7/0.90718</f>
        <v>2425.9164729738095</v>
      </c>
      <c r="T7" s="36">
        <f>+[6]FSORPRA!H6</f>
        <v>289.25</v>
      </c>
      <c r="U7" s="36">
        <f>+[6]FRONPRA!H6</f>
        <v>265</v>
      </c>
      <c r="V7" s="36">
        <f>VLOOKUP(B7,'Frete ESALQ'!$C$5:$AL$131,36,FALSE)</f>
        <v>101.73</v>
      </c>
      <c r="W7" s="36">
        <f>VLOOKUP(B7,'Frete ESALQ'!$C$5:$AW$131,47,FALSE)</f>
        <v>104.75</v>
      </c>
      <c r="X7" s="36">
        <f>VLOOKUP(B7,'Frete ESALQ'!$C$5:$BH$131,58,FALSE)</f>
        <v>95</v>
      </c>
      <c r="Y7" s="36">
        <f>VLOOKUP(B7,'Frete ESALQ'!$C$5:$BH$131,32,FALSE)</f>
        <v>98.38</v>
      </c>
      <c r="AA7" s="33">
        <f t="shared" si="1"/>
        <v>2136.6664729738095</v>
      </c>
      <c r="AB7" s="33">
        <f t="shared" si="2"/>
        <v>2160.9164729738095</v>
      </c>
      <c r="AC7" s="33">
        <f t="shared" si="3"/>
        <v>2324.1864729738095</v>
      </c>
      <c r="AD7" s="33">
        <f t="shared" si="4"/>
        <v>2321.1664729738095</v>
      </c>
      <c r="AE7" s="33">
        <f t="shared" si="5"/>
        <v>2330.9164729738095</v>
      </c>
      <c r="AF7" s="33">
        <f t="shared" si="6"/>
        <v>2327.5364729738094</v>
      </c>
      <c r="AG7" s="42">
        <f>+R7-'Modelo Soja'!BL7</f>
        <v>2146.6664729738095</v>
      </c>
    </row>
    <row r="8" spans="2:33" x14ac:dyDescent="0.3">
      <c r="B8" s="31" t="str">
        <f t="shared" si="0"/>
        <v>20216</v>
      </c>
      <c r="C8" s="17">
        <f t="shared" si="7"/>
        <v>44348</v>
      </c>
      <c r="D8" s="32">
        <f ca="1">IFERROR(AVERAGEIF('Preço Soja ESALQ'!$C:$C,'Modelo Soja'!$B8,'Preço Soja ESALQ'!E:E),NA())</f>
        <v>2229.244285714286</v>
      </c>
      <c r="E8" s="32">
        <f ca="1">IFERROR(AVERAGEIF('Preço Soja ESALQ'!$C:$C,'Modelo Soja'!$B8,'Preço Soja ESALQ'!F:F),NA())</f>
        <v>2290.8747619047622</v>
      </c>
      <c r="F8" s="32">
        <f ca="1">IFERROR(AVERAGEIF('Preço Soja ESALQ'!$C:$C,'Modelo Soja'!$B8,'Preço Soja ESALQ'!G:G),NA())</f>
        <v>2356.437142857143</v>
      </c>
      <c r="G8" s="32">
        <f ca="1">IFERROR(AVERAGEIF('Preço Soja ESALQ'!$C:$C,'Modelo Soja'!$B8,'Preço Soja ESALQ'!H:H),NA())</f>
        <v>2204.3434999999999</v>
      </c>
      <c r="H8" s="32">
        <f ca="1">IFERROR(AVERAGEIF('Preço Soja ESALQ'!$C:$C,'Modelo Soja'!$B8,'Preço Soja ESALQ'!I:I),NA())</f>
        <v>2284.281428571428</v>
      </c>
      <c r="I8" s="32">
        <f ca="1">IFERROR(AVERAGEIF('Preço Soja ESALQ'!$C:$C,'Modelo Soja'!$B8,'Preço Soja ESALQ'!J:J),NA())</f>
        <v>2365.2947619047623</v>
      </c>
      <c r="J8" s="32">
        <f ca="1">IFERROR(AVERAGEIF('Preço Soja ESALQ'!$C:$C,'Modelo Soja'!$B8,'Preço Soja ESALQ'!K:K),NA())</f>
        <v>2132.9066666666672</v>
      </c>
      <c r="K8" s="32">
        <f ca="1">IFERROR(AVERAGEIF('Preço Soja ESALQ'!$C:$C,'Modelo Soja'!$B8,'Preço Soja ESALQ'!L:L),NA())</f>
        <v>2313.81</v>
      </c>
      <c r="L8" s="32">
        <f ca="1">IFERROR(AVERAGEIF('Preço Soja ESALQ'!$C:$C,'Modelo Soja'!$B8,'Preço Soja ESALQ'!M:M),NA())</f>
        <v>2351.4916666666668</v>
      </c>
      <c r="M8" s="32">
        <f ca="1">IFERROR(AVERAGEIF('Preço Soja ESALQ'!$C:$C,'Modelo Soja'!$B8,'Preço Soja ESALQ'!N:N),NA())</f>
        <v>2055.4019047619054</v>
      </c>
      <c r="N8" s="32">
        <f ca="1">IFERROR(AVERAGEIF('Preço Soja ESALQ'!$C:$C,'Modelo Soja'!$B8,'Preço Soja ESALQ'!P:P),NA())</f>
        <v>2133.9438095238097</v>
      </c>
      <c r="P8" s="33"/>
      <c r="Q8" s="33"/>
      <c r="R8" s="32">
        <f>+[3]mensal!AF8/0.90718</f>
        <v>2071.6789391300513</v>
      </c>
      <c r="T8" s="36">
        <f>+[6]FSORPRA!H7</f>
        <v>295.83249999999998</v>
      </c>
      <c r="U8" s="36">
        <f>+[6]FRONPRA!H7</f>
        <v>242.5</v>
      </c>
      <c r="V8" s="36">
        <f>VLOOKUP(B8,'Frete ESALQ'!$C$5:$AL$131,36,FALSE)</f>
        <v>96.49</v>
      </c>
      <c r="W8" s="36">
        <f>VLOOKUP(B8,'Frete ESALQ'!$C$5:$AW$131,47,FALSE)</f>
        <v>84.57</v>
      </c>
      <c r="X8" s="36">
        <f>VLOOKUP(B8,'Frete ESALQ'!$C$5:$BH$131,58,FALSE)</f>
        <v>94.83</v>
      </c>
      <c r="Y8" s="36">
        <f>VLOOKUP(B8,'Frete ESALQ'!$C$5:$BH$131,32,FALSE)</f>
        <v>84</v>
      </c>
      <c r="AA8" s="33">
        <f t="shared" si="1"/>
        <v>1775.8464391300513</v>
      </c>
      <c r="AB8" s="33">
        <f t="shared" si="2"/>
        <v>1829.1789391300513</v>
      </c>
      <c r="AC8" s="33">
        <f t="shared" si="3"/>
        <v>1975.1889391300513</v>
      </c>
      <c r="AD8" s="33">
        <f t="shared" si="4"/>
        <v>1987.1089391300513</v>
      </c>
      <c r="AE8" s="33">
        <f t="shared" si="5"/>
        <v>1976.8489391300513</v>
      </c>
      <c r="AF8" s="33">
        <f t="shared" si="6"/>
        <v>1987.6789391300513</v>
      </c>
      <c r="AG8" s="42">
        <f>+R8-'Modelo Soja'!BL8</f>
        <v>1785.8464391300513</v>
      </c>
    </row>
    <row r="9" spans="2:33" x14ac:dyDescent="0.3">
      <c r="B9" s="31" t="str">
        <f t="shared" si="0"/>
        <v>20217</v>
      </c>
      <c r="C9" s="17">
        <f t="shared" si="7"/>
        <v>44378</v>
      </c>
      <c r="D9" s="32">
        <f ca="1">IFERROR(AVERAGEIF('Preço Soja ESALQ'!$C:$C,'Modelo Soja'!$B9,'Preço Soja ESALQ'!E:E),NA())</f>
        <v>2284.0272727272732</v>
      </c>
      <c r="E9" s="32">
        <f ca="1">IFERROR(AVERAGEIF('Preço Soja ESALQ'!$C:$C,'Modelo Soja'!$B9,'Preço Soja ESALQ'!F:F),NA())</f>
        <v>2330.6477272727275</v>
      </c>
      <c r="F9" s="32">
        <f ca="1">IFERROR(AVERAGEIF('Preço Soja ESALQ'!$C:$C,'Modelo Soja'!$B9,'Preço Soja ESALQ'!G:G),NA())</f>
        <v>2409.3072727272734</v>
      </c>
      <c r="G9" s="32">
        <f ca="1">IFERROR(AVERAGEIF('Preço Soja ESALQ'!$C:$C,'Modelo Soja'!$B9,'Preço Soja ESALQ'!H:H),NA())</f>
        <v>2200.0022727272731</v>
      </c>
      <c r="H9" s="32">
        <f ca="1">IFERROR(AVERAGEIF('Preço Soja ESALQ'!$C:$C,'Modelo Soja'!$B9,'Preço Soja ESALQ'!I:I),NA())</f>
        <v>2285.8909090909096</v>
      </c>
      <c r="I9" s="32">
        <f ca="1">IFERROR(AVERAGEIF('Preço Soja ESALQ'!$C:$C,'Modelo Soja'!$B9,'Preço Soja ESALQ'!J:J),NA())</f>
        <v>2286.1481818181819</v>
      </c>
      <c r="J9" s="32">
        <f ca="1">IFERROR(AVERAGEIF('Preço Soja ESALQ'!$C:$C,'Modelo Soja'!$B9,'Preço Soja ESALQ'!K:K),NA())</f>
        <v>2165.8486363636362</v>
      </c>
      <c r="K9" s="32">
        <f ca="1">IFERROR(AVERAGEIF('Preço Soja ESALQ'!$C:$C,'Modelo Soja'!$B9,'Preço Soja ESALQ'!L:L),NA())</f>
        <v>2192.3844444444444</v>
      </c>
      <c r="L9" s="32">
        <f ca="1">IFERROR(AVERAGEIF('Preço Soja ESALQ'!$C:$C,'Modelo Soja'!$B9,'Preço Soja ESALQ'!M:M),NA())</f>
        <v>2193.4194444444438</v>
      </c>
      <c r="M9" s="32">
        <f ca="1">IFERROR(AVERAGEIF('Preço Soja ESALQ'!$C:$C,'Modelo Soja'!$B9,'Preço Soja ESALQ'!N:N),NA())</f>
        <v>2054.2449999999999</v>
      </c>
      <c r="N9" s="32">
        <f ca="1">IFERROR(AVERAGEIF('Preço Soja ESALQ'!$C:$C,'Modelo Soja'!$B9,'Preço Soja ESALQ'!P:P),NA())</f>
        <v>2148.9722727272724</v>
      </c>
      <c r="P9" s="33"/>
      <c r="Q9" s="33"/>
      <c r="R9" s="32">
        <f>+[3]mensal!AF9/0.90718</f>
        <v>2052.5639500420361</v>
      </c>
      <c r="T9" s="36">
        <f>+[6]FSORPRA!H8</f>
        <v>325</v>
      </c>
      <c r="U9" s="36">
        <f>+[6]FRONPRA!H8</f>
        <v>270</v>
      </c>
      <c r="V9" s="36">
        <f>VLOOKUP(B9,'Frete ESALQ'!$C$5:$AL$131,36,FALSE)</f>
        <v>86.17</v>
      </c>
      <c r="W9" s="36">
        <f>VLOOKUP(B9,'Frete ESALQ'!$C$5:$AW$131,47,FALSE)</f>
        <v>80.75</v>
      </c>
      <c r="X9" s="36">
        <f>VLOOKUP(B9,'Frete ESALQ'!$C$5:$BH$131,58,FALSE)</f>
        <v>77.680000000000007</v>
      </c>
      <c r="Y9" s="36">
        <f>VLOOKUP(B9,'Frete ESALQ'!$C$5:$BH$131,32,FALSE)</f>
        <v>72</v>
      </c>
      <c r="AA9" s="33">
        <f t="shared" si="1"/>
        <v>1727.5639500420361</v>
      </c>
      <c r="AB9" s="33">
        <f t="shared" si="2"/>
        <v>1782.5639500420361</v>
      </c>
      <c r="AC9" s="33">
        <f t="shared" si="3"/>
        <v>1966.3939500420361</v>
      </c>
      <c r="AD9" s="33">
        <f t="shared" si="4"/>
        <v>1971.8139500420361</v>
      </c>
      <c r="AE9" s="33">
        <f t="shared" si="5"/>
        <v>1974.8839500420361</v>
      </c>
      <c r="AF9" s="33">
        <f t="shared" si="6"/>
        <v>1980.5639500420361</v>
      </c>
      <c r="AG9" s="42">
        <f>+R9-'Modelo Soja'!BL9</f>
        <v>1737.5639500420361</v>
      </c>
    </row>
    <row r="10" spans="2:33" x14ac:dyDescent="0.3">
      <c r="B10" s="31" t="str">
        <f t="shared" si="0"/>
        <v>20218</v>
      </c>
      <c r="C10" s="17">
        <f t="shared" si="7"/>
        <v>44409</v>
      </c>
      <c r="D10" s="32">
        <f ca="1">IFERROR(AVERAGEIF('Preço Soja ESALQ'!$C:$C,'Modelo Soja'!$B10,'Preço Soja ESALQ'!E:E),NA())</f>
        <v>2303.3672727272728</v>
      </c>
      <c r="E10" s="32">
        <f ca="1">IFERROR(AVERAGEIF('Preço Soja ESALQ'!$C:$C,'Modelo Soja'!$B10,'Preço Soja ESALQ'!F:F),NA())</f>
        <v>2374.6759090909086</v>
      </c>
      <c r="F10" s="32">
        <f ca="1">IFERROR(AVERAGEIF('Preço Soja ESALQ'!$C:$C,'Modelo Soja'!$B10,'Preço Soja ESALQ'!G:G),NA())</f>
        <v>2414.3772727272731</v>
      </c>
      <c r="G10" s="32">
        <f ca="1">IFERROR(AVERAGEIF('Preço Soja ESALQ'!$C:$C,'Modelo Soja'!$B10,'Preço Soja ESALQ'!H:H),NA())</f>
        <v>2216.2772727272732</v>
      </c>
      <c r="H10" s="32">
        <f ca="1">IFERROR(AVERAGEIF('Preço Soja ESALQ'!$C:$C,'Modelo Soja'!$B10,'Preço Soja ESALQ'!I:I),NA())</f>
        <v>2288.83</v>
      </c>
      <c r="I10" s="32">
        <f ca="1">IFERROR(AVERAGEIF('Preço Soja ESALQ'!$C:$C,'Modelo Soja'!$B10,'Preço Soja ESALQ'!J:J),NA())</f>
        <v>2333.9781818181818</v>
      </c>
      <c r="J10" s="32">
        <f ca="1">IFERROR(AVERAGEIF('Preço Soja ESALQ'!$C:$C,'Modelo Soja'!$B10,'Preço Soja ESALQ'!K:K),NA())</f>
        <v>2212.2818181818188</v>
      </c>
      <c r="K10" s="32">
        <f ca="1">IFERROR(AVERAGEIF('Preço Soja ESALQ'!$C:$C,'Modelo Soja'!$B10,'Preço Soja ESALQ'!L:L),NA())</f>
        <v>2171.65</v>
      </c>
      <c r="L10" s="32">
        <f ca="1">IFERROR(AVERAGEIF('Preço Soja ESALQ'!$C:$C,'Modelo Soja'!$B10,'Preço Soja ESALQ'!M:M),NA())</f>
        <v>2250.9657142857145</v>
      </c>
      <c r="M10" s="32">
        <f ca="1">IFERROR(AVERAGEIF('Preço Soja ESALQ'!$C:$C,'Modelo Soja'!$B10,'Preço Soja ESALQ'!N:N),NA())</f>
        <v>2099.3095454545455</v>
      </c>
      <c r="N10" s="32">
        <f ca="1">IFERROR(AVERAGEIF('Preço Soja ESALQ'!$C:$C,'Modelo Soja'!$B10,'Preço Soja ESALQ'!P:P),NA())</f>
        <v>2205.5068181818183</v>
      </c>
      <c r="P10" s="33"/>
      <c r="Q10" s="33"/>
      <c r="R10" s="32">
        <f>+[3]mensal!AF10/0.90718</f>
        <v>2052.726469675622</v>
      </c>
      <c r="T10" s="36">
        <f>+[6]FSORPRA!H9</f>
        <v>310</v>
      </c>
      <c r="U10" s="36">
        <f>+[6]FRONPRA!H9</f>
        <v>273.75</v>
      </c>
      <c r="V10" s="36">
        <f>VLOOKUP(B10,'Frete ESALQ'!$C$5:$AL$131,36,FALSE)</f>
        <v>80.27</v>
      </c>
      <c r="W10" s="36">
        <f>VLOOKUP(B10,'Frete ESALQ'!$C$5:$AW$131,47,FALSE)</f>
        <v>67.33</v>
      </c>
      <c r="X10" s="36">
        <f>VLOOKUP(B10,'Frete ESALQ'!$C$5:$BH$131,58,FALSE)</f>
        <v>83.38</v>
      </c>
      <c r="Y10" s="36">
        <f>VLOOKUP(B10,'Frete ESALQ'!$C$5:$BH$131,32,FALSE)</f>
        <v>87.23</v>
      </c>
      <c r="AA10" s="33">
        <f t="shared" si="1"/>
        <v>1742.726469675622</v>
      </c>
      <c r="AB10" s="33">
        <f t="shared" si="2"/>
        <v>1778.976469675622</v>
      </c>
      <c r="AC10" s="33">
        <f t="shared" si="3"/>
        <v>1972.456469675622</v>
      </c>
      <c r="AD10" s="33">
        <f t="shared" si="4"/>
        <v>1985.396469675622</v>
      </c>
      <c r="AE10" s="33">
        <f t="shared" si="5"/>
        <v>1969.3464696756218</v>
      </c>
      <c r="AF10" s="33">
        <f t="shared" si="6"/>
        <v>1965.4964696756219</v>
      </c>
      <c r="AG10" s="42">
        <f>+R10-'Modelo Soja'!BL10</f>
        <v>1752.726469675622</v>
      </c>
    </row>
    <row r="11" spans="2:33" x14ac:dyDescent="0.3">
      <c r="B11" s="31" t="str">
        <f t="shared" si="0"/>
        <v>20219</v>
      </c>
      <c r="C11" s="17">
        <f t="shared" si="7"/>
        <v>44440</v>
      </c>
      <c r="D11" s="32">
        <f ca="1">IFERROR(AVERAGEIF('Preço Soja ESALQ'!$C:$C,'Modelo Soja'!$B11,'Preço Soja ESALQ'!E:E),NA())</f>
        <v>2327.034285714285</v>
      </c>
      <c r="E11" s="32">
        <f ca="1">IFERROR(AVERAGEIF('Preço Soja ESALQ'!$C:$C,'Modelo Soja'!$B11,'Preço Soja ESALQ'!F:F),NA())</f>
        <v>2366.0133333333324</v>
      </c>
      <c r="F11" s="32">
        <f ca="1">IFERROR(AVERAGEIF('Preço Soja ESALQ'!$C:$C,'Modelo Soja'!$B11,'Preço Soja ESALQ'!G:G),NA())</f>
        <v>2379.5999999999995</v>
      </c>
      <c r="G11" s="32">
        <f ca="1">IFERROR(AVERAGEIF('Preço Soja ESALQ'!$C:$C,'Modelo Soja'!$B11,'Preço Soja ESALQ'!H:H),NA())</f>
        <v>2223.4842857142858</v>
      </c>
      <c r="H11" s="32">
        <f ca="1">IFERROR(AVERAGEIF('Preço Soja ESALQ'!$C:$C,'Modelo Soja'!$B11,'Preço Soja ESALQ'!I:I),NA())</f>
        <v>2253.8890476190477</v>
      </c>
      <c r="I11" s="32">
        <f ca="1">IFERROR(AVERAGEIF('Preço Soja ESALQ'!$C:$C,'Modelo Soja'!$B11,'Preço Soja ESALQ'!J:J),NA())</f>
        <v>2399.9019047619054</v>
      </c>
      <c r="J11" s="32">
        <f ca="1">IFERROR(AVERAGEIF('Preço Soja ESALQ'!$C:$C,'Modelo Soja'!$B11,'Preço Soja ESALQ'!K:K),NA())</f>
        <v>2143.6409523809521</v>
      </c>
      <c r="K11" s="32">
        <f ca="1">IFERROR(AVERAGEIF('Preço Soja ESALQ'!$C:$C,'Modelo Soja'!$B11,'Preço Soja ESALQ'!L:L),NA())</f>
        <v>2177.77</v>
      </c>
      <c r="L11" s="32">
        <f ca="1">IFERROR(AVERAGEIF('Preço Soja ESALQ'!$C:$C,'Modelo Soja'!$B11,'Preço Soja ESALQ'!M:M),NA())</f>
        <v>2233.1582352941168</v>
      </c>
      <c r="M11" s="32">
        <f ca="1">IFERROR(AVERAGEIF('Preço Soja ESALQ'!$C:$C,'Modelo Soja'!$B11,'Preço Soja ESALQ'!N:N),NA())</f>
        <v>2127.8457142857137</v>
      </c>
      <c r="N11" s="32">
        <f ca="1">IFERROR(AVERAGEIF('Preço Soja ESALQ'!$C:$C,'Modelo Soja'!$B11,'Preço Soja ESALQ'!P:P),NA())</f>
        <v>2159.6785714285716</v>
      </c>
      <c r="P11" s="33"/>
      <c r="Q11" s="33"/>
      <c r="R11" s="32">
        <f>+[3]mensal!AF11/0.90718</f>
        <v>1966.26754903092</v>
      </c>
      <c r="T11" s="36">
        <f>+[6]FSORPRA!H10</f>
        <v>291.25</v>
      </c>
      <c r="U11" s="36">
        <f>+[6]FRONPRA!H10</f>
        <v>255</v>
      </c>
      <c r="V11" s="36">
        <f>VLOOKUP(B11,'Frete ESALQ'!$C$5:$AL$131,36,FALSE)</f>
        <v>68</v>
      </c>
      <c r="W11" s="36">
        <f>VLOOKUP(B11,'Frete ESALQ'!$C$5:$AW$131,47,FALSE)</f>
        <v>68</v>
      </c>
      <c r="X11" s="36">
        <f>VLOOKUP(B11,'Frete ESALQ'!$C$5:$BH$131,58,FALSE)</f>
        <v>91.24</v>
      </c>
      <c r="Y11" s="36">
        <f>VLOOKUP(B11,'Frete ESALQ'!$C$5:$BH$131,32,FALSE)</f>
        <v>96.6</v>
      </c>
      <c r="AA11" s="33">
        <f t="shared" si="1"/>
        <v>1675.01754903092</v>
      </c>
      <c r="AB11" s="33">
        <f t="shared" si="2"/>
        <v>1711.26754903092</v>
      </c>
      <c r="AC11" s="33">
        <f t="shared" si="3"/>
        <v>1898.26754903092</v>
      </c>
      <c r="AD11" s="33">
        <f t="shared" si="4"/>
        <v>1898.26754903092</v>
      </c>
      <c r="AE11" s="33">
        <f t="shared" si="5"/>
        <v>1875.02754903092</v>
      </c>
      <c r="AF11" s="33">
        <f t="shared" si="6"/>
        <v>1869.6675490309201</v>
      </c>
      <c r="AG11" s="42">
        <f>+R11-'Modelo Soja'!BL11</f>
        <v>1685.01754903092</v>
      </c>
    </row>
    <row r="12" spans="2:33" x14ac:dyDescent="0.3">
      <c r="B12" s="31" t="str">
        <f t="shared" si="0"/>
        <v>202110</v>
      </c>
      <c r="C12" s="17">
        <f t="shared" si="7"/>
        <v>44470</v>
      </c>
      <c r="D12" s="32">
        <f ca="1">IFERROR(AVERAGEIF('Preço Soja ESALQ'!$C:$C,'Modelo Soja'!$B12,'Preço Soja ESALQ'!E:E),NA())</f>
        <v>2292.9160000000002</v>
      </c>
      <c r="E12" s="32">
        <f ca="1">IFERROR(AVERAGEIF('Preço Soja ESALQ'!$C:$C,'Modelo Soja'!$B12,'Preço Soja ESALQ'!F:F),NA())</f>
        <v>2256.4605000000001</v>
      </c>
      <c r="F12" s="32">
        <f ca="1">IFERROR(AVERAGEIF('Preço Soja ESALQ'!$C:$C,'Modelo Soja'!$B12,'Preço Soja ESALQ'!G:G),NA())</f>
        <v>2335.9014999999995</v>
      </c>
      <c r="G12" s="32">
        <f ca="1">IFERROR(AVERAGEIF('Preço Soja ESALQ'!$C:$C,'Modelo Soja'!$B12,'Preço Soja ESALQ'!H:H),NA())</f>
        <v>2098.6905000000002</v>
      </c>
      <c r="H12" s="32">
        <f ca="1">IFERROR(AVERAGEIF('Preço Soja ESALQ'!$C:$C,'Modelo Soja'!$B12,'Preço Soja ESALQ'!I:I),NA())</f>
        <v>2198.3954999999996</v>
      </c>
      <c r="I12" s="32">
        <f ca="1">IFERROR(AVERAGEIF('Preço Soja ESALQ'!$C:$C,'Modelo Soja'!$B12,'Preço Soja ESALQ'!J:J),NA())</f>
        <v>2379.2815000000001</v>
      </c>
      <c r="J12" s="32">
        <f ca="1">IFERROR(AVERAGEIF('Preço Soja ESALQ'!$C:$C,'Modelo Soja'!$B12,'Preço Soja ESALQ'!K:K),NA())</f>
        <v>2106.2675000000004</v>
      </c>
      <c r="K12" s="32" t="e">
        <f ca="1">IFERROR(AVERAGEIF('Preço Soja ESALQ'!$C:$C,'Modelo Soja'!$B12,'Preço Soja ESALQ'!L:L),NA())</f>
        <v>#N/A</v>
      </c>
      <c r="L12" s="32">
        <f ca="1">IFERROR(AVERAGEIF('Preço Soja ESALQ'!$C:$C,'Modelo Soja'!$B12,'Preço Soja ESALQ'!M:M),NA())</f>
        <v>2227.5691666666667</v>
      </c>
      <c r="M12" s="32">
        <f ca="1">IFERROR(AVERAGEIF('Preço Soja ESALQ'!$C:$C,'Modelo Soja'!$B12,'Preço Soja ESALQ'!N:N),NA())</f>
        <v>2055.4659999999999</v>
      </c>
      <c r="N12" s="32">
        <f ca="1">IFERROR(AVERAGEIF('Preço Soja ESALQ'!$C:$C,'Modelo Soja'!$B12,'Preço Soja ESALQ'!P:P),NA())</f>
        <v>2108.6669999999999</v>
      </c>
      <c r="P12" s="33"/>
      <c r="Q12" s="33"/>
      <c r="R12" s="32">
        <f>+[3]mensal!AF12/0.90718</f>
        <v>1968.2664233370474</v>
      </c>
      <c r="T12" s="36">
        <f>+[6]FSORPRA!H11</f>
        <v>313</v>
      </c>
      <c r="U12" s="36">
        <f>+[6]FRONPRA!H11</f>
        <v>232</v>
      </c>
      <c r="V12" s="36">
        <f>VLOOKUP(B12,'Frete ESALQ'!$C$5:$AL$131,36,FALSE)</f>
        <v>68</v>
      </c>
      <c r="W12" s="36">
        <f>VLOOKUP(B12,'Frete ESALQ'!$C$5:$AW$131,47,FALSE)</f>
        <v>72</v>
      </c>
      <c r="X12" s="36">
        <f>VLOOKUP(B12,'Frete ESALQ'!$C$5:$BH$131,58,FALSE)</f>
        <v>85.59</v>
      </c>
      <c r="Y12" s="36">
        <f>VLOOKUP(B12,'Frete ESALQ'!$C$5:$BH$131,32,FALSE)</f>
        <v>91.5</v>
      </c>
      <c r="AA12" s="33">
        <f t="shared" si="1"/>
        <v>1655.2664233370474</v>
      </c>
      <c r="AB12" s="33">
        <f t="shared" si="2"/>
        <v>1736.2664233370474</v>
      </c>
      <c r="AC12" s="33">
        <f t="shared" si="3"/>
        <v>1900.2664233370474</v>
      </c>
      <c r="AD12" s="33">
        <f t="shared" si="4"/>
        <v>1896.2664233370474</v>
      </c>
      <c r="AE12" s="33">
        <f t="shared" si="5"/>
        <v>1882.6764233370475</v>
      </c>
      <c r="AF12" s="33">
        <f t="shared" si="6"/>
        <v>1876.7664233370474</v>
      </c>
      <c r="AG12" s="42">
        <f>+R12-'Modelo Soja'!BL12</f>
        <v>1665.2664233370474</v>
      </c>
    </row>
    <row r="13" spans="2:33" x14ac:dyDescent="0.3">
      <c r="B13" s="31" t="str">
        <f t="shared" si="0"/>
        <v>202111</v>
      </c>
      <c r="C13" s="17">
        <f t="shared" si="7"/>
        <v>44501</v>
      </c>
      <c r="D13" s="32">
        <f ca="1">IFERROR(AVERAGEIF('Preço Soja ESALQ'!$C:$C,'Modelo Soja'!$B13,'Preço Soja ESALQ'!E:E),NA())</f>
        <v>2168.8784999999998</v>
      </c>
      <c r="E13" s="32">
        <f ca="1">IFERROR(AVERAGEIF('Preço Soja ESALQ'!$C:$C,'Modelo Soja'!$B13,'Preço Soja ESALQ'!F:F),NA())</f>
        <v>2158.4420000000005</v>
      </c>
      <c r="F13" s="32">
        <f ca="1">IFERROR(AVERAGEIF('Preço Soja ESALQ'!$C:$C,'Modelo Soja'!$B13,'Preço Soja ESALQ'!G:G),NA())</f>
        <v>2237.8654999999999</v>
      </c>
      <c r="G13" s="32">
        <f ca="1">IFERROR(AVERAGEIF('Preço Soja ESALQ'!$C:$C,'Modelo Soja'!$B13,'Preço Soja ESALQ'!H:H),NA())</f>
        <v>2071.8895000000002</v>
      </c>
      <c r="H13" s="32">
        <f ca="1">IFERROR(AVERAGEIF('Preço Soja ESALQ'!$C:$C,'Modelo Soja'!$B13,'Preço Soja ESALQ'!I:I),NA())</f>
        <v>2153.1610000000005</v>
      </c>
      <c r="I13" s="32">
        <f ca="1">IFERROR(AVERAGEIF('Preço Soja ESALQ'!$C:$C,'Modelo Soja'!$B13,'Preço Soja ESALQ'!J:J),NA())</f>
        <v>2337.5494999999996</v>
      </c>
      <c r="J13" s="32">
        <f ca="1">IFERROR(AVERAGEIF('Preço Soja ESALQ'!$C:$C,'Modelo Soja'!$B13,'Preço Soja ESALQ'!K:K),NA())</f>
        <v>2055.1669999999999</v>
      </c>
      <c r="K13" s="32" t="e">
        <f ca="1">IFERROR(AVERAGEIF('Preço Soja ESALQ'!$C:$C,'Modelo Soja'!$B13,'Preço Soja ESALQ'!L:L),NA())</f>
        <v>#N/A</v>
      </c>
      <c r="L13" s="32">
        <f ca="1">IFERROR(AVERAGEIF('Preço Soja ESALQ'!$C:$C,'Modelo Soja'!$B13,'Preço Soja ESALQ'!M:M),NA())</f>
        <v>2137.7745000000004</v>
      </c>
      <c r="M13" s="32">
        <f ca="1">IFERROR(AVERAGEIF('Preço Soja ESALQ'!$C:$C,'Modelo Soja'!$B13,'Preço Soja ESALQ'!N:N),NA())</f>
        <v>2002.2205000000001</v>
      </c>
      <c r="N13" s="32">
        <f ca="1">IFERROR(AVERAGEIF('Preço Soja ESALQ'!$C:$C,'Modelo Soja'!$B13,'Preço Soja ESALQ'!P:P),NA())</f>
        <v>2057.6165000000001</v>
      </c>
      <c r="P13" s="33"/>
      <c r="Q13" s="33"/>
      <c r="R13" s="32">
        <f>+[3]mensal!AF13/0.90718</f>
        <v>2157.8617712765567</v>
      </c>
      <c r="T13" s="36">
        <f>+[6]FSORPRA!H12</f>
        <v>318.75</v>
      </c>
      <c r="U13" s="36">
        <f>+[6]FRONPRA!H12</f>
        <v>243.75</v>
      </c>
      <c r="V13" s="36">
        <f>VLOOKUP(B13,'Frete ESALQ'!$C$5:$AL$131,36,FALSE)</f>
        <v>68</v>
      </c>
      <c r="W13" s="36">
        <f>VLOOKUP(B13,'Frete ESALQ'!$C$5:$AW$131,47,FALSE)</f>
        <v>70</v>
      </c>
      <c r="X13" s="36">
        <f>VLOOKUP(B13,'Frete ESALQ'!$C$5:$BH$131,58,FALSE)</f>
        <v>76.08</v>
      </c>
      <c r="Y13" s="36">
        <f>VLOOKUP(B13,'Frete ESALQ'!$C$5:$BH$131,32,FALSE)</f>
        <v>73.5</v>
      </c>
      <c r="AA13" s="33">
        <f t="shared" si="1"/>
        <v>1839.1117712765567</v>
      </c>
      <c r="AB13" s="33">
        <f t="shared" si="2"/>
        <v>1914.1117712765567</v>
      </c>
      <c r="AC13" s="33">
        <f t="shared" si="3"/>
        <v>2089.8617712765567</v>
      </c>
      <c r="AD13" s="33">
        <f t="shared" si="4"/>
        <v>2087.8617712765567</v>
      </c>
      <c r="AE13" s="33">
        <f t="shared" si="5"/>
        <v>2081.7817712765568</v>
      </c>
      <c r="AF13" s="33">
        <f t="shared" si="6"/>
        <v>2084.3617712765567</v>
      </c>
      <c r="AG13" s="42">
        <f>+R13-'Modelo Soja'!BL13</f>
        <v>1849.1117712765567</v>
      </c>
    </row>
    <row r="14" spans="2:33" x14ac:dyDescent="0.3">
      <c r="B14" s="31" t="str">
        <f t="shared" si="0"/>
        <v>202112</v>
      </c>
      <c r="C14" s="17">
        <f t="shared" si="7"/>
        <v>44531</v>
      </c>
      <c r="D14" s="32">
        <f ca="1">IFERROR(AVERAGEIF('Preço Soja ESALQ'!$C:$C,'Modelo Soja'!$B14,'Preço Soja ESALQ'!E:E),NA())</f>
        <v>2360.8785714285714</v>
      </c>
      <c r="E14" s="32">
        <f ca="1">IFERROR(AVERAGEIF('Preço Soja ESALQ'!$C:$C,'Modelo Soja'!$B14,'Preço Soja ESALQ'!F:F),NA())</f>
        <v>2290.9566666666669</v>
      </c>
      <c r="F14" s="32">
        <f ca="1">IFERROR(AVERAGEIF('Preço Soja ESALQ'!$C:$C,'Modelo Soja'!$B14,'Preço Soja ESALQ'!G:G),NA())</f>
        <v>2374.2295238095235</v>
      </c>
      <c r="G14" s="32">
        <f ca="1">IFERROR(AVERAGEIF('Preço Soja ESALQ'!$C:$C,'Modelo Soja'!$B14,'Preço Soja ESALQ'!H:H),NA())</f>
        <v>2245.686666666667</v>
      </c>
      <c r="H14" s="32">
        <f ca="1">IFERROR(AVERAGEIF('Preço Soja ESALQ'!$C:$C,'Modelo Soja'!$B14,'Preço Soja ESALQ'!I:I),NA())</f>
        <v>2246.8895238095233</v>
      </c>
      <c r="I14" s="32">
        <f ca="1">IFERROR(AVERAGEIF('Preço Soja ESALQ'!$C:$C,'Modelo Soja'!$B14,'Preço Soja ESALQ'!J:J),NA())</f>
        <v>2348.1566666666663</v>
      </c>
      <c r="J14" s="32">
        <f ca="1">IFERROR(AVERAGEIF('Preço Soja ESALQ'!$C:$C,'Modelo Soja'!$B14,'Preço Soja ESALQ'!K:K),NA())</f>
        <v>2161.2576190476188</v>
      </c>
      <c r="K14" s="32">
        <f ca="1">IFERROR(AVERAGEIF('Preço Soja ESALQ'!$C:$C,'Modelo Soja'!$B14,'Preço Soja ESALQ'!L:L),NA())</f>
        <v>2305.3406666666665</v>
      </c>
      <c r="L14" s="32">
        <f ca="1">IFERROR(AVERAGEIF('Preço Soja ESALQ'!$C:$C,'Modelo Soja'!$B14,'Preço Soja ESALQ'!M:M),NA())</f>
        <v>2250.8838095238098</v>
      </c>
      <c r="M14" s="32">
        <f ca="1">IFERROR(AVERAGEIF('Preço Soja ESALQ'!$C:$C,'Modelo Soja'!$B14,'Preço Soja ESALQ'!N:N),NA())</f>
        <v>2145.9890476190476</v>
      </c>
      <c r="N14" s="32">
        <f ca="1">IFERROR(AVERAGEIF('Preço Soja ESALQ'!$C:$C,'Modelo Soja'!$B14,'Preço Soja ESALQ'!P:P),NA())</f>
        <v>2162.1557142857146</v>
      </c>
      <c r="P14" s="33"/>
      <c r="Q14" s="33"/>
      <c r="R14" s="32">
        <f>+[3]mensal!AF14/0.90718</f>
        <v>2403.8593851231813</v>
      </c>
      <c r="T14" s="36">
        <f>+[6]FSORPRA!H13</f>
        <v>352</v>
      </c>
      <c r="U14" s="36">
        <f>+[6]FRONPRA!H13</f>
        <v>266</v>
      </c>
      <c r="V14" s="36">
        <f>VLOOKUP(B14,'Frete ESALQ'!$C$5:$AL$131,36,FALSE)</f>
        <v>76.2</v>
      </c>
      <c r="W14" s="36">
        <f>VLOOKUP(B14,'Frete ESALQ'!$C$5:$AW$131,47,FALSE)</f>
        <v>67.67</v>
      </c>
      <c r="X14" s="36">
        <f>VLOOKUP(B14,'Frete ESALQ'!$C$5:$BH$131,58,FALSE)</f>
        <v>92.96</v>
      </c>
      <c r="Y14" s="36">
        <f>VLOOKUP(B14,'Frete ESALQ'!$C$5:$BH$131,32,FALSE)</f>
        <v>91.67</v>
      </c>
      <c r="AA14" s="33">
        <f t="shared" si="1"/>
        <v>2051.8593851231813</v>
      </c>
      <c r="AB14" s="33">
        <f t="shared" si="2"/>
        <v>2137.8593851231813</v>
      </c>
      <c r="AC14" s="33">
        <f t="shared" si="3"/>
        <v>2327.6593851231814</v>
      </c>
      <c r="AD14" s="33">
        <f t="shared" si="4"/>
        <v>2336.1893851231812</v>
      </c>
      <c r="AE14" s="33">
        <f t="shared" si="5"/>
        <v>2310.8993851231812</v>
      </c>
      <c r="AF14" s="33">
        <f t="shared" si="6"/>
        <v>2312.1893851231812</v>
      </c>
      <c r="AG14" s="42">
        <f>+R14-'Modelo Soja'!BL14</f>
        <v>2061.8593851231813</v>
      </c>
    </row>
    <row r="15" spans="2:33" x14ac:dyDescent="0.3">
      <c r="B15" s="31" t="str">
        <f t="shared" si="0"/>
        <v>20221</v>
      </c>
      <c r="C15" s="17">
        <f t="shared" si="7"/>
        <v>44562</v>
      </c>
      <c r="D15" s="32">
        <f ca="1">IFERROR(AVERAGEIF('Preço Soja ESALQ'!$C:$C,'Modelo Soja'!$B15,'Preço Soja ESALQ'!E:E),NA())</f>
        <v>2719.9128571428573</v>
      </c>
      <c r="E15" s="32">
        <f ca="1">IFERROR(AVERAGEIF('Preço Soja ESALQ'!$C:$C,'Modelo Soja'!$B15,'Preço Soja ESALQ'!F:F),NA())</f>
        <v>2666.9542857142851</v>
      </c>
      <c r="F15" s="32">
        <f ca="1">IFERROR(AVERAGEIF('Preço Soja ESALQ'!$C:$C,'Modelo Soja'!$B15,'Preço Soja ESALQ'!G:G),NA())</f>
        <v>2679.0433333333335</v>
      </c>
      <c r="G15" s="32">
        <f ca="1">IFERROR(AVERAGEIF('Preço Soja ESALQ'!$C:$C,'Modelo Soja'!$B15,'Preço Soja ESALQ'!H:H),NA())</f>
        <v>2585.6909523809527</v>
      </c>
      <c r="H15" s="32">
        <f ca="1">IFERROR(AVERAGEIF('Preço Soja ESALQ'!$C:$C,'Modelo Soja'!$B15,'Preço Soja ESALQ'!I:I),NA())</f>
        <v>2592.4938095238094</v>
      </c>
      <c r="I15" s="32">
        <f ca="1">IFERROR(AVERAGEIF('Preço Soja ESALQ'!$C:$C,'Modelo Soja'!$B15,'Preço Soja ESALQ'!J:J),NA())</f>
        <v>2723.0047619047618</v>
      </c>
      <c r="J15" s="32">
        <f ca="1">IFERROR(AVERAGEIF('Preço Soja ESALQ'!$C:$C,'Modelo Soja'!$B15,'Preço Soja ESALQ'!K:K),NA())</f>
        <v>2549.4038095238088</v>
      </c>
      <c r="K15" s="32">
        <f ca="1">IFERROR(AVERAGEIF('Preço Soja ESALQ'!$C:$C,'Modelo Soja'!$B15,'Preço Soja ESALQ'!L:L),NA())</f>
        <v>2682.7342857142858</v>
      </c>
      <c r="L15" s="32">
        <f ca="1">IFERROR(AVERAGEIF('Preço Soja ESALQ'!$C:$C,'Modelo Soja'!$B15,'Preço Soja ESALQ'!M:M),NA())</f>
        <v>2489.0482352941171</v>
      </c>
      <c r="M15" s="32">
        <f ca="1">IFERROR(AVERAGEIF('Preço Soja ESALQ'!$C:$C,'Modelo Soja'!$B15,'Preço Soja ESALQ'!N:N),NA())</f>
        <v>2415.9800000000005</v>
      </c>
      <c r="N15" s="32">
        <f ca="1">IFERROR(AVERAGEIF('Preço Soja ESALQ'!$C:$C,'Modelo Soja'!$B15,'Preço Soja ESALQ'!P:P),NA())</f>
        <v>2572.8542857142861</v>
      </c>
      <c r="P15" s="33"/>
      <c r="Q15" s="33"/>
      <c r="R15" s="32">
        <f>+[3]mensal!AF15/0.90718</f>
        <v>2524.2430187110449</v>
      </c>
      <c r="T15" s="36">
        <f>+[6]FSORPRA!H14</f>
        <v>375.625</v>
      </c>
      <c r="U15" s="36">
        <f>+[6]FRONPRA!H14</f>
        <v>285</v>
      </c>
      <c r="V15" s="36">
        <f>VLOOKUP(B15,'Frete ESALQ'!$C$5:$AL$131,36,FALSE)</f>
        <v>74.849999999999994</v>
      </c>
      <c r="W15" s="36">
        <f>VLOOKUP(B15,'Frete ESALQ'!$C$5:$AW$131,47,FALSE)</f>
        <v>71.75</v>
      </c>
      <c r="X15" s="36">
        <f>VLOOKUP(B15,'Frete ESALQ'!$C$5:$BH$131,58,FALSE)</f>
        <v>121.72</v>
      </c>
      <c r="Y15" s="36">
        <f>VLOOKUP(B15,'Frete ESALQ'!$C$5:$BH$131,32,FALSE)</f>
        <v>127.6</v>
      </c>
      <c r="AA15" s="33">
        <f t="shared" si="1"/>
        <v>2148.6180187110449</v>
      </c>
      <c r="AB15" s="33">
        <f t="shared" si="2"/>
        <v>2239.2430187110449</v>
      </c>
      <c r="AC15" s="33">
        <f t="shared" si="3"/>
        <v>2449.393018711045</v>
      </c>
      <c r="AD15" s="33">
        <f t="shared" si="4"/>
        <v>2452.4930187110449</v>
      </c>
      <c r="AE15" s="33">
        <f t="shared" si="5"/>
        <v>2402.5230187110451</v>
      </c>
      <c r="AF15" s="33">
        <f t="shared" si="6"/>
        <v>2396.643018711045</v>
      </c>
      <c r="AG15" s="42">
        <f>+R15-'Modelo Soja'!BL15</f>
        <v>2158.6180187110449</v>
      </c>
    </row>
    <row r="16" spans="2:33" x14ac:dyDescent="0.3">
      <c r="B16" s="31" t="str">
        <f t="shared" si="0"/>
        <v>20222</v>
      </c>
      <c r="C16" s="17">
        <f t="shared" si="7"/>
        <v>44593</v>
      </c>
      <c r="D16" s="32">
        <f ca="1">IFERROR(AVERAGEIF('Preço Soja ESALQ'!$C:$C,'Modelo Soja'!$B16,'Preço Soja ESALQ'!E:E),NA())</f>
        <v>2919.0226315789473</v>
      </c>
      <c r="E16" s="32">
        <f ca="1">IFERROR(AVERAGEIF('Preço Soja ESALQ'!$C:$C,'Modelo Soja'!$B16,'Preço Soja ESALQ'!F:F),NA())</f>
        <v>3009.302105263158</v>
      </c>
      <c r="F16" s="32">
        <f ca="1">IFERROR(AVERAGEIF('Preço Soja ESALQ'!$C:$C,'Modelo Soja'!$B16,'Preço Soja ESALQ'!G:G),NA())</f>
        <v>3035.7478947368422</v>
      </c>
      <c r="G16" s="32">
        <f ca="1">IFERROR(AVERAGEIF('Preço Soja ESALQ'!$C:$C,'Modelo Soja'!$B16,'Preço Soja ESALQ'!H:H),NA())</f>
        <v>2756.0984210526317</v>
      </c>
      <c r="H16" s="32">
        <f ca="1">IFERROR(AVERAGEIF('Preço Soja ESALQ'!$C:$C,'Modelo Soja'!$B16,'Preço Soja ESALQ'!I:I),NA())</f>
        <v>2788.4326315789476</v>
      </c>
      <c r="I16" s="32">
        <f ca="1">IFERROR(AVERAGEIF('Preço Soja ESALQ'!$C:$C,'Modelo Soja'!$B16,'Preço Soja ESALQ'!J:J),NA())</f>
        <v>2863.2378947368429</v>
      </c>
      <c r="J16" s="32">
        <f ca="1">IFERROR(AVERAGEIF('Preço Soja ESALQ'!$C:$C,'Modelo Soja'!$B16,'Preço Soja ESALQ'!K:K),NA())</f>
        <v>2769.9736842105262</v>
      </c>
      <c r="K16" s="32">
        <f ca="1">IFERROR(AVERAGEIF('Preço Soja ESALQ'!$C:$C,'Modelo Soja'!$B16,'Preço Soja ESALQ'!L:L),NA())</f>
        <v>2822.2784210526315</v>
      </c>
      <c r="L16" s="32">
        <f ca="1">IFERROR(AVERAGEIF('Preço Soja ESALQ'!$C:$C,'Modelo Soja'!$B16,'Preço Soja ESALQ'!M:M),NA())</f>
        <v>2634.0839999999998</v>
      </c>
      <c r="M16" s="32">
        <f ca="1">IFERROR(AVERAGEIF('Preço Soja ESALQ'!$C:$C,'Modelo Soja'!$B16,'Preço Soja ESALQ'!N:N),NA())</f>
        <v>2602.7347368421051</v>
      </c>
      <c r="N16" s="32">
        <f ca="1">IFERROR(AVERAGEIF('Preço Soja ESALQ'!$C:$C,'Modelo Soja'!$B16,'Preço Soja ESALQ'!P:P),NA())</f>
        <v>2826.66</v>
      </c>
      <c r="P16" s="33"/>
      <c r="Q16" s="33"/>
      <c r="R16" s="32">
        <f>+[3]mensal!AF16/0.90718</f>
        <v>2577.8314428112094</v>
      </c>
      <c r="T16" s="36">
        <f>+[6]FSORPRA!H15</f>
        <v>396.25</v>
      </c>
      <c r="U16" s="36">
        <f>+[6]FRONPRA!H15</f>
        <v>293.75</v>
      </c>
      <c r="V16" s="36">
        <f>VLOOKUP(B16,'Frete ESALQ'!$C$5:$AL$131,36,FALSE)</f>
        <v>99.95</v>
      </c>
      <c r="W16" s="36">
        <f>VLOOKUP(B16,'Frete ESALQ'!$C$5:$AW$131,47,FALSE)</f>
        <v>70</v>
      </c>
      <c r="X16" s="36">
        <f>VLOOKUP(B16,'Frete ESALQ'!$C$5:$BH$131,58,FALSE)</f>
        <v>92.53</v>
      </c>
      <c r="Y16" s="36">
        <f>VLOOKUP(B16,'Frete ESALQ'!$C$5:$BH$131,32,FALSE)</f>
        <v>102.79</v>
      </c>
      <c r="AA16" s="33">
        <f t="shared" si="1"/>
        <v>2181.5814428112094</v>
      </c>
      <c r="AB16" s="33">
        <f t="shared" si="2"/>
        <v>2284.0814428112094</v>
      </c>
      <c r="AC16" s="33">
        <f t="shared" si="3"/>
        <v>2477.8814428112096</v>
      </c>
      <c r="AD16" s="33">
        <f t="shared" si="4"/>
        <v>2507.8314428112094</v>
      </c>
      <c r="AE16" s="33">
        <f t="shared" si="5"/>
        <v>2485.3014428112092</v>
      </c>
      <c r="AF16" s="33">
        <f t="shared" si="6"/>
        <v>2475.0414428112094</v>
      </c>
      <c r="AG16" s="42">
        <f>+R16-'Modelo Soja'!BL16</f>
        <v>2191.5814428112094</v>
      </c>
    </row>
    <row r="17" spans="2:33" x14ac:dyDescent="0.3">
      <c r="B17" s="31" t="str">
        <f t="shared" si="0"/>
        <v>20223</v>
      </c>
      <c r="C17" s="17">
        <f t="shared" si="7"/>
        <v>44621</v>
      </c>
      <c r="D17" s="32">
        <f ca="1">IFERROR(AVERAGEIF('Preço Soja ESALQ'!$C:$C,'Modelo Soja'!$B17,'Preço Soja ESALQ'!E:E),NA())</f>
        <v>2976.1709090909089</v>
      </c>
      <c r="E17" s="32">
        <f ca="1">IFERROR(AVERAGEIF('Preço Soja ESALQ'!$C:$C,'Modelo Soja'!$B17,'Preço Soja ESALQ'!F:F),NA())</f>
        <v>3015.8872727272728</v>
      </c>
      <c r="F17" s="32">
        <f ca="1">IFERROR(AVERAGEIF('Preço Soja ESALQ'!$C:$C,'Modelo Soja'!$B17,'Preço Soja ESALQ'!G:G),NA())</f>
        <v>3116.2468181818181</v>
      </c>
      <c r="G17" s="32">
        <f ca="1">IFERROR(AVERAGEIF('Preço Soja ESALQ'!$C:$C,'Modelo Soja'!$B17,'Preço Soja ESALQ'!H:H),NA())</f>
        <v>2788.3386363636364</v>
      </c>
      <c r="H17" s="32">
        <f ca="1">IFERROR(AVERAGEIF('Preço Soja ESALQ'!$C:$C,'Modelo Soja'!$B17,'Preço Soja ESALQ'!I:I),NA())</f>
        <v>2917.0299999999993</v>
      </c>
      <c r="I17" s="32">
        <f ca="1">IFERROR(AVERAGEIF('Preço Soja ESALQ'!$C:$C,'Modelo Soja'!$B17,'Preço Soja ESALQ'!J:J),NA())</f>
        <v>2971.216363636363</v>
      </c>
      <c r="J17" s="32">
        <f ca="1">IFERROR(AVERAGEIF('Preço Soja ESALQ'!$C:$C,'Modelo Soja'!$B17,'Preço Soja ESALQ'!K:K),NA())</f>
        <v>2833.2822727272728</v>
      </c>
      <c r="K17" s="32">
        <f ca="1">IFERROR(AVERAGEIF('Preço Soja ESALQ'!$C:$C,'Modelo Soja'!$B17,'Preço Soja ESALQ'!L:L),NA())</f>
        <v>2902.4859090909094</v>
      </c>
      <c r="L17" s="32">
        <f ca="1">IFERROR(AVERAGEIF('Preço Soja ESALQ'!$C:$C,'Modelo Soja'!$B17,'Preço Soja ESALQ'!M:M),NA())</f>
        <v>2521.92</v>
      </c>
      <c r="M17" s="32">
        <f ca="1">IFERROR(AVERAGEIF('Preço Soja ESALQ'!$C:$C,'Modelo Soja'!$B17,'Preço Soja ESALQ'!N:N),NA())</f>
        <v>2675.6068181818177</v>
      </c>
      <c r="N17" s="32">
        <f ca="1">IFERROR(AVERAGEIF('Preço Soja ESALQ'!$C:$C,'Modelo Soja'!$B17,'Preço Soja ESALQ'!P:P),NA())</f>
        <v>2882.2622727272728</v>
      </c>
      <c r="P17" s="33"/>
      <c r="Q17" s="33"/>
      <c r="R17" s="32">
        <f>+[3]mensal!AF17/0.90718</f>
        <v>2630.1723887619341</v>
      </c>
      <c r="T17" s="36">
        <f>+[6]FSORPRA!H16</f>
        <v>420.625</v>
      </c>
      <c r="U17" s="36">
        <f>+[6]FRONPRA!H16</f>
        <v>320</v>
      </c>
      <c r="V17" s="36">
        <f>VLOOKUP(B17,'Frete ESALQ'!$C$5:$AL$131,36,FALSE)</f>
        <v>146.59</v>
      </c>
      <c r="W17" s="36">
        <f>VLOOKUP(B17,'Frete ESALQ'!$C$5:$AW$131,47,FALSE)</f>
        <v>118.4</v>
      </c>
      <c r="X17" s="36">
        <f>VLOOKUP(B17,'Frete ESALQ'!$C$5:$BH$131,58,FALSE)</f>
        <v>102.63</v>
      </c>
      <c r="Y17" s="36">
        <f>VLOOKUP(B17,'Frete ESALQ'!$C$5:$BH$131,32,FALSE)</f>
        <v>110.96</v>
      </c>
      <c r="AA17" s="33">
        <f t="shared" si="1"/>
        <v>2209.5473887619341</v>
      </c>
      <c r="AB17" s="33">
        <f t="shared" si="2"/>
        <v>2310.1723887619341</v>
      </c>
      <c r="AC17" s="33">
        <f t="shared" si="3"/>
        <v>2483.582388761934</v>
      </c>
      <c r="AD17" s="33">
        <f t="shared" si="4"/>
        <v>2511.7723887619341</v>
      </c>
      <c r="AE17" s="33">
        <f t="shared" si="5"/>
        <v>2527.542388761934</v>
      </c>
      <c r="AF17" s="33">
        <f t="shared" si="6"/>
        <v>2519.2123887619341</v>
      </c>
      <c r="AG17" s="42">
        <f>+R17-'Modelo Soja'!BL17</f>
        <v>2219.5473887619341</v>
      </c>
    </row>
    <row r="18" spans="2:33" x14ac:dyDescent="0.3">
      <c r="B18" s="31" t="str">
        <f t="shared" si="0"/>
        <v>20224</v>
      </c>
      <c r="C18" s="17">
        <f t="shared" si="7"/>
        <v>44652</v>
      </c>
      <c r="D18" s="32">
        <f ca="1">IFERROR(AVERAGEIF('Preço Soja ESALQ'!$C:$C,'Modelo Soja'!$B18,'Preço Soja ESALQ'!E:E),NA())</f>
        <v>2637.5810526315786</v>
      </c>
      <c r="E18" s="32">
        <f ca="1">IFERROR(AVERAGEIF('Preço Soja ESALQ'!$C:$C,'Modelo Soja'!$B18,'Preço Soja ESALQ'!F:F),NA())</f>
        <v>2670.988947368422</v>
      </c>
      <c r="F18" s="32">
        <f ca="1">IFERROR(AVERAGEIF('Preço Soja ESALQ'!$C:$C,'Modelo Soja'!$B18,'Preço Soja ESALQ'!G:G),NA())</f>
        <v>2763.2694444444442</v>
      </c>
      <c r="G18" s="32">
        <f ca="1">IFERROR(AVERAGEIF('Preço Soja ESALQ'!$C:$C,'Modelo Soja'!$B18,'Preço Soja ESALQ'!H:H),NA())</f>
        <v>2401.761578947368</v>
      </c>
      <c r="H18" s="32">
        <f ca="1">IFERROR(AVERAGEIF('Preço Soja ESALQ'!$C:$C,'Modelo Soja'!$B18,'Preço Soja ESALQ'!I:I),NA())</f>
        <v>2662.4494444444445</v>
      </c>
      <c r="I18" s="32">
        <f ca="1">IFERROR(AVERAGEIF('Preço Soja ESALQ'!$C:$C,'Modelo Soja'!$B18,'Preço Soja ESALQ'!J:J),NA())</f>
        <v>2650.2505263157891</v>
      </c>
      <c r="J18" s="32">
        <f ca="1">IFERROR(AVERAGEIF('Preço Soja ESALQ'!$C:$C,'Modelo Soja'!$B18,'Preço Soja ESALQ'!K:K),NA())</f>
        <v>2464.2536842105264</v>
      </c>
      <c r="K18" s="32">
        <f ca="1">IFERROR(AVERAGEIF('Preço Soja ESALQ'!$C:$C,'Modelo Soja'!$B18,'Preço Soja ESALQ'!L:L),NA())</f>
        <v>2500.7952631578951</v>
      </c>
      <c r="L18" s="32">
        <f ca="1">IFERROR(AVERAGEIF('Preço Soja ESALQ'!$C:$C,'Modelo Soja'!$B18,'Preço Soja ESALQ'!M:M),NA())</f>
        <v>2386.4666666666667</v>
      </c>
      <c r="M18" s="32">
        <f ca="1">IFERROR(AVERAGEIF('Preço Soja ESALQ'!$C:$C,'Modelo Soja'!$B18,'Preço Soja ESALQ'!N:N),NA())</f>
        <v>2298.257894736842</v>
      </c>
      <c r="N18" s="32">
        <f ca="1">IFERROR(AVERAGEIF('Preço Soja ESALQ'!$C:$C,'Modelo Soja'!$B18,'Preço Soja ESALQ'!P:P),NA())</f>
        <v>2494.9842105263156</v>
      </c>
      <c r="P18" s="33"/>
      <c r="Q18" s="33"/>
      <c r="R18" s="32">
        <f>+[3]mensal!AF18/0.90718</f>
        <v>2395.1168718551157</v>
      </c>
      <c r="T18" s="36">
        <f>+[6]FSORPRA!H17</f>
        <v>474.4</v>
      </c>
      <c r="U18" s="36">
        <f>+[6]FRONPRA!H17</f>
        <v>317</v>
      </c>
      <c r="V18" s="36">
        <f>VLOOKUP(B18,'Frete ESALQ'!$C$5:$AL$131,36,FALSE)</f>
        <v>127.59</v>
      </c>
      <c r="W18" s="36">
        <f>VLOOKUP(B18,'Frete ESALQ'!$C$5:$AW$131,47,FALSE)</f>
        <v>105.25</v>
      </c>
      <c r="X18" s="36">
        <f>VLOOKUP(B18,'Frete ESALQ'!$C$5:$BH$131,58,FALSE)</f>
        <v>99.55</v>
      </c>
      <c r="Y18" s="36">
        <f>VLOOKUP(B18,'Frete ESALQ'!$C$5:$BH$131,32,FALSE)</f>
        <v>107.48</v>
      </c>
      <c r="AA18" s="33">
        <f t="shared" si="1"/>
        <v>1920.7168718551156</v>
      </c>
      <c r="AB18" s="33">
        <f t="shared" si="2"/>
        <v>2078.1168718551157</v>
      </c>
      <c r="AC18" s="33">
        <f t="shared" si="3"/>
        <v>2267.5268718551156</v>
      </c>
      <c r="AD18" s="33">
        <f t="shared" si="4"/>
        <v>2289.8668718551157</v>
      </c>
      <c r="AE18" s="33">
        <f t="shared" si="5"/>
        <v>2295.5668718551156</v>
      </c>
      <c r="AF18" s="33">
        <f t="shared" si="6"/>
        <v>2287.6368718551157</v>
      </c>
      <c r="AG18" s="42">
        <f>+R18-'Modelo Soja'!BL18</f>
        <v>1930.7168718551156</v>
      </c>
    </row>
    <row r="19" spans="2:33" x14ac:dyDescent="0.3">
      <c r="B19" s="31" t="str">
        <f t="shared" si="0"/>
        <v>20225</v>
      </c>
      <c r="C19" s="17">
        <f t="shared" si="7"/>
        <v>44682</v>
      </c>
      <c r="D19" s="32">
        <f ca="1">IFERROR(AVERAGEIF('Preço Soja ESALQ'!$C:$C,'Modelo Soja'!$B19,'Preço Soja ESALQ'!E:E),NA())</f>
        <v>2451.4359090909093</v>
      </c>
      <c r="E19" s="32">
        <f ca="1">IFERROR(AVERAGEIF('Preço Soja ESALQ'!$C:$C,'Modelo Soja'!$B19,'Preço Soja ESALQ'!F:F),NA())</f>
        <v>2502.9959090909088</v>
      </c>
      <c r="F19" s="32">
        <f ca="1">IFERROR(AVERAGEIF('Preço Soja ESALQ'!$C:$C,'Modelo Soja'!$B19,'Preço Soja ESALQ'!G:G),NA())</f>
        <v>2542.2681818181823</v>
      </c>
      <c r="G19" s="32">
        <f ca="1">IFERROR(AVERAGEIF('Preço Soja ESALQ'!$C:$C,'Modelo Soja'!$B19,'Preço Soja ESALQ'!H:H),NA())</f>
        <v>2273.318181818182</v>
      </c>
      <c r="H19" s="32">
        <f ca="1">IFERROR(AVERAGEIF('Preço Soja ESALQ'!$C:$C,'Modelo Soja'!$B19,'Preço Soja ESALQ'!I:I),NA())</f>
        <v>2498.3663636363644</v>
      </c>
      <c r="I19" s="32">
        <f ca="1">IFERROR(AVERAGEIF('Preço Soja ESALQ'!$C:$C,'Modelo Soja'!$B19,'Preço Soja ESALQ'!J:J),NA())</f>
        <v>2447.3622727272723</v>
      </c>
      <c r="J19" s="32">
        <f ca="1">IFERROR(AVERAGEIF('Preço Soja ESALQ'!$C:$C,'Modelo Soja'!$B19,'Preço Soja ESALQ'!K:K),NA())</f>
        <v>2263.2350000000001</v>
      </c>
      <c r="K19" s="32">
        <f ca="1">IFERROR(AVERAGEIF('Preço Soja ESALQ'!$C:$C,'Modelo Soja'!$B19,'Preço Soja ESALQ'!L:L),NA())</f>
        <v>2328.574090909091</v>
      </c>
      <c r="L19" s="32">
        <f ca="1">IFERROR(AVERAGEIF('Preço Soja ESALQ'!$C:$C,'Modelo Soja'!$B19,'Preço Soja ESALQ'!M:M),NA())</f>
        <v>2258.3818181818178</v>
      </c>
      <c r="M19" s="32">
        <f ca="1">IFERROR(AVERAGEIF('Preço Soja ESALQ'!$C:$C,'Modelo Soja'!$B19,'Preço Soja ESALQ'!N:N),NA())</f>
        <v>2116.7636363636366</v>
      </c>
      <c r="N19" s="32">
        <f ca="1">IFERROR(AVERAGEIF('Preço Soja ESALQ'!$C:$C,'Modelo Soja'!$B19,'Preço Soja ESALQ'!P:P),NA())</f>
        <v>2310.4054545454546</v>
      </c>
      <c r="P19" s="33"/>
      <c r="Q19" s="33"/>
      <c r="R19" s="32">
        <f>+[3]mensal!AF19/0.90718</f>
        <v>2293.7508342536007</v>
      </c>
      <c r="T19" s="36">
        <f>+[6]FSORPRA!H18</f>
        <v>465</v>
      </c>
      <c r="U19" s="36">
        <f>+[6]FRONPRA!H18</f>
        <v>330</v>
      </c>
      <c r="V19" s="36">
        <f>VLOOKUP(B19,'Frete ESALQ'!$C$5:$AL$131,36,FALSE)</f>
        <v>127.5</v>
      </c>
      <c r="W19" s="36">
        <f>VLOOKUP(B19,'Frete ESALQ'!$C$5:$AW$131,47,FALSE)</f>
        <v>109.2</v>
      </c>
      <c r="X19" s="36">
        <f>VLOOKUP(B19,'Frete ESALQ'!$C$5:$BH$131,58,FALSE)</f>
        <v>122.4</v>
      </c>
      <c r="Y19" s="36">
        <f>VLOOKUP(B19,'Frete ESALQ'!$C$5:$BH$131,32,FALSE)</f>
        <v>130.56</v>
      </c>
      <c r="AA19" s="33">
        <f t="shared" si="1"/>
        <v>1828.7508342536007</v>
      </c>
      <c r="AB19" s="33">
        <f t="shared" si="2"/>
        <v>1963.7508342536007</v>
      </c>
      <c r="AC19" s="33">
        <f t="shared" si="3"/>
        <v>2166.2508342536007</v>
      </c>
      <c r="AD19" s="33">
        <f t="shared" si="4"/>
        <v>2184.5508342536009</v>
      </c>
      <c r="AE19" s="33">
        <f t="shared" si="5"/>
        <v>2171.3508342536006</v>
      </c>
      <c r="AF19" s="33">
        <f t="shared" si="6"/>
        <v>2163.1908342536008</v>
      </c>
      <c r="AG19" s="42">
        <f>+R19-'Modelo Soja'!BL19</f>
        <v>1838.7508342536007</v>
      </c>
    </row>
    <row r="20" spans="2:33" x14ac:dyDescent="0.3">
      <c r="B20" s="31" t="str">
        <f t="shared" si="0"/>
        <v>20226</v>
      </c>
      <c r="C20" s="17">
        <f t="shared" si="7"/>
        <v>44713</v>
      </c>
      <c r="D20" s="32">
        <f ca="1">IFERROR(AVERAGEIF('Preço Soja ESALQ'!$C:$C,'Modelo Soja'!$B20,'Preço Soja ESALQ'!E:E),NA())</f>
        <v>2454.2833333333338</v>
      </c>
      <c r="E20" s="32">
        <f ca="1">IFERROR(AVERAGEIF('Preço Soja ESALQ'!$C:$C,'Modelo Soja'!$B20,'Preço Soja ESALQ'!F:F),NA())</f>
        <v>2386.5814285714278</v>
      </c>
      <c r="F20" s="32">
        <f ca="1">IFERROR(AVERAGEIF('Preço Soja ESALQ'!$C:$C,'Modelo Soja'!$B20,'Preço Soja ESALQ'!G:G),NA())</f>
        <v>2423.5833333333339</v>
      </c>
      <c r="G20" s="32">
        <f ca="1">IFERROR(AVERAGEIF('Preço Soja ESALQ'!$C:$C,'Modelo Soja'!$B20,'Preço Soja ESALQ'!H:H),NA())</f>
        <v>2277.2538095238092</v>
      </c>
      <c r="H20" s="32">
        <f ca="1">IFERROR(AVERAGEIF('Preço Soja ESALQ'!$C:$C,'Modelo Soja'!$B20,'Preço Soja ESALQ'!I:I),NA())</f>
        <v>2402.1509523809532</v>
      </c>
      <c r="I20" s="32">
        <f ca="1">IFERROR(AVERAGEIF('Preço Soja ESALQ'!$C:$C,'Modelo Soja'!$B20,'Preço Soja ESALQ'!J:J),NA())</f>
        <v>2458.7971428571436</v>
      </c>
      <c r="J20" s="32">
        <f ca="1">IFERROR(AVERAGEIF('Preço Soja ESALQ'!$C:$C,'Modelo Soja'!$B20,'Preço Soja ESALQ'!K:K),NA())</f>
        <v>2360.945238095238</v>
      </c>
      <c r="K20" s="32">
        <f ca="1">IFERROR(AVERAGEIF('Preço Soja ESALQ'!$C:$C,'Modelo Soja'!$B20,'Preço Soja ESALQ'!L:L),NA())</f>
        <v>2393.617619047619</v>
      </c>
      <c r="L20" s="32">
        <f ca="1">IFERROR(AVERAGEIF('Preço Soja ESALQ'!$C:$C,'Modelo Soja'!$B20,'Preço Soja ESALQ'!M:M),NA())</f>
        <v>2287.600952380953</v>
      </c>
      <c r="M20" s="32">
        <f ca="1">IFERROR(AVERAGEIF('Preço Soja ESALQ'!$C:$C,'Modelo Soja'!$B20,'Preço Soja ESALQ'!N:N),NA())</f>
        <v>2142.1671428571426</v>
      </c>
      <c r="N20" s="32">
        <f ca="1">IFERROR(AVERAGEIF('Preço Soja ESALQ'!$C:$C,'Modelo Soja'!$B20,'Preço Soja ESALQ'!P:P),NA())</f>
        <v>2368.6823809523812</v>
      </c>
      <c r="P20" s="33"/>
      <c r="Q20" s="33"/>
      <c r="R20" s="32">
        <f>+[3]mensal!AF20/0.90718</f>
        <v>2388.5785086919377</v>
      </c>
      <c r="T20" s="36">
        <f>+[6]FSORPRA!H19</f>
        <v>535</v>
      </c>
      <c r="U20" s="36">
        <f>+[6]FRONPRA!H19</f>
        <v>373.75</v>
      </c>
      <c r="V20" s="36">
        <f>VLOOKUP(B20,'Frete ESALQ'!$C$5:$AL$131,36,FALSE)</f>
        <v>110</v>
      </c>
      <c r="W20" s="36">
        <f>VLOOKUP(B20,'Frete ESALQ'!$C$5:$AW$131,47,FALSE)</f>
        <v>115.3</v>
      </c>
      <c r="X20" s="36">
        <f>VLOOKUP(B20,'Frete ESALQ'!$C$5:$BH$131,58,FALSE)</f>
        <v>92.46</v>
      </c>
      <c r="Y20" s="36">
        <f>VLOOKUP(B20,'Frete ESALQ'!$C$5:$BH$131,32,FALSE)</f>
        <v>101.66</v>
      </c>
      <c r="AA20" s="33">
        <f t="shared" si="1"/>
        <v>1853.5785086919377</v>
      </c>
      <c r="AB20" s="33">
        <f t="shared" si="2"/>
        <v>2014.8285086919377</v>
      </c>
      <c r="AC20" s="33">
        <f t="shared" si="3"/>
        <v>2278.5785086919377</v>
      </c>
      <c r="AD20" s="33">
        <f t="shared" si="4"/>
        <v>2273.2785086919375</v>
      </c>
      <c r="AE20" s="33">
        <f t="shared" si="5"/>
        <v>2296.1185086919377</v>
      </c>
      <c r="AF20" s="33">
        <f t="shared" si="6"/>
        <v>2286.9185086919379</v>
      </c>
      <c r="AG20" s="42">
        <f>+R20-'Modelo Soja'!BL20</f>
        <v>1863.5785086919377</v>
      </c>
    </row>
    <row r="21" spans="2:33" x14ac:dyDescent="0.3">
      <c r="B21" s="31" t="str">
        <f t="shared" si="0"/>
        <v>20227</v>
      </c>
      <c r="C21" s="17">
        <f t="shared" si="7"/>
        <v>44743</v>
      </c>
      <c r="D21" s="32">
        <f ca="1">IFERROR(AVERAGEIF('Preço Soja ESALQ'!$C:$C,'Modelo Soja'!$B21,'Preço Soja ESALQ'!E:E),NA())</f>
        <v>2601.7633333333333</v>
      </c>
      <c r="E21" s="32">
        <f ca="1">IFERROR(AVERAGEIF('Preço Soja ESALQ'!$C:$C,'Modelo Soja'!$B21,'Preço Soja ESALQ'!F:F),NA())</f>
        <v>2497.6319047619045</v>
      </c>
      <c r="F21" s="32">
        <f ca="1">IFERROR(AVERAGEIF('Preço Soja ESALQ'!$C:$C,'Modelo Soja'!$B21,'Preço Soja ESALQ'!G:G),NA())</f>
        <v>2566.2480952380956</v>
      </c>
      <c r="G21" s="32">
        <f ca="1">IFERROR(AVERAGEIF('Preço Soja ESALQ'!$C:$C,'Modelo Soja'!$B21,'Preço Soja ESALQ'!H:H),NA())</f>
        <v>2601.5504761904763</v>
      </c>
      <c r="H21" s="32">
        <f ca="1">IFERROR(AVERAGEIF('Preço Soja ESALQ'!$C:$C,'Modelo Soja'!$B21,'Preço Soja ESALQ'!I:I),NA())</f>
        <v>2492.5566666666668</v>
      </c>
      <c r="I21" s="32">
        <f ca="1">IFERROR(AVERAGEIF('Preço Soja ESALQ'!$C:$C,'Modelo Soja'!$B21,'Preço Soja ESALQ'!J:J),NA())</f>
        <v>2630.724285714286</v>
      </c>
      <c r="J21" s="32">
        <f ca="1">IFERROR(AVERAGEIF('Preço Soja ESALQ'!$C:$C,'Modelo Soja'!$B21,'Preço Soja ESALQ'!K:K),NA())</f>
        <v>2558.1142857142854</v>
      </c>
      <c r="K21" s="32">
        <f ca="1">IFERROR(AVERAGEIF('Preço Soja ESALQ'!$C:$C,'Modelo Soja'!$B21,'Preço Soja ESALQ'!L:L),NA())</f>
        <v>2600.1652380952387</v>
      </c>
      <c r="L21" s="32">
        <f ca="1">IFERROR(AVERAGEIF('Preço Soja ESALQ'!$C:$C,'Modelo Soja'!$B21,'Preço Soja ESALQ'!M:M),NA())</f>
        <v>2444.651904761904</v>
      </c>
      <c r="M21" s="32">
        <f ca="1">IFERROR(AVERAGEIF('Preço Soja ESALQ'!$C:$C,'Modelo Soja'!$B21,'Preço Soja ESALQ'!N:N),NA())</f>
        <v>2319.8171428571432</v>
      </c>
      <c r="N21" s="32">
        <f ca="1">IFERROR(AVERAGEIF('Preço Soja ESALQ'!$C:$C,'Modelo Soja'!$B21,'Preço Soja ESALQ'!P:P),NA())</f>
        <v>2579.8352380952383</v>
      </c>
      <c r="P21" s="33"/>
      <c r="Q21" s="33"/>
      <c r="R21" s="32">
        <f>+[3]mensal!AF21/0.90718</f>
        <v>2742.8562761209787</v>
      </c>
      <c r="T21" s="36">
        <f>+[6]FSORPRA!H20</f>
        <v>530</v>
      </c>
      <c r="U21" s="36">
        <f>+[6]FRONPRA!H20</f>
        <v>398</v>
      </c>
      <c r="V21" s="36">
        <f>VLOOKUP(B21,'Frete ESALQ'!$C$5:$AL$131,36,FALSE)</f>
        <v>147.75</v>
      </c>
      <c r="W21" s="36">
        <f>VLOOKUP(B21,'Frete ESALQ'!$C$5:$AW$131,47,FALSE)</f>
        <v>125</v>
      </c>
      <c r="X21" s="36">
        <f>VLOOKUP(B21,'Frete ESALQ'!$C$5:$BH$131,58,FALSE)</f>
        <v>121</v>
      </c>
      <c r="Y21" s="36">
        <f>VLOOKUP(B21,'Frete ESALQ'!$C$5:$BH$131,32,FALSE)</f>
        <v>100</v>
      </c>
      <c r="AA21" s="33">
        <f t="shared" si="1"/>
        <v>2212.8562761209787</v>
      </c>
      <c r="AB21" s="33">
        <f t="shared" si="2"/>
        <v>2344.8562761209787</v>
      </c>
      <c r="AC21" s="33">
        <f t="shared" si="3"/>
        <v>2595.1062761209787</v>
      </c>
      <c r="AD21" s="33">
        <f t="shared" si="4"/>
        <v>2617.8562761209787</v>
      </c>
      <c r="AE21" s="33">
        <f t="shared" si="5"/>
        <v>2621.8562761209787</v>
      </c>
      <c r="AF21" s="33">
        <f t="shared" si="6"/>
        <v>2642.8562761209787</v>
      </c>
      <c r="AG21" s="42">
        <f>+R21-'Modelo Soja'!BL21</f>
        <v>2222.8562761209787</v>
      </c>
    </row>
    <row r="22" spans="2:33" x14ac:dyDescent="0.3">
      <c r="B22" s="31" t="str">
        <f t="shared" si="0"/>
        <v>20228</v>
      </c>
      <c r="C22" s="17">
        <f t="shared" si="7"/>
        <v>44774</v>
      </c>
      <c r="D22" s="32">
        <f ca="1">IFERROR(AVERAGEIF('Preço Soja ESALQ'!$C:$C,'Modelo Soja'!$B22,'Preço Soja ESALQ'!E:E),NA())</f>
        <v>2602.5086956521745</v>
      </c>
      <c r="E22" s="32">
        <f ca="1">IFERROR(AVERAGEIF('Preço Soja ESALQ'!$C:$C,'Modelo Soja'!$B22,'Preço Soja ESALQ'!F:F),NA())</f>
        <v>2584.1973913043475</v>
      </c>
      <c r="F22" s="32">
        <f ca="1">IFERROR(AVERAGEIF('Preço Soja ESALQ'!$C:$C,'Modelo Soja'!$B22,'Preço Soja ESALQ'!G:G),NA())</f>
        <v>2632.4791304347832</v>
      </c>
      <c r="G22" s="32">
        <f ca="1">IFERROR(AVERAGEIF('Preço Soja ESALQ'!$C:$C,'Modelo Soja'!$B22,'Preço Soja ESALQ'!H:H),NA())</f>
        <v>2556.851304347826</v>
      </c>
      <c r="H22" s="32">
        <f ca="1">IFERROR(AVERAGEIF('Preço Soja ESALQ'!$C:$C,'Modelo Soja'!$B22,'Preço Soja ESALQ'!I:I),NA())</f>
        <v>2542.1695652173912</v>
      </c>
      <c r="I22" s="32">
        <f ca="1">IFERROR(AVERAGEIF('Preço Soja ESALQ'!$C:$C,'Modelo Soja'!$B22,'Preço Soja ESALQ'!J:J),NA())</f>
        <v>2603.179565217391</v>
      </c>
      <c r="J22" s="32">
        <f ca="1">IFERROR(AVERAGEIF('Preço Soja ESALQ'!$C:$C,'Modelo Soja'!$B22,'Preço Soja ESALQ'!K:K),NA())</f>
        <v>2577.1760869565219</v>
      </c>
      <c r="K22" s="32">
        <f ca="1">IFERROR(AVERAGEIF('Preço Soja ESALQ'!$C:$C,'Modelo Soja'!$B22,'Preço Soja ESALQ'!L:L),NA())</f>
        <v>2493.8100000000004</v>
      </c>
      <c r="L22" s="32">
        <f ca="1">IFERROR(AVERAGEIF('Preço Soja ESALQ'!$C:$C,'Modelo Soja'!$B22,'Preço Soja ESALQ'!M:M),NA())</f>
        <v>2434.0122727272733</v>
      </c>
      <c r="M22" s="32">
        <f ca="1">IFERROR(AVERAGEIF('Preço Soja ESALQ'!$C:$C,'Modelo Soja'!$B22,'Preço Soja ESALQ'!N:N),NA())</f>
        <v>2295.4039130434785</v>
      </c>
      <c r="N22" s="32">
        <f ca="1">IFERROR(AVERAGEIF('Preço Soja ESALQ'!$C:$C,'Modelo Soja'!$B22,'Preço Soja ESALQ'!P:P),NA())</f>
        <v>2615.8430434782608</v>
      </c>
      <c r="P22" s="33"/>
      <c r="Q22" s="33"/>
      <c r="R22" s="32">
        <f>+[3]mensal!AF22/0.90718</f>
        <v>2711.2846626936857</v>
      </c>
      <c r="T22" s="36">
        <f>+[6]FSORPRA!H21</f>
        <v>474.875</v>
      </c>
      <c r="U22" s="36">
        <f>+[6]FRONPRA!H21</f>
        <v>355</v>
      </c>
      <c r="V22" s="36">
        <f>VLOOKUP(B22,'Frete ESALQ'!$C$5:$AL$131,36,FALSE)</f>
        <v>140.82</v>
      </c>
      <c r="W22" s="36">
        <f>VLOOKUP(B22,'Frete ESALQ'!$C$5:$AW$131,47,FALSE)</f>
        <v>126.75</v>
      </c>
      <c r="X22" s="36">
        <f>VLOOKUP(B22,'Frete ESALQ'!$C$5:$BH$131,58,FALSE)</f>
        <v>111.58</v>
      </c>
      <c r="Y22" s="36">
        <f>VLOOKUP(B22,'Frete ESALQ'!$C$5:$BH$131,32,FALSE)</f>
        <v>116.89</v>
      </c>
      <c r="AA22" s="33">
        <f t="shared" si="1"/>
        <v>2236.4096626936857</v>
      </c>
      <c r="AB22" s="33">
        <f t="shared" si="2"/>
        <v>2356.2846626936857</v>
      </c>
      <c r="AC22" s="33">
        <f t="shared" si="3"/>
        <v>2570.4646626936856</v>
      </c>
      <c r="AD22" s="33">
        <f t="shared" si="4"/>
        <v>2584.5346626936857</v>
      </c>
      <c r="AE22" s="33">
        <f t="shared" si="5"/>
        <v>2599.7046626936858</v>
      </c>
      <c r="AF22" s="33">
        <f t="shared" si="6"/>
        <v>2594.3946626936859</v>
      </c>
      <c r="AG22" s="42">
        <f>+R22-'Modelo Soja'!BL22</f>
        <v>2246.4096626936857</v>
      </c>
    </row>
    <row r="23" spans="2:33" x14ac:dyDescent="0.3">
      <c r="B23" s="31" t="str">
        <f t="shared" si="0"/>
        <v>20229</v>
      </c>
      <c r="C23" s="17">
        <f t="shared" si="7"/>
        <v>44805</v>
      </c>
      <c r="D23" s="32">
        <f ca="1">IFERROR(AVERAGEIF('Preço Soja ESALQ'!$C:$C,'Modelo Soja'!$B23,'Preço Soja ESALQ'!E:E),NA())</f>
        <v>2672.0966666666668</v>
      </c>
      <c r="E23" s="32">
        <f ca="1">IFERROR(AVERAGEIF('Preço Soja ESALQ'!$C:$C,'Modelo Soja'!$B23,'Preço Soja ESALQ'!F:F),NA())</f>
        <v>2688.7538095238097</v>
      </c>
      <c r="F23" s="32">
        <f ca="1">IFERROR(AVERAGEIF('Preço Soja ESALQ'!$C:$C,'Modelo Soja'!$B23,'Preço Soja ESALQ'!G:G),NA())</f>
        <v>2730.5228571428574</v>
      </c>
      <c r="G23" s="32">
        <f ca="1">IFERROR(AVERAGEIF('Preço Soja ESALQ'!$C:$C,'Modelo Soja'!$B23,'Preço Soja ESALQ'!H:H),NA())</f>
        <v>2689.864761904762</v>
      </c>
      <c r="H23" s="32">
        <f ca="1">IFERROR(AVERAGEIF('Preço Soja ESALQ'!$C:$C,'Modelo Soja'!$B23,'Preço Soja ESALQ'!I:I),NA())</f>
        <v>2564.7485714285713</v>
      </c>
      <c r="I23" s="32">
        <f ca="1">IFERROR(AVERAGEIF('Preço Soja ESALQ'!$C:$C,'Modelo Soja'!$B23,'Preço Soja ESALQ'!J:J),NA())</f>
        <v>2643.5138095238099</v>
      </c>
      <c r="J23" s="32">
        <f ca="1">IFERROR(AVERAGEIF('Preço Soja ESALQ'!$C:$C,'Modelo Soja'!$B23,'Preço Soja ESALQ'!K:K),NA())</f>
        <v>2553.1338095238098</v>
      </c>
      <c r="K23" s="32">
        <f ca="1">IFERROR(AVERAGEIF('Preço Soja ESALQ'!$C:$C,'Modelo Soja'!$B23,'Preço Soja ESALQ'!L:L),NA())</f>
        <v>2584.1133333333332</v>
      </c>
      <c r="L23" s="32">
        <f ca="1">IFERROR(AVERAGEIF('Preço Soja ESALQ'!$C:$C,'Modelo Soja'!$B23,'Preço Soja ESALQ'!M:M),NA())</f>
        <v>2447.1884999999993</v>
      </c>
      <c r="M23" s="32">
        <f ca="1">IFERROR(AVERAGEIF('Preço Soja ESALQ'!$C:$C,'Modelo Soja'!$B23,'Preço Soja ESALQ'!N:N),NA())</f>
        <v>2373.6695238095235</v>
      </c>
      <c r="N23" s="32">
        <f ca="1">IFERROR(AVERAGEIF('Preço Soja ESALQ'!$C:$C,'Modelo Soja'!$B23,'Preço Soja ESALQ'!P:P),NA())</f>
        <v>2577.3342857142861</v>
      </c>
      <c r="P23" s="33"/>
      <c r="Q23" s="33"/>
      <c r="R23" s="32">
        <f>+[3]mensal!AF23/0.90718</f>
        <v>2533.1054845380227</v>
      </c>
      <c r="T23" s="36">
        <f>+[6]FSORPRA!H22</f>
        <v>434</v>
      </c>
      <c r="U23" s="36">
        <f>+[6]FRONPRA!H22</f>
        <v>298</v>
      </c>
      <c r="V23" s="37">
        <f>(V22+V24)/2</f>
        <v>138.12</v>
      </c>
      <c r="W23" s="37">
        <f>(W22+W24)/2</f>
        <v>111.375</v>
      </c>
      <c r="X23" s="37">
        <f t="shared" ref="X23:Y23" si="8">(X22+X24)/2</f>
        <v>114.9</v>
      </c>
      <c r="Y23" s="37">
        <f t="shared" si="8"/>
        <v>119.68</v>
      </c>
      <c r="AA23" s="33">
        <f t="shared" si="1"/>
        <v>2099.1054845380227</v>
      </c>
      <c r="AB23" s="33">
        <f t="shared" si="2"/>
        <v>2235.1054845380227</v>
      </c>
      <c r="AC23" s="33">
        <f t="shared" si="3"/>
        <v>2394.9854845380228</v>
      </c>
      <c r="AD23" s="33">
        <f t="shared" si="4"/>
        <v>2421.7304845380227</v>
      </c>
      <c r="AE23" s="33">
        <f t="shared" si="5"/>
        <v>2418.2054845380226</v>
      </c>
      <c r="AF23" s="33">
        <f t="shared" si="6"/>
        <v>2413.4254845380228</v>
      </c>
      <c r="AG23" s="42">
        <f>+R23-'Modelo Soja'!BL23</f>
        <v>2109.1054845380227</v>
      </c>
    </row>
    <row r="24" spans="2:33" x14ac:dyDescent="0.3">
      <c r="B24" s="31" t="str">
        <f t="shared" si="0"/>
        <v>202210</v>
      </c>
      <c r="C24" s="17">
        <f t="shared" si="7"/>
        <v>44835</v>
      </c>
      <c r="D24" s="32">
        <f ca="1">IFERROR(AVERAGEIF('Preço Soja ESALQ'!$C:$C,'Modelo Soja'!$B24,'Preço Soja ESALQ'!E:E),NA())</f>
        <v>2776.7205000000004</v>
      </c>
      <c r="E24" s="32">
        <f ca="1">IFERROR(AVERAGEIF('Preço Soja ESALQ'!$C:$C,'Modelo Soja'!$B24,'Preço Soja ESALQ'!F:F),NA())</f>
        <v>2839.2804999999994</v>
      </c>
      <c r="F24" s="32">
        <f ca="1">IFERROR(AVERAGEIF('Preço Soja ESALQ'!$C:$C,'Modelo Soja'!$B24,'Preço Soja ESALQ'!G:G),NA())</f>
        <v>2871.7585000000008</v>
      </c>
      <c r="G24" s="32">
        <f ca="1">IFERROR(AVERAGEIF('Preço Soja ESALQ'!$C:$C,'Modelo Soja'!$B24,'Preço Soja ESALQ'!H:H),NA())</f>
        <v>2813.2375000000002</v>
      </c>
      <c r="H24" s="32">
        <f ca="1">IFERROR(AVERAGEIF('Preço Soja ESALQ'!$C:$C,'Modelo Soja'!$B24,'Preço Soja ESALQ'!I:I),NA())</f>
        <v>2698.4375000000009</v>
      </c>
      <c r="I24" s="32">
        <f ca="1">IFERROR(AVERAGEIF('Preço Soja ESALQ'!$C:$C,'Modelo Soja'!$B24,'Preço Soja ESALQ'!J:J),NA())</f>
        <v>2737.5824999999995</v>
      </c>
      <c r="J24" s="32">
        <f ca="1">IFERROR(AVERAGEIF('Preço Soja ESALQ'!$C:$C,'Modelo Soja'!$B24,'Preço Soja ESALQ'!K:K),NA())</f>
        <v>2626.951</v>
      </c>
      <c r="K24" s="32">
        <f ca="1">IFERROR(AVERAGEIF('Preço Soja ESALQ'!$C:$C,'Modelo Soja'!$B24,'Preço Soja ESALQ'!L:L),NA())</f>
        <v>2588.9275000000002</v>
      </c>
      <c r="L24" s="32">
        <f ca="1">IFERROR(AVERAGEIF('Preço Soja ESALQ'!$C:$C,'Modelo Soja'!$B24,'Preço Soja ESALQ'!M:M),NA())</f>
        <v>2502.0754999999999</v>
      </c>
      <c r="M24" s="32">
        <f ca="1">IFERROR(AVERAGEIF('Preço Soja ESALQ'!$C:$C,'Modelo Soja'!$B24,'Preço Soja ESALQ'!N:N),NA())</f>
        <v>2443.7620000000002</v>
      </c>
      <c r="N24" s="32">
        <f ca="1">IFERROR(AVERAGEIF('Preço Soja ESALQ'!$C:$C,'Modelo Soja'!$B24,'Preço Soja ESALQ'!P:P),NA())</f>
        <v>2673.0395000000003</v>
      </c>
      <c r="P24" s="33"/>
      <c r="Q24" s="33"/>
      <c r="R24" s="32">
        <f>+[3]mensal!AF24/0.90718</f>
        <v>2382.6913647180254</v>
      </c>
      <c r="T24" s="36">
        <f>+[6]FSORPRA!H23</f>
        <v>400</v>
      </c>
      <c r="U24" s="36">
        <f>+[6]FRONPRA!H23</f>
        <v>280</v>
      </c>
      <c r="V24" s="36">
        <f>VLOOKUP(B24,'Frete ESALQ'!$C$5:$AL$131,36,FALSE)</f>
        <v>135.41999999999999</v>
      </c>
      <c r="W24" s="36">
        <f>VLOOKUP(B24,'Frete ESALQ'!$C$5:$AW$131,47,FALSE)</f>
        <v>96</v>
      </c>
      <c r="X24" s="36">
        <f>VLOOKUP(B24,'Frete ESALQ'!$C$5:$BH$131,58,FALSE)</f>
        <v>118.22</v>
      </c>
      <c r="Y24" s="36">
        <f>VLOOKUP(B24,'Frete ESALQ'!$C$5:$BH$131,32,FALSE)</f>
        <v>122.47</v>
      </c>
      <c r="AA24" s="33">
        <f t="shared" si="1"/>
        <v>1982.6913647180254</v>
      </c>
      <c r="AB24" s="33">
        <f t="shared" si="2"/>
        <v>2102.6913647180254</v>
      </c>
      <c r="AC24" s="33">
        <f t="shared" si="3"/>
        <v>2247.2713647180253</v>
      </c>
      <c r="AD24" s="33">
        <f t="shared" si="4"/>
        <v>2286.6913647180254</v>
      </c>
      <c r="AE24" s="33">
        <f t="shared" si="5"/>
        <v>2264.4713647180256</v>
      </c>
      <c r="AF24" s="33">
        <f t="shared" si="6"/>
        <v>2260.2213647180256</v>
      </c>
      <c r="AG24" s="42">
        <f>+R24-'Modelo Soja'!BL24</f>
        <v>1992.6913647180254</v>
      </c>
    </row>
    <row r="25" spans="2:33" x14ac:dyDescent="0.3">
      <c r="B25" s="31" t="str">
        <f t="shared" si="0"/>
        <v>202211</v>
      </c>
      <c r="C25" s="17">
        <f t="shared" si="7"/>
        <v>44866</v>
      </c>
      <c r="D25" s="32">
        <f ca="1">IFERROR(AVERAGEIF('Preço Soja ESALQ'!$C:$C,'Modelo Soja'!$B25,'Preço Soja ESALQ'!E:E),NA())</f>
        <v>2707.0574999999999</v>
      </c>
      <c r="E25" s="32">
        <f ca="1">IFERROR(AVERAGEIF('Preço Soja ESALQ'!$C:$C,'Modelo Soja'!$B25,'Preço Soja ESALQ'!F:F),NA())</f>
        <v>2811.9474999999993</v>
      </c>
      <c r="F25" s="32">
        <f ca="1">IFERROR(AVERAGEIF('Preço Soja ESALQ'!$C:$C,'Modelo Soja'!$B25,'Preço Soja ESALQ'!G:G),NA())</f>
        <v>2825.8052631578953</v>
      </c>
      <c r="G25" s="32">
        <f ca="1">IFERROR(AVERAGEIF('Preço Soja ESALQ'!$C:$C,'Modelo Soja'!$B25,'Preço Soja ESALQ'!H:H),NA())</f>
        <v>2887.1589473684212</v>
      </c>
      <c r="H25" s="32">
        <f ca="1">IFERROR(AVERAGEIF('Preço Soja ESALQ'!$C:$C,'Modelo Soja'!$B25,'Preço Soja ESALQ'!I:I),NA())</f>
        <v>2678.1519999999996</v>
      </c>
      <c r="I25" s="32">
        <f ca="1">IFERROR(AVERAGEIF('Preço Soja ESALQ'!$C:$C,'Modelo Soja'!$B25,'Preço Soja ESALQ'!J:J),NA())</f>
        <v>2785.2255</v>
      </c>
      <c r="J25" s="32">
        <f ca="1">IFERROR(AVERAGEIF('Preço Soja ESALQ'!$C:$C,'Modelo Soja'!$B25,'Preço Soja ESALQ'!K:K),NA())</f>
        <v>2570.1326315789474</v>
      </c>
      <c r="K25" s="32">
        <f ca="1">IFERROR(AVERAGEIF('Preço Soja ESALQ'!$C:$C,'Modelo Soja'!$B25,'Preço Soja ESALQ'!L:L),NA())</f>
        <v>2622.5175000000004</v>
      </c>
      <c r="L25" s="32">
        <f ca="1">IFERROR(AVERAGEIF('Preço Soja ESALQ'!$C:$C,'Modelo Soja'!$B25,'Preço Soja ESALQ'!M:M),NA())</f>
        <v>2455.5252631578951</v>
      </c>
      <c r="M25" s="32">
        <f ca="1">IFERROR(AVERAGEIF('Preço Soja ESALQ'!$C:$C,'Modelo Soja'!$B25,'Preço Soja ESALQ'!N:N),NA())</f>
        <v>2443.9849999999997</v>
      </c>
      <c r="N25" s="32">
        <f ca="1">IFERROR(AVERAGEIF('Preço Soja ESALQ'!$C:$C,'Modelo Soja'!$B25,'Preço Soja ESALQ'!P:P),NA())</f>
        <v>2615.4573684210518</v>
      </c>
      <c r="P25" s="33"/>
      <c r="Q25" s="33"/>
      <c r="R25" s="32">
        <f>+[3]mensal!AF25/0.90718</f>
        <v>2400.7084880036882</v>
      </c>
      <c r="T25" s="36">
        <f>+[6]FSORPRA!H24</f>
        <v>385</v>
      </c>
      <c r="U25" s="36">
        <f>+[6]FRONPRA!H24</f>
        <v>290</v>
      </c>
      <c r="V25" s="36">
        <f>VLOOKUP(B25,'Frete ESALQ'!$C$5:$AL$131,36,FALSE)</f>
        <v>120</v>
      </c>
      <c r="W25" s="36">
        <f>VLOOKUP(B25,'Frete ESALQ'!$C$5:$AW$131,47,FALSE)</f>
        <v>97.5</v>
      </c>
      <c r="X25" s="36">
        <f>VLOOKUP(B25,'Frete ESALQ'!$C$5:$BH$131,58,FALSE)</f>
        <v>137</v>
      </c>
      <c r="Y25" s="36">
        <f>VLOOKUP(B25,'Frete ESALQ'!$C$5:$BH$131,32,FALSE)</f>
        <v>133</v>
      </c>
      <c r="AA25" s="33">
        <f t="shared" si="1"/>
        <v>2015.7084880036882</v>
      </c>
      <c r="AB25" s="33">
        <f t="shared" si="2"/>
        <v>2110.7084880036882</v>
      </c>
      <c r="AC25" s="33">
        <f t="shared" si="3"/>
        <v>2280.7084880036882</v>
      </c>
      <c r="AD25" s="33">
        <f t="shared" si="4"/>
        <v>2303.2084880036882</v>
      </c>
      <c r="AE25" s="33">
        <f t="shared" si="5"/>
        <v>2263.7084880036882</v>
      </c>
      <c r="AF25" s="33">
        <f t="shared" si="6"/>
        <v>2267.7084880036882</v>
      </c>
      <c r="AG25" s="42">
        <f>+R25-'Modelo Soja'!BL25</f>
        <v>2025.7084880036882</v>
      </c>
    </row>
    <row r="26" spans="2:33" x14ac:dyDescent="0.3">
      <c r="B26" s="31" t="str">
        <f t="shared" si="0"/>
        <v>202212</v>
      </c>
      <c r="C26" s="17">
        <f t="shared" si="7"/>
        <v>44896</v>
      </c>
      <c r="D26" s="32">
        <f ca="1">IFERROR(AVERAGEIF('Preço Soja ESALQ'!$C:$C,'Modelo Soja'!$B26,'Preço Soja ESALQ'!E:E),NA())</f>
        <v>2860.2373684210529</v>
      </c>
      <c r="E26" s="32">
        <f ca="1">IFERROR(AVERAGEIF('Preço Soja ESALQ'!$C:$C,'Modelo Soja'!$B26,'Preço Soja ESALQ'!F:F),NA())</f>
        <v>2798.3231578947366</v>
      </c>
      <c r="F26" s="32">
        <f ca="1">IFERROR(AVERAGEIF('Preço Soja ESALQ'!$C:$C,'Modelo Soja'!$B26,'Preço Soja ESALQ'!G:G),NA())</f>
        <v>2928.21052631579</v>
      </c>
      <c r="G26" s="32">
        <f ca="1">IFERROR(AVERAGEIF('Preço Soja ESALQ'!$C:$C,'Modelo Soja'!$B26,'Preço Soja ESALQ'!H:H),NA())</f>
        <v>2890.7073684210527</v>
      </c>
      <c r="H26" s="32">
        <f ca="1">IFERROR(AVERAGEIF('Preço Soja ESALQ'!$C:$C,'Modelo Soja'!$B26,'Preço Soja ESALQ'!I:I),NA())</f>
        <v>2715.8447368421052</v>
      </c>
      <c r="I26" s="32">
        <f ca="1">IFERROR(AVERAGEIF('Preço Soja ESALQ'!$C:$C,'Modelo Soja'!$B26,'Preço Soja ESALQ'!J:J),NA())</f>
        <v>2887.2268421052631</v>
      </c>
      <c r="J26" s="32">
        <f ca="1">IFERROR(AVERAGEIF('Preço Soja ESALQ'!$C:$C,'Modelo Soja'!$B26,'Preço Soja ESALQ'!K:K),NA())</f>
        <v>2654.9852631578947</v>
      </c>
      <c r="K26" s="32">
        <f ca="1">IFERROR(AVERAGEIF('Preço Soja ESALQ'!$C:$C,'Modelo Soja'!$B26,'Preço Soja ESALQ'!L:L),NA())</f>
        <v>2815.5384210526313</v>
      </c>
      <c r="L26" s="32">
        <f ca="1">IFERROR(AVERAGEIF('Preço Soja ESALQ'!$C:$C,'Modelo Soja'!$B26,'Preço Soja ESALQ'!M:M),NA())</f>
        <v>2574.3320000000003</v>
      </c>
      <c r="M26" s="32">
        <f ca="1">IFERROR(AVERAGEIF('Preço Soja ESALQ'!$C:$C,'Modelo Soja'!$B26,'Preço Soja ESALQ'!N:N),NA())</f>
        <v>2587.4663157894738</v>
      </c>
      <c r="N26" s="32">
        <f ca="1">IFERROR(AVERAGEIF('Preço Soja ESALQ'!$C:$C,'Modelo Soja'!$B26,'Preço Soja ESALQ'!P:P),NA())</f>
        <v>2695.6689473684205</v>
      </c>
      <c r="P26" s="33"/>
      <c r="Q26" s="33"/>
      <c r="R26" s="32">
        <f>+[3]mensal!AF26/0.90718</f>
        <v>2625.4234514759551</v>
      </c>
      <c r="T26" s="36">
        <f>+[6]FSORPRA!H25</f>
        <v>457.5</v>
      </c>
      <c r="U26" s="36">
        <f>+[6]FRONPRA!H25</f>
        <v>288.75</v>
      </c>
      <c r="V26" s="37">
        <f t="shared" ref="V26" si="9">+(V25*2+V28)/3</f>
        <v>131.63999999999999</v>
      </c>
      <c r="W26" s="37">
        <f t="shared" ref="W26" si="10">+(W25*2+W28)/3</f>
        <v>111.66666666666667</v>
      </c>
      <c r="X26" s="37">
        <f t="shared" ref="X26" si="11">+(X25*2+X28)/3</f>
        <v>136</v>
      </c>
      <c r="Y26" s="37">
        <f t="shared" ref="Y26" si="12">+(Y25*2+Y28)/3</f>
        <v>136.91333333333333</v>
      </c>
      <c r="AA26" s="33">
        <f t="shared" si="1"/>
        <v>2167.9234514759551</v>
      </c>
      <c r="AB26" s="33">
        <f t="shared" si="2"/>
        <v>2336.6734514759551</v>
      </c>
      <c r="AC26" s="33">
        <f t="shared" si="3"/>
        <v>2493.7834514759552</v>
      </c>
      <c r="AD26" s="33">
        <f t="shared" si="4"/>
        <v>2513.7567848092885</v>
      </c>
      <c r="AE26" s="33">
        <f t="shared" si="5"/>
        <v>2489.4234514759551</v>
      </c>
      <c r="AF26" s="33">
        <f t="shared" si="6"/>
        <v>2488.5101181426216</v>
      </c>
      <c r="AG26" s="42">
        <f>+R26-'Modelo Soja'!BL26</f>
        <v>2177.9234514759551</v>
      </c>
    </row>
    <row r="27" spans="2:33" x14ac:dyDescent="0.3">
      <c r="B27" s="31" t="str">
        <f t="shared" si="0"/>
        <v>20231</v>
      </c>
      <c r="C27" s="17">
        <f t="shared" si="7"/>
        <v>44927</v>
      </c>
      <c r="D27" s="32">
        <f ca="1">IFERROR(AVERAGEIF('Preço Soja ESALQ'!$C:$C,'Modelo Soja'!$B27,'Preço Soja ESALQ'!E:E),NA())</f>
        <v>2964.9645454545457</v>
      </c>
      <c r="E27" s="32">
        <f ca="1">IFERROR(AVERAGEIF('Preço Soja ESALQ'!$C:$C,'Modelo Soja'!$B27,'Preço Soja ESALQ'!F:F),NA())</f>
        <v>2826.4881818181816</v>
      </c>
      <c r="F27" s="32">
        <f ca="1">IFERROR(AVERAGEIF('Preço Soja ESALQ'!$C:$C,'Modelo Soja'!$B27,'Preço Soja ESALQ'!G:G),NA())</f>
        <v>3005.6577272727268</v>
      </c>
      <c r="G27" s="32">
        <f ca="1">IFERROR(AVERAGEIF('Preço Soja ESALQ'!$C:$C,'Modelo Soja'!$B27,'Preço Soja ESALQ'!H:H),NA())</f>
        <v>2925.1059090909098</v>
      </c>
      <c r="H27" s="32">
        <f ca="1">IFERROR(AVERAGEIF('Preço Soja ESALQ'!$C:$C,'Modelo Soja'!$B27,'Preço Soja ESALQ'!I:I),NA())</f>
        <v>2812.9604545454549</v>
      </c>
      <c r="I27" s="32">
        <f ca="1">IFERROR(AVERAGEIF('Preço Soja ESALQ'!$C:$C,'Modelo Soja'!$B27,'Preço Soja ESALQ'!J:J),NA())</f>
        <v>2958.5249999999996</v>
      </c>
      <c r="J27" s="32">
        <f ca="1">IFERROR(AVERAGEIF('Preço Soja ESALQ'!$C:$C,'Modelo Soja'!$B27,'Preço Soja ESALQ'!K:K),NA())</f>
        <v>2697.9209090909089</v>
      </c>
      <c r="K27" s="32">
        <f ca="1">IFERROR(AVERAGEIF('Preço Soja ESALQ'!$C:$C,'Modelo Soja'!$B27,'Preço Soja ESALQ'!L:L),NA())</f>
        <v>2771.5190909090911</v>
      </c>
      <c r="L27" s="32">
        <f ca="1">IFERROR(AVERAGEIF('Preço Soja ESALQ'!$C:$C,'Modelo Soja'!$B27,'Preço Soja ESALQ'!M:M),NA())</f>
        <v>2712.2999999999997</v>
      </c>
      <c r="M27" s="32">
        <f ca="1">IFERROR(AVERAGEIF('Preço Soja ESALQ'!$C:$C,'Modelo Soja'!$B27,'Preço Soja ESALQ'!N:N),NA())</f>
        <v>2763.7468181818185</v>
      </c>
      <c r="N27" s="32">
        <f ca="1">IFERROR(AVERAGEIF('Preço Soja ESALQ'!$C:$C,'Modelo Soja'!$B27,'Preço Soja ESALQ'!P:P),NA())</f>
        <v>2789.758181818182</v>
      </c>
      <c r="O27" s="32" t="e">
        <f>+#REF!</f>
        <v>#REF!</v>
      </c>
      <c r="P27" s="33"/>
      <c r="Q27" s="33"/>
      <c r="R27" s="32">
        <f>+[3]mensal!AF27/0.90718</f>
        <v>2772.4346029854751</v>
      </c>
      <c r="T27" s="36">
        <f>+[6]FSORPRA!H26</f>
        <v>450</v>
      </c>
      <c r="U27" s="36">
        <f>+[6]FRONPRA!H26</f>
        <v>340</v>
      </c>
      <c r="V27" s="37">
        <f t="shared" ref="V27" si="13">+(V28*2+V25)/3</f>
        <v>143.28</v>
      </c>
      <c r="W27" s="37">
        <f t="shared" ref="W27" si="14">+(W28*2+W25)/3</f>
        <v>125.83333333333333</v>
      </c>
      <c r="X27" s="37">
        <f t="shared" ref="X27" si="15">+(X28*2+X25)/3</f>
        <v>135</v>
      </c>
      <c r="Y27" s="37">
        <f t="shared" ref="Y27" si="16">+(Y28*2+Y25)/3</f>
        <v>140.82666666666668</v>
      </c>
      <c r="AA27" s="33">
        <f t="shared" si="1"/>
        <v>2322.4346029854751</v>
      </c>
      <c r="AB27" s="33">
        <f t="shared" si="2"/>
        <v>2432.4346029854751</v>
      </c>
      <c r="AC27" s="33">
        <f t="shared" si="3"/>
        <v>2629.1546029854749</v>
      </c>
      <c r="AD27" s="33">
        <f t="shared" si="4"/>
        <v>2646.6012696521416</v>
      </c>
      <c r="AE27" s="33">
        <f t="shared" si="5"/>
        <v>2637.4346029854751</v>
      </c>
      <c r="AF27" s="33">
        <f t="shared" si="6"/>
        <v>2631.6079363188082</v>
      </c>
      <c r="AG27" s="42">
        <f>+R27-'Modelo Soja'!BL27</f>
        <v>2332.4346029854751</v>
      </c>
    </row>
    <row r="28" spans="2:33" x14ac:dyDescent="0.3">
      <c r="B28" s="31" t="str">
        <f t="shared" si="0"/>
        <v>20232</v>
      </c>
      <c r="C28" s="17">
        <f t="shared" si="7"/>
        <v>44958</v>
      </c>
      <c r="D28" s="32">
        <f ca="1">IFERROR(AVERAGEIF('Preço Soja ESALQ'!$C:$C,'Modelo Soja'!$B28,'Preço Soja ESALQ'!E:E),NA())</f>
        <v>2962.64</v>
      </c>
      <c r="E28" s="32">
        <f ca="1">IFERROR(AVERAGEIF('Preço Soja ESALQ'!$C:$C,'Modelo Soja'!$B28,'Preço Soja ESALQ'!F:F),NA())</f>
        <v>2854.3866666666672</v>
      </c>
      <c r="F28" s="32">
        <f ca="1">IFERROR(AVERAGEIF('Preço Soja ESALQ'!$C:$C,'Modelo Soja'!$B28,'Preço Soja ESALQ'!G:G),NA())</f>
        <v>2965.8816666666676</v>
      </c>
      <c r="G28" s="32">
        <f ca="1">IFERROR(AVERAGEIF('Preço Soja ESALQ'!$C:$C,'Modelo Soja'!$B28,'Preço Soja ESALQ'!H:H),NA())</f>
        <v>2874.0294444444453</v>
      </c>
      <c r="H28" s="32">
        <f ca="1">IFERROR(AVERAGEIF('Preço Soja ESALQ'!$C:$C,'Modelo Soja'!$B28,'Preço Soja ESALQ'!I:I),NA())</f>
        <v>2803.1299999999992</v>
      </c>
      <c r="I28" s="32">
        <f ca="1">IFERROR(AVERAGEIF('Preço Soja ESALQ'!$C:$C,'Modelo Soja'!$B28,'Preço Soja ESALQ'!J:J),NA())</f>
        <v>2953.1788888888891</v>
      </c>
      <c r="J28" s="32">
        <f ca="1">IFERROR(AVERAGEIF('Preço Soja ESALQ'!$C:$C,'Modelo Soja'!$B28,'Preço Soja ESALQ'!K:K),NA())</f>
        <v>2714.7033333333334</v>
      </c>
      <c r="K28" s="32">
        <f ca="1">IFERROR(AVERAGEIF('Preço Soja ESALQ'!$C:$C,'Modelo Soja'!$B28,'Preço Soja ESALQ'!L:L),NA())</f>
        <v>2692.9044444444444</v>
      </c>
      <c r="L28" s="32">
        <f ca="1">IFERROR(AVERAGEIF('Preço Soja ESALQ'!$C:$C,'Modelo Soja'!$B28,'Preço Soja ESALQ'!M:M),NA())</f>
        <v>2695.6890909090907</v>
      </c>
      <c r="M28" s="32">
        <f ca="1">IFERROR(AVERAGEIF('Preço Soja ESALQ'!$C:$C,'Modelo Soja'!$B28,'Preço Soja ESALQ'!N:N),NA())</f>
        <v>2731.5566666666664</v>
      </c>
      <c r="N28" s="32">
        <f ca="1">IFERROR(AVERAGEIF('Preço Soja ESALQ'!$C:$C,'Modelo Soja'!$B28,'Preço Soja ESALQ'!P:P),NA())</f>
        <v>2825.1388888888887</v>
      </c>
      <c r="O28" s="32" t="e">
        <f>+#REF!</f>
        <v>#REF!</v>
      </c>
      <c r="P28" s="33"/>
      <c r="Q28" s="33"/>
      <c r="R28" s="32">
        <f>+[3]mensal!AF28/0.90718</f>
        <v>2813.2167373503307</v>
      </c>
      <c r="T28" s="36">
        <f>+[6]FSORPRA!H27</f>
        <v>518.5</v>
      </c>
      <c r="U28" s="36">
        <f>+[6]FRONPRA!H27</f>
        <v>392.5</v>
      </c>
      <c r="V28" s="36">
        <f>VLOOKUP(B28,'Frete ESALQ'!$C$5:$AL$131,36,FALSE)</f>
        <v>154.91999999999999</v>
      </c>
      <c r="W28" s="36">
        <f>VLOOKUP(B28,'Frete ESALQ'!$C$5:$AW$131,47,FALSE)</f>
        <v>140</v>
      </c>
      <c r="X28" s="36">
        <f>VLOOKUP(B28,'Frete ESALQ'!$C$5:$BH$131,58,FALSE)</f>
        <v>134</v>
      </c>
      <c r="Y28" s="36">
        <f>VLOOKUP(B28,'Frete ESALQ'!$C$5:$BH$131,32,FALSE)</f>
        <v>144.74</v>
      </c>
      <c r="AA28" s="33">
        <f t="shared" si="1"/>
        <v>2294.7167373503307</v>
      </c>
      <c r="AB28" s="33">
        <f t="shared" si="2"/>
        <v>2420.7167373503307</v>
      </c>
      <c r="AC28" s="33">
        <f t="shared" si="3"/>
        <v>2658.2967373503307</v>
      </c>
      <c r="AD28" s="33">
        <f t="shared" si="4"/>
        <v>2673.2167373503307</v>
      </c>
      <c r="AE28" s="33">
        <f t="shared" si="5"/>
        <v>2679.2167373503307</v>
      </c>
      <c r="AF28" s="33">
        <f t="shared" si="6"/>
        <v>2668.4767373503309</v>
      </c>
      <c r="AG28" s="42">
        <f>+R28-'Modelo Soja'!BL28</f>
        <v>2304.7167373503307</v>
      </c>
    </row>
    <row r="29" spans="2:33" x14ac:dyDescent="0.3">
      <c r="B29" s="31" t="str">
        <f t="shared" si="0"/>
        <v>20233</v>
      </c>
      <c r="C29" s="17">
        <f t="shared" si="7"/>
        <v>44986</v>
      </c>
      <c r="D29" s="32">
        <f ca="1">IFERROR(AVERAGEIF('Preço Soja ESALQ'!$C:$C,'Modelo Soja'!$B29,'Preço Soja ESALQ'!E:E),NA())</f>
        <v>2759.22</v>
      </c>
      <c r="E29" s="32">
        <f ca="1">IFERROR(AVERAGEIF('Preço Soja ESALQ'!$C:$C,'Modelo Soja'!$B29,'Preço Soja ESALQ'!F:F),NA())</f>
        <v>2777.8869565217392</v>
      </c>
      <c r="F29" s="32">
        <f ca="1">IFERROR(AVERAGEIF('Preço Soja ESALQ'!$C:$C,'Modelo Soja'!$B29,'Preço Soja ESALQ'!G:G),NA())</f>
        <v>2801.63</v>
      </c>
      <c r="G29" s="32">
        <f ca="1">IFERROR(AVERAGEIF('Preço Soja ESALQ'!$C:$C,'Modelo Soja'!$B29,'Preço Soja ESALQ'!H:H),NA())</f>
        <v>2707.3013043478263</v>
      </c>
      <c r="H29" s="32">
        <f ca="1">IFERROR(AVERAGEIF('Preço Soja ESALQ'!$C:$C,'Modelo Soja'!$B29,'Preço Soja ESALQ'!I:I),NA())</f>
        <v>2721.6865217391305</v>
      </c>
      <c r="I29" s="32">
        <f ca="1">IFERROR(AVERAGEIF('Preço Soja ESALQ'!$C:$C,'Modelo Soja'!$B29,'Preço Soja ESALQ'!J:J),NA())</f>
        <v>2672.3108695652177</v>
      </c>
      <c r="J29" s="32">
        <f ca="1">IFERROR(AVERAGEIF('Preço Soja ESALQ'!$C:$C,'Modelo Soja'!$B29,'Preço Soja ESALQ'!K:K),NA())</f>
        <v>2681.183043478261</v>
      </c>
      <c r="K29" s="32">
        <f ca="1">IFERROR(AVERAGEIF('Preço Soja ESALQ'!$C:$C,'Modelo Soja'!$B29,'Preço Soja ESALQ'!L:L),NA())</f>
        <v>2540.9230434782608</v>
      </c>
      <c r="L29" s="32">
        <f ca="1">IFERROR(AVERAGEIF('Preço Soja ESALQ'!$C:$C,'Modelo Soja'!$B29,'Preço Soja ESALQ'!M:M),NA())</f>
        <v>2517</v>
      </c>
      <c r="M29" s="32">
        <f ca="1">IFERROR(AVERAGEIF('Preço Soja ESALQ'!$C:$C,'Modelo Soja'!$B29,'Preço Soja ESALQ'!N:N),NA())</f>
        <v>2493.9243478260873</v>
      </c>
      <c r="N29" s="32">
        <f ca="1">IFERROR(AVERAGEIF('Preço Soja ESALQ'!$C:$C,'Modelo Soja'!$B29,'Preço Soja ESALQ'!P:P),NA())</f>
        <v>2732.8152173913045</v>
      </c>
      <c r="O29" s="32" t="e">
        <f>+#REF!</f>
        <v>#REF!</v>
      </c>
      <c r="P29" s="33"/>
      <c r="Q29" s="33"/>
      <c r="R29" s="32">
        <f>+[3]mensal!AF29/0.90718</f>
        <v>2725.8818327769586</v>
      </c>
      <c r="T29" s="36">
        <f>+[6]FSORPRA!H28</f>
        <v>441.6</v>
      </c>
      <c r="U29" s="36">
        <f>+[6]FRONPRA!H28</f>
        <v>326</v>
      </c>
      <c r="V29" s="36">
        <f>VLOOKUP(B29,'Frete ESALQ'!$C$5:$AL$131,36,FALSE)</f>
        <v>181.34</v>
      </c>
      <c r="W29" s="36">
        <f>VLOOKUP(B29,'Frete ESALQ'!$C$5:$AW$131,47,FALSE)</f>
        <v>184.33</v>
      </c>
      <c r="X29" s="36">
        <f>VLOOKUP(B29,'Frete ESALQ'!$C$5:$BH$131,58,FALSE)</f>
        <v>124.85</v>
      </c>
      <c r="Y29" s="36">
        <f>VLOOKUP(B29,'Frete ESALQ'!$C$5:$BH$131,32,FALSE)</f>
        <v>134.22</v>
      </c>
      <c r="AA29" s="33">
        <f t="shared" si="1"/>
        <v>2284.2818327769587</v>
      </c>
      <c r="AB29" s="33">
        <f t="shared" si="2"/>
        <v>2399.8818327769586</v>
      </c>
      <c r="AC29" s="33">
        <f t="shared" si="3"/>
        <v>2544.5418327769585</v>
      </c>
      <c r="AD29" s="33">
        <f t="shared" si="4"/>
        <v>2541.5518327769587</v>
      </c>
      <c r="AE29" s="33">
        <f t="shared" si="5"/>
        <v>2601.0318327769587</v>
      </c>
      <c r="AF29" s="33">
        <f t="shared" si="6"/>
        <v>2591.6618327769588</v>
      </c>
      <c r="AG29" s="42">
        <f>+R29-'Modelo Soja'!BL29</f>
        <v>2294.2818327769587</v>
      </c>
    </row>
    <row r="30" spans="2:33" x14ac:dyDescent="0.3">
      <c r="B30" s="31" t="str">
        <f t="shared" si="0"/>
        <v>20234</v>
      </c>
      <c r="C30" s="17">
        <f t="shared" si="7"/>
        <v>45017</v>
      </c>
      <c r="D30" s="32">
        <f ca="1">IFERROR(AVERAGEIF('Preço Soja ESALQ'!$C:$C,'Modelo Soja'!$B30,'Preço Soja ESALQ'!E:E),NA())</f>
        <v>2478.6938888888894</v>
      </c>
      <c r="E30" s="32">
        <f ca="1">IFERROR(AVERAGEIF('Preço Soja ESALQ'!$C:$C,'Modelo Soja'!$B30,'Preço Soja ESALQ'!F:F),NA())</f>
        <v>2503.0844444444442</v>
      </c>
      <c r="F30" s="32">
        <f ca="1">IFERROR(AVERAGEIF('Preço Soja ESALQ'!$C:$C,'Modelo Soja'!$B30,'Preço Soja ESALQ'!G:G),NA())</f>
        <v>2539.7683333333325</v>
      </c>
      <c r="G30" s="32">
        <f ca="1">IFERROR(AVERAGEIF('Preço Soja ESALQ'!$C:$C,'Modelo Soja'!$B30,'Preço Soja ESALQ'!H:H),NA())</f>
        <v>2454.8000000000002</v>
      </c>
      <c r="H30" s="32">
        <f ca="1">IFERROR(AVERAGEIF('Preço Soja ESALQ'!$C:$C,'Modelo Soja'!$B30,'Preço Soja ESALQ'!I:I),NA())</f>
        <v>2440.6138888888891</v>
      </c>
      <c r="I30" s="32">
        <f ca="1">IFERROR(AVERAGEIF('Preço Soja ESALQ'!$C:$C,'Modelo Soja'!$B30,'Preço Soja ESALQ'!J:J),NA())</f>
        <v>2406.6822222222227</v>
      </c>
      <c r="J30" s="32">
        <f ca="1">IFERROR(AVERAGEIF('Preço Soja ESALQ'!$C:$C,'Modelo Soja'!$B30,'Preço Soja ESALQ'!K:K),NA())</f>
        <v>2409.8594444444443</v>
      </c>
      <c r="K30" s="32">
        <f ca="1">IFERROR(AVERAGEIF('Preço Soja ESALQ'!$C:$C,'Modelo Soja'!$B30,'Preço Soja ESALQ'!L:L),NA())</f>
        <v>2310.5433333333331</v>
      </c>
      <c r="L30" s="32">
        <f ca="1">IFERROR(AVERAGEIF('Preço Soja ESALQ'!$C:$C,'Modelo Soja'!$B30,'Preço Soja ESALQ'!M:M),NA())</f>
        <v>2236.2322222222224</v>
      </c>
      <c r="M30" s="32">
        <f ca="1">IFERROR(AVERAGEIF('Preço Soja ESALQ'!$C:$C,'Modelo Soja'!$B30,'Preço Soja ESALQ'!N:N),NA())</f>
        <v>2209.9077777777775</v>
      </c>
      <c r="N30" s="32">
        <f ca="1">IFERROR(AVERAGEIF('Preço Soja ESALQ'!$C:$C,'Modelo Soja'!$B30,'Preço Soja ESALQ'!P:P),NA())</f>
        <v>2460.9477777777779</v>
      </c>
      <c r="O30" s="32" t="e">
        <f>+#REF!</f>
        <v>#REF!</v>
      </c>
      <c r="P30" s="33"/>
      <c r="Q30" s="33"/>
      <c r="R30" s="32">
        <f>+[3]mensal!AF30/0.90718</f>
        <v>2491.5327570052254</v>
      </c>
      <c r="T30" s="36">
        <f>+[6]FSORPRA!H29</f>
        <v>468.25</v>
      </c>
      <c r="U30" s="36">
        <f>+[6]FRONPRA!H29</f>
        <v>350</v>
      </c>
      <c r="V30" s="36">
        <f>VLOOKUP(B30,'Frete ESALQ'!$C$5:$AL$131,36,FALSE)</f>
        <v>193.29</v>
      </c>
      <c r="W30" s="36">
        <f>VLOOKUP(B30,'Frete ESALQ'!$C$5:$AW$131,47,FALSE)</f>
        <v>162.6</v>
      </c>
      <c r="X30" s="36">
        <f>VLOOKUP(B30,'Frete ESALQ'!$C$5:$BH$131,58,FALSE)</f>
        <v>132.5</v>
      </c>
      <c r="Y30" s="36">
        <f>VLOOKUP(B30,'Frete ESALQ'!$C$5:$BH$131,32,FALSE)</f>
        <v>130</v>
      </c>
      <c r="AA30" s="33">
        <f t="shared" si="1"/>
        <v>2023.2827570052254</v>
      </c>
      <c r="AB30" s="33">
        <f t="shared" si="2"/>
        <v>2141.5327570052254</v>
      </c>
      <c r="AC30" s="33">
        <f t="shared" si="3"/>
        <v>2298.2427570052255</v>
      </c>
      <c r="AD30" s="33">
        <f t="shared" si="4"/>
        <v>2328.9327570052255</v>
      </c>
      <c r="AE30" s="33">
        <f t="shared" si="5"/>
        <v>2359.0327570052254</v>
      </c>
      <c r="AF30" s="33">
        <f t="shared" si="6"/>
        <v>2361.5327570052254</v>
      </c>
      <c r="AG30" s="42">
        <f>+R30-'Modelo Soja'!BL30</f>
        <v>2033.2827570052254</v>
      </c>
    </row>
    <row r="31" spans="2:33" x14ac:dyDescent="0.3">
      <c r="B31" s="31" t="str">
        <f t="shared" si="0"/>
        <v>20235</v>
      </c>
      <c r="C31" s="17">
        <f t="shared" si="7"/>
        <v>45047</v>
      </c>
      <c r="D31" s="32">
        <f ca="1">IFERROR(AVERAGEIF('Preço Soja ESALQ'!$C:$C,'Modelo Soja'!$B31,'Preço Soja ESALQ'!E:E),NA())</f>
        <v>2341.9790909090912</v>
      </c>
      <c r="E31" s="32">
        <f ca="1">IFERROR(AVERAGEIF('Preço Soja ESALQ'!$C:$C,'Modelo Soja'!$B31,'Preço Soja ESALQ'!F:F),NA())</f>
        <v>2339.3140909090916</v>
      </c>
      <c r="F31" s="32">
        <f ca="1">IFERROR(AVERAGEIF('Preço Soja ESALQ'!$C:$C,'Modelo Soja'!$B31,'Preço Soja ESALQ'!G:G),NA())</f>
        <v>2351.4613636363629</v>
      </c>
      <c r="G31" s="32">
        <f ca="1">IFERROR(AVERAGEIF('Preço Soja ESALQ'!$C:$C,'Modelo Soja'!$B31,'Preço Soja ESALQ'!H:H),NA())</f>
        <v>2261.8100000000004</v>
      </c>
      <c r="H31" s="32">
        <f ca="1">IFERROR(AVERAGEIF('Preço Soja ESALQ'!$C:$C,'Modelo Soja'!$B31,'Preço Soja ESALQ'!I:I),NA())</f>
        <v>2260.0009090909093</v>
      </c>
      <c r="I31" s="32">
        <f ca="1">IFERROR(AVERAGEIF('Preço Soja ESALQ'!$C:$C,'Modelo Soja'!$B31,'Preço Soja ESALQ'!J:J),NA())</f>
        <v>2236.9222727272731</v>
      </c>
      <c r="J31" s="32">
        <f ca="1">IFERROR(AVERAGEIF('Preço Soja ESALQ'!$C:$C,'Modelo Soja'!$B31,'Preço Soja ESALQ'!K:K),NA())</f>
        <v>2272.505454545455</v>
      </c>
      <c r="K31" s="32">
        <f ca="1">IFERROR(AVERAGEIF('Preço Soja ESALQ'!$C:$C,'Modelo Soja'!$B31,'Preço Soja ESALQ'!L:L),NA())</f>
        <v>2232.4509090909091</v>
      </c>
      <c r="L31" s="32">
        <f ca="1">IFERROR(AVERAGEIF('Preço Soja ESALQ'!$C:$C,'Modelo Soja'!$B31,'Preço Soja ESALQ'!M:M),NA())</f>
        <v>2097.4890909090918</v>
      </c>
      <c r="M31" s="32">
        <f ca="1">IFERROR(AVERAGEIF('Preço Soja ESALQ'!$C:$C,'Modelo Soja'!$B31,'Preço Soja ESALQ'!N:N),NA())</f>
        <v>2121.9027272727271</v>
      </c>
      <c r="N31" s="32">
        <f ca="1">IFERROR(AVERAGEIF('Preço Soja ESALQ'!$C:$C,'Modelo Soja'!$B31,'Preço Soja ESALQ'!P:P),NA())</f>
        <v>2291.2568181818183</v>
      </c>
      <c r="O31" s="32" t="e">
        <f>+#REF!</f>
        <v>#REF!</v>
      </c>
      <c r="P31" s="33"/>
      <c r="Q31" s="33"/>
      <c r="R31" s="32">
        <f>+[3]mensal!AF31/0.90718</f>
        <v>2289.2019975989529</v>
      </c>
      <c r="T31" s="36">
        <f>+[6]FSORPRA!H30</f>
        <v>465</v>
      </c>
      <c r="U31" s="36">
        <f>+[6]FRONPRA!H30</f>
        <v>347.75</v>
      </c>
      <c r="V31" s="37">
        <f>(V30+V32)/2</f>
        <v>176.5</v>
      </c>
      <c r="W31" s="37">
        <f t="shared" ref="W31" si="17">(W30+W32)/2</f>
        <v>154.63499999999999</v>
      </c>
      <c r="X31" s="37">
        <f t="shared" ref="X31" si="18">(X30+X32)/2</f>
        <v>122.91499999999999</v>
      </c>
      <c r="Y31" s="37">
        <f t="shared" ref="Y31" si="19">(Y30+Y32)/2</f>
        <v>125</v>
      </c>
      <c r="AA31" s="33">
        <f t="shared" si="1"/>
        <v>1824.2019975989529</v>
      </c>
      <c r="AB31" s="33">
        <f t="shared" si="2"/>
        <v>1941.4519975989529</v>
      </c>
      <c r="AC31" s="33">
        <f t="shared" si="3"/>
        <v>2112.7019975989529</v>
      </c>
      <c r="AD31" s="33">
        <f t="shared" si="4"/>
        <v>2134.5669975989531</v>
      </c>
      <c r="AE31" s="33">
        <f t="shared" si="5"/>
        <v>2166.2869975989529</v>
      </c>
      <c r="AF31" s="33">
        <f t="shared" si="6"/>
        <v>2164.2019975989529</v>
      </c>
      <c r="AG31" s="42">
        <f>+R31-'Modelo Soja'!BL31</f>
        <v>1834.2019975989529</v>
      </c>
    </row>
    <row r="32" spans="2:33" x14ac:dyDescent="0.3">
      <c r="B32" s="31" t="str">
        <f t="shared" si="0"/>
        <v>20236</v>
      </c>
      <c r="C32" s="17">
        <f t="shared" si="7"/>
        <v>45078</v>
      </c>
      <c r="D32" s="32">
        <f ca="1">IFERROR(AVERAGEIF('Preço Soja ESALQ'!$C:$C,'Modelo Soja'!$B32,'Preço Soja ESALQ'!E:E),NA())</f>
        <v>2264.1080952380953</v>
      </c>
      <c r="E32" s="32">
        <f ca="1">IFERROR(AVERAGEIF('Preço Soja ESALQ'!$C:$C,'Modelo Soja'!$B32,'Preço Soja ESALQ'!F:F),NA())</f>
        <v>2240.1295238095236</v>
      </c>
      <c r="F32" s="32">
        <f ca="1">IFERROR(AVERAGEIF('Preço Soja ESALQ'!$C:$C,'Modelo Soja'!$B32,'Preço Soja ESALQ'!G:G),NA())</f>
        <v>2267.1076190476188</v>
      </c>
      <c r="G32" s="32">
        <f ca="1">IFERROR(AVERAGEIF('Preço Soja ESALQ'!$C:$C,'Modelo Soja'!$B32,'Preço Soja ESALQ'!H:H),NA())</f>
        <v>2127.220952380952</v>
      </c>
      <c r="H32" s="32">
        <f ca="1">IFERROR(AVERAGEIF('Preço Soja ESALQ'!$C:$C,'Modelo Soja'!$B32,'Preço Soja ESALQ'!I:I),NA())</f>
        <v>2197.1799999999994</v>
      </c>
      <c r="I32" s="32">
        <f ca="1">IFERROR(AVERAGEIF('Preço Soja ESALQ'!$C:$C,'Modelo Soja'!$B32,'Preço Soja ESALQ'!J:J),NA())</f>
        <v>2184.7685714285717</v>
      </c>
      <c r="J32" s="32">
        <f ca="1">IFERROR(AVERAGEIF('Preço Soja ESALQ'!$C:$C,'Modelo Soja'!$B32,'Preço Soja ESALQ'!K:K),NA())</f>
        <v>2174.1952380952389</v>
      </c>
      <c r="K32" s="32">
        <f ca="1">IFERROR(AVERAGEIF('Preço Soja ESALQ'!$C:$C,'Modelo Soja'!$B32,'Preço Soja ESALQ'!L:L),NA())</f>
        <v>2062.2523076923076</v>
      </c>
      <c r="L32" s="32">
        <f ca="1">IFERROR(AVERAGEIF('Preço Soja ESALQ'!$C:$C,'Modelo Soja'!$B32,'Preço Soja ESALQ'!M:M),NA())</f>
        <v>2018.7080952380948</v>
      </c>
      <c r="M32" s="32">
        <f ca="1">IFERROR(AVERAGEIF('Preço Soja ESALQ'!$C:$C,'Modelo Soja'!$B32,'Preço Soja ESALQ'!N:N),NA())</f>
        <v>1996.3290476190482</v>
      </c>
      <c r="N32" s="32">
        <f ca="1">IFERROR(AVERAGEIF('Preço Soja ESALQ'!$C:$C,'Modelo Soja'!$B32,'Preço Soja ESALQ'!P:P),NA())</f>
        <v>2191.9738095238099</v>
      </c>
      <c r="O32" s="32" t="e">
        <f>+#REF!</f>
        <v>#REF!</v>
      </c>
      <c r="P32" s="33"/>
      <c r="Q32" s="33"/>
      <c r="R32" s="32">
        <f>+[3]mensal!AF32/0.90718</f>
        <v>2171.3305425146509</v>
      </c>
      <c r="T32" s="36">
        <f>+[6]FSORPRA!H31</f>
        <v>502</v>
      </c>
      <c r="U32" s="36">
        <f>+[6]FRONPRA!H31</f>
        <v>357</v>
      </c>
      <c r="V32" s="36">
        <f>VLOOKUP(B32,'Frete ESALQ'!$C$5:$AL$131,36,FALSE)</f>
        <v>159.71</v>
      </c>
      <c r="W32" s="36">
        <f>VLOOKUP(B32,'Frete ESALQ'!$C$5:$AW$131,47,FALSE)</f>
        <v>146.66999999999999</v>
      </c>
      <c r="X32" s="36">
        <f>VLOOKUP(B32,'Frete ESALQ'!$C$5:$BH$131,58,FALSE)</f>
        <v>113.33</v>
      </c>
      <c r="Y32" s="36">
        <f>VLOOKUP(B32,'Frete ESALQ'!$C$5:$BH$131,32,FALSE)</f>
        <v>120</v>
      </c>
      <c r="AA32" s="33">
        <f t="shared" si="1"/>
        <v>1669.3305425146509</v>
      </c>
      <c r="AB32" s="33">
        <f t="shared" si="2"/>
        <v>1814.3305425146509</v>
      </c>
      <c r="AC32" s="33">
        <f t="shared" si="3"/>
        <v>2011.6205425146509</v>
      </c>
      <c r="AD32" s="33">
        <f t="shared" si="4"/>
        <v>2024.6605425146508</v>
      </c>
      <c r="AE32" s="33">
        <f t="shared" si="5"/>
        <v>2058.000542514651</v>
      </c>
      <c r="AF32" s="33">
        <f t="shared" si="6"/>
        <v>2051.3305425146509</v>
      </c>
      <c r="AG32" s="42">
        <f>+R32-'Modelo Soja'!BL32</f>
        <v>1679.3305425146509</v>
      </c>
    </row>
    <row r="33" spans="2:33" x14ac:dyDescent="0.3">
      <c r="B33" s="31" t="str">
        <f t="shared" si="0"/>
        <v>20237</v>
      </c>
      <c r="C33" s="17">
        <f t="shared" si="7"/>
        <v>45108</v>
      </c>
      <c r="D33" s="32">
        <f ca="1">IFERROR(AVERAGEIF('Preço Soja ESALQ'!$C:$C,'Modelo Soja'!$B33,'Preço Soja ESALQ'!E:E),NA())</f>
        <v>2363.6966666666667</v>
      </c>
      <c r="E33" s="32">
        <f ca="1">IFERROR(AVERAGEIF('Preço Soja ESALQ'!$C:$C,'Modelo Soja'!$B33,'Preço Soja ESALQ'!F:F),NA())</f>
        <v>2285.3338095238091</v>
      </c>
      <c r="F33" s="32">
        <f ca="1">IFERROR(AVERAGEIF('Preço Soja ESALQ'!$C:$C,'Modelo Soja'!$B33,'Preço Soja ESALQ'!G:G),NA())</f>
        <v>2352.8852380952371</v>
      </c>
      <c r="G33" s="32">
        <f ca="1">IFERROR(AVERAGEIF('Preço Soja ESALQ'!$C:$C,'Modelo Soja'!$B33,'Preço Soja ESALQ'!H:H),NA())</f>
        <v>2215.4033333333332</v>
      </c>
      <c r="H33" s="32">
        <f ca="1">IFERROR(AVERAGEIF('Preço Soja ESALQ'!$C:$C,'Modelo Soja'!$B33,'Preço Soja ESALQ'!I:I),NA())</f>
        <v>2235.4985714285708</v>
      </c>
      <c r="I33" s="32">
        <f ca="1">IFERROR(AVERAGEIF('Preço Soja ESALQ'!$C:$C,'Modelo Soja'!$B33,'Preço Soja ESALQ'!J:J),NA())</f>
        <v>2242.0828571428569</v>
      </c>
      <c r="J33" s="32">
        <f ca="1">IFERROR(AVERAGEIF('Preço Soja ESALQ'!$C:$C,'Modelo Soja'!$B33,'Preço Soja ESALQ'!K:K),NA())</f>
        <v>2186.3909523809525</v>
      </c>
      <c r="K33" s="32">
        <f ca="1">IFERROR(AVERAGEIF('Preço Soja ESALQ'!$C:$C,'Modelo Soja'!$B33,'Preço Soja ESALQ'!L:L),NA())</f>
        <v>2145.351052631579</v>
      </c>
      <c r="L33" s="32">
        <f ca="1">IFERROR(AVERAGEIF('Preço Soja ESALQ'!$C:$C,'Modelo Soja'!$B33,'Preço Soja ESALQ'!M:M),NA())</f>
        <v>2047.2514285714285</v>
      </c>
      <c r="M33" s="32">
        <f ca="1">IFERROR(AVERAGEIF('Preço Soja ESALQ'!$C:$C,'Modelo Soja'!$B33,'Preço Soja ESALQ'!N:N),NA())</f>
        <v>2084.7614285714285</v>
      </c>
      <c r="N33" s="32">
        <f ca="1">IFERROR(AVERAGEIF('Preço Soja ESALQ'!$C:$C,'Modelo Soja'!$B33,'Preço Soja ESALQ'!P:P),NA())</f>
        <v>2257.9671428571432</v>
      </c>
      <c r="O33" s="32" t="e">
        <f>+#REF!</f>
        <v>#REF!</v>
      </c>
      <c r="P33" s="33"/>
      <c r="Q33" s="33"/>
      <c r="R33" s="32">
        <f>+[3]mensal!AF33/0.90718</f>
        <v>2307.780937315953</v>
      </c>
      <c r="T33" s="36">
        <f>+[6]FSORPRA!H32</f>
        <v>526.4375</v>
      </c>
      <c r="U33" s="36">
        <f>+[6]FRONPRA!H32</f>
        <v>399.89749999999998</v>
      </c>
      <c r="V33" s="36">
        <f>VLOOKUP(B33,'Frete ESALQ'!$C$5:$AL$131,36,FALSE)</f>
        <v>159.71</v>
      </c>
      <c r="W33" s="36">
        <f>VLOOKUP(B33,'Frete ESALQ'!$C$5:$AW$131,47,FALSE)</f>
        <v>146.66999999999999</v>
      </c>
      <c r="X33" s="36">
        <f>VLOOKUP(B33,'Frete ESALQ'!$C$5:$BH$131,58,FALSE)</f>
        <v>113.33</v>
      </c>
      <c r="Y33" s="36">
        <f>VLOOKUP(B33,'Frete ESALQ'!$C$5:$BH$131,32,FALSE)</f>
        <v>120</v>
      </c>
      <c r="AA33" s="33">
        <f t="shared" si="1"/>
        <v>1781.343437315953</v>
      </c>
      <c r="AB33" s="33">
        <f t="shared" si="2"/>
        <v>1907.883437315953</v>
      </c>
      <c r="AC33" s="33">
        <f t="shared" si="3"/>
        <v>2148.070937315953</v>
      </c>
      <c r="AD33" s="33">
        <f t="shared" si="4"/>
        <v>2161.1109373159529</v>
      </c>
      <c r="AE33" s="33">
        <f t="shared" si="5"/>
        <v>2194.4509373159531</v>
      </c>
      <c r="AF33" s="33">
        <f t="shared" si="6"/>
        <v>2187.780937315953</v>
      </c>
      <c r="AG33" s="42">
        <f>+R33-'Modelo Soja'!BL33</f>
        <v>1791.343437315953</v>
      </c>
    </row>
    <row r="34" spans="2:33" x14ac:dyDescent="0.3">
      <c r="B34" s="31" t="str">
        <f t="shared" si="0"/>
        <v>20238</v>
      </c>
      <c r="C34" s="17">
        <f t="shared" si="7"/>
        <v>45139</v>
      </c>
      <c r="D34" s="32">
        <f ca="1">IFERROR(AVERAGEIF('Preço Soja ESALQ'!$C:$C,'Modelo Soja'!$B34,'Preço Soja ESALQ'!E:E),NA())</f>
        <v>2347.5668181818182</v>
      </c>
      <c r="E34" s="32">
        <f ca="1">IFERROR(AVERAGEIF('Preço Soja ESALQ'!$C:$C,'Modelo Soja'!$B34,'Preço Soja ESALQ'!F:F),NA())</f>
        <v>2270.8708695652172</v>
      </c>
      <c r="F34" s="32">
        <f ca="1">IFERROR(AVERAGEIF('Preço Soja ESALQ'!$C:$C,'Modelo Soja'!$B34,'Preço Soja ESALQ'!G:G),NA())</f>
        <v>2331.7086363636354</v>
      </c>
      <c r="G34" s="32">
        <f ca="1">IFERROR(AVERAGEIF('Preço Soja ESALQ'!$C:$C,'Modelo Soja'!$B34,'Preço Soja ESALQ'!H:H),NA())</f>
        <v>2253.6881818181819</v>
      </c>
      <c r="H34" s="32">
        <f ca="1">IFERROR(AVERAGEIF('Preço Soja ESALQ'!$C:$C,'Modelo Soja'!$B34,'Preço Soja ESALQ'!I:I),NA())</f>
        <v>2252.4269565217396</v>
      </c>
      <c r="I34" s="32">
        <f ca="1">IFERROR(AVERAGEIF('Preço Soja ESALQ'!$C:$C,'Modelo Soja'!$B34,'Preço Soja ESALQ'!J:J),NA())</f>
        <v>2254.4813636363633</v>
      </c>
      <c r="J34" s="32">
        <f ca="1">IFERROR(AVERAGEIF('Preço Soja ESALQ'!$C:$C,'Modelo Soja'!$B34,'Preço Soja ESALQ'!K:K),NA())</f>
        <v>2186.1726086956523</v>
      </c>
      <c r="K34" s="32">
        <f ca="1">IFERROR(AVERAGEIF('Preço Soja ESALQ'!$C:$C,'Modelo Soja'!$B34,'Preço Soja ESALQ'!L:L),NA())</f>
        <v>2184.4172727272721</v>
      </c>
      <c r="L34" s="32">
        <f ca="1">IFERROR(AVERAGEIF('Preço Soja ESALQ'!$C:$C,'Modelo Soja'!$B34,'Preço Soja ESALQ'!M:M),NA())</f>
        <v>2016.1686363636363</v>
      </c>
      <c r="M34" s="32">
        <f ca="1">IFERROR(AVERAGEIF('Preço Soja ESALQ'!$C:$C,'Modelo Soja'!$B34,'Preço Soja ESALQ'!N:N),NA())</f>
        <v>2082.0845454545452</v>
      </c>
      <c r="N34" s="32">
        <f ca="1">IFERROR(AVERAGEIF('Preço Soja ESALQ'!$C:$C,'Modelo Soja'!$B34,'Preço Soja ESALQ'!P:P),NA())</f>
        <v>2308.3746666666671</v>
      </c>
      <c r="O34" s="32" t="e">
        <f>+#REF!</f>
        <v>#REF!</v>
      </c>
      <c r="P34" s="33"/>
      <c r="Q34" s="33"/>
      <c r="R34" s="32">
        <f>+[3]mensal!AF34/0.90718</f>
        <v>2307.3844223052129</v>
      </c>
      <c r="T34" s="36">
        <f>+[6]FSORPRA!H33</f>
        <v>486.25</v>
      </c>
      <c r="U34" s="36">
        <f>+[6]FRONPRA!H33</f>
        <v>396.875</v>
      </c>
      <c r="V34" s="36">
        <f>VLOOKUP(B34,'Frete ESALQ'!$C$5:$AL$131,36,FALSE)</f>
        <v>193.11</v>
      </c>
      <c r="W34" s="36">
        <f>VLOOKUP(B34,'Frete ESALQ'!$C$5:$AW$131,47,FALSE)</f>
        <v>172.58</v>
      </c>
      <c r="X34" s="36">
        <f>VLOOKUP(B34,'Frete ESALQ'!$C$5:$BH$131,58,FALSE)</f>
        <v>127.5</v>
      </c>
      <c r="Y34" s="36">
        <f>VLOOKUP(B34,'Frete ESALQ'!$C$5:$BH$131,32,FALSE)</f>
        <v>130.16999999999999</v>
      </c>
      <c r="AA34" s="33">
        <f t="shared" si="1"/>
        <v>1821.1344223052129</v>
      </c>
      <c r="AB34" s="33">
        <f t="shared" si="2"/>
        <v>1910.5094223052129</v>
      </c>
      <c r="AC34" s="33">
        <f t="shared" si="3"/>
        <v>2114.2744223052127</v>
      </c>
      <c r="AD34" s="33">
        <f t="shared" si="4"/>
        <v>2134.8044223052129</v>
      </c>
      <c r="AE34" s="33">
        <f t="shared" si="5"/>
        <v>2179.8844223052129</v>
      </c>
      <c r="AF34" s="33">
        <f t="shared" si="6"/>
        <v>2177.2144223052128</v>
      </c>
      <c r="AG34" s="42">
        <f>+R34-'Modelo Soja'!BL34</f>
        <v>1831.1344223052129</v>
      </c>
    </row>
    <row r="35" spans="2:33" x14ac:dyDescent="0.3">
      <c r="B35" s="31" t="str">
        <f t="shared" si="0"/>
        <v>20239</v>
      </c>
      <c r="C35" s="17">
        <f t="shared" si="7"/>
        <v>45170</v>
      </c>
      <c r="D35" s="32">
        <f ca="1">IFERROR(AVERAGEIF('Preço Soja ESALQ'!$C:$C,'Modelo Soja'!$B35,'Preço Soja ESALQ'!E:E),NA())</f>
        <v>2337.1465000000003</v>
      </c>
      <c r="E35" s="32">
        <f ca="1">IFERROR(AVERAGEIF('Preço Soja ESALQ'!$C:$C,'Modelo Soja'!$B35,'Preço Soja ESALQ'!F:F),NA())</f>
        <v>2257.4810000000002</v>
      </c>
      <c r="F35" s="32">
        <f ca="1">IFERROR(AVERAGEIF('Preço Soja ESALQ'!$C:$C,'Modelo Soja'!$B35,'Preço Soja ESALQ'!G:G),NA())</f>
        <v>2307.5255000000002</v>
      </c>
      <c r="G35" s="32">
        <f ca="1">IFERROR(AVERAGEIF('Preço Soja ESALQ'!$C:$C,'Modelo Soja'!$B35,'Preço Soja ESALQ'!H:H),NA())</f>
        <v>2256.8900000000003</v>
      </c>
      <c r="H35" s="32">
        <f ca="1">IFERROR(AVERAGEIF('Preço Soja ESALQ'!$C:$C,'Modelo Soja'!$B35,'Preço Soja ESALQ'!I:I),NA())</f>
        <v>2286.5550000000003</v>
      </c>
      <c r="I35" s="32">
        <f ca="1">IFERROR(AVERAGEIF('Preço Soja ESALQ'!$C:$C,'Modelo Soja'!$B35,'Preço Soja ESALQ'!J:J),NA())</f>
        <v>2245.0234999999998</v>
      </c>
      <c r="J35" s="32">
        <f ca="1">IFERROR(AVERAGEIF('Preço Soja ESALQ'!$C:$C,'Modelo Soja'!$B35,'Preço Soja ESALQ'!K:K),NA())</f>
        <v>2222.2309999999993</v>
      </c>
      <c r="K35" s="32">
        <f ca="1">IFERROR(AVERAGEIF('Preço Soja ESALQ'!$C:$C,'Modelo Soja'!$B35,'Preço Soja ESALQ'!L:L),NA())</f>
        <v>2137.4299999999998</v>
      </c>
      <c r="L35" s="32">
        <f ca="1">IFERROR(AVERAGEIF('Preço Soja ESALQ'!$C:$C,'Modelo Soja'!$B35,'Preço Soja ESALQ'!M:M),NA())</f>
        <v>2041.1380000000004</v>
      </c>
      <c r="M35" s="32">
        <f ca="1">IFERROR(AVERAGEIF('Preço Soja ESALQ'!$C:$C,'Modelo Soja'!$B35,'Preço Soja ESALQ'!N:N),NA())</f>
        <v>2084.2004999999999</v>
      </c>
      <c r="N35" s="32">
        <f ca="1">IFERROR(AVERAGEIF('Preço Soja ESALQ'!$C:$C,'Modelo Soja'!$B35,'Preço Soja ESALQ'!P:P),NA())</f>
        <v>2281.7429999999995</v>
      </c>
      <c r="O35" s="32" t="e">
        <f>+#REF!</f>
        <v>#REF!</v>
      </c>
      <c r="P35" s="33"/>
      <c r="Q35" s="33"/>
      <c r="R35" s="32">
        <f>+[3]mensal!AF35/0.90718</f>
        <v>2169.4969686280556</v>
      </c>
      <c r="T35" s="36">
        <f>+[6]FSORPRA!H34</f>
        <v>509.6</v>
      </c>
      <c r="U35" s="36">
        <f>+[6]FRONPRA!H34</f>
        <v>391.3</v>
      </c>
      <c r="V35" s="36">
        <f>VLOOKUP(B35,'Frete ESALQ'!$C$5:$AL$131,36,FALSE)</f>
        <v>182.6</v>
      </c>
      <c r="W35" s="36">
        <f>VLOOKUP(B35,'Frete ESALQ'!$C$5:$AW$131,47,FALSE)</f>
        <v>197.5</v>
      </c>
      <c r="X35" s="36">
        <f>VLOOKUP(B35,'Frete ESALQ'!$C$5:$BH$131,58,FALSE)</f>
        <v>153.75</v>
      </c>
      <c r="Y35" s="36">
        <f>VLOOKUP(B35,'Frete ESALQ'!$C$5:$BH$131,32,FALSE)</f>
        <v>155.91</v>
      </c>
      <c r="AA35" s="33">
        <f t="shared" si="1"/>
        <v>1659.8969686280557</v>
      </c>
      <c r="AB35" s="33">
        <f t="shared" si="2"/>
        <v>1778.1969686280556</v>
      </c>
      <c r="AC35" s="33">
        <f t="shared" si="3"/>
        <v>1986.8969686280557</v>
      </c>
      <c r="AD35" s="33">
        <f t="shared" si="4"/>
        <v>1971.9969686280556</v>
      </c>
      <c r="AE35" s="33">
        <f t="shared" si="5"/>
        <v>2015.7469686280556</v>
      </c>
      <c r="AF35" s="33">
        <f t="shared" si="6"/>
        <v>2013.5869686280555</v>
      </c>
      <c r="AG35" s="42">
        <f>+R35-'Modelo Soja'!BL35</f>
        <v>1669.8969686280557</v>
      </c>
    </row>
    <row r="36" spans="2:33" x14ac:dyDescent="0.3">
      <c r="B36" s="31" t="str">
        <f t="shared" si="0"/>
        <v>202310</v>
      </c>
      <c r="C36" s="17">
        <f t="shared" si="7"/>
        <v>45200</v>
      </c>
      <c r="D36" s="32">
        <f ca="1">IFERROR(AVERAGEIF('Preço Soja ESALQ'!$C:$C,'Modelo Soja'!$B36,'Preço Soja ESALQ'!E:E),NA())</f>
        <v>2373.7452380952377</v>
      </c>
      <c r="E36" s="32">
        <f ca="1">IFERROR(AVERAGEIF('Preço Soja ESALQ'!$C:$C,'Modelo Soja'!$B36,'Preço Soja ESALQ'!F:F),NA())</f>
        <v>2286.434285714286</v>
      </c>
      <c r="F36" s="32">
        <f ca="1">IFERROR(AVERAGEIF('Preço Soja ESALQ'!$C:$C,'Modelo Soja'!$B36,'Preço Soja ESALQ'!G:G),NA())</f>
        <v>2335.4209523809523</v>
      </c>
      <c r="G36" s="32">
        <f ca="1">IFERROR(AVERAGEIF('Preço Soja ESALQ'!$C:$C,'Modelo Soja'!$B36,'Preço Soja ESALQ'!H:H),NA())</f>
        <v>2284.232857142857</v>
      </c>
      <c r="H36" s="32">
        <f ca="1">IFERROR(AVERAGEIF('Preço Soja ESALQ'!$C:$C,'Modelo Soja'!$B36,'Preço Soja ESALQ'!I:I),NA())</f>
        <v>2300.1080952380953</v>
      </c>
      <c r="I36" s="32">
        <f ca="1">IFERROR(AVERAGEIF('Preço Soja ESALQ'!$C:$C,'Modelo Soja'!$B36,'Preço Soja ESALQ'!J:J),NA())</f>
        <v>2294.1423809523812</v>
      </c>
      <c r="J36" s="32">
        <f ca="1">IFERROR(AVERAGEIF('Preço Soja ESALQ'!$C:$C,'Modelo Soja'!$B36,'Preço Soja ESALQ'!K:K),NA())</f>
        <v>2220.492631578948</v>
      </c>
      <c r="K36" s="32">
        <f ca="1">IFERROR(AVERAGEIF('Preço Soja ESALQ'!$C:$C,'Modelo Soja'!$B36,'Preço Soja ESALQ'!L:L),NA())</f>
        <v>2155.6738095238097</v>
      </c>
      <c r="L36" s="32">
        <f ca="1">IFERROR(AVERAGEIF('Preço Soja ESALQ'!$C:$C,'Modelo Soja'!$B36,'Preço Soja ESALQ'!M:M),NA())</f>
        <v>2069.0935294117644</v>
      </c>
      <c r="M36" s="32">
        <f ca="1">IFERROR(AVERAGEIF('Preço Soja ESALQ'!$C:$C,'Modelo Soja'!$B36,'Preço Soja ESALQ'!N:N),NA())</f>
        <v>2147.8923809523812</v>
      </c>
      <c r="N36" s="32">
        <f ca="1">IFERROR(AVERAGEIF('Preço Soja ESALQ'!$C:$C,'Modelo Soja'!$B36,'Preço Soja ESALQ'!P:P),NA())</f>
        <v>2273.0726315789475</v>
      </c>
      <c r="O36" s="32" t="e">
        <f>+#REF!</f>
        <v>#REF!</v>
      </c>
      <c r="P36" s="33"/>
      <c r="Q36" s="33"/>
      <c r="R36" s="32">
        <f>+[3]mensal!AF36/0.90718</f>
        <v>2231.3823275388513</v>
      </c>
      <c r="T36" s="36">
        <f>+[6]FSORPRA!H35</f>
        <v>518.75</v>
      </c>
      <c r="U36" s="36">
        <f>+[6]FRONPRA!H35</f>
        <v>390</v>
      </c>
      <c r="V36" s="36">
        <f>VLOOKUP(B36,'Frete ESALQ'!$C$5:$AL$131,36,FALSE)</f>
        <v>167.75</v>
      </c>
      <c r="W36" s="36">
        <f>VLOOKUP(B36,'Frete ESALQ'!$C$5:$AW$131,47,FALSE)</f>
        <v>150</v>
      </c>
      <c r="X36" s="36">
        <f>VLOOKUP(B36,'Frete ESALQ'!$C$5:$BH$131,58,FALSE)</f>
        <v>120</v>
      </c>
      <c r="Y36" s="36">
        <f>VLOOKUP(B36,'Frete ESALQ'!$C$5:$BH$131,32,FALSE)</f>
        <v>186.85</v>
      </c>
      <c r="AA36" s="33">
        <f t="shared" si="1"/>
        <v>1712.6323275388513</v>
      </c>
      <c r="AB36" s="33">
        <f t="shared" si="2"/>
        <v>1841.3823275388513</v>
      </c>
      <c r="AC36" s="33">
        <f t="shared" si="3"/>
        <v>2063.6323275388513</v>
      </c>
      <c r="AD36" s="33">
        <f t="shared" si="4"/>
        <v>2081.3823275388513</v>
      </c>
      <c r="AE36" s="33">
        <f t="shared" si="5"/>
        <v>2111.3823275388513</v>
      </c>
      <c r="AF36" s="33">
        <f t="shared" si="6"/>
        <v>2044.5323275388514</v>
      </c>
      <c r="AG36" s="42">
        <f>+R36-'Modelo Soja'!BL36</f>
        <v>1722.6323275388513</v>
      </c>
    </row>
    <row r="37" spans="2:33" x14ac:dyDescent="0.3">
      <c r="B37" s="31" t="str">
        <f t="shared" si="0"/>
        <v>202311</v>
      </c>
      <c r="C37" s="17">
        <f t="shared" si="7"/>
        <v>45231</v>
      </c>
      <c r="D37" s="32">
        <f ca="1">IFERROR(AVERAGEIF('Preço Soja ESALQ'!$C:$C,'Modelo Soja'!$B37,'Preço Soja ESALQ'!E:E),NA())</f>
        <v>2554.6889999999999</v>
      </c>
      <c r="E37" s="32">
        <f ca="1">IFERROR(AVERAGEIF('Preço Soja ESALQ'!$C:$C,'Modelo Soja'!$B37,'Preço Soja ESALQ'!F:F),NA())</f>
        <v>2458.1340000000005</v>
      </c>
      <c r="F37" s="32">
        <f ca="1">IFERROR(AVERAGEIF('Preço Soja ESALQ'!$C:$C,'Modelo Soja'!$B37,'Preço Soja ESALQ'!G:G),NA())</f>
        <v>2512.3739999999998</v>
      </c>
      <c r="G37" s="32">
        <f ca="1">IFERROR(AVERAGEIF('Preço Soja ESALQ'!$C:$C,'Modelo Soja'!$B37,'Preço Soja ESALQ'!H:H),NA())</f>
        <v>2487.8334999999993</v>
      </c>
      <c r="H37" s="32">
        <f ca="1">IFERROR(AVERAGEIF('Preço Soja ESALQ'!$C:$C,'Modelo Soja'!$B37,'Preço Soja ESALQ'!I:I),NA())</f>
        <v>2436.7730000000001</v>
      </c>
      <c r="I37" s="32">
        <f ca="1">IFERROR(AVERAGEIF('Preço Soja ESALQ'!$C:$C,'Modelo Soja'!$B37,'Preço Soja ESALQ'!J:J),NA())</f>
        <v>2477.1064999999999</v>
      </c>
      <c r="J37" s="32">
        <f ca="1">IFERROR(AVERAGEIF('Preço Soja ESALQ'!$C:$C,'Modelo Soja'!$B37,'Preço Soja ESALQ'!K:K),NA())</f>
        <v>2447.0733333333333</v>
      </c>
      <c r="K37" s="32">
        <f ca="1">IFERROR(AVERAGEIF('Preço Soja ESALQ'!$C:$C,'Modelo Soja'!$B37,'Preço Soja ESALQ'!L:L),NA())</f>
        <v>2351.4138461538464</v>
      </c>
      <c r="L37" s="32">
        <f ca="1">IFERROR(AVERAGEIF('Preço Soja ESALQ'!$C:$C,'Modelo Soja'!$B37,'Preço Soja ESALQ'!M:M),NA())</f>
        <v>2286.84</v>
      </c>
      <c r="M37" s="32">
        <f ca="1">IFERROR(AVERAGEIF('Preço Soja ESALQ'!$C:$C,'Modelo Soja'!$B37,'Preço Soja ESALQ'!N:N),NA())</f>
        <v>2360.75</v>
      </c>
      <c r="N37" s="32">
        <f ca="1">IFERROR(AVERAGEIF('Preço Soja ESALQ'!$C:$C,'Modelo Soja'!$B37,'Preço Soja ESALQ'!P:P),NA())</f>
        <v>2465.3960000000002</v>
      </c>
      <c r="O37" s="32" t="e">
        <f>+#REF!</f>
        <v>#REF!</v>
      </c>
      <c r="P37" s="33"/>
      <c r="Q37" s="33"/>
      <c r="R37" s="32">
        <f>+[3]mensal!AF37/0.90718</f>
        <v>2441.6322817228483</v>
      </c>
      <c r="T37" s="36">
        <f>+[6]FSORPRA!H36</f>
        <v>495</v>
      </c>
      <c r="U37" s="36">
        <f>+[6]FRONPRA!H36</f>
        <v>366.66750000000002</v>
      </c>
      <c r="V37" s="37">
        <f>(V36+V38)/2</f>
        <v>166.375</v>
      </c>
      <c r="W37" s="37">
        <f t="shared" ref="W37" si="20">(W36+W38)/2</f>
        <v>152.5</v>
      </c>
      <c r="X37" s="37">
        <f t="shared" ref="X37" si="21">(X36+X38)/2</f>
        <v>132.5</v>
      </c>
      <c r="Y37" s="37">
        <f t="shared" ref="Y37" si="22">(Y36+Y38)/2</f>
        <v>163.42500000000001</v>
      </c>
      <c r="AA37" s="33">
        <f t="shared" si="1"/>
        <v>1946.6322817228483</v>
      </c>
      <c r="AB37" s="33">
        <f t="shared" si="2"/>
        <v>2074.9647817228483</v>
      </c>
      <c r="AC37" s="33">
        <f t="shared" si="3"/>
        <v>2275.2572817228483</v>
      </c>
      <c r="AD37" s="33">
        <f t="shared" si="4"/>
        <v>2289.1322817228483</v>
      </c>
      <c r="AE37" s="33">
        <f t="shared" si="5"/>
        <v>2309.1322817228483</v>
      </c>
      <c r="AF37" s="33">
        <f t="shared" si="6"/>
        <v>2278.2072817228482</v>
      </c>
      <c r="AG37" s="42">
        <f>+R37-'Modelo Soja'!BL37</f>
        <v>1956.6322817228483</v>
      </c>
    </row>
    <row r="38" spans="2:33" x14ac:dyDescent="0.3">
      <c r="B38" s="31" t="str">
        <f t="shared" si="0"/>
        <v>202312</v>
      </c>
      <c r="C38" s="17">
        <f t="shared" si="7"/>
        <v>45261</v>
      </c>
      <c r="D38" s="32">
        <f ca="1">IFERROR(AVERAGEIF('Preço Soja ESALQ'!$C:$C,'Modelo Soja'!$B38,'Preço Soja ESALQ'!E:E),NA())</f>
        <v>2458.7852631578949</v>
      </c>
      <c r="E38" s="32">
        <f ca="1">IFERROR(AVERAGEIF('Preço Soja ESALQ'!$C:$C,'Modelo Soja'!$B38,'Preço Soja ESALQ'!F:F),NA())</f>
        <v>2505.4215789473687</v>
      </c>
      <c r="F38" s="32">
        <f ca="1">IFERROR(AVERAGEIF('Preço Soja ESALQ'!$C:$C,'Modelo Soja'!$B38,'Preço Soja ESALQ'!G:G),NA())</f>
        <v>2503.9336842105258</v>
      </c>
      <c r="G38" s="32">
        <f ca="1">IFERROR(AVERAGEIF('Preço Soja ESALQ'!$C:$C,'Modelo Soja'!$B38,'Preço Soja ESALQ'!H:H),NA())</f>
        <v>2312.0052631578947</v>
      </c>
      <c r="H38" s="32">
        <f ca="1">IFERROR(AVERAGEIF('Preço Soja ESALQ'!$C:$C,'Modelo Soja'!$B38,'Preço Soja ESALQ'!I:I),NA())</f>
        <v>2472.371052631579</v>
      </c>
      <c r="I38" s="32">
        <f ca="1">IFERROR(AVERAGEIF('Preço Soja ESALQ'!$C:$C,'Modelo Soja'!$B38,'Preço Soja ESALQ'!J:J),NA())</f>
        <v>2369.4084210526307</v>
      </c>
      <c r="J38" s="32">
        <f ca="1">IFERROR(AVERAGEIF('Preço Soja ESALQ'!$C:$C,'Modelo Soja'!$B38,'Preço Soja ESALQ'!K:K),NA())</f>
        <v>2474.8916666666673</v>
      </c>
      <c r="K38" s="32">
        <f ca="1">IFERROR(AVERAGEIF('Preço Soja ESALQ'!$C:$C,'Modelo Soja'!$B38,'Preço Soja ESALQ'!L:L),NA())</f>
        <v>2248.7815384615387</v>
      </c>
      <c r="L38" s="32">
        <f ca="1">IFERROR(AVERAGEIF('Preço Soja ESALQ'!$C:$C,'Modelo Soja'!$B38,'Preço Soja ESALQ'!M:M),NA())</f>
        <v>1984.4883333333335</v>
      </c>
      <c r="M38" s="32">
        <f ca="1">IFERROR(AVERAGEIF('Preço Soja ESALQ'!$C:$C,'Modelo Soja'!$B38,'Preço Soja ESALQ'!N:N),NA())</f>
        <v>2218.6052631578946</v>
      </c>
      <c r="N38" s="32">
        <f ca="1">IFERROR(AVERAGEIF('Preço Soja ESALQ'!$C:$C,'Modelo Soja'!$B38,'Preço Soja ESALQ'!P:P),NA())</f>
        <v>2484.3825000000002</v>
      </c>
      <c r="O38" s="32" t="e">
        <f>+#REF!</f>
        <v>#REF!</v>
      </c>
      <c r="P38" s="33"/>
      <c r="Q38" s="33"/>
      <c r="R38" s="32">
        <f>+[3]mensal!AF38/0.90718</f>
        <v>2227.0014808055103</v>
      </c>
      <c r="T38" s="36">
        <f>+[6]FSORPRA!H37</f>
        <v>485.6</v>
      </c>
      <c r="U38" s="36">
        <f>+[6]FRONPRA!H37</f>
        <v>366</v>
      </c>
      <c r="V38" s="36">
        <f>VLOOKUP(B38,'Frete ESALQ'!$C$5:$AL$131,36,FALSE)</f>
        <v>165</v>
      </c>
      <c r="W38" s="36">
        <f>VLOOKUP(B38,'Frete ESALQ'!$C$5:$AW$131,47,FALSE)</f>
        <v>155</v>
      </c>
      <c r="X38" s="36">
        <f>VLOOKUP(B38,'Frete ESALQ'!$C$5:$BH$131,58,FALSE)</f>
        <v>145</v>
      </c>
      <c r="Y38" s="36">
        <f>VLOOKUP(B38,'Frete ESALQ'!$C$5:$BH$131,32,FALSE)</f>
        <v>140</v>
      </c>
      <c r="AA38" s="33">
        <f t="shared" si="1"/>
        <v>1741.4014808055103</v>
      </c>
      <c r="AB38" s="33">
        <f t="shared" si="2"/>
        <v>1861.0014808055103</v>
      </c>
      <c r="AC38" s="33">
        <f t="shared" si="3"/>
        <v>2062.0014808055103</v>
      </c>
      <c r="AD38" s="33">
        <f t="shared" si="4"/>
        <v>2072.0014808055103</v>
      </c>
      <c r="AE38" s="33">
        <f t="shared" si="5"/>
        <v>2082.0014808055103</v>
      </c>
      <c r="AF38" s="33">
        <f t="shared" si="6"/>
        <v>2087.0014808055103</v>
      </c>
      <c r="AG38" s="42">
        <f>+R38-'Modelo Soja'!BL38</f>
        <v>1751.4014808055103</v>
      </c>
    </row>
    <row r="39" spans="2:33" x14ac:dyDescent="0.3">
      <c r="B39" s="31" t="str">
        <f t="shared" si="0"/>
        <v>20241</v>
      </c>
      <c r="C39" s="17">
        <f t="shared" si="7"/>
        <v>45292</v>
      </c>
      <c r="D39" s="32">
        <f ca="1">IFERROR(AVERAGEIF('Preço Soja ESALQ'!$C:$C,'Modelo Soja'!$B39,'Preço Soja ESALQ'!E:E),NA())</f>
        <v>2273.8850000000002</v>
      </c>
      <c r="E39" s="32">
        <f ca="1">IFERROR(AVERAGEIF('Preço Soja ESALQ'!$C:$C,'Modelo Soja'!$B39,'Preço Soja ESALQ'!F:F),NA())</f>
        <v>2274.9536363636366</v>
      </c>
      <c r="F39" s="32">
        <f ca="1">IFERROR(AVERAGEIF('Preço Soja ESALQ'!$C:$C,'Modelo Soja'!$B39,'Preço Soja ESALQ'!G:G),NA())</f>
        <v>2277.9381818181823</v>
      </c>
      <c r="G39" s="32">
        <f ca="1">IFERROR(AVERAGEIF('Preço Soja ESALQ'!$C:$C,'Modelo Soja'!$B39,'Preço Soja ESALQ'!H:H),NA())</f>
        <v>2294.344761904762</v>
      </c>
      <c r="H39" s="32">
        <f ca="1">IFERROR(AVERAGEIF('Preço Soja ESALQ'!$C:$C,'Modelo Soja'!$B39,'Preço Soja ESALQ'!I:I),NA())</f>
        <v>2238.1204545454548</v>
      </c>
      <c r="I39" s="32">
        <f ca="1">IFERROR(AVERAGEIF('Preço Soja ESALQ'!$C:$C,'Modelo Soja'!$B39,'Preço Soja ESALQ'!J:J),NA())</f>
        <v>2217.7563636363634</v>
      </c>
      <c r="J39" s="32">
        <f ca="1">IFERROR(AVERAGEIF('Preço Soja ESALQ'!$C:$C,'Modelo Soja'!$B39,'Preço Soja ESALQ'!K:K),NA())</f>
        <v>2570.0500000000002</v>
      </c>
      <c r="K39" s="32">
        <f ca="1">IFERROR(AVERAGEIF('Preço Soja ESALQ'!$C:$C,'Modelo Soja'!$B39,'Preço Soja ESALQ'!L:L),NA())</f>
        <v>2219.4823809523809</v>
      </c>
      <c r="L39" s="32">
        <f ca="1">IFERROR(AVERAGEIF('Preço Soja ESALQ'!$C:$C,'Modelo Soja'!$B39,'Preço Soja ESALQ'!M:M),NA())</f>
        <v>1895.9386363636368</v>
      </c>
      <c r="M39" s="32">
        <f ca="1">IFERROR(AVERAGEIF('Preço Soja ESALQ'!$C:$C,'Modelo Soja'!$B39,'Preço Soja ESALQ'!N:N),NA())</f>
        <v>2025.8854545454544</v>
      </c>
      <c r="N39" s="32">
        <f ca="1">IFERROR(AVERAGEIF('Preço Soja ESALQ'!$C:$C,'Modelo Soja'!$B39,'Preço Soja ESALQ'!P:P),NA())</f>
        <v>2405.35</v>
      </c>
      <c r="O39" s="32" t="e">
        <f>+#REF!</f>
        <v>#REF!</v>
      </c>
      <c r="P39" s="33"/>
      <c r="Q39" s="33"/>
      <c r="R39" s="32">
        <f>+[3]mensal!AF39/0.90718</f>
        <v>1969.9257230001815</v>
      </c>
      <c r="T39" s="36">
        <f>+[6]FSORPRA!H38</f>
        <v>452.5</v>
      </c>
      <c r="U39" s="36">
        <f>+[6]FRONPRA!H38</f>
        <v>323.75</v>
      </c>
      <c r="V39" s="36">
        <f>VLOOKUP(B39,'Frete ESALQ'!$C$5:$AL$131,36,FALSE)</f>
        <v>180.2</v>
      </c>
      <c r="W39" s="36">
        <f>VLOOKUP(B39,'Frete ESALQ'!$C$5:$AW$131,47,FALSE)</f>
        <v>160</v>
      </c>
      <c r="X39" s="36">
        <f>VLOOKUP(B39,'Frete ESALQ'!$C$5:$BH$131,58,FALSE)</f>
        <v>155</v>
      </c>
      <c r="Y39" s="36">
        <f>VLOOKUP(B39,'Frete ESALQ'!$C$5:$BH$131,32,FALSE)</f>
        <v>151.38999999999999</v>
      </c>
      <c r="AA39" s="33">
        <f t="shared" si="1"/>
        <v>1517.4257230001815</v>
      </c>
      <c r="AB39" s="33">
        <f t="shared" si="2"/>
        <v>1646.1757230001815</v>
      </c>
      <c r="AC39" s="33">
        <f t="shared" si="3"/>
        <v>1789.7257230001815</v>
      </c>
      <c r="AD39" s="33">
        <f t="shared" si="4"/>
        <v>1809.9257230001815</v>
      </c>
      <c r="AE39" s="33">
        <f t="shared" si="5"/>
        <v>1814.9257230001815</v>
      </c>
      <c r="AF39" s="33">
        <f t="shared" si="6"/>
        <v>1818.5357230001814</v>
      </c>
      <c r="AG39" s="42">
        <f>+R39-'Modelo Soja'!BL39</f>
        <v>1527.4257230001815</v>
      </c>
    </row>
    <row r="40" spans="2:33" x14ac:dyDescent="0.3">
      <c r="B40" s="31" t="str">
        <f t="shared" si="0"/>
        <v>20242</v>
      </c>
      <c r="C40" s="17">
        <f t="shared" si="7"/>
        <v>45323</v>
      </c>
      <c r="D40" s="32">
        <f ca="1">IFERROR(AVERAGEIF('Preço Soja ESALQ'!$C:$C,'Modelo Soja'!$B40,'Preço Soja ESALQ'!E:E),NA())</f>
        <v>2173.5273684210529</v>
      </c>
      <c r="E40" s="32">
        <f ca="1">IFERROR(AVERAGEIF('Preço Soja ESALQ'!$C:$C,'Modelo Soja'!$B40,'Preço Soja ESALQ'!F:F),NA())</f>
        <v>2172.0336842105271</v>
      </c>
      <c r="F40" s="32">
        <f ca="1">IFERROR(AVERAGEIF('Preço Soja ESALQ'!$C:$C,'Modelo Soja'!$B40,'Preço Soja ESALQ'!G:G),NA())</f>
        <v>2213.6405263157899</v>
      </c>
      <c r="G40" s="32">
        <f ca="1">IFERROR(AVERAGEIF('Preço Soja ESALQ'!$C:$C,'Modelo Soja'!$B40,'Preço Soja ESALQ'!H:H),NA())</f>
        <v>2063.0399999999995</v>
      </c>
      <c r="H40" s="32">
        <f ca="1">IFERROR(AVERAGEIF('Preço Soja ESALQ'!$C:$C,'Modelo Soja'!$B40,'Preço Soja ESALQ'!I:I),NA())</f>
        <v>1988.1378947368423</v>
      </c>
      <c r="I40" s="32">
        <f ca="1">IFERROR(AVERAGEIF('Preço Soja ESALQ'!$C:$C,'Modelo Soja'!$B40,'Preço Soja ESALQ'!J:J),NA())</f>
        <v>2002.7394736842102</v>
      </c>
      <c r="J40" s="32">
        <f ca="1">IFERROR(AVERAGEIF('Preço Soja ESALQ'!$C:$C,'Modelo Soja'!$B40,'Preço Soja ESALQ'!K:K),NA())</f>
        <v>1924.33</v>
      </c>
      <c r="K40" s="32">
        <f ca="1">IFERROR(AVERAGEIF('Preço Soja ESALQ'!$C:$C,'Modelo Soja'!$B40,'Preço Soja ESALQ'!L:L),NA())</f>
        <v>1993.3883333333335</v>
      </c>
      <c r="L40" s="32">
        <f ca="1">IFERROR(AVERAGEIF('Preço Soja ESALQ'!$C:$C,'Modelo Soja'!$B40,'Preço Soja ESALQ'!M:M),NA())</f>
        <v>1753.7015789473685</v>
      </c>
      <c r="M40" s="32">
        <f ca="1">IFERROR(AVERAGEIF('Preço Soja ESALQ'!$C:$C,'Modelo Soja'!$B40,'Preço Soja ESALQ'!N:N),NA())</f>
        <v>1858.066842105263</v>
      </c>
      <c r="N40" s="32" t="e">
        <f ca="1">IFERROR(AVERAGEIF('Preço Soja ESALQ'!$C:$C,'Modelo Soja'!$B40,'Preço Soja ESALQ'!P:P),NA())</f>
        <v>#N/A</v>
      </c>
      <c r="O40" s="32" t="e">
        <f>+#REF!</f>
        <v>#REF!</v>
      </c>
      <c r="P40" s="33"/>
      <c r="Q40" s="33"/>
      <c r="R40" s="32">
        <f>+[3]mensal!AF40/0.90718</f>
        <v>1883.6724678989524</v>
      </c>
      <c r="T40" s="36">
        <f>+[6]FSORPRA!H39</f>
        <v>440.625</v>
      </c>
      <c r="U40" s="36">
        <f>+[6]FRONPRA!H39</f>
        <v>317.5</v>
      </c>
      <c r="V40" s="36">
        <f>VLOOKUP(B40,'Frete ESALQ'!$C$5:$AL$131,36,FALSE)</f>
        <v>149.99</v>
      </c>
      <c r="W40" s="36">
        <f>VLOOKUP(B40,'Frete ESALQ'!$C$5:$AW$131,47,FALSE)</f>
        <v>133.5</v>
      </c>
      <c r="X40" s="36">
        <f>VLOOKUP(B40,'Frete ESALQ'!$C$5:$BH$131,58,FALSE)</f>
        <v>141.66999999999999</v>
      </c>
      <c r="Y40" s="36">
        <f>VLOOKUP(B40,'Frete ESALQ'!$C$5:$BH$131,32,FALSE)</f>
        <v>141.66999999999999</v>
      </c>
      <c r="AA40" s="33">
        <f t="shared" si="1"/>
        <v>1443.0474678989524</v>
      </c>
      <c r="AB40" s="33">
        <f t="shared" si="2"/>
        <v>1566.1724678989524</v>
      </c>
      <c r="AC40" s="33">
        <f t="shared" si="3"/>
        <v>1733.6824678989524</v>
      </c>
      <c r="AD40" s="33">
        <f t="shared" si="4"/>
        <v>1750.1724678989524</v>
      </c>
      <c r="AE40" s="33">
        <f t="shared" si="5"/>
        <v>1742.0024678989523</v>
      </c>
      <c r="AF40" s="33">
        <f t="shared" si="6"/>
        <v>1742.0024678989523</v>
      </c>
      <c r="AG40" s="42">
        <f>+R40-'Modelo Soja'!BL40</f>
        <v>1453.0474678989524</v>
      </c>
    </row>
    <row r="41" spans="2:33" x14ac:dyDescent="0.3">
      <c r="B41" s="31" t="str">
        <f t="shared" si="0"/>
        <v>20243</v>
      </c>
      <c r="C41" s="17">
        <f t="shared" si="7"/>
        <v>45352</v>
      </c>
      <c r="D41" s="32">
        <f ca="1">IFERROR(AVERAGEIF('Preço Soja ESALQ'!$C:$C,'Modelo Soja'!$B41,'Preço Soja ESALQ'!E:E),NA())</f>
        <v>2082.9445000000005</v>
      </c>
      <c r="E41" s="32">
        <f ca="1">IFERROR(AVERAGEIF('Preço Soja ESALQ'!$C:$C,'Modelo Soja'!$B41,'Preço Soja ESALQ'!F:F),NA())</f>
        <v>2119.7865000000006</v>
      </c>
      <c r="F41" s="32">
        <f ca="1">IFERROR(AVERAGEIF('Preço Soja ESALQ'!$C:$C,'Modelo Soja'!$B41,'Preço Soja ESALQ'!G:G),NA())</f>
        <v>2149.7505000000006</v>
      </c>
      <c r="G41" s="32">
        <f ca="1">IFERROR(AVERAGEIF('Preço Soja ESALQ'!$C:$C,'Modelo Soja'!$B41,'Preço Soja ESALQ'!H:H),NA())</f>
        <v>1887.0785000000001</v>
      </c>
      <c r="H41" s="32">
        <f ca="1">IFERROR(AVERAGEIF('Preço Soja ESALQ'!$C:$C,'Modelo Soja'!$B41,'Preço Soja ESALQ'!I:I),NA())</f>
        <v>1869.4714999999997</v>
      </c>
      <c r="I41" s="32">
        <f ca="1">IFERROR(AVERAGEIF('Preço Soja ESALQ'!$C:$C,'Modelo Soja'!$B41,'Preço Soja ESALQ'!J:J),NA())</f>
        <v>1883.1470000000004</v>
      </c>
      <c r="J41" s="32">
        <f ca="1">IFERROR(AVERAGEIF('Preço Soja ESALQ'!$C:$C,'Modelo Soja'!$B41,'Preço Soja ESALQ'!K:K),NA())</f>
        <v>1909.0176470588233</v>
      </c>
      <c r="K41" s="32">
        <f ca="1">IFERROR(AVERAGEIF('Preço Soja ESALQ'!$C:$C,'Modelo Soja'!$B41,'Preço Soja ESALQ'!L:L),NA())</f>
        <v>1904.7819999999999</v>
      </c>
      <c r="L41" s="32">
        <f ca="1">IFERROR(AVERAGEIF('Preço Soja ESALQ'!$C:$C,'Modelo Soja'!$B41,'Preço Soja ESALQ'!M:M),NA())</f>
        <v>1664.8545000000001</v>
      </c>
      <c r="M41" s="32">
        <f ca="1">IFERROR(AVERAGEIF('Preço Soja ESALQ'!$C:$C,'Modelo Soja'!$B41,'Preço Soja ESALQ'!N:N),NA())</f>
        <v>1738.4990000000003</v>
      </c>
      <c r="N41" s="32">
        <f ca="1">IFERROR(AVERAGEIF('Preço Soja ESALQ'!$C:$C,'Modelo Soja'!$B41,'Preço Soja ESALQ'!P:P),NA())</f>
        <v>1870.1076470588232</v>
      </c>
      <c r="O41" s="32" t="e">
        <f>+#REF!</f>
        <v>#REF!</v>
      </c>
      <c r="P41" s="33"/>
      <c r="Q41" s="33"/>
      <c r="R41" s="32">
        <f>+[3]mensal!AF41/0.90718</f>
        <v>1849.1879883658307</v>
      </c>
      <c r="T41" s="36">
        <f>+[6]FSORPRA!H40</f>
        <v>401</v>
      </c>
      <c r="U41" s="36">
        <f>+[6]FRONPRA!H40</f>
        <v>300</v>
      </c>
      <c r="V41" s="36">
        <f>VLOOKUP(B41,'Frete ESALQ'!$C$5:$AL$131,36,FALSE)</f>
        <v>145.56</v>
      </c>
      <c r="W41" s="36">
        <f>VLOOKUP(B41,'Frete ESALQ'!$C$5:$AW$131,47,FALSE)</f>
        <v>132.24</v>
      </c>
      <c r="X41" s="36">
        <f>VLOOKUP(B41,'Frete ESALQ'!$C$5:$BH$131,58,FALSE)</f>
        <v>122.68</v>
      </c>
      <c r="Y41" s="36">
        <f>VLOOKUP(B41,'Frete ESALQ'!$C$5:$BH$131,32,FALSE)</f>
        <v>140.63</v>
      </c>
      <c r="AA41" s="33">
        <f t="shared" si="1"/>
        <v>1448.1879883658307</v>
      </c>
      <c r="AB41" s="33">
        <f t="shared" si="2"/>
        <v>1549.1879883658307</v>
      </c>
      <c r="AC41" s="33">
        <f t="shared" si="3"/>
        <v>1703.6279883658308</v>
      </c>
      <c r="AD41" s="33">
        <f t="shared" si="4"/>
        <v>1716.9479883658307</v>
      </c>
      <c r="AE41" s="33">
        <f t="shared" si="5"/>
        <v>1726.5079883658307</v>
      </c>
      <c r="AF41" s="33">
        <f t="shared" si="6"/>
        <v>1708.5579883658306</v>
      </c>
      <c r="AG41" s="42">
        <f>+R41-'Modelo Soja'!BL41</f>
        <v>1458.1879883658307</v>
      </c>
    </row>
    <row r="42" spans="2:33" x14ac:dyDescent="0.3">
      <c r="B42" s="31" t="str">
        <f t="shared" si="0"/>
        <v>20244</v>
      </c>
      <c r="C42" s="17">
        <f t="shared" si="7"/>
        <v>45383</v>
      </c>
      <c r="D42" s="32">
        <f ca="1">IFERROR(AVERAGEIF('Preço Soja ESALQ'!$C:$C,'Modelo Soja'!$B42,'Preço Soja ESALQ'!E:E),NA())</f>
        <v>2062.5913636363634</v>
      </c>
      <c r="E42" s="32">
        <f ca="1">IFERROR(AVERAGEIF('Preço Soja ESALQ'!$C:$C,'Modelo Soja'!$B42,'Preço Soja ESALQ'!F:F),NA())</f>
        <v>2060.6045454545456</v>
      </c>
      <c r="F42" s="32">
        <f ca="1">IFERROR(AVERAGEIF('Preço Soja ESALQ'!$C:$C,'Modelo Soja'!$B42,'Preço Soja ESALQ'!G:G),NA())</f>
        <v>2077.6722727272722</v>
      </c>
      <c r="G42" s="32">
        <f ca="1">IFERROR(AVERAGEIF('Preço Soja ESALQ'!$C:$C,'Modelo Soja'!$B42,'Preço Soja ESALQ'!H:H),NA())</f>
        <v>2006.6286363636361</v>
      </c>
      <c r="H42" s="32">
        <f ca="1">IFERROR(AVERAGEIF('Preço Soja ESALQ'!$C:$C,'Modelo Soja'!$B42,'Preço Soja ESALQ'!I:I),NA())</f>
        <v>1855.3595454545452</v>
      </c>
      <c r="I42" s="32">
        <f ca="1">IFERROR(AVERAGEIF('Preço Soja ESALQ'!$C:$C,'Modelo Soja'!$B42,'Preço Soja ESALQ'!J:J),NA())</f>
        <v>1888.0631818181821</v>
      </c>
      <c r="J42" s="32">
        <f ca="1">IFERROR(AVERAGEIF('Preço Soja ESALQ'!$C:$C,'Modelo Soja'!$B42,'Preço Soja ESALQ'!K:K),NA())</f>
        <v>1822.7081818181812</v>
      </c>
      <c r="K42" s="32">
        <f ca="1">IFERROR(AVERAGEIF('Preço Soja ESALQ'!$C:$C,'Modelo Soja'!$B42,'Preço Soja ESALQ'!L:L),NA())</f>
        <v>1911.9349999999999</v>
      </c>
      <c r="L42" s="32">
        <f ca="1">IFERROR(AVERAGEIF('Preço Soja ESALQ'!$C:$C,'Modelo Soja'!$B42,'Preço Soja ESALQ'!M:M),NA())</f>
        <v>1686.1072727272724</v>
      </c>
      <c r="M42" s="32">
        <f ca="1">IFERROR(AVERAGEIF('Preço Soja ESALQ'!$C:$C,'Modelo Soja'!$B42,'Preço Soja ESALQ'!N:N),NA())</f>
        <v>1780.8849999999998</v>
      </c>
      <c r="N42" s="32">
        <f ca="1">IFERROR(AVERAGEIF('Preço Soja ESALQ'!$C:$C,'Modelo Soja'!$B42,'Preço Soja ESALQ'!P:P),NA())</f>
        <v>1871.7368181818185</v>
      </c>
      <c r="O42" s="32" t="e">
        <f>+#REF!</f>
        <v>#REF!</v>
      </c>
      <c r="P42" s="33"/>
      <c r="Q42" s="33"/>
      <c r="R42" s="32">
        <f>+[3]mensal!AF42/0.90718</f>
        <v>1913.2935555537738</v>
      </c>
      <c r="T42" s="36">
        <f>+[6]FSORPRA!H41</f>
        <v>403.75</v>
      </c>
      <c r="U42" s="36">
        <f>+[6]FRONPRA!H41</f>
        <v>306.25</v>
      </c>
      <c r="V42" s="36">
        <f>VLOOKUP(B42,'Frete ESALQ'!$C$5:$AL$131,36,FALSE)</f>
        <v>122.5</v>
      </c>
      <c r="W42" s="36">
        <f>VLOOKUP(B42,'Frete ESALQ'!$C$5:$AW$131,47,FALSE)</f>
        <v>117.45</v>
      </c>
      <c r="X42" s="36">
        <f>VLOOKUP(B42,'Frete ESALQ'!$C$5:$BH$131,58,FALSE)</f>
        <v>124.29</v>
      </c>
      <c r="Y42" s="36">
        <f>VLOOKUP(B42,'Frete ESALQ'!$C$5:$BH$131,32,FALSE)</f>
        <v>136.5</v>
      </c>
      <c r="AA42" s="33">
        <f t="shared" si="1"/>
        <v>1509.5435555537738</v>
      </c>
      <c r="AB42" s="33">
        <f t="shared" si="2"/>
        <v>1607.0435555537738</v>
      </c>
      <c r="AC42" s="33">
        <f t="shared" si="3"/>
        <v>1790.7935555537738</v>
      </c>
      <c r="AD42" s="33">
        <f t="shared" si="4"/>
        <v>1795.8435555537737</v>
      </c>
      <c r="AE42" s="33">
        <f t="shared" si="5"/>
        <v>1789.0035555537738</v>
      </c>
      <c r="AF42" s="33">
        <f t="shared" si="6"/>
        <v>1776.7935555537738</v>
      </c>
      <c r="AG42" s="42">
        <f>+R42-'Modelo Soja'!BL42</f>
        <v>1519.5435555537738</v>
      </c>
    </row>
    <row r="43" spans="2:33" x14ac:dyDescent="0.3">
      <c r="B43" s="31" t="str">
        <f t="shared" si="0"/>
        <v>20245</v>
      </c>
      <c r="C43" s="17">
        <f t="shared" si="7"/>
        <v>45413</v>
      </c>
      <c r="D43" s="32">
        <f ca="1">IFERROR(AVERAGEIF('Preço Soja ESALQ'!$C:$C,'Modelo Soja'!$B43,'Preço Soja ESALQ'!E:E),NA())</f>
        <v>2242.818571428571</v>
      </c>
      <c r="E43" s="32">
        <f ca="1">IFERROR(AVERAGEIF('Preço Soja ESALQ'!$C:$C,'Modelo Soja'!$B43,'Preço Soja ESALQ'!F:F),NA())</f>
        <v>2247.2757142857145</v>
      </c>
      <c r="F43" s="32">
        <f ca="1">IFERROR(AVERAGEIF('Preço Soja ESALQ'!$C:$C,'Modelo Soja'!$B43,'Preço Soja ESALQ'!G:G),NA())</f>
        <v>2211.7390476190485</v>
      </c>
      <c r="G43" s="32">
        <f ca="1">IFERROR(AVERAGEIF('Preço Soja ESALQ'!$C:$C,'Modelo Soja'!$B43,'Preço Soja ESALQ'!H:H),NA())</f>
        <v>2385.7271428571426</v>
      </c>
      <c r="H43" s="32">
        <f ca="1">IFERROR(AVERAGEIF('Preço Soja ESALQ'!$C:$C,'Modelo Soja'!$B43,'Preço Soja ESALQ'!I:I),NA())</f>
        <v>2099.0357142857142</v>
      </c>
      <c r="I43" s="32">
        <f ca="1">IFERROR(AVERAGEIF('Preço Soja ESALQ'!$C:$C,'Modelo Soja'!$B43,'Preço Soja ESALQ'!J:J),NA())</f>
        <v>2114.7133333333336</v>
      </c>
      <c r="J43" s="32">
        <f ca="1">IFERROR(AVERAGEIF('Preço Soja ESALQ'!$C:$C,'Modelo Soja'!$B43,'Preço Soja ESALQ'!K:K),NA())</f>
        <v>2070.8828571428576</v>
      </c>
      <c r="K43" s="32">
        <f ca="1">IFERROR(AVERAGEIF('Preço Soja ESALQ'!$C:$C,'Modelo Soja'!$B43,'Preço Soja ESALQ'!L:L),NA())</f>
        <v>2137.2676190476186</v>
      </c>
      <c r="L43" s="32">
        <f ca="1">IFERROR(AVERAGEIF('Preço Soja ESALQ'!$C:$C,'Modelo Soja'!$B43,'Preço Soja ESALQ'!M:M),NA())</f>
        <v>1985.0714285714287</v>
      </c>
      <c r="M43" s="32">
        <f ca="1">IFERROR(AVERAGEIF('Preço Soja ESALQ'!$C:$C,'Modelo Soja'!$B43,'Preço Soja ESALQ'!N:N),NA())</f>
        <v>2057.9333333333329</v>
      </c>
      <c r="N43" s="32">
        <f ca="1">IFERROR(AVERAGEIF('Preço Soja ESALQ'!$C:$C,'Modelo Soja'!$B43,'Preço Soja ESALQ'!P:P),NA())</f>
        <v>2024.7338095238101</v>
      </c>
      <c r="O43" s="32" t="e">
        <f>+#REF!</f>
        <v>#REF!</v>
      </c>
      <c r="P43" s="33"/>
      <c r="Q43" s="33"/>
      <c r="R43" s="32">
        <f>+[3]mensal!AF43/0.90718</f>
        <v>2093.972211327341</v>
      </c>
      <c r="T43" s="36">
        <f>+[6]FSORPRA!H42</f>
        <v>443.125</v>
      </c>
      <c r="U43" s="36">
        <f>+[6]FRONPRA!H42</f>
        <v>343</v>
      </c>
      <c r="V43" s="37">
        <f>(V42+V44)/2</f>
        <v>145.63499999999999</v>
      </c>
      <c r="W43" s="37">
        <f t="shared" ref="W43" si="23">(W42+W44)/2</f>
        <v>128.155</v>
      </c>
      <c r="X43" s="37">
        <f t="shared" ref="X43" si="24">(X42+X44)/2</f>
        <v>123.76</v>
      </c>
      <c r="Y43" s="37">
        <f t="shared" ref="Y43" si="25">(Y42+Y44)/2</f>
        <v>130.33500000000001</v>
      </c>
      <c r="AA43" s="33">
        <f t="shared" si="1"/>
        <v>1650.847211327341</v>
      </c>
      <c r="AB43" s="33">
        <f t="shared" si="2"/>
        <v>1750.972211327341</v>
      </c>
      <c r="AC43" s="33">
        <f t="shared" si="3"/>
        <v>1948.337211327341</v>
      </c>
      <c r="AD43" s="33">
        <f t="shared" si="4"/>
        <v>1965.8172113273411</v>
      </c>
      <c r="AE43" s="33">
        <f t="shared" si="5"/>
        <v>1970.212211327341</v>
      </c>
      <c r="AF43" s="33">
        <f t="shared" si="6"/>
        <v>1963.637211327341</v>
      </c>
      <c r="AG43" s="42">
        <f>+R43-'Modelo Soja'!BL43</f>
        <v>1660.847211327341</v>
      </c>
    </row>
    <row r="44" spans="2:33" x14ac:dyDescent="0.3">
      <c r="B44" s="31" t="str">
        <f t="shared" si="0"/>
        <v>20246</v>
      </c>
      <c r="C44" s="17">
        <f t="shared" si="7"/>
        <v>45444</v>
      </c>
      <c r="D44" s="32">
        <f ca="1">IFERROR(AVERAGEIF('Preço Soja ESALQ'!$C:$C,'Modelo Soja'!$B44,'Preço Soja ESALQ'!E:E),NA())</f>
        <v>2300.8420000000001</v>
      </c>
      <c r="E44" s="32">
        <f ca="1">IFERROR(AVERAGEIF('Preço Soja ESALQ'!$C:$C,'Modelo Soja'!$B44,'Preço Soja ESALQ'!F:F),NA())</f>
        <v>2316.7220000000007</v>
      </c>
      <c r="F44" s="32">
        <f ca="1">IFERROR(AVERAGEIF('Preço Soja ESALQ'!$C:$C,'Modelo Soja'!$B44,'Preço Soja ESALQ'!G:G),NA())</f>
        <v>2285.1759999999999</v>
      </c>
      <c r="G44" s="32">
        <f ca="1">IFERROR(AVERAGEIF('Preço Soja ESALQ'!$C:$C,'Modelo Soja'!$B44,'Preço Soja ESALQ'!H:H),NA())</f>
        <v>2357.9430000000002</v>
      </c>
      <c r="H44" s="32">
        <f ca="1">IFERROR(AVERAGEIF('Preço Soja ESALQ'!$C:$C,'Modelo Soja'!$B44,'Preço Soja ESALQ'!I:I),NA())</f>
        <v>2243.7550000000001</v>
      </c>
      <c r="I44" s="32">
        <f ca="1">IFERROR(AVERAGEIF('Preço Soja ESALQ'!$C:$C,'Modelo Soja'!$B44,'Preço Soja ESALQ'!J:J),NA())</f>
        <v>2192.7665000000006</v>
      </c>
      <c r="J44" s="32">
        <f ca="1">IFERROR(AVERAGEIF('Preço Soja ESALQ'!$C:$C,'Modelo Soja'!$B44,'Preço Soja ESALQ'!K:K),NA())</f>
        <v>2272.2759999999994</v>
      </c>
      <c r="K44" s="32">
        <f ca="1">IFERROR(AVERAGEIF('Preço Soja ESALQ'!$C:$C,'Modelo Soja'!$B44,'Preço Soja ESALQ'!L:L),NA())</f>
        <v>2240.0285714285715</v>
      </c>
      <c r="L44" s="32">
        <f ca="1">IFERROR(AVERAGEIF('Preço Soja ESALQ'!$C:$C,'Modelo Soja'!$B44,'Preço Soja ESALQ'!M:M),NA())</f>
        <v>2012.1490000000001</v>
      </c>
      <c r="M44" s="32">
        <f ca="1">IFERROR(AVERAGEIF('Preço Soja ESALQ'!$C:$C,'Modelo Soja'!$B44,'Preço Soja ESALQ'!N:N),NA())</f>
        <v>2136.4484999999995</v>
      </c>
      <c r="N44" s="32">
        <f ca="1">IFERROR(AVERAGEIF('Preço Soja ESALQ'!$C:$C,'Modelo Soja'!$B44,'Preço Soja ESALQ'!P:P),NA())</f>
        <v>2242.7065000000002</v>
      </c>
      <c r="O44" s="32" t="e">
        <f>+#REF!</f>
        <v>#REF!</v>
      </c>
      <c r="P44" s="33"/>
      <c r="Q44" s="33"/>
      <c r="R44" s="32">
        <f>+[3]mensal!AF44/0.90718</f>
        <v>2156.1386287581768</v>
      </c>
      <c r="T44" s="36">
        <f>+[6]FSORPRA!H43</f>
        <v>464.57499999999999</v>
      </c>
      <c r="U44" s="36">
        <f>+[6]FRONPRA!H43</f>
        <v>367.5</v>
      </c>
      <c r="V44" s="36">
        <f>VLOOKUP(B44,'Frete ESALQ'!$C$5:$AL$131,36,FALSE)</f>
        <v>168.77</v>
      </c>
      <c r="W44" s="36">
        <f>VLOOKUP(B44,'Frete ESALQ'!$C$5:$AW$131,47,FALSE)</f>
        <v>138.86000000000001</v>
      </c>
      <c r="X44" s="36">
        <f>VLOOKUP(B44,'Frete ESALQ'!$C$5:$BH$131,58,FALSE)</f>
        <v>123.23</v>
      </c>
      <c r="Y44" s="36">
        <f>VLOOKUP(B44,'Frete ESALQ'!$C$5:$BH$131,32,FALSE)</f>
        <v>124.17</v>
      </c>
      <c r="AA44" s="33">
        <f t="shared" si="1"/>
        <v>1691.5636287581767</v>
      </c>
      <c r="AB44" s="33">
        <f t="shared" si="2"/>
        <v>1788.6386287581768</v>
      </c>
      <c r="AC44" s="33">
        <f t="shared" si="3"/>
        <v>1987.3686287581768</v>
      </c>
      <c r="AD44" s="33">
        <f t="shared" si="4"/>
        <v>2017.2786287581766</v>
      </c>
      <c r="AE44" s="33">
        <f t="shared" si="5"/>
        <v>2032.9086287581767</v>
      </c>
      <c r="AF44" s="33">
        <f t="shared" si="6"/>
        <v>2031.9686287581767</v>
      </c>
      <c r="AG44" s="42">
        <f>+R44-'Modelo Soja'!BL44</f>
        <v>1701.5636287581767</v>
      </c>
    </row>
    <row r="45" spans="2:33" x14ac:dyDescent="0.3">
      <c r="B45" s="31" t="str">
        <f t="shared" si="0"/>
        <v>20247</v>
      </c>
      <c r="C45" s="17">
        <f t="shared" si="7"/>
        <v>45474</v>
      </c>
      <c r="D45" s="32">
        <f ca="1">IFERROR(AVERAGEIF('Preço Soja ESALQ'!$C:$C,'Modelo Soja'!$B45,'Preço Soja ESALQ'!E:E),NA())</f>
        <v>2222.4178260869562</v>
      </c>
      <c r="E45" s="32">
        <f ca="1">IFERROR(AVERAGEIF('Preço Soja ESALQ'!$C:$C,'Modelo Soja'!$B45,'Preço Soja ESALQ'!F:F),NA())</f>
        <v>2156.3695652173915</v>
      </c>
      <c r="F45" s="32">
        <f ca="1">IFERROR(AVERAGEIF('Preço Soja ESALQ'!$C:$C,'Modelo Soja'!$B45,'Preço Soja ESALQ'!G:G),NA())</f>
        <v>2196.4195652173912</v>
      </c>
      <c r="G45" s="32">
        <f ca="1">IFERROR(AVERAGEIF('Preço Soja ESALQ'!$C:$C,'Modelo Soja'!$B45,'Preço Soja ESALQ'!H:H),NA())</f>
        <v>2227.0508695652165</v>
      </c>
      <c r="H45" s="32">
        <f ca="1">IFERROR(AVERAGEIF('Preço Soja ESALQ'!$C:$C,'Modelo Soja'!$B45,'Preço Soja ESALQ'!I:I),NA())</f>
        <v>2156.7865217391295</v>
      </c>
      <c r="I45" s="32">
        <f ca="1">IFERROR(AVERAGEIF('Preço Soja ESALQ'!$C:$C,'Modelo Soja'!$B45,'Preço Soja ESALQ'!J:J),NA())</f>
        <v>2125.052173913044</v>
      </c>
      <c r="J45" s="32">
        <f ca="1">IFERROR(AVERAGEIF('Preço Soja ESALQ'!$C:$C,'Modelo Soja'!$B45,'Preço Soja ESALQ'!K:K),NA())</f>
        <v>2093.6656249999996</v>
      </c>
      <c r="K45" s="32">
        <f ca="1">IFERROR(AVERAGEIF('Preço Soja ESALQ'!$C:$C,'Modelo Soja'!$B45,'Preço Soja ESALQ'!L:L),NA())</f>
        <v>2065.7931578947369</v>
      </c>
      <c r="L45" s="32">
        <f ca="1">IFERROR(AVERAGEIF('Preço Soja ESALQ'!$C:$C,'Modelo Soja'!$B45,'Preço Soja ESALQ'!M:M),NA())</f>
        <v>1962.9895652173911</v>
      </c>
      <c r="M45" s="32">
        <f ca="1">IFERROR(AVERAGEIF('Preço Soja ESALQ'!$C:$C,'Modelo Soja'!$B45,'Preço Soja ESALQ'!N:N),NA())</f>
        <v>2039.2113043478257</v>
      </c>
      <c r="N45" s="32">
        <f ca="1">IFERROR(AVERAGEIF('Preço Soja ESALQ'!$C:$C,'Modelo Soja'!$B45,'Preço Soja ESALQ'!P:P),NA())</f>
        <v>2179.7869565217393</v>
      </c>
      <c r="O45" s="32" t="e">
        <f>+#REF!</f>
        <v>#REF!</v>
      </c>
      <c r="P45" s="33"/>
      <c r="Q45" s="33"/>
      <c r="R45" s="32">
        <f>+[3]mensal!AF45/0.90718</f>
        <v>2180.5843530928096</v>
      </c>
      <c r="T45" s="36">
        <f>+[6]FSORPRA!H44</f>
        <v>457.5</v>
      </c>
      <c r="U45" s="36">
        <f>+[6]FRONPRA!H44</f>
        <v>351.25</v>
      </c>
      <c r="V45" s="36">
        <f>VLOOKUP(B45,'Frete ESALQ'!$C$5:$AL$131,36,FALSE)</f>
        <v>177</v>
      </c>
      <c r="W45" s="36">
        <f>VLOOKUP(B45,'Frete ESALQ'!$C$5:$AW$131,47,FALSE)</f>
        <v>142.22</v>
      </c>
      <c r="X45" s="36">
        <f>VLOOKUP(B45,'Frete ESALQ'!$C$5:$BH$131,58,FALSE)</f>
        <v>123</v>
      </c>
      <c r="Y45" s="36">
        <f>VLOOKUP(B45,'Frete ESALQ'!$C$5:$BH$131,32,FALSE)</f>
        <v>120.83</v>
      </c>
      <c r="AA45" s="33">
        <f t="shared" si="1"/>
        <v>1723.0843530928096</v>
      </c>
      <c r="AB45" s="33">
        <f t="shared" si="2"/>
        <v>1829.3343530928096</v>
      </c>
      <c r="AC45" s="33">
        <f t="shared" si="3"/>
        <v>2003.5843530928096</v>
      </c>
      <c r="AD45" s="33">
        <f t="shared" si="4"/>
        <v>2038.3643530928096</v>
      </c>
      <c r="AE45" s="33">
        <f t="shared" si="5"/>
        <v>2057.5843530928096</v>
      </c>
      <c r="AF45" s="33">
        <f t="shared" si="6"/>
        <v>2059.7543530928097</v>
      </c>
      <c r="AG45" s="42">
        <f>+R45-'Modelo Soja'!BL45</f>
        <v>1733.0843530928096</v>
      </c>
    </row>
    <row r="46" spans="2:33" x14ac:dyDescent="0.3">
      <c r="B46" s="31" t="str">
        <f t="shared" si="0"/>
        <v>20248</v>
      </c>
      <c r="C46" s="17">
        <f t="shared" si="7"/>
        <v>45505</v>
      </c>
      <c r="D46" s="32">
        <f ca="1">IFERROR(AVERAGEIF('Preço Soja ESALQ'!$C:$C,'Modelo Soja'!$B46,'Preço Soja ESALQ'!E:E),NA())</f>
        <v>2149.6799999999998</v>
      </c>
      <c r="E46" s="32">
        <f ca="1">IFERROR(AVERAGEIF('Preço Soja ESALQ'!$C:$C,'Modelo Soja'!$B46,'Preço Soja ESALQ'!F:F),NA())</f>
        <v>1979.3118181818181</v>
      </c>
      <c r="F46" s="32">
        <f ca="1">IFERROR(AVERAGEIF('Preço Soja ESALQ'!$C:$C,'Modelo Soja'!$B46,'Preço Soja ESALQ'!G:G),NA())</f>
        <v>2074.820454545455</v>
      </c>
      <c r="G46" s="32">
        <f ca="1">IFERROR(AVERAGEIF('Preço Soja ESALQ'!$C:$C,'Modelo Soja'!$B46,'Preço Soja ESALQ'!H:H),NA())</f>
        <v>2231.3222727272728</v>
      </c>
      <c r="H46" s="32">
        <f ca="1">IFERROR(AVERAGEIF('Preço Soja ESALQ'!$C:$C,'Modelo Soja'!$B46,'Preço Soja ESALQ'!I:I),NA())</f>
        <v>2067.411818181818</v>
      </c>
      <c r="I46" s="32">
        <f ca="1">IFERROR(AVERAGEIF('Preço Soja ESALQ'!$C:$C,'Modelo Soja'!$B46,'Preço Soja ESALQ'!J:J),NA())</f>
        <v>2104.8445454545454</v>
      </c>
      <c r="J46" s="32">
        <f ca="1">IFERROR(AVERAGEIF('Preço Soja ESALQ'!$C:$C,'Modelo Soja'!$B46,'Preço Soja ESALQ'!K:K),NA())</f>
        <v>1961.2657142857138</v>
      </c>
      <c r="K46" s="32">
        <f ca="1">IFERROR(AVERAGEIF('Preço Soja ESALQ'!$C:$C,'Modelo Soja'!$B46,'Preço Soja ESALQ'!L:L),NA())</f>
        <v>1988.4909090909089</v>
      </c>
      <c r="L46" s="32">
        <f ca="1">IFERROR(AVERAGEIF('Preço Soja ESALQ'!$C:$C,'Modelo Soja'!$B46,'Preço Soja ESALQ'!M:M),NA())</f>
        <v>1938.4890909090916</v>
      </c>
      <c r="M46" s="32">
        <f ca="1">IFERROR(AVERAGEIF('Preço Soja ESALQ'!$C:$C,'Modelo Soja'!$B46,'Preço Soja ESALQ'!N:N),NA())</f>
        <v>1982.6559090909084</v>
      </c>
      <c r="N46" s="32">
        <f ca="1">IFERROR(AVERAGEIF('Preço Soja ESALQ'!$C:$C,'Modelo Soja'!$B46,'Preço Soja ESALQ'!P:P),NA())</f>
        <v>2055.148181818181</v>
      </c>
      <c r="O46" s="32" t="e">
        <f>+#REF!</f>
        <v>#REF!</v>
      </c>
      <c r="P46" s="33"/>
      <c r="Q46" s="33"/>
      <c r="R46" s="32">
        <f>+[3]mensal!AF46/0.90718</f>
        <v>1974.2525777365845</v>
      </c>
      <c r="T46" s="36">
        <f>+[6]FSORPRA!H45</f>
        <v>396</v>
      </c>
      <c r="U46" s="36">
        <f>+[6]FRONPRA!H45</f>
        <v>293</v>
      </c>
      <c r="V46" s="36">
        <f>VLOOKUP(B46,'Frete ESALQ'!$C$5:$AL$131,36,FALSE)</f>
        <v>151.75</v>
      </c>
      <c r="W46" s="36">
        <f>VLOOKUP(B46,'Frete ESALQ'!$C$5:$AW$131,47,FALSE)</f>
        <v>124.29</v>
      </c>
      <c r="X46" s="36">
        <f>VLOOKUP(B46,'Frete ESALQ'!$C$5:$BH$131,58,FALSE)</f>
        <v>119.35</v>
      </c>
      <c r="Y46" s="36">
        <f>VLOOKUP(B46,'Frete ESALQ'!$C$5:$BH$131,32,FALSE)</f>
        <v>130.75</v>
      </c>
      <c r="AA46" s="33">
        <f t="shared" si="1"/>
        <v>1578.2525777365845</v>
      </c>
      <c r="AB46" s="33">
        <f t="shared" si="2"/>
        <v>1681.2525777365845</v>
      </c>
      <c r="AC46" s="33">
        <f t="shared" si="3"/>
        <v>1822.5025777365845</v>
      </c>
      <c r="AD46" s="33">
        <f t="shared" si="4"/>
        <v>1849.9625777365845</v>
      </c>
      <c r="AE46" s="33">
        <f t="shared" si="5"/>
        <v>1854.9025777365846</v>
      </c>
      <c r="AF46" s="33">
        <f t="shared" si="6"/>
        <v>1843.5025777365845</v>
      </c>
      <c r="AG46" s="42">
        <f>+R46-'Modelo Soja'!BL46</f>
        <v>1588.2525777365845</v>
      </c>
    </row>
    <row r="47" spans="2:33" x14ac:dyDescent="0.3">
      <c r="B47" s="31" t="str">
        <f t="shared" si="0"/>
        <v>20249</v>
      </c>
      <c r="C47" s="17">
        <f t="shared" si="7"/>
        <v>45536</v>
      </c>
      <c r="D47" s="32">
        <f ca="1">IFERROR(AVERAGEIF('Preço Soja ESALQ'!$C:$C,'Modelo Soja'!$B47,'Preço Soja ESALQ'!E:E),NA())</f>
        <v>2227.537619047619</v>
      </c>
      <c r="E47" s="32">
        <f ca="1">IFERROR(AVERAGEIF('Preço Soja ESALQ'!$C:$C,'Modelo Soja'!$B47,'Preço Soja ESALQ'!F:F),NA())</f>
        <v>2066.7852380952377</v>
      </c>
      <c r="F47" s="32">
        <f ca="1">IFERROR(AVERAGEIF('Preço Soja ESALQ'!$C:$C,'Modelo Soja'!$B47,'Preço Soja ESALQ'!G:G),NA())</f>
        <v>2139.2119047619049</v>
      </c>
      <c r="G47" s="32">
        <f ca="1">IFERROR(AVERAGEIF('Preço Soja ESALQ'!$C:$C,'Modelo Soja'!$B47,'Preço Soja ESALQ'!H:H),NA())</f>
        <v>2366.5795238095238</v>
      </c>
      <c r="H47" s="32">
        <f ca="1">IFERROR(AVERAGEIF('Preço Soja ESALQ'!$C:$C,'Modelo Soja'!$B47,'Preço Soja ESALQ'!I:I),NA())</f>
        <v>2073.85380952381</v>
      </c>
      <c r="I47" s="32">
        <f ca="1">IFERROR(AVERAGEIF('Preço Soja ESALQ'!$C:$C,'Modelo Soja'!$B47,'Preço Soja ESALQ'!J:J),NA())</f>
        <v>2120.6819047619047</v>
      </c>
      <c r="J47" s="32">
        <f ca="1">IFERROR(AVERAGEIF('Preço Soja ESALQ'!$C:$C,'Modelo Soja'!$B47,'Preço Soja ESALQ'!K:K),NA())</f>
        <v>2037.9066666666661</v>
      </c>
      <c r="K47" s="32">
        <f ca="1">IFERROR(AVERAGEIF('Preço Soja ESALQ'!$C:$C,'Modelo Soja'!$B47,'Preço Soja ESALQ'!L:L),NA())</f>
        <v>2083.878421052631</v>
      </c>
      <c r="L47" s="32">
        <f ca="1">IFERROR(AVERAGEIF('Preço Soja ESALQ'!$C:$C,'Modelo Soja'!$B47,'Preço Soja ESALQ'!M:M),NA())</f>
        <v>1986.7313333333334</v>
      </c>
      <c r="M47" s="32">
        <f ca="1">IFERROR(AVERAGEIF('Preço Soja ESALQ'!$C:$C,'Modelo Soja'!$B47,'Preço Soja ESALQ'!N:N),NA())</f>
        <v>2081.9233333333336</v>
      </c>
      <c r="N47" s="32">
        <f ca="1">IFERROR(AVERAGEIF('Preço Soja ESALQ'!$C:$C,'Modelo Soja'!$B47,'Preço Soja ESALQ'!P:P),NA())</f>
        <v>2044.1409523809523</v>
      </c>
      <c r="O47" s="32" t="e">
        <f>+#REF!</f>
        <v>#REF!</v>
      </c>
      <c r="P47" s="33"/>
      <c r="Q47" s="33"/>
      <c r="R47" s="32">
        <f>+[3]mensal!AF47/0.90718</f>
        <v>1965.9172970083116</v>
      </c>
      <c r="T47" s="36">
        <f>+[6]FSORPRA!H46</f>
        <v>408.75</v>
      </c>
      <c r="U47" s="36">
        <f>+[6]FRONPRA!H46</f>
        <v>292.5</v>
      </c>
      <c r="V47" s="36">
        <f>VLOOKUP(B47,'Frete ESALQ'!$C$5:$AL$131,36,FALSE)</f>
        <v>144.30000000000001</v>
      </c>
      <c r="W47" s="36">
        <f>VLOOKUP(B47,'Frete ESALQ'!$C$5:$AW$131,47,FALSE)</f>
        <v>125.44</v>
      </c>
      <c r="X47" s="36">
        <f>VLOOKUP(B47,'Frete ESALQ'!$C$5:$BH$131,58,FALSE)</f>
        <v>141.55000000000001</v>
      </c>
      <c r="Y47" s="36">
        <f>VLOOKUP(B47,'Frete ESALQ'!$C$5:$BH$131,32,FALSE)</f>
        <v>129.59</v>
      </c>
      <c r="AA47" s="33">
        <f t="shared" si="1"/>
        <v>1557.1672970083116</v>
      </c>
      <c r="AB47" s="33">
        <f t="shared" si="2"/>
        <v>1673.4172970083116</v>
      </c>
      <c r="AC47" s="33">
        <f t="shared" si="3"/>
        <v>1821.6172970083117</v>
      </c>
      <c r="AD47" s="33">
        <f t="shared" si="4"/>
        <v>1840.4772970083116</v>
      </c>
      <c r="AE47" s="33">
        <f t="shared" si="5"/>
        <v>1824.3672970083117</v>
      </c>
      <c r="AF47" s="33">
        <f t="shared" si="6"/>
        <v>1836.3272970083117</v>
      </c>
      <c r="AG47" s="42">
        <f>+R47-'Modelo Soja'!BL47</f>
        <v>1567.1672970083116</v>
      </c>
    </row>
    <row r="48" spans="2:33" x14ac:dyDescent="0.3">
      <c r="B48" s="31" t="str">
        <f t="shared" si="0"/>
        <v>202410</v>
      </c>
      <c r="C48" s="17">
        <f t="shared" si="7"/>
        <v>45566</v>
      </c>
      <c r="D48" s="32">
        <f ca="1">IFERROR(AVERAGEIF('Preço Soja ESALQ'!$C:$C,'Modelo Soja'!$B48,'Preço Soja ESALQ'!E:E),NA())</f>
        <v>2233.5556521739131</v>
      </c>
      <c r="E48" s="32">
        <f ca="1">IFERROR(AVERAGEIF('Preço Soja ESALQ'!$C:$C,'Modelo Soja'!$B48,'Preço Soja ESALQ'!F:F),NA())</f>
        <v>2149.6726086956523</v>
      </c>
      <c r="F48" s="32">
        <f ca="1">IFERROR(AVERAGEIF('Preço Soja ESALQ'!$C:$C,'Modelo Soja'!$B48,'Preço Soja ESALQ'!G:G),NA())</f>
        <v>2186.9882608695652</v>
      </c>
      <c r="G48" s="32">
        <f ca="1">IFERROR(AVERAGEIF('Preço Soja ESALQ'!$C:$C,'Modelo Soja'!$B48,'Preço Soja ESALQ'!H:H),NA())</f>
        <v>2292.1408695652176</v>
      </c>
      <c r="H48" s="32">
        <f ca="1">IFERROR(AVERAGEIF('Preço Soja ESALQ'!$C:$C,'Modelo Soja'!$B48,'Preço Soja ESALQ'!I:I),NA())</f>
        <v>2110.2400000000002</v>
      </c>
      <c r="I48" s="32">
        <f ca="1">IFERROR(AVERAGEIF('Preço Soja ESALQ'!$C:$C,'Modelo Soja'!$B48,'Preço Soja ESALQ'!J:J),NA())</f>
        <v>2117.9830434782612</v>
      </c>
      <c r="J48" s="32">
        <f ca="1">IFERROR(AVERAGEIF('Preço Soja ESALQ'!$C:$C,'Modelo Soja'!$B48,'Preço Soja ESALQ'!K:K),NA())</f>
        <v>2036.0195652173916</v>
      </c>
      <c r="K48" s="32">
        <f ca="1">IFERROR(AVERAGEIF('Preço Soja ESALQ'!$C:$C,'Modelo Soja'!$B48,'Preço Soja ESALQ'!L:L),NA())</f>
        <v>1991.7464705882355</v>
      </c>
      <c r="L48" s="32">
        <f ca="1">IFERROR(AVERAGEIF('Preço Soja ESALQ'!$C:$C,'Modelo Soja'!$B48,'Preço Soja ESALQ'!M:M),NA())</f>
        <v>2008.3391304347826</v>
      </c>
      <c r="M48" s="32">
        <f ca="1">IFERROR(AVERAGEIF('Preço Soja ESALQ'!$C:$C,'Modelo Soja'!$B48,'Preço Soja ESALQ'!N:N),NA())</f>
        <v>2016.7947826086959</v>
      </c>
      <c r="N48" s="32">
        <f ca="1">IFERROR(AVERAGEIF('Preço Soja ESALQ'!$C:$C,'Modelo Soja'!$B48,'Preço Soja ESALQ'!P:P),NA())</f>
        <v>2052.1534782608701</v>
      </c>
      <c r="O48" s="32" t="e">
        <f>+#REF!</f>
        <v>#REF!</v>
      </c>
      <c r="P48" s="33"/>
      <c r="Q48" s="33"/>
      <c r="R48" s="32">
        <f>+[3]mensal!AF48/0.90718</f>
        <v>1970.205982260155</v>
      </c>
      <c r="T48" s="36">
        <f>+[6]FSORPRA!H47</f>
        <v>393.75</v>
      </c>
      <c r="U48" s="36">
        <f>+[6]FRONPRA!H47</f>
        <v>287.5</v>
      </c>
      <c r="V48" s="36">
        <f>VLOOKUP(B48,'Frete ESALQ'!$C$5:$AL$131,36,FALSE)</f>
        <v>137.07</v>
      </c>
      <c r="W48" s="36">
        <f>VLOOKUP(B48,'Frete ESALQ'!$C$5:$AW$131,47,FALSE)</f>
        <v>113.57</v>
      </c>
      <c r="X48" s="36">
        <f>VLOOKUP(B48,'Frete ESALQ'!$C$5:$BH$131,58,FALSE)</f>
        <v>140</v>
      </c>
      <c r="Y48" s="36">
        <f>VLOOKUP(B48,'Frete ESALQ'!$C$5:$BH$131,32,FALSE)</f>
        <v>143</v>
      </c>
      <c r="AA48" s="33">
        <f t="shared" si="1"/>
        <v>1576.455982260155</v>
      </c>
      <c r="AB48" s="33">
        <f t="shared" si="2"/>
        <v>1682.705982260155</v>
      </c>
      <c r="AC48" s="33">
        <f t="shared" si="3"/>
        <v>1833.1359822601551</v>
      </c>
      <c r="AD48" s="33">
        <f t="shared" si="4"/>
        <v>1856.6359822601551</v>
      </c>
      <c r="AE48" s="33">
        <f t="shared" si="5"/>
        <v>1830.205982260155</v>
      </c>
      <c r="AF48" s="33">
        <f t="shared" si="6"/>
        <v>1827.205982260155</v>
      </c>
      <c r="AG48" s="42">
        <f>+R48-'Modelo Soja'!BL48</f>
        <v>1586.455982260155</v>
      </c>
    </row>
    <row r="49" spans="2:33" x14ac:dyDescent="0.3">
      <c r="B49" s="31" t="str">
        <f t="shared" si="0"/>
        <v>202411</v>
      </c>
      <c r="C49" s="17">
        <f t="shared" si="7"/>
        <v>45597</v>
      </c>
      <c r="D49" s="32">
        <f ca="1">IFERROR(AVERAGEIF('Preço Soja ESALQ'!$C:$C,'Modelo Soja'!$B49,'Preço Soja ESALQ'!E:E),NA())</f>
        <v>2087.9100000000003</v>
      </c>
      <c r="E49" s="32">
        <f ca="1">IFERROR(AVERAGEIF('Preço Soja ESALQ'!$C:$C,'Modelo Soja'!$B49,'Preço Soja ESALQ'!F:F),NA())</f>
        <v>2007.6984210526314</v>
      </c>
      <c r="F49" s="32">
        <f ca="1">IFERROR(AVERAGEIF('Preço Soja ESALQ'!$C:$C,'Modelo Soja'!$B49,'Preço Soja ESALQ'!G:G),NA())</f>
        <v>2014.7806666666668</v>
      </c>
      <c r="G49" s="32">
        <f ca="1">IFERROR(AVERAGEIF('Preço Soja ESALQ'!$C:$C,'Modelo Soja'!$B49,'Preço Soja ESALQ'!H:H),NA())</f>
        <v>2133.7684210526318</v>
      </c>
      <c r="H49" s="32">
        <f ca="1">IFERROR(AVERAGEIF('Preço Soja ESALQ'!$C:$C,'Modelo Soja'!$B49,'Preço Soja ESALQ'!I:I),NA())</f>
        <v>2083.8852631578952</v>
      </c>
      <c r="I49" s="32">
        <f ca="1">IFERROR(AVERAGEIF('Preço Soja ESALQ'!$C:$C,'Modelo Soja'!$B49,'Preço Soja ESALQ'!J:J),NA())</f>
        <v>2042.1363157894743</v>
      </c>
      <c r="J49" s="32">
        <f ca="1">IFERROR(AVERAGEIF('Preço Soja ESALQ'!$C:$C,'Modelo Soja'!$B49,'Preço Soja ESALQ'!K:K),NA())</f>
        <v>1944.6326315789477</v>
      </c>
      <c r="K49" s="32">
        <f ca="1">IFERROR(AVERAGEIF('Preço Soja ESALQ'!$C:$C,'Modelo Soja'!$B49,'Preço Soja ESALQ'!L:L),NA())</f>
        <v>1942.9433333333332</v>
      </c>
      <c r="L49" s="32">
        <f ca="1">IFERROR(AVERAGEIF('Preço Soja ESALQ'!$C:$C,'Modelo Soja'!$B49,'Preço Soja ESALQ'!M:M),NA())</f>
        <v>1902.9478947368425</v>
      </c>
      <c r="M49" s="32">
        <f ca="1">IFERROR(AVERAGEIF('Preço Soja ESALQ'!$C:$C,'Modelo Soja'!$B49,'Preço Soja ESALQ'!N:N),NA())</f>
        <v>1866.9357894736841</v>
      </c>
      <c r="N49" s="32">
        <f ca="1">IFERROR(AVERAGEIF('Preço Soja ESALQ'!$C:$C,'Modelo Soja'!$B49,'Preço Soja ESALQ'!P:P),NA())</f>
        <v>1985.3673684210528</v>
      </c>
      <c r="O49" s="32" t="e">
        <f>+#REF!</f>
        <v>#REF!</v>
      </c>
      <c r="P49" s="33"/>
      <c r="Q49" s="33"/>
      <c r="R49" s="32">
        <f>+[3]mensal!AF49/0.90718</f>
        <v>1870.3310234804035</v>
      </c>
      <c r="T49" s="36">
        <f>+[6]FSORPRA!H48</f>
        <v>370.76</v>
      </c>
      <c r="U49" s="36">
        <f>+[6]FRONPRA!H48</f>
        <v>248.71999999999997</v>
      </c>
      <c r="V49" s="36">
        <f>VLOOKUP(B49,'Frete ESALQ'!$C$5:$AL$131,36,FALSE)</f>
        <v>137.66</v>
      </c>
      <c r="W49" s="36">
        <f>VLOOKUP(B49,'Frete ESALQ'!$C$5:$AW$131,47,FALSE)</f>
        <v>106.67</v>
      </c>
      <c r="X49" s="36">
        <f>VLOOKUP(B49,'Frete ESALQ'!$C$5:$BH$131,58,FALSE)</f>
        <v>135</v>
      </c>
      <c r="Y49" s="36">
        <f>VLOOKUP(B49,'Frete ESALQ'!$C$5:$BH$131,32,FALSE)</f>
        <v>137.5</v>
      </c>
      <c r="AA49" s="33">
        <f t="shared" si="1"/>
        <v>1499.5710234804035</v>
      </c>
      <c r="AB49" s="33">
        <f t="shared" si="2"/>
        <v>1621.6110234804034</v>
      </c>
      <c r="AC49" s="33">
        <f t="shared" si="3"/>
        <v>1732.6710234804034</v>
      </c>
      <c r="AD49" s="33">
        <f t="shared" si="4"/>
        <v>1763.6610234804034</v>
      </c>
      <c r="AE49" s="33">
        <f t="shared" si="5"/>
        <v>1735.3310234804035</v>
      </c>
      <c r="AF49" s="33">
        <f t="shared" si="6"/>
        <v>1732.8310234804035</v>
      </c>
      <c r="AG49" s="42">
        <f>+R49-'Modelo Soja'!BL49</f>
        <v>1509.5710234804035</v>
      </c>
    </row>
    <row r="50" spans="2:33" x14ac:dyDescent="0.3">
      <c r="B50" s="31" t="str">
        <f t="shared" si="0"/>
        <v>202412</v>
      </c>
      <c r="C50" s="17">
        <f t="shared" si="7"/>
        <v>45627</v>
      </c>
      <c r="D50" s="32">
        <f ca="1">IFERROR(AVERAGEIF('Preço Soja ESALQ'!$C:$C,'Modelo Soja'!$B50,'Preço Soja ESALQ'!E:E),NA())</f>
        <v>2096.4563157894736</v>
      </c>
      <c r="E50" s="32">
        <f ca="1">IFERROR(AVERAGEIF('Preço Soja ESALQ'!$C:$C,'Modelo Soja'!$B50,'Preço Soja ESALQ'!F:F),NA())</f>
        <v>1917.9410526315785</v>
      </c>
      <c r="F50" s="32">
        <f ca="1">IFERROR(AVERAGEIF('Preço Soja ESALQ'!$C:$C,'Modelo Soja'!$B50,'Preço Soja ESALQ'!G:G),NA())</f>
        <v>1987.1810526315794</v>
      </c>
      <c r="G50" s="32">
        <f ca="1">IFERROR(AVERAGEIF('Preço Soja ESALQ'!$C:$C,'Modelo Soja'!$B50,'Preço Soja ESALQ'!H:H),NA())</f>
        <v>2184.4842105263156</v>
      </c>
      <c r="H50" s="32">
        <f ca="1">IFERROR(AVERAGEIF('Preço Soja ESALQ'!$C:$C,'Modelo Soja'!$B50,'Preço Soja ESALQ'!I:I),NA())</f>
        <v>1992.0494736842111</v>
      </c>
      <c r="I50" s="32">
        <f ca="1">IFERROR(AVERAGEIF('Preço Soja ESALQ'!$C:$C,'Modelo Soja'!$B50,'Preço Soja ESALQ'!J:J),NA())</f>
        <v>1993.7368421052627</v>
      </c>
      <c r="J50" s="32">
        <f ca="1">IFERROR(AVERAGEIF('Preço Soja ESALQ'!$C:$C,'Modelo Soja'!$B50,'Preço Soja ESALQ'!K:K),NA())</f>
        <v>1908.4426315789478</v>
      </c>
      <c r="K50" s="32">
        <f ca="1">IFERROR(AVERAGEIF('Preço Soja ESALQ'!$C:$C,'Modelo Soja'!$B50,'Preço Soja ESALQ'!L:L),NA())</f>
        <v>1884.7826315789475</v>
      </c>
      <c r="L50" s="32">
        <f ca="1">IFERROR(AVERAGEIF('Preço Soja ESALQ'!$C:$C,'Modelo Soja'!$B50,'Preço Soja ESALQ'!M:M),NA())</f>
        <v>1949.9068421052634</v>
      </c>
      <c r="M50" s="32">
        <f ca="1">IFERROR(AVERAGEIF('Preço Soja ESALQ'!$C:$C,'Modelo Soja'!$B50,'Preço Soja ESALQ'!N:N),NA())</f>
        <v>1905.2273684210527</v>
      </c>
      <c r="N50" s="32">
        <f ca="1">IFERROR(AVERAGEIF('Preço Soja ESALQ'!$C:$C,'Modelo Soja'!$B50,'Preço Soja ESALQ'!P:P),NA())</f>
        <v>1919.5921052631575</v>
      </c>
      <c r="O50" s="32" t="e">
        <f>+#REF!</f>
        <v>#REF!</v>
      </c>
      <c r="P50" s="33"/>
      <c r="Q50" s="33"/>
      <c r="R50" s="32">
        <f>+[3]mensal!AF50/0.90718</f>
        <v>1954.6830696457284</v>
      </c>
      <c r="T50" s="36">
        <f>+[6]FSORPRA!H49</f>
        <v>323.27499999999998</v>
      </c>
      <c r="U50" s="36">
        <f>+[6]FRONPRA!H49</f>
        <v>219.42500000000001</v>
      </c>
      <c r="V50" s="36">
        <f>VLOOKUP(B50,'Frete ESALQ'!$C$5:$AL$131,36,FALSE)</f>
        <v>122.55</v>
      </c>
      <c r="W50" s="36">
        <f>VLOOKUP(B50,'Frete ESALQ'!$C$5:$AW$131,47,FALSE)</f>
        <v>102.5</v>
      </c>
      <c r="X50" s="36">
        <f>VLOOKUP(B50,'Frete ESALQ'!$C$5:$BH$131,58,FALSE)</f>
        <v>130</v>
      </c>
      <c r="Y50" s="36">
        <f>VLOOKUP(B50,'Frete ESALQ'!$C$5:$BH$131,32,FALSE)</f>
        <v>130</v>
      </c>
      <c r="AA50" s="33">
        <f t="shared" si="1"/>
        <v>1631.4080696457286</v>
      </c>
      <c r="AB50" s="33">
        <f t="shared" si="2"/>
        <v>1735.2580696457285</v>
      </c>
      <c r="AC50" s="33">
        <f t="shared" si="3"/>
        <v>1832.1330696457285</v>
      </c>
      <c r="AD50" s="33">
        <f t="shared" si="4"/>
        <v>1852.1830696457284</v>
      </c>
      <c r="AE50" s="33">
        <f t="shared" si="5"/>
        <v>1824.6830696457284</v>
      </c>
      <c r="AF50" s="33">
        <f t="shared" si="6"/>
        <v>1824.6830696457284</v>
      </c>
      <c r="AG50" s="42">
        <f>+R50-'Modelo Soja'!BL50</f>
        <v>1641.4080696457286</v>
      </c>
    </row>
    <row r="51" spans="2:33" x14ac:dyDescent="0.3">
      <c r="B51" s="31" t="str">
        <f t="shared" si="0"/>
        <v>20251</v>
      </c>
      <c r="C51" s="17">
        <f t="shared" si="7"/>
        <v>45658</v>
      </c>
      <c r="D51" s="32">
        <f ca="1">IFERROR(AVERAGEIF('Preço Soja ESALQ'!$C:$C,'Modelo Soja'!$B51,'Preço Soja ESALQ'!E:E),NA())</f>
        <v>2118.8904545454548</v>
      </c>
      <c r="E51" s="32">
        <f ca="1">IFERROR(AVERAGEIF('Preço Soja ESALQ'!$C:$C,'Modelo Soja'!$B51,'Preço Soja ESALQ'!F:F),NA())</f>
        <v>1972.7595454545444</v>
      </c>
      <c r="F51" s="32">
        <f ca="1">IFERROR(AVERAGEIF('Preço Soja ESALQ'!$C:$C,'Modelo Soja'!$B51,'Preço Soja ESALQ'!G:G),NA())</f>
        <v>2036.2418181818177</v>
      </c>
      <c r="G51" s="32">
        <f ca="1">IFERROR(AVERAGEIF('Preço Soja ESALQ'!$C:$C,'Modelo Soja'!$B51,'Preço Soja ESALQ'!H:H),NA())</f>
        <v>2075.3309090909097</v>
      </c>
      <c r="H51" s="32">
        <f ca="1">IFERROR(AVERAGEIF('Preço Soja ESALQ'!$C:$C,'Modelo Soja'!$B51,'Preço Soja ESALQ'!I:I),NA())</f>
        <v>1976.9859090909088</v>
      </c>
      <c r="I51" s="32">
        <f ca="1">IFERROR(AVERAGEIF('Preço Soja ESALQ'!$C:$C,'Modelo Soja'!$B51,'Preço Soja ESALQ'!J:J),NA())</f>
        <v>1973.9163636363637</v>
      </c>
      <c r="J51" s="32">
        <f ca="1">IFERROR(AVERAGEIF('Preço Soja ESALQ'!$C:$C,'Modelo Soja'!$B51,'Preço Soja ESALQ'!K:K),NA())</f>
        <v>1929.1449999999998</v>
      </c>
      <c r="K51" s="32">
        <f ca="1">IFERROR(AVERAGEIF('Preço Soja ESALQ'!$C:$C,'Modelo Soja'!$B51,'Preço Soja ESALQ'!L:L),NA())</f>
        <v>1904.666923076923</v>
      </c>
      <c r="L51" s="32">
        <f ca="1">IFERROR(AVERAGEIF('Preço Soja ESALQ'!$C:$C,'Modelo Soja'!$B51,'Preço Soja ESALQ'!M:M),NA())</f>
        <v>1889.6013636363632</v>
      </c>
      <c r="M51" s="32">
        <f ca="1">IFERROR(AVERAGEIF('Preço Soja ESALQ'!$C:$C,'Modelo Soja'!$B51,'Preço Soja ESALQ'!N:N),NA())</f>
        <v>1891.9509090909089</v>
      </c>
      <c r="N51" s="32">
        <f ca="1">IFERROR(AVERAGEIF('Preço Soja ESALQ'!$C:$C,'Modelo Soja'!$B51,'Preço Soja ESALQ'!P:P),NA())</f>
        <v>1858.8018181818181</v>
      </c>
      <c r="O51" s="32" t="e">
        <f>+#REF!</f>
        <v>#REF!</v>
      </c>
      <c r="P51" s="33"/>
      <c r="Q51" s="33"/>
      <c r="R51" s="32">
        <f>+[3]mensal!AF51/0.90718</f>
        <v>2001.7319496949046</v>
      </c>
      <c r="T51" s="36">
        <f>+[6]FSORPRA!H50</f>
        <v>343.33333333333331</v>
      </c>
      <c r="U51" s="36">
        <f>+[6]FRONPRA!H50</f>
        <v>256.66666666666669</v>
      </c>
      <c r="V51" s="36">
        <f>VLOOKUP(B51,'Frete ESALQ'!$C$5:$AL$131,36,FALSE)</f>
        <v>146</v>
      </c>
      <c r="W51" s="36">
        <f>VLOOKUP(B51,'Frete ESALQ'!$C$5:$AW$131,47,FALSE)</f>
        <v>113.33</v>
      </c>
      <c r="X51" s="36">
        <f>VLOOKUP(B51,'Frete ESALQ'!$C$5:$BH$131,58,FALSE)</f>
        <v>136.66999999999999</v>
      </c>
      <c r="Y51" s="36">
        <f>VLOOKUP(B51,'Frete ESALQ'!$C$5:$BH$131,32,FALSE)</f>
        <v>132.5</v>
      </c>
      <c r="AA51" s="33">
        <f t="shared" si="1"/>
        <v>1658.3986163615714</v>
      </c>
      <c r="AB51" s="33">
        <f t="shared" si="2"/>
        <v>1745.0652830282379</v>
      </c>
      <c r="AC51" s="33">
        <f t="shared" si="3"/>
        <v>1855.7319496949046</v>
      </c>
      <c r="AD51" s="33">
        <f t="shared" si="4"/>
        <v>1888.4019496949047</v>
      </c>
      <c r="AE51" s="33">
        <f t="shared" si="5"/>
        <v>1865.0619496949046</v>
      </c>
      <c r="AF51" s="33">
        <f t="shared" si="6"/>
        <v>1869.2319496949046</v>
      </c>
      <c r="AG51" s="42">
        <f>+R51-'Modelo Soja'!BL51</f>
        <v>1668.3986163615714</v>
      </c>
    </row>
    <row r="52" spans="2:33" x14ac:dyDescent="0.3">
      <c r="B52" s="31" t="str">
        <f t="shared" si="0"/>
        <v>20252</v>
      </c>
      <c r="C52" s="17">
        <f t="shared" si="7"/>
        <v>45689</v>
      </c>
      <c r="D52" s="32">
        <f ca="1">IFERROR(AVERAGEIF('Preço Soja ESALQ'!$C:$C,'Modelo Soja'!$B52,'Preço Soja ESALQ'!E:E),NA())</f>
        <v>2008.0545000000002</v>
      </c>
      <c r="E52" s="32">
        <f ca="1">IFERROR(AVERAGEIF('Preço Soja ESALQ'!$C:$C,'Modelo Soja'!$B52,'Preço Soja ESALQ'!F:F),NA())</f>
        <v>1968.0319999999999</v>
      </c>
      <c r="F52" s="32">
        <f ca="1">IFERROR(AVERAGEIF('Preço Soja ESALQ'!$C:$C,'Modelo Soja'!$B52,'Preço Soja ESALQ'!G:G),NA())</f>
        <v>1957.7020000000005</v>
      </c>
      <c r="G52" s="32">
        <f ca="1">IFERROR(AVERAGEIF('Preço Soja ESALQ'!$C:$C,'Modelo Soja'!$B52,'Preço Soja ESALQ'!H:H),NA())</f>
        <v>2062.6985</v>
      </c>
      <c r="H52" s="32">
        <f ca="1">IFERROR(AVERAGEIF('Preço Soja ESALQ'!$C:$C,'Modelo Soja'!$B52,'Preço Soja ESALQ'!I:I),NA())</f>
        <v>1920.8295000000005</v>
      </c>
      <c r="I52" s="32">
        <f ca="1">IFERROR(AVERAGEIF('Preço Soja ESALQ'!$C:$C,'Modelo Soja'!$B52,'Preço Soja ESALQ'!J:J),NA())</f>
        <v>1883.6134999999999</v>
      </c>
      <c r="J52" s="32">
        <f ca="1">IFERROR(AVERAGEIF('Preço Soja ESALQ'!$C:$C,'Modelo Soja'!$B52,'Preço Soja ESALQ'!K:K),NA())</f>
        <v>1882.6994999999995</v>
      </c>
      <c r="K52" s="32">
        <f ca="1">IFERROR(AVERAGEIF('Preço Soja ESALQ'!$C:$C,'Modelo Soja'!$B52,'Preço Soja ESALQ'!L:L),NA())</f>
        <v>1921.7511111111114</v>
      </c>
      <c r="L52" s="32">
        <f ca="1">IFERROR(AVERAGEIF('Preço Soja ESALQ'!$C:$C,'Modelo Soja'!$B52,'Preço Soja ESALQ'!M:M),NA())</f>
        <v>1677.2085000000002</v>
      </c>
      <c r="M52" s="32">
        <f ca="1">IFERROR(AVERAGEIF('Preço Soja ESALQ'!$C:$C,'Modelo Soja'!$B52,'Preço Soja ESALQ'!N:N),NA())</f>
        <v>1775.2710000000002</v>
      </c>
      <c r="N52" s="32">
        <f ca="1">IFERROR(AVERAGEIF('Preço Soja ESALQ'!$C:$C,'Modelo Soja'!$B52,'Preço Soja ESALQ'!P:P),NA())</f>
        <v>1818.5855000000004</v>
      </c>
      <c r="O52" s="32" t="e">
        <f>+#REF!</f>
        <v>#REF!</v>
      </c>
      <c r="P52" s="33"/>
      <c r="Q52" s="33"/>
      <c r="R52" s="32">
        <f>+[3]mensal!AF52/0.90718</f>
        <v>1891.5294900275112</v>
      </c>
      <c r="T52" s="36">
        <f>+[6]FSORPRA!H51</f>
        <v>478.75</v>
      </c>
      <c r="U52" s="36">
        <f>+[6]FRONPRA!H51</f>
        <v>380</v>
      </c>
      <c r="V52" s="36">
        <f>VLOOKUP(B52,'Frete ESALQ'!$C$5:$AL$131,36,FALSE)</f>
        <v>155</v>
      </c>
      <c r="W52" s="36">
        <f>VLOOKUP(B52,'Frete ESALQ'!$C$5:$AW$131,47,FALSE)</f>
        <v>146.25</v>
      </c>
      <c r="X52" s="36">
        <f>VLOOKUP(B52,'Frete ESALQ'!$C$5:$BH$131,58,FALSE)</f>
        <v>148.75</v>
      </c>
      <c r="Y52" s="36">
        <f>VLOOKUP(B52,'Frete ESALQ'!$C$5:$BH$131,32,FALSE)</f>
        <v>145</v>
      </c>
      <c r="AA52" s="33">
        <f t="shared" si="1"/>
        <v>1412.7794900275112</v>
      </c>
      <c r="AB52" s="33">
        <f t="shared" si="2"/>
        <v>1511.5294900275112</v>
      </c>
      <c r="AC52" s="33">
        <f t="shared" si="3"/>
        <v>1736.5294900275112</v>
      </c>
      <c r="AD52" s="33">
        <f t="shared" si="4"/>
        <v>1745.2794900275112</v>
      </c>
      <c r="AE52" s="33">
        <f t="shared" si="5"/>
        <v>1742.7794900275112</v>
      </c>
      <c r="AF52" s="33">
        <f t="shared" si="6"/>
        <v>1746.5294900275112</v>
      </c>
      <c r="AG52" s="42">
        <f>+R52-'Modelo Soja'!BL52</f>
        <v>1422.7794900275112</v>
      </c>
    </row>
    <row r="53" spans="2:33" x14ac:dyDescent="0.3">
      <c r="B53" s="31" t="str">
        <f t="shared" si="0"/>
        <v>20253</v>
      </c>
      <c r="C53" s="17">
        <f t="shared" si="7"/>
        <v>45717</v>
      </c>
      <c r="D53" s="32">
        <f ca="1">IFERROR(AVERAGEIF('Preço Soja ESALQ'!$C:$C,'Modelo Soja'!$B53,'Preço Soja ESALQ'!E:E),NA())</f>
        <v>1949.4326315789478</v>
      </c>
      <c r="E53" s="32">
        <f ca="1">IFERROR(AVERAGEIF('Preço Soja ESALQ'!$C:$C,'Modelo Soja'!$B53,'Preço Soja ESALQ'!F:F),NA())</f>
        <v>1823.6768421052627</v>
      </c>
      <c r="F53" s="32">
        <f ca="1">IFERROR(AVERAGEIF('Preço Soja ESALQ'!$C:$C,'Modelo Soja'!$B53,'Preço Soja ESALQ'!G:G),NA())</f>
        <v>1896.3142105263155</v>
      </c>
      <c r="G53" s="32">
        <f ca="1">IFERROR(AVERAGEIF('Preço Soja ESALQ'!$C:$C,'Modelo Soja'!$B53,'Preço Soja ESALQ'!H:H),NA())</f>
        <v>1980.3836842105263</v>
      </c>
      <c r="H53" s="32">
        <f ca="1">IFERROR(AVERAGEIF('Preço Soja ESALQ'!$C:$C,'Modelo Soja'!$B53,'Preço Soja ESALQ'!I:I),NA())</f>
        <v>1856.3247368421053</v>
      </c>
      <c r="I53" s="32">
        <f ca="1">IFERROR(AVERAGEIF('Preço Soja ESALQ'!$C:$C,'Modelo Soja'!$B53,'Preço Soja ESALQ'!J:J),NA())</f>
        <v>1879.1868421052634</v>
      </c>
      <c r="J53" s="32">
        <f ca="1">IFERROR(AVERAGEIF('Preço Soja ESALQ'!$C:$C,'Modelo Soja'!$B53,'Preço Soja ESALQ'!K:K),NA())</f>
        <v>1859.2421052631578</v>
      </c>
      <c r="K53" s="32">
        <f ca="1">IFERROR(AVERAGEIF('Preço Soja ESALQ'!$C:$C,'Modelo Soja'!$B53,'Preço Soja ESALQ'!L:L),NA())</f>
        <v>1819.8015789473682</v>
      </c>
      <c r="L53" s="32">
        <f ca="1">IFERROR(AVERAGEIF('Preço Soja ESALQ'!$C:$C,'Modelo Soja'!$B53,'Preço Soja ESALQ'!M:M),NA())</f>
        <v>1699.2905263157893</v>
      </c>
      <c r="M53" s="32">
        <f ca="1">IFERROR(AVERAGEIF('Preço Soja ESALQ'!$C:$C,'Modelo Soja'!$B53,'Preço Soja ESALQ'!N:N),NA())</f>
        <v>1825.0621052631575</v>
      </c>
      <c r="N53" s="32">
        <f ca="1">IFERROR(AVERAGEIF('Preço Soja ESALQ'!$C:$C,'Modelo Soja'!$B53,'Preço Soja ESALQ'!P:P),NA())</f>
        <v>1838.5894736842108</v>
      </c>
      <c r="O53" s="32" t="e">
        <f>+#REF!</f>
        <v>#REF!</v>
      </c>
      <c r="P53" s="33"/>
      <c r="Q53" s="33"/>
      <c r="R53" s="32">
        <f>+[3]mensal!AF53/0.90718</f>
        <v>1876.0981335147435</v>
      </c>
      <c r="T53" s="36">
        <f>+[6]FSORPRA!H52</f>
        <v>433.32499999999999</v>
      </c>
      <c r="U53" s="36">
        <f>+[6]FRONPRA!H52</f>
        <v>375.17500000000001</v>
      </c>
      <c r="V53" s="36">
        <f>VLOOKUP(B53,'Frete ESALQ'!$C$5:$AL$131,36,FALSE)</f>
        <v>174.1</v>
      </c>
      <c r="W53" s="36">
        <f>VLOOKUP(B53,'Frete ESALQ'!$C$5:$AW$131,47,FALSE)</f>
        <v>143.75</v>
      </c>
      <c r="X53" s="36">
        <f>VLOOKUP(B53,'Frete ESALQ'!$C$5:$BH$131,58,FALSE)</f>
        <v>155</v>
      </c>
      <c r="Y53" s="36">
        <f>VLOOKUP(B53,'Frete ESALQ'!$C$5:$BH$131,32,FALSE)</f>
        <v>145</v>
      </c>
      <c r="AA53" s="33">
        <f t="shared" si="1"/>
        <v>1442.7731335147434</v>
      </c>
      <c r="AB53" s="33">
        <f t="shared" si="2"/>
        <v>1500.9231335147435</v>
      </c>
      <c r="AC53" s="33">
        <f t="shared" si="3"/>
        <v>1701.9981335147436</v>
      </c>
      <c r="AD53" s="33">
        <f t="shared" si="4"/>
        <v>1732.3481335147435</v>
      </c>
      <c r="AE53" s="33">
        <f t="shared" si="5"/>
        <v>1721.0981335147435</v>
      </c>
      <c r="AF53" s="33">
        <f t="shared" si="6"/>
        <v>1731.0981335147435</v>
      </c>
      <c r="AG53" s="42">
        <f>+R53-'Modelo Soja'!BL53</f>
        <v>1452.7731335147434</v>
      </c>
    </row>
    <row r="54" spans="2:33" x14ac:dyDescent="0.3">
      <c r="B54" s="31" t="str">
        <f t="shared" si="0"/>
        <v>20254</v>
      </c>
      <c r="C54" s="17">
        <f t="shared" si="7"/>
        <v>45748</v>
      </c>
      <c r="D54" s="32">
        <f ca="1">IFERROR(AVERAGEIF('Preço Soja ESALQ'!$C:$C,'Modelo Soja'!$B54,'Preço Soja ESALQ'!E:E),NA())</f>
        <v>1879.5094736842104</v>
      </c>
      <c r="E54" s="32">
        <f ca="1">IFERROR(AVERAGEIF('Preço Soja ESALQ'!$C:$C,'Modelo Soja'!$B54,'Preço Soja ESALQ'!F:F),NA())</f>
        <v>1818.7678947368415</v>
      </c>
      <c r="F54" s="32">
        <f ca="1">IFERROR(AVERAGEIF('Preço Soja ESALQ'!$C:$C,'Modelo Soja'!$B54,'Preço Soja ESALQ'!G:G),NA())</f>
        <v>1831.2557894736838</v>
      </c>
      <c r="G54" s="32">
        <f ca="1">IFERROR(AVERAGEIF('Preço Soja ESALQ'!$C:$C,'Modelo Soja'!$B54,'Preço Soja ESALQ'!H:H),NA())</f>
        <v>1930.3305263157895</v>
      </c>
      <c r="H54" s="32">
        <f ca="1">IFERROR(AVERAGEIF('Preço Soja ESALQ'!$C:$C,'Modelo Soja'!$B54,'Preço Soja ESALQ'!I:I),NA())</f>
        <v>1820.1642105263156</v>
      </c>
      <c r="I54" s="32">
        <f ca="1">IFERROR(AVERAGEIF('Preço Soja ESALQ'!$C:$C,'Modelo Soja'!$B54,'Preço Soja ESALQ'!J:J),NA())</f>
        <v>1856.3121052631579</v>
      </c>
      <c r="J54" s="32">
        <f ca="1">IFERROR(AVERAGEIF('Preço Soja ESALQ'!$C:$C,'Modelo Soja'!$B54,'Preço Soja ESALQ'!K:K),NA())</f>
        <v>1815.3394736842104</v>
      </c>
      <c r="K54" s="32">
        <f ca="1">IFERROR(AVERAGEIF('Preço Soja ESALQ'!$C:$C,'Modelo Soja'!$B54,'Preço Soja ESALQ'!L:L),NA())</f>
        <v>1772.9989473684211</v>
      </c>
      <c r="L54" s="32">
        <f ca="1">IFERROR(AVERAGEIF('Preço Soja ESALQ'!$C:$C,'Modelo Soja'!$B54,'Preço Soja ESALQ'!M:M),NA())</f>
        <v>1693.367777777778</v>
      </c>
      <c r="M54" s="32">
        <f ca="1">IFERROR(AVERAGEIF('Preço Soja ESALQ'!$C:$C,'Modelo Soja'!$B54,'Preço Soja ESALQ'!N:N),NA())</f>
        <v>1743.0063157894738</v>
      </c>
      <c r="N54" s="32">
        <f ca="1">IFERROR(AVERAGEIF('Preço Soja ESALQ'!$C:$C,'Modelo Soja'!$B54,'Preço Soja ESALQ'!P:P),NA())</f>
        <v>1818.6921052631581</v>
      </c>
      <c r="O54" s="32" t="e">
        <f>+#REF!</f>
        <v>#REF!</v>
      </c>
      <c r="P54" s="33"/>
      <c r="Q54" s="33"/>
      <c r="R54" s="32">
        <f>+[3]mensal!AF54/0.90718</f>
        <v>1857.9691568820522</v>
      </c>
      <c r="T54" s="36">
        <f>+[6]FSORPRA!H53</f>
        <v>428.75</v>
      </c>
      <c r="U54" s="36">
        <f>+[6]FRONPRA!H53</f>
        <v>327.5</v>
      </c>
      <c r="V54" s="36">
        <f>VLOOKUP(B54,'Frete ESALQ'!$C$5:$AL$131,36,FALSE)</f>
        <v>155.11000000000001</v>
      </c>
      <c r="W54" s="36">
        <f>VLOOKUP(B54,'Frete ESALQ'!$C$5:$AW$131,47,FALSE)</f>
        <v>113.83</v>
      </c>
      <c r="X54" s="36">
        <f>VLOOKUP(B54,'Frete ESALQ'!$C$5:$BH$131,58,FALSE)</f>
        <v>122</v>
      </c>
      <c r="Y54" s="36">
        <f>VLOOKUP(B54,'Frete ESALQ'!$C$5:$BH$131,32,FALSE)</f>
        <v>124</v>
      </c>
      <c r="AA54" s="33">
        <f t="shared" si="1"/>
        <v>1429.2191568820522</v>
      </c>
      <c r="AB54" s="33">
        <f t="shared" si="2"/>
        <v>1530.4691568820522</v>
      </c>
      <c r="AC54" s="33">
        <f t="shared" si="3"/>
        <v>1702.859156882052</v>
      </c>
      <c r="AD54" s="33">
        <f t="shared" si="4"/>
        <v>1744.1391568820522</v>
      </c>
      <c r="AE54" s="33">
        <f t="shared" si="5"/>
        <v>1735.9691568820522</v>
      </c>
      <c r="AF54" s="33">
        <f t="shared" si="6"/>
        <v>1733.9691568820522</v>
      </c>
      <c r="AG54" s="42">
        <f>+R54-'Modelo Soja'!BL54</f>
        <v>1439.2191568820522</v>
      </c>
    </row>
    <row r="55" spans="2:33" x14ac:dyDescent="0.3">
      <c r="B55" s="31" t="str">
        <f t="shared" si="0"/>
        <v>20255</v>
      </c>
      <c r="C55" s="17">
        <f t="shared" si="7"/>
        <v>45778</v>
      </c>
      <c r="D55" s="32">
        <f ca="1">IFERROR(AVERAGEIF('Preço Soja ESALQ'!$C:$C,'Modelo Soja'!$B55,'Preço Soja ESALQ'!E:E),NA())</f>
        <v>1792.5714285714282</v>
      </c>
      <c r="E55" s="32">
        <f ca="1">IFERROR(AVERAGEIF('Preço Soja ESALQ'!$C:$C,'Modelo Soja'!$B55,'Preço Soja ESALQ'!F:F),NA())</f>
        <v>1750.7157142857138</v>
      </c>
      <c r="F55" s="32">
        <f ca="1">IFERROR(AVERAGEIF('Preço Soja ESALQ'!$C:$C,'Modelo Soja'!$B55,'Preço Soja ESALQ'!G:G),NA())</f>
        <v>1774.4284999999995</v>
      </c>
      <c r="G55" s="32">
        <f ca="1">IFERROR(AVERAGEIF('Preço Soja ESALQ'!$C:$C,'Modelo Soja'!$B55,'Preço Soja ESALQ'!H:H),NA())</f>
        <v>1833.5752380952381</v>
      </c>
      <c r="H55" s="32">
        <f ca="1">IFERROR(AVERAGEIF('Preço Soja ESALQ'!$C:$C,'Modelo Soja'!$B55,'Preço Soja ESALQ'!I:I),NA())</f>
        <v>1804.7423809523807</v>
      </c>
      <c r="I55" s="32">
        <f ca="1">IFERROR(AVERAGEIF('Preço Soja ESALQ'!$C:$C,'Modelo Soja'!$B55,'Preço Soja ESALQ'!J:J),NA())</f>
        <v>1793.1533333333336</v>
      </c>
      <c r="J55" s="32">
        <f ca="1">IFERROR(AVERAGEIF('Preço Soja ESALQ'!$C:$C,'Modelo Soja'!$B55,'Preço Soja ESALQ'!K:K),NA())</f>
        <v>1752.0809523809523</v>
      </c>
      <c r="K55" s="32">
        <f ca="1">IFERROR(AVERAGEIF('Preço Soja ESALQ'!$C:$C,'Modelo Soja'!$B55,'Preço Soja ESALQ'!L:L),NA())</f>
        <v>1662.8065000000001</v>
      </c>
      <c r="L55" s="32">
        <f ca="1">IFERROR(AVERAGEIF('Preço Soja ESALQ'!$C:$C,'Modelo Soja'!$B55,'Preço Soja ESALQ'!M:M),NA())</f>
        <v>1610.7164285714287</v>
      </c>
      <c r="M55" s="32">
        <f ca="1">IFERROR(AVERAGEIF('Preço Soja ESALQ'!$C:$C,'Modelo Soja'!$B55,'Preço Soja ESALQ'!N:N),NA())</f>
        <v>1639.3923809523812</v>
      </c>
      <c r="N55" s="32">
        <f ca="1">IFERROR(AVERAGEIF('Preço Soja ESALQ'!$C:$C,'Modelo Soja'!$B55,'Preço Soja ESALQ'!P:P),NA())</f>
        <v>1764.9380952380955</v>
      </c>
      <c r="O55" s="32" t="e">
        <f>+#REF!</f>
        <v>#REF!</v>
      </c>
      <c r="P55" s="33"/>
      <c r="Q55" s="33"/>
      <c r="R55" s="32">
        <f>+[3]mensal!AF55/0.90718</f>
        <v>1821.9995842689905</v>
      </c>
      <c r="T55" s="36">
        <f>+[6]FSORPRA!H54</f>
        <v>428</v>
      </c>
      <c r="U55" s="36">
        <f>+[6]FRONPRA!H54</f>
        <v>322</v>
      </c>
      <c r="V55" s="36">
        <f>VLOOKUP(B55,'Frete ESALQ'!$C$5:$AL$131,36,FALSE)</f>
        <v>121</v>
      </c>
      <c r="W55" s="36">
        <f>VLOOKUP(B55,'Frete ESALQ'!$C$5:$AW$131,47,FALSE)</f>
        <v>125.75</v>
      </c>
      <c r="X55" s="36">
        <f>VLOOKUP(B55,'Frete ESALQ'!$C$5:$BH$131,58,FALSE)</f>
        <v>117.5</v>
      </c>
      <c r="Y55" s="36">
        <f>VLOOKUP(B55,'Frete ESALQ'!$C$5:$BH$131,32,FALSE)</f>
        <v>117</v>
      </c>
      <c r="AA55" s="33">
        <f t="shared" si="1"/>
        <v>1393.9995842689905</v>
      </c>
      <c r="AB55" s="33">
        <f t="shared" si="2"/>
        <v>1499.9995842689905</v>
      </c>
      <c r="AC55" s="33">
        <f t="shared" si="3"/>
        <v>1700.9995842689905</v>
      </c>
      <c r="AD55" s="33">
        <f t="shared" si="4"/>
        <v>1696.2495842689905</v>
      </c>
      <c r="AE55" s="33">
        <f t="shared" si="5"/>
        <v>1704.4995842689905</v>
      </c>
      <c r="AF55" s="33">
        <f t="shared" si="6"/>
        <v>1704.9995842689905</v>
      </c>
      <c r="AG55" s="42">
        <f>+R55-'Modelo Soja'!BL55</f>
        <v>1403.9995842689905</v>
      </c>
    </row>
    <row r="56" spans="2:33" x14ac:dyDescent="0.3">
      <c r="B56" s="31" t="str">
        <f t="shared" si="0"/>
        <v>20256</v>
      </c>
      <c r="C56" s="17">
        <f t="shared" si="7"/>
        <v>45809</v>
      </c>
      <c r="D56" s="32">
        <f ca="1">IFERROR(AVERAGEIF('Preço Soja ESALQ'!$C:$C,'Modelo Soja'!$B56,'Preço Soja ESALQ'!E:E),NA())</f>
        <v>1759.1315000000006</v>
      </c>
      <c r="E56" s="32">
        <f ca="1">IFERROR(AVERAGEIF('Preço Soja ESALQ'!$C:$C,'Modelo Soja'!$B56,'Preço Soja ESALQ'!F:F),NA())</f>
        <v>1772.5554999999999</v>
      </c>
      <c r="F56" s="32">
        <f ca="1">IFERROR(AVERAGEIF('Preço Soja ESALQ'!$C:$C,'Modelo Soja'!$B56,'Preço Soja ESALQ'!G:G),NA())</f>
        <v>1755.8890000000004</v>
      </c>
      <c r="G56" s="32">
        <f ca="1">IFERROR(AVERAGEIF('Preço Soja ESALQ'!$C:$C,'Modelo Soja'!$B56,'Preço Soja ESALQ'!H:H),NA())</f>
        <v>1812.3705263157894</v>
      </c>
      <c r="H56" s="32">
        <f ca="1">IFERROR(AVERAGEIF('Preço Soja ESALQ'!$C:$C,'Modelo Soja'!$B56,'Preço Soja ESALQ'!I:I),NA())</f>
        <v>1744.2519999999997</v>
      </c>
      <c r="I56" s="32">
        <f ca="1">IFERROR(AVERAGEIF('Preço Soja ESALQ'!$C:$C,'Modelo Soja'!$B56,'Preço Soja ESALQ'!J:J),NA())</f>
        <v>1705.2524999999994</v>
      </c>
      <c r="J56" s="32">
        <f ca="1">IFERROR(AVERAGEIF('Preço Soja ESALQ'!$C:$C,'Modelo Soja'!$B56,'Preço Soja ESALQ'!K:K),NA())</f>
        <v>1660.6155000000003</v>
      </c>
      <c r="K56" s="32">
        <f ca="1">IFERROR(AVERAGEIF('Preço Soja ESALQ'!$C:$C,'Modelo Soja'!$B56,'Preço Soja ESALQ'!L:L),NA())</f>
        <v>1708.4055000000001</v>
      </c>
      <c r="L56" s="32">
        <f ca="1">IFERROR(AVERAGEIF('Preço Soja ESALQ'!$C:$C,'Modelo Soja'!$B56,'Preço Soja ESALQ'!M:M),NA())</f>
        <v>1576.81</v>
      </c>
      <c r="M56" s="32">
        <f ca="1">IFERROR(AVERAGEIF('Preço Soja ESALQ'!$C:$C,'Modelo Soja'!$B56,'Preço Soja ESALQ'!N:N),NA())</f>
        <v>1607.0055000000004</v>
      </c>
      <c r="N56" s="32">
        <f ca="1">IFERROR(AVERAGEIF('Preço Soja ESALQ'!$C:$C,'Modelo Soja'!$B56,'Preço Soja ESALQ'!P:P),NA())</f>
        <v>1718.1840000000004</v>
      </c>
      <c r="O56" s="32" t="e">
        <f>+#REF!</f>
        <v>#REF!</v>
      </c>
      <c r="P56" s="33"/>
      <c r="Q56" s="33"/>
      <c r="R56" s="32">
        <f>+[3]mensal!AF56/0.90718</f>
        <v>1752.1872246700661</v>
      </c>
      <c r="T56" s="36">
        <f>+[6]FSORPRA!H55</f>
        <v>443.25</v>
      </c>
      <c r="U56" s="36">
        <f>+[6]FRONPRA!H55</f>
        <v>323.07499999999999</v>
      </c>
      <c r="V56" s="36">
        <f>VLOOKUP(B56,'Frete ESALQ'!$C$5:$AL$131,36,FALSE)</f>
        <v>155.13</v>
      </c>
      <c r="W56" s="36">
        <f>VLOOKUP(B56,'Frete ESALQ'!$C$5:$AW$131,47,FALSE)</f>
        <v>134.16999999999999</v>
      </c>
      <c r="X56" s="36">
        <f>VLOOKUP(B56,'Frete ESALQ'!$C$5:$BH$131,58,FALSE)</f>
        <v>111.25</v>
      </c>
      <c r="Y56" s="36">
        <f>VLOOKUP(B56,'Frete ESALQ'!$C$5:$BH$131,32,FALSE)</f>
        <v>110</v>
      </c>
      <c r="AA56" s="33">
        <f t="shared" si="1"/>
        <v>1308.9372246700661</v>
      </c>
      <c r="AB56" s="33">
        <f t="shared" si="2"/>
        <v>1429.1122246700661</v>
      </c>
      <c r="AC56" s="33">
        <f t="shared" si="3"/>
        <v>1597.0572246700663</v>
      </c>
      <c r="AD56" s="33">
        <f t="shared" si="4"/>
        <v>1618.0172246700661</v>
      </c>
      <c r="AE56" s="33">
        <f t="shared" si="5"/>
        <v>1640.9372246700661</v>
      </c>
      <c r="AF56" s="33">
        <f t="shared" si="6"/>
        <v>1642.1872246700661</v>
      </c>
      <c r="AG56" s="42">
        <f>+R56-'Modelo Soja'!BL56</f>
        <v>1318.9372246700661</v>
      </c>
    </row>
    <row r="57" spans="2:33" x14ac:dyDescent="0.3">
      <c r="B57" s="31" t="str">
        <f t="shared" si="0"/>
        <v>20257</v>
      </c>
      <c r="C57" s="17">
        <f t="shared" si="7"/>
        <v>45839</v>
      </c>
      <c r="D57" s="32">
        <f ca="1">IFERROR(AVERAGEIF('Preço Soja ESALQ'!$C:$C,'Modelo Soja'!$B57,'Preço Soja ESALQ'!E:E),NA())</f>
        <v>1711.7191304347823</v>
      </c>
      <c r="E57" s="32">
        <f ca="1">IFERROR(AVERAGEIF('Preço Soja ESALQ'!$C:$C,'Modelo Soja'!$B57,'Preço Soja ESALQ'!F:F),NA())</f>
        <v>1640.4734782608698</v>
      </c>
      <c r="F57" s="32">
        <f ca="1">IFERROR(AVERAGEIF('Preço Soja ESALQ'!$C:$C,'Modelo Soja'!$B57,'Preço Soja ESALQ'!G:G),NA())</f>
        <v>1663.9830434782609</v>
      </c>
      <c r="G57" s="32">
        <f ca="1">IFERROR(AVERAGEIF('Preço Soja ESALQ'!$C:$C,'Modelo Soja'!$B57,'Preço Soja ESALQ'!H:H),NA())</f>
        <v>1684.1104761904762</v>
      </c>
      <c r="H57" s="32">
        <f ca="1">IFERROR(AVERAGEIF('Preço Soja ESALQ'!$C:$C,'Modelo Soja'!$B57,'Preço Soja ESALQ'!I:I),NA())</f>
        <v>1653.880434782609</v>
      </c>
      <c r="I57" s="32">
        <f ca="1">IFERROR(AVERAGEIF('Preço Soja ESALQ'!$C:$C,'Modelo Soja'!$B57,'Preço Soja ESALQ'!J:J),NA())</f>
        <v>1599.7808695652168</v>
      </c>
      <c r="J57" s="32">
        <f ca="1">IFERROR(AVERAGEIF('Preço Soja ESALQ'!$C:$C,'Modelo Soja'!$B57,'Preço Soja ESALQ'!K:K),NA())</f>
        <v>1577.7152173913048</v>
      </c>
      <c r="K57" s="32">
        <f ca="1">IFERROR(AVERAGEIF('Preço Soja ESALQ'!$C:$C,'Modelo Soja'!$B57,'Preço Soja ESALQ'!L:L),NA())</f>
        <v>1626.5490909090911</v>
      </c>
      <c r="L57" s="32">
        <f ca="1">IFERROR(AVERAGEIF('Preço Soja ESALQ'!$C:$C,'Modelo Soja'!$B57,'Preço Soja ESALQ'!M:M),NA())</f>
        <v>1465.4404347826082</v>
      </c>
      <c r="M57" s="32">
        <f ca="1">IFERROR(AVERAGEIF('Preço Soja ESALQ'!$C:$C,'Modelo Soja'!$B57,'Preço Soja ESALQ'!N:N),NA())</f>
        <v>1499.0808695652172</v>
      </c>
      <c r="N57" s="32">
        <f ca="1">IFERROR(AVERAGEIF('Preço Soja ESALQ'!$C:$C,'Modelo Soja'!$B57,'Preço Soja ESALQ'!P:P),NA())</f>
        <v>1619.83</v>
      </c>
      <c r="O57" s="32" t="e">
        <f>+#REF!</f>
        <v>#REF!</v>
      </c>
      <c r="P57" s="33"/>
      <c r="Q57" s="33"/>
      <c r="R57" s="32">
        <f>+[3]mensal!AF57/0.90718</f>
        <v>1634.4722506709104</v>
      </c>
      <c r="T57" s="36">
        <f>+[6]FSORPRA!H56</f>
        <v>485.2</v>
      </c>
      <c r="U57" s="36">
        <f>+[6]FRONPRA!H56</f>
        <v>342.625</v>
      </c>
      <c r="V57" s="36">
        <f>VLOOKUP(B57,'Frete ESALQ'!$C$5:$AL$131,36,FALSE)</f>
        <v>208</v>
      </c>
      <c r="W57" s="36">
        <f>VLOOKUP(B57,'Frete ESALQ'!$C$5:$AW$131,47,FALSE)</f>
        <v>181.67</v>
      </c>
      <c r="X57" s="36">
        <f>VLOOKUP(B57,'Frete ESALQ'!$C$5:$BH$131,58,FALSE)</f>
        <v>123.75</v>
      </c>
      <c r="Y57" s="36">
        <f>VLOOKUP(B57,'Frete ESALQ'!$C$5:$BH$131,32,FALSE)</f>
        <v>125</v>
      </c>
      <c r="AA57" s="33">
        <f t="shared" si="1"/>
        <v>1149.2722506709104</v>
      </c>
      <c r="AB57" s="33">
        <f t="shared" si="2"/>
        <v>1291.8472506709104</v>
      </c>
      <c r="AC57" s="33">
        <f t="shared" si="3"/>
        <v>1426.4722506709104</v>
      </c>
      <c r="AD57" s="33">
        <f t="shared" si="4"/>
        <v>1452.8022506709103</v>
      </c>
      <c r="AE57" s="33">
        <f t="shared" si="5"/>
        <v>1510.7222506709104</v>
      </c>
      <c r="AF57" s="33">
        <f t="shared" si="6"/>
        <v>1509.4722506709104</v>
      </c>
      <c r="AG57" s="42">
        <f>+R57-'Modelo Soja'!BL57</f>
        <v>1159.2722506709104</v>
      </c>
    </row>
    <row r="58" spans="2:33" x14ac:dyDescent="0.3">
      <c r="B58" s="31" t="str">
        <f t="shared" si="0"/>
        <v>20258</v>
      </c>
      <c r="C58" s="17">
        <f t="shared" si="7"/>
        <v>45870</v>
      </c>
      <c r="D58" s="32">
        <f ca="1">IFERROR(AVERAGEIF('Preço Soja ESALQ'!$C:$C,'Modelo Soja'!$B58,'Preço Soja ESALQ'!E:E),NA())</f>
        <v>1671.200952380952</v>
      </c>
      <c r="E58" s="32">
        <f ca="1">IFERROR(AVERAGEIF('Preço Soja ESALQ'!$C:$C,'Modelo Soja'!$B58,'Preço Soja ESALQ'!F:F),NA())</f>
        <v>1574.8695238095238</v>
      </c>
      <c r="F58" s="32">
        <f ca="1">IFERROR(AVERAGEIF('Preço Soja ESALQ'!$C:$C,'Modelo Soja'!$B58,'Preço Soja ESALQ'!G:G),NA())</f>
        <v>1591.8971428571426</v>
      </c>
      <c r="G58" s="32">
        <f ca="1">IFERROR(AVERAGEIF('Preço Soja ESALQ'!$C:$C,'Modelo Soja'!$B58,'Preço Soja ESALQ'!H:H),NA())</f>
        <v>1791.2376190476195</v>
      </c>
      <c r="H58" s="32">
        <f ca="1">IFERROR(AVERAGEIF('Preço Soja ESALQ'!$C:$C,'Modelo Soja'!$B58,'Preço Soja ESALQ'!I:I),NA())</f>
        <v>1609.0404761904761</v>
      </c>
      <c r="I58" s="32">
        <f ca="1">IFERROR(AVERAGEIF('Preço Soja ESALQ'!$C:$C,'Modelo Soja'!$B58,'Preço Soja ESALQ'!J:J),NA())</f>
        <v>1662.1171428571424</v>
      </c>
      <c r="J58" s="32">
        <f ca="1">IFERROR(AVERAGEIF('Preço Soja ESALQ'!$C:$C,'Modelo Soja'!$B58,'Preço Soja ESALQ'!K:K),NA())</f>
        <v>1572.4442857142853</v>
      </c>
      <c r="K58" s="32">
        <f ca="1">IFERROR(AVERAGEIF('Preço Soja ESALQ'!$C:$C,'Modelo Soja'!$B58,'Preço Soja ESALQ'!L:L),NA())</f>
        <v>1562.8320000000006</v>
      </c>
      <c r="L58" s="32">
        <f ca="1">IFERROR(AVERAGEIF('Preço Soja ESALQ'!$C:$C,'Modelo Soja'!$B58,'Preço Soja ESALQ'!M:M),NA())</f>
        <v>1484.9444999999998</v>
      </c>
      <c r="M58" s="32">
        <f ca="1">IFERROR(AVERAGEIF('Preço Soja ESALQ'!$C:$C,'Modelo Soja'!$B58,'Preço Soja ESALQ'!N:N),NA())</f>
        <v>1550.6180952380951</v>
      </c>
      <c r="N58" s="32">
        <f ca="1">IFERROR(AVERAGEIF('Preço Soja ESALQ'!$C:$C,'Modelo Soja'!$B58,'Preço Soja ESALQ'!P:P),NA())</f>
        <v>1605.8952380952383</v>
      </c>
      <c r="O58" s="32" t="e">
        <f>+#REF!</f>
        <v>#REF!</v>
      </c>
      <c r="P58" s="33"/>
      <c r="Q58" s="33"/>
      <c r="R58" s="32">
        <f>+[3]mensal!AF58/0.90718</f>
        <v>1698.9947798662815</v>
      </c>
      <c r="T58" s="36">
        <f>+[6]FSORPRA!H57</f>
        <v>443.18</v>
      </c>
      <c r="U58" s="36">
        <f>+[6]FRONPRA!H57</f>
        <v>348.02</v>
      </c>
      <c r="V58" s="36">
        <f>VLOOKUP(B58,'Frete ESALQ'!$C$5:$AL$131,36,FALSE)</f>
        <v>173.91</v>
      </c>
      <c r="W58" s="36">
        <f>VLOOKUP(B58,'Frete ESALQ'!$C$5:$AW$131,47,FALSE)</f>
        <v>175</v>
      </c>
      <c r="X58" s="36">
        <f>VLOOKUP(B58,'Frete ESALQ'!$C$5:$BH$131,58,FALSE)</f>
        <v>140</v>
      </c>
      <c r="Y58" s="36">
        <f>VLOOKUP(B58,'Frete ESALQ'!$C$5:$BH$131,32,FALSE)</f>
        <v>138.75</v>
      </c>
      <c r="AA58" s="33">
        <f t="shared" si="1"/>
        <v>1255.8147798662815</v>
      </c>
      <c r="AB58" s="33">
        <f t="shared" si="2"/>
        <v>1350.9747798662816</v>
      </c>
      <c r="AC58" s="33">
        <f t="shared" si="3"/>
        <v>1525.0847798662815</v>
      </c>
      <c r="AD58" s="33">
        <f t="shared" si="4"/>
        <v>1523.9947798662815</v>
      </c>
      <c r="AE58" s="33">
        <f t="shared" si="5"/>
        <v>1558.9947798662815</v>
      </c>
      <c r="AF58" s="33">
        <f t="shared" si="6"/>
        <v>1560.2447798662815</v>
      </c>
      <c r="AG58" s="42">
        <f>+R58-'Modelo Soja'!BL58</f>
        <v>1265.8147798662815</v>
      </c>
    </row>
    <row r="59" spans="2:33" x14ac:dyDescent="0.3">
      <c r="B59" s="31" t="str">
        <f t="shared" si="0"/>
        <v>20259</v>
      </c>
      <c r="C59" s="17">
        <f t="shared" si="7"/>
        <v>45901</v>
      </c>
      <c r="D59" s="32">
        <f ca="1">IFERROR(AVERAGEIF('Preço Soja ESALQ'!$C:$C,'Modelo Soja'!$B59,'Preço Soja ESALQ'!E:E),NA())</f>
        <v>1643.1218181818185</v>
      </c>
      <c r="E59" s="32">
        <f ca="1">IFERROR(AVERAGEIF('Preço Soja ESALQ'!$C:$C,'Modelo Soja'!$B59,'Preço Soja ESALQ'!F:F),NA())</f>
        <v>1621.7709090909091</v>
      </c>
      <c r="F59" s="32">
        <f ca="1">IFERROR(AVERAGEIF('Preço Soja ESALQ'!$C:$C,'Modelo Soja'!$B59,'Preço Soja ESALQ'!G:G),NA())</f>
        <v>1597.7836363636366</v>
      </c>
      <c r="G59" s="32">
        <f ca="1">IFERROR(AVERAGEIF('Preço Soja ESALQ'!$C:$C,'Modelo Soja'!$B59,'Preço Soja ESALQ'!H:H),NA())</f>
        <v>1939.3145454545454</v>
      </c>
      <c r="H59" s="32">
        <f ca="1">IFERROR(AVERAGEIF('Preço Soja ESALQ'!$C:$C,'Modelo Soja'!$B59,'Preço Soja ESALQ'!I:I),NA())</f>
        <v>1628.7572727272725</v>
      </c>
      <c r="I59" s="32">
        <f ca="1">IFERROR(AVERAGEIF('Preço Soja ESALQ'!$C:$C,'Modelo Soja'!$B59,'Preço Soja ESALQ'!J:J),NA())</f>
        <v>1660.528181818182</v>
      </c>
      <c r="J59" s="32">
        <f ca="1">IFERROR(AVERAGEIF('Preço Soja ESALQ'!$C:$C,'Modelo Soja'!$B59,'Preço Soja ESALQ'!K:K),NA())</f>
        <v>1549.8054545454543</v>
      </c>
      <c r="K59" s="32">
        <f ca="1">IFERROR(AVERAGEIF('Preço Soja ESALQ'!$C:$C,'Modelo Soja'!$B59,'Preço Soja ESALQ'!L:L),NA())</f>
        <v>1560.8999999999999</v>
      </c>
      <c r="L59" s="32">
        <f ca="1">IFERROR(AVERAGEIF('Preço Soja ESALQ'!$C:$C,'Modelo Soja'!$B59,'Preço Soja ESALQ'!M:M),NA())</f>
        <v>1501.390909090909</v>
      </c>
      <c r="M59" s="32">
        <f ca="1">IFERROR(AVERAGEIF('Preço Soja ESALQ'!$C:$C,'Modelo Soja'!$B59,'Preço Soja ESALQ'!N:N),NA())</f>
        <v>1597.3759090909093</v>
      </c>
      <c r="N59" s="32">
        <f ca="1">IFERROR(AVERAGEIF('Preço Soja ESALQ'!$C:$C,'Modelo Soja'!$B59,'Preço Soja ESALQ'!P:P),NA())</f>
        <v>1583.2645454545454</v>
      </c>
      <c r="O59" s="32" t="e">
        <f>+#REF!</f>
        <v>#REF!</v>
      </c>
      <c r="P59" s="33"/>
      <c r="Q59" s="33"/>
      <c r="R59" s="32">
        <f>+[3]mensal!AF59/0.90718</f>
        <v>1653.3158486758214</v>
      </c>
      <c r="T59" s="36">
        <f>+[6]FSORPRA!H58</f>
        <v>429.35</v>
      </c>
      <c r="U59" s="36">
        <f>+[6]FRONPRA!H58</f>
        <v>333.125</v>
      </c>
      <c r="V59" s="36">
        <f>VLOOKUP(B59,'Frete ESALQ'!$C$5:$AL$131,36,FALSE)</f>
        <v>165.43</v>
      </c>
      <c r="W59" s="36">
        <f>VLOOKUP(B59,'Frete ESALQ'!$C$5:$AW$131,47,FALSE)</f>
        <v>176</v>
      </c>
      <c r="X59" s="36">
        <f>VLOOKUP(B59,'Frete ESALQ'!$C$5:$BH$131,58,FALSE)</f>
        <v>139.16999999999999</v>
      </c>
      <c r="Y59" s="36">
        <f>VLOOKUP(B59,'Frete ESALQ'!$C$5:$BH$131,32,FALSE)</f>
        <v>146.25</v>
      </c>
      <c r="AA59" s="33">
        <f t="shared" si="1"/>
        <v>1223.9658486758212</v>
      </c>
      <c r="AB59" s="33">
        <f t="shared" si="2"/>
        <v>1320.1908486758214</v>
      </c>
      <c r="AC59" s="33">
        <f t="shared" si="3"/>
        <v>1487.8858486758213</v>
      </c>
      <c r="AD59" s="33">
        <f t="shared" si="4"/>
        <v>1477.3158486758214</v>
      </c>
      <c r="AE59" s="33">
        <f t="shared" si="5"/>
        <v>1514.1458486758213</v>
      </c>
      <c r="AF59" s="33">
        <f t="shared" si="6"/>
        <v>1507.0658486758214</v>
      </c>
      <c r="AG59" s="42">
        <f>+R59-'Modelo Soja'!BL59</f>
        <v>1233.9658486758212</v>
      </c>
    </row>
    <row r="60" spans="2:33" x14ac:dyDescent="0.3">
      <c r="B60" s="31" t="str">
        <f t="shared" si="0"/>
        <v>202510</v>
      </c>
      <c r="C60" s="17">
        <f t="shared" si="7"/>
        <v>45931</v>
      </c>
      <c r="D60" s="32">
        <f ca="1">IFERROR(AVERAGEIF('Preço Soja ESALQ'!$C:$C,'Modelo Soja'!$B60,'Preço Soja ESALQ'!E:E),NA())</f>
        <v>1637.7156521739132</v>
      </c>
      <c r="E60" s="32">
        <f ca="1">IFERROR(AVERAGEIF('Preço Soja ESALQ'!$C:$C,'Modelo Soja'!$B60,'Preço Soja ESALQ'!F:F),NA())</f>
        <v>1596.0904347826088</v>
      </c>
      <c r="F60" s="32">
        <f ca="1">IFERROR(AVERAGEIF('Preço Soja ESALQ'!$C:$C,'Modelo Soja'!$B60,'Preço Soja ESALQ'!G:G),NA())</f>
        <v>1602.4008695652174</v>
      </c>
      <c r="G60" s="32">
        <f ca="1">IFERROR(AVERAGEIF('Preço Soja ESALQ'!$C:$C,'Modelo Soja'!$B60,'Preço Soja ESALQ'!H:H),NA())</f>
        <v>1809.4704347826084</v>
      </c>
      <c r="H60" s="32">
        <f ca="1">IFERROR(AVERAGEIF('Preço Soja ESALQ'!$C:$C,'Modelo Soja'!$B60,'Preço Soja ESALQ'!I:I),NA())</f>
        <v>1621.1321739130435</v>
      </c>
      <c r="I60" s="32">
        <f ca="1">IFERROR(AVERAGEIF('Preço Soja ESALQ'!$C:$C,'Modelo Soja'!$B60,'Preço Soja ESALQ'!J:J),NA())</f>
        <v>1637.2034782608694</v>
      </c>
      <c r="J60" s="32">
        <f ca="1">IFERROR(AVERAGEIF('Preço Soja ESALQ'!$C:$C,'Modelo Soja'!$B60,'Preço Soja ESALQ'!K:K),NA())</f>
        <v>1554.6765217391307</v>
      </c>
      <c r="K60" s="32">
        <f ca="1">IFERROR(AVERAGEIF('Preço Soja ESALQ'!$C:$C,'Modelo Soja'!$B60,'Preço Soja ESALQ'!L:L),NA())</f>
        <v>1549.6139130434783</v>
      </c>
      <c r="L60" s="32">
        <f ca="1">IFERROR(AVERAGEIF('Preço Soja ESALQ'!$C:$C,'Modelo Soja'!$B60,'Preço Soja ESALQ'!M:M),NA())</f>
        <v>1438.1621739130437</v>
      </c>
      <c r="M60" s="32">
        <f ca="1">IFERROR(AVERAGEIF('Preço Soja ESALQ'!$C:$C,'Modelo Soja'!$B60,'Preço Soja ESALQ'!N:N),NA())</f>
        <v>1540.6104347826088</v>
      </c>
      <c r="N60" s="32">
        <f ca="1">IFERROR(AVERAGEIF('Preço Soja ESALQ'!$C:$C,'Modelo Soja'!$B60,'Preço Soja ESALQ'!P:P),NA())</f>
        <v>1546.2230434782612</v>
      </c>
      <c r="O60" s="32" t="e">
        <f>+#REF!</f>
        <v>#REF!</v>
      </c>
      <c r="P60" s="33"/>
      <c r="Q60" s="33"/>
      <c r="R60" s="32">
        <f>+[3]mensal!AF60/0.90718</f>
        <v>1683.3521595474976</v>
      </c>
      <c r="T60" s="36">
        <f>+[6]FSORPRA!H59</f>
        <v>434.91999999999996</v>
      </c>
      <c r="U60" s="36">
        <f>+[6]FRONPRA!H59</f>
        <v>334.52</v>
      </c>
      <c r="V60" s="36">
        <f>VLOOKUP(B60,'Frete ESALQ'!$C$5:$AL$131,36,FALSE)</f>
        <v>163</v>
      </c>
      <c r="W60" s="36">
        <f>VLOOKUP(B60,'Frete ESALQ'!$C$5:$AW$131,47,FALSE)</f>
        <v>166</v>
      </c>
      <c r="X60" s="36">
        <f>VLOOKUP(B60,'Frete ESALQ'!$C$5:$BH$131,58,FALSE)</f>
        <v>155</v>
      </c>
      <c r="Y60" s="36">
        <f>VLOOKUP(B60,'Frete ESALQ'!$C$5:$BH$131,32,FALSE)</f>
        <v>162</v>
      </c>
      <c r="AA60" s="33">
        <f t="shared" si="1"/>
        <v>1248.4321595474976</v>
      </c>
      <c r="AB60" s="33">
        <f t="shared" si="2"/>
        <v>1348.8321595474977</v>
      </c>
      <c r="AC60" s="33">
        <f t="shared" si="3"/>
        <v>1520.3521595474976</v>
      </c>
      <c r="AD60" s="33">
        <f t="shared" si="4"/>
        <v>1517.3521595474976</v>
      </c>
      <c r="AE60" s="33">
        <f t="shared" si="5"/>
        <v>1528.3521595474976</v>
      </c>
      <c r="AF60" s="33">
        <f t="shared" si="6"/>
        <v>1521.3521595474976</v>
      </c>
      <c r="AG60" s="42">
        <f>+R60-'Modelo Soja'!BL60</f>
        <v>1258.4321595474976</v>
      </c>
    </row>
    <row r="61" spans="2:33" x14ac:dyDescent="0.3">
      <c r="B61" s="31" t="str">
        <f t="shared" si="0"/>
        <v>202511</v>
      </c>
      <c r="C61" s="17">
        <f t="shared" si="7"/>
        <v>45962</v>
      </c>
      <c r="D61" s="32">
        <f ca="1">IFERROR(AVERAGEIF('Preço Soja ESALQ'!$C:$C,'Modelo Soja'!$B61,'Preço Soja ESALQ'!E:E),NA())</f>
        <v>1775.9126315789476</v>
      </c>
      <c r="E61" s="32">
        <f ca="1">IFERROR(AVERAGEIF('Preço Soja ESALQ'!$C:$C,'Modelo Soja'!$B61,'Preço Soja ESALQ'!F:F),NA())</f>
        <v>1713.957894736842</v>
      </c>
      <c r="F61" s="32">
        <f ca="1">IFERROR(AVERAGEIF('Preço Soja ESALQ'!$C:$C,'Modelo Soja'!$B61,'Preço Soja ESALQ'!G:G),NA())</f>
        <v>1740.3473684210526</v>
      </c>
      <c r="G61" s="32">
        <f ca="1">IFERROR(AVERAGEIF('Preço Soja ESALQ'!$C:$C,'Modelo Soja'!$B61,'Preço Soja ESALQ'!H:H),NA())</f>
        <v>1733.9131578947363</v>
      </c>
      <c r="H61" s="32">
        <f ca="1">IFERROR(AVERAGEIF('Preço Soja ESALQ'!$C:$C,'Modelo Soja'!$B61,'Preço Soja ESALQ'!I:I),NA())</f>
        <v>1716.0657894736842</v>
      </c>
      <c r="I61" s="32">
        <f ca="1">IFERROR(AVERAGEIF('Preço Soja ESALQ'!$C:$C,'Modelo Soja'!$B61,'Preço Soja ESALQ'!J:J),NA())</f>
        <v>1729.2094736842103</v>
      </c>
      <c r="J61" s="32">
        <f ca="1">IFERROR(AVERAGEIF('Preço Soja ESALQ'!$C:$C,'Modelo Soja'!$B61,'Preço Soja ESALQ'!K:K),NA())</f>
        <v>1657.2373684210534</v>
      </c>
      <c r="K61" s="32">
        <f ca="1">IFERROR(AVERAGEIF('Preço Soja ESALQ'!$C:$C,'Modelo Soja'!$B61,'Preço Soja ESALQ'!L:L),NA())</f>
        <v>1650.0273684210526</v>
      </c>
      <c r="L61" s="32">
        <f ca="1">IFERROR(AVERAGEIF('Preço Soja ESALQ'!$C:$C,'Modelo Soja'!$B61,'Preço Soja ESALQ'!M:M),NA())</f>
        <v>1536.7394736842105</v>
      </c>
      <c r="M61" s="32">
        <f ca="1">IFERROR(AVERAGEIF('Preço Soja ESALQ'!$C:$C,'Modelo Soja'!$B61,'Preço Soja ESALQ'!N:N),NA())</f>
        <v>1633.163157894737</v>
      </c>
      <c r="N61" s="32">
        <f ca="1">IFERROR(AVERAGEIF('Preço Soja ESALQ'!$C:$C,'Modelo Soja'!$B61,'Preço Soja ESALQ'!P:P),NA())</f>
        <v>1663.3073684210522</v>
      </c>
      <c r="O61" s="32" t="e">
        <f>+#REF!</f>
        <v>#REF!</v>
      </c>
      <c r="P61" s="33"/>
      <c r="Q61" s="33"/>
      <c r="R61" s="32">
        <f>+[3]mensal!AF61/0.90718</f>
        <v>1879.7816846827823</v>
      </c>
      <c r="T61" s="36">
        <f>+[6]FSORPRA!H60</f>
        <v>424.3</v>
      </c>
      <c r="U61" s="36">
        <f>+[6]FRONPRA!H60</f>
        <v>315.125</v>
      </c>
      <c r="V61" s="37">
        <f>(V60+V62)/2</f>
        <v>162.5</v>
      </c>
      <c r="W61" s="37">
        <f t="shared" ref="W61" si="26">(W60+W62)/2</f>
        <v>158</v>
      </c>
      <c r="X61" s="37">
        <f t="shared" ref="X61" si="27">(X60+X62)/2</f>
        <v>152.125</v>
      </c>
      <c r="Y61" s="37">
        <f t="shared" ref="Y61" si="28">(Y60+Y62)/2</f>
        <v>163.83499999999998</v>
      </c>
      <c r="AA61" s="33">
        <f t="shared" si="1"/>
        <v>1455.4816846827823</v>
      </c>
      <c r="AB61" s="33">
        <f t="shared" si="2"/>
        <v>1564.6566846827823</v>
      </c>
      <c r="AC61" s="33">
        <f t="shared" si="3"/>
        <v>1717.2816846827823</v>
      </c>
      <c r="AD61" s="33">
        <f t="shared" si="4"/>
        <v>1721.7816846827823</v>
      </c>
      <c r="AE61" s="33">
        <f t="shared" si="5"/>
        <v>1727.6566846827823</v>
      </c>
      <c r="AF61" s="33">
        <f t="shared" si="6"/>
        <v>1715.9466846827822</v>
      </c>
      <c r="AG61" s="42">
        <f>+R61-'Modelo Soja'!BL61</f>
        <v>1465.4816846827823</v>
      </c>
    </row>
    <row r="62" spans="2:33" x14ac:dyDescent="0.3">
      <c r="B62" s="31" t="str">
        <f t="shared" si="0"/>
        <v>202512</v>
      </c>
      <c r="C62" s="17">
        <f t="shared" si="7"/>
        <v>45992</v>
      </c>
      <c r="D62" s="32">
        <f ca="1">IFERROR(AVERAGEIF('Preço Soja ESALQ'!$C:$C,'Modelo Soja'!$B62,'Preço Soja ESALQ'!E:E),NA())</f>
        <v>1838.5940000000003</v>
      </c>
      <c r="E62" s="32">
        <f ca="1">IFERROR(AVERAGEIF('Preço Soja ESALQ'!$C:$C,'Modelo Soja'!$B62,'Preço Soja ESALQ'!F:F),NA())</f>
        <v>1863.1280000000002</v>
      </c>
      <c r="F62" s="32">
        <f ca="1">IFERROR(AVERAGEIF('Preço Soja ESALQ'!$C:$C,'Modelo Soja'!$B62,'Preço Soja ESALQ'!G:G),NA())</f>
        <v>1844.9194999999995</v>
      </c>
      <c r="G62" s="32">
        <f ca="1">IFERROR(AVERAGEIF('Preço Soja ESALQ'!$C:$C,'Modelo Soja'!$B62,'Preço Soja ESALQ'!H:H),NA())</f>
        <v>1757.3800000000003</v>
      </c>
      <c r="H62" s="32">
        <f ca="1">IFERROR(AVERAGEIF('Preço Soja ESALQ'!$C:$C,'Modelo Soja'!$B62,'Preço Soja ESALQ'!I:I),NA())</f>
        <v>1781.5454999999997</v>
      </c>
      <c r="I62" s="32">
        <f ca="1">IFERROR(AVERAGEIF('Preço Soja ESALQ'!$C:$C,'Modelo Soja'!$B62,'Preço Soja ESALQ'!J:J),NA())</f>
        <v>1815.7059999999997</v>
      </c>
      <c r="J62" s="32">
        <f ca="1">IFERROR(AVERAGEIF('Preço Soja ESALQ'!$C:$C,'Modelo Soja'!$B62,'Preço Soja ESALQ'!K:K),NA())</f>
        <v>1741.7205000000001</v>
      </c>
      <c r="K62" s="32">
        <f ca="1">IFERROR(AVERAGEIF('Preço Soja ESALQ'!$C:$C,'Modelo Soja'!$B62,'Preço Soja ESALQ'!L:L),NA())</f>
        <v>1681.8049999999998</v>
      </c>
      <c r="L62" s="32">
        <f ca="1">IFERROR(AVERAGEIF('Preço Soja ESALQ'!$C:$C,'Modelo Soja'!$B62,'Preço Soja ESALQ'!M:M),NA())</f>
        <v>1563.3260000000002</v>
      </c>
      <c r="M62" s="32">
        <f ca="1">IFERROR(AVERAGEIF('Preço Soja ESALQ'!$C:$C,'Modelo Soja'!$B62,'Preço Soja ESALQ'!N:N),NA())</f>
        <v>1666.5104999999999</v>
      </c>
      <c r="N62" s="32">
        <f ca="1">IFERROR(AVERAGEIF('Preço Soja ESALQ'!$C:$C,'Modelo Soja'!$B62,'Preço Soja ESALQ'!P:P),NA())</f>
        <v>1718.8424999999995</v>
      </c>
      <c r="O62" s="32" t="e">
        <f>+#REF!</f>
        <v>#REF!</v>
      </c>
      <c r="P62" s="33"/>
      <c r="Q62" s="33"/>
      <c r="R62" s="32">
        <f>+[3]mensal!AF62/0.90718</f>
        <v>1816.9128434708884</v>
      </c>
      <c r="T62" s="36">
        <f>+[6]FSORPRA!H61</f>
        <v>428.2</v>
      </c>
      <c r="U62" s="36">
        <f>+[6]FRONPRA!H61</f>
        <v>320.25</v>
      </c>
      <c r="V62" s="36">
        <f>VLOOKUP(B62,'Frete ESALQ'!$C$5:$AL$131,36,FALSE)</f>
        <v>162</v>
      </c>
      <c r="W62" s="36">
        <f>VLOOKUP(B62,'Frete ESALQ'!$C$5:$AW$131,47,FALSE)</f>
        <v>150</v>
      </c>
      <c r="X62" s="36">
        <f>VLOOKUP(B62,'Frete ESALQ'!$C$5:$BH$131,58,FALSE)</f>
        <v>149.25</v>
      </c>
      <c r="Y62" s="36">
        <f>VLOOKUP(B62,'Frete ESALQ'!$C$5:$BH$131,32,FALSE)</f>
        <v>165.67</v>
      </c>
      <c r="AA62" s="33">
        <f t="shared" si="1"/>
        <v>1388.7128434708884</v>
      </c>
      <c r="AB62" s="33">
        <f t="shared" si="2"/>
        <v>1496.6628434708884</v>
      </c>
      <c r="AC62" s="33">
        <f t="shared" si="3"/>
        <v>1654.9128434708884</v>
      </c>
      <c r="AD62" s="33">
        <f t="shared" si="4"/>
        <v>1666.9128434708884</v>
      </c>
      <c r="AE62" s="33">
        <f t="shared" si="5"/>
        <v>1667.6628434708884</v>
      </c>
      <c r="AF62" s="33">
        <f t="shared" si="6"/>
        <v>1651.2428434708884</v>
      </c>
      <c r="AG62" s="42">
        <f>+R62-'Modelo Soja'!BL62</f>
        <v>1398.7128434708884</v>
      </c>
    </row>
    <row r="63" spans="2:33" x14ac:dyDescent="0.3">
      <c r="B63" s="31" t="str">
        <f t="shared" si="0"/>
        <v>20261</v>
      </c>
      <c r="C63" s="17">
        <f t="shared" si="7"/>
        <v>46023</v>
      </c>
      <c r="D63" s="32">
        <f ca="1">IFERROR(AVERAGEIF('Preço Soja ESALQ'!$C:$C,'Modelo Soja'!$B63,'Preço Soja ESALQ'!E:E),NA())</f>
        <v>1878.3523809523806</v>
      </c>
      <c r="E63" s="32">
        <f ca="1">IFERROR(AVERAGEIF('Preço Soja ESALQ'!$C:$C,'Modelo Soja'!$B63,'Preço Soja ESALQ'!F:F),NA())</f>
        <v>1914.5566666666664</v>
      </c>
      <c r="F63" s="32">
        <f ca="1">IFERROR(AVERAGEIF('Preço Soja ESALQ'!$C:$C,'Modelo Soja'!$B63,'Preço Soja ESALQ'!G:G),NA())</f>
        <v>1900.5214285714292</v>
      </c>
      <c r="G63" s="32">
        <f ca="1">IFERROR(AVERAGEIF('Preço Soja ESALQ'!$C:$C,'Modelo Soja'!$B63,'Preço Soja ESALQ'!H:H),NA())</f>
        <v>1734.746875</v>
      </c>
      <c r="H63" s="32">
        <f ca="1">IFERROR(AVERAGEIF('Preço Soja ESALQ'!$C:$C,'Modelo Soja'!$B63,'Preço Soja ESALQ'!I:I),NA())</f>
        <v>1814.9980952380952</v>
      </c>
      <c r="I63" s="32">
        <f ca="1">IFERROR(AVERAGEIF('Preço Soja ESALQ'!$C:$C,'Modelo Soja'!$B63,'Preço Soja ESALQ'!J:J),NA())</f>
        <v>1833.4866666666665</v>
      </c>
      <c r="J63" s="32">
        <f ca="1">IFERROR(AVERAGEIF('Preço Soja ESALQ'!$C:$C,'Modelo Soja'!$B63,'Preço Soja ESALQ'!K:K),NA())</f>
        <v>1788.4399999999998</v>
      </c>
      <c r="K63" s="32">
        <f ca="1">IFERROR(AVERAGEIF('Preço Soja ESALQ'!$C:$C,'Modelo Soja'!$B63,'Preço Soja ESALQ'!L:L),NA())</f>
        <v>1708.4121052631579</v>
      </c>
      <c r="L63" s="32">
        <f ca="1">IFERROR(AVERAGEIF('Preço Soja ESALQ'!$C:$C,'Modelo Soja'!$B63,'Preço Soja ESALQ'!M:M),NA())</f>
        <v>1493.3157142857144</v>
      </c>
      <c r="M63" s="32">
        <f ca="1">IFERROR(AVERAGEIF('Preço Soja ESALQ'!$C:$C,'Modelo Soja'!$B63,'Preço Soja ESALQ'!N:N),NA())</f>
        <v>1671.0114285714287</v>
      </c>
      <c r="N63" s="32">
        <f ca="1">IFERROR(AVERAGEIF('Preço Soja ESALQ'!$C:$C,'Modelo Soja'!$B63,'Preço Soja ESALQ'!P:P),NA())</f>
        <v>1763.2928571428572</v>
      </c>
      <c r="O63" s="32" t="e">
        <f>+#REF!</f>
        <v>#REF!</v>
      </c>
      <c r="P63" s="33"/>
      <c r="Q63" s="33"/>
      <c r="R63" s="32">
        <f>+[3]mensal!AF63/0.90718</f>
        <v>1731.4949180928313</v>
      </c>
      <c r="T63" s="36">
        <f>+[6]FSORPRA!H62</f>
        <v>440.12</v>
      </c>
      <c r="U63" s="36">
        <f>+[6]FRONPRA!H62</f>
        <v>329.6</v>
      </c>
      <c r="V63" s="36">
        <f>VLOOKUP(B63,'Frete ESALQ'!$C$5:$AL$131,36,FALSE)</f>
        <v>148</v>
      </c>
      <c r="W63" s="36">
        <f>VLOOKUP(B63,'Frete ESALQ'!$C$5:$AW$131,47,FALSE)</f>
        <v>151.25</v>
      </c>
      <c r="X63" s="36">
        <f>VLOOKUP(B63,'Frete ESALQ'!$C$5:$BH$131,58,FALSE)</f>
        <v>150</v>
      </c>
      <c r="Y63" s="36">
        <f>VLOOKUP(B63,'Frete ESALQ'!$C$5:$BH$131,32,FALSE)</f>
        <v>155</v>
      </c>
      <c r="AA63" s="33">
        <f t="shared" si="1"/>
        <v>1291.3749180928312</v>
      </c>
      <c r="AB63" s="33">
        <f t="shared" si="2"/>
        <v>1401.8949180928312</v>
      </c>
      <c r="AC63" s="33">
        <f t="shared" si="3"/>
        <v>1583.4949180928313</v>
      </c>
      <c r="AD63" s="33">
        <f t="shared" si="4"/>
        <v>1580.2449180928313</v>
      </c>
      <c r="AE63" s="33">
        <f t="shared" si="5"/>
        <v>1581.4949180928313</v>
      </c>
      <c r="AF63" s="33">
        <f t="shared" si="6"/>
        <v>1576.4949180928313</v>
      </c>
      <c r="AG63" s="42">
        <f>+R63-'Modelo Soja'!BL63</f>
        <v>1301.3749180928312</v>
      </c>
    </row>
    <row r="64" spans="2:33" x14ac:dyDescent="0.3">
      <c r="B64" s="31" t="str">
        <f t="shared" si="0"/>
        <v>20262</v>
      </c>
      <c r="C64" s="17">
        <f t="shared" si="7"/>
        <v>46054</v>
      </c>
      <c r="D64" s="32">
        <f ca="1">IFERROR(AVERAGEIF('Preço Soja ESALQ'!$C:$C,'Modelo Soja'!$B64,'Preço Soja ESALQ'!E:E),NA())</f>
        <v>1887.9027777777778</v>
      </c>
      <c r="E64" s="32">
        <f ca="1">IFERROR(AVERAGEIF('Preço Soja ESALQ'!$C:$C,'Modelo Soja'!$B64,'Preço Soja ESALQ'!F:F),NA())</f>
        <v>1893.7277777777781</v>
      </c>
      <c r="F64" s="32">
        <f ca="1">IFERROR(AVERAGEIF('Preço Soja ESALQ'!$C:$C,'Modelo Soja'!$B64,'Preço Soja ESALQ'!G:G),NA())</f>
        <v>1883.3861111111114</v>
      </c>
      <c r="G64" s="32">
        <f ca="1">IFERROR(AVERAGEIF('Preço Soja ESALQ'!$C:$C,'Modelo Soja'!$B64,'Preço Soja ESALQ'!H:H),NA())</f>
        <v>1701.6066666666666</v>
      </c>
      <c r="H64" s="32">
        <f ca="1">IFERROR(AVERAGEIF('Preço Soja ESALQ'!$C:$C,'Modelo Soja'!$B64,'Preço Soja ESALQ'!I:I),NA())</f>
        <v>1806.4927777777773</v>
      </c>
      <c r="I64" s="32">
        <f ca="1">IFERROR(AVERAGEIF('Preço Soja ESALQ'!$C:$C,'Modelo Soja'!$B64,'Preço Soja ESALQ'!J:J),NA())</f>
        <v>1843.4088888888889</v>
      </c>
      <c r="J64" s="32">
        <f ca="1">IFERROR(AVERAGEIF('Preço Soja ESALQ'!$C:$C,'Modelo Soja'!$B64,'Preço Soja ESALQ'!K:K),NA())</f>
        <v>1722.6505555555552</v>
      </c>
      <c r="K64" s="32">
        <f ca="1">IFERROR(AVERAGEIF('Preço Soja ESALQ'!$C:$C,'Modelo Soja'!$B64,'Preço Soja ESALQ'!L:L),NA())</f>
        <v>1735.2583333333332</v>
      </c>
      <c r="L64" s="32">
        <f ca="1">IFERROR(AVERAGEIF('Preço Soja ESALQ'!$C:$C,'Modelo Soja'!$B64,'Preço Soja ESALQ'!M:M),NA())</f>
        <v>1585.38</v>
      </c>
      <c r="M64" s="32">
        <f ca="1">IFERROR(AVERAGEIF('Preço Soja ESALQ'!$C:$C,'Modelo Soja'!$B64,'Preço Soja ESALQ'!N:N),NA())</f>
        <v>1699.8666666666668</v>
      </c>
      <c r="N64" s="32">
        <f ca="1">IFERROR(AVERAGEIF('Preço Soja ESALQ'!$C:$C,'Modelo Soja'!$B64,'Preço Soja ESALQ'!P:P),NA())</f>
        <v>1767.3944444444444</v>
      </c>
      <c r="O64" s="32" t="e">
        <f>+#REF!</f>
        <v>#REF!</v>
      </c>
      <c r="P64" s="33"/>
      <c r="Q64" s="33"/>
      <c r="R64" s="32">
        <f>+[3]mensal!AF64/0.90718</f>
        <v>1750.9473479991784</v>
      </c>
      <c r="T64" s="36">
        <f>+[6]FSORPRA!H63</f>
        <v>461.32499999999999</v>
      </c>
      <c r="U64" s="36">
        <f>+[6]FRONPRA!H63</f>
        <v>360.32499999999999</v>
      </c>
      <c r="V64" s="36">
        <f>VLOOKUP(B64,'Frete ESALQ'!$C$5:$AL$131,36,FALSE)</f>
        <v>167.75</v>
      </c>
      <c r="W64" s="36">
        <f>VLOOKUP(B64,'Frete ESALQ'!$C$5:$AW$131,47,FALSE)</f>
        <v>161.25</v>
      </c>
      <c r="X64" s="36">
        <f>VLOOKUP(B64,'Frete ESALQ'!$C$5:$BH$131,58,FALSE)</f>
        <v>155</v>
      </c>
      <c r="Y64" s="36">
        <f>VLOOKUP(B64,'Frete ESALQ'!$C$5:$BH$131,32,FALSE)</f>
        <v>156.25</v>
      </c>
      <c r="AA64" s="33">
        <f t="shared" si="1"/>
        <v>1289.6223479991784</v>
      </c>
      <c r="AB64" s="33">
        <f t="shared" si="2"/>
        <v>1390.6223479991784</v>
      </c>
      <c r="AC64" s="33">
        <f t="shared" si="3"/>
        <v>1583.1973479991784</v>
      </c>
      <c r="AD64" s="33">
        <f t="shared" si="4"/>
        <v>1589.6973479991784</v>
      </c>
      <c r="AE64" s="33">
        <f t="shared" si="5"/>
        <v>1595.9473479991784</v>
      </c>
      <c r="AF64" s="33">
        <f t="shared" si="6"/>
        <v>1594.6973479991784</v>
      </c>
      <c r="AG64" s="42">
        <f>+R64-'Modelo Soja'!BL64</f>
        <v>1299.6223479991784</v>
      </c>
    </row>
    <row r="65" spans="2:33" x14ac:dyDescent="0.3">
      <c r="B65" s="31" t="str">
        <f t="shared" si="0"/>
        <v>20263</v>
      </c>
      <c r="C65" s="17">
        <f t="shared" si="7"/>
        <v>46082</v>
      </c>
      <c r="D65" s="32">
        <f ca="1">IFERROR(AVERAGEIF('Preço Soja ESALQ'!$C:$C,'Modelo Soja'!$B65,'Preço Soja ESALQ'!E:E),NA())</f>
        <v>1860.5555555555557</v>
      </c>
      <c r="E65" s="32">
        <f ca="1">IFERROR(AVERAGEIF('Preço Soja ESALQ'!$C:$C,'Modelo Soja'!$B65,'Preço Soja ESALQ'!F:F),NA())</f>
        <v>1844.8183333333327</v>
      </c>
      <c r="F65" s="32">
        <f ca="1">IFERROR(AVERAGEIF('Preço Soja ESALQ'!$C:$C,'Modelo Soja'!$B65,'Preço Soja ESALQ'!G:G),NA())</f>
        <v>1802.9666666666665</v>
      </c>
      <c r="G65" s="32">
        <f ca="1">IFERROR(AVERAGEIF('Preço Soja ESALQ'!$C:$C,'Modelo Soja'!$B65,'Preço Soja ESALQ'!H:H),NA())</f>
        <v>1726.1682352941182</v>
      </c>
      <c r="H65" s="32">
        <f ca="1">IFERROR(AVERAGEIF('Preço Soja ESALQ'!$C:$C,'Modelo Soja'!$B65,'Preço Soja ESALQ'!I:I),NA())</f>
        <v>1755.3855555555554</v>
      </c>
      <c r="I65" s="32">
        <f ca="1">IFERROR(AVERAGEIF('Preço Soja ESALQ'!$C:$C,'Modelo Soja'!$B65,'Preço Soja ESALQ'!J:J),NA())</f>
        <v>1805.1805555555557</v>
      </c>
      <c r="J65" s="32">
        <f ca="1">IFERROR(AVERAGEIF('Preço Soja ESALQ'!$C:$C,'Modelo Soja'!$B65,'Preço Soja ESALQ'!K:K),NA())</f>
        <v>1727.8622222222225</v>
      </c>
      <c r="K65" s="32">
        <f ca="1">IFERROR(AVERAGEIF('Preço Soja ESALQ'!$C:$C,'Modelo Soja'!$B65,'Preço Soja ESALQ'!L:L),NA())</f>
        <v>1717.8949999999998</v>
      </c>
      <c r="L65" s="32">
        <f ca="1">IFERROR(AVERAGEIF('Preço Soja ESALQ'!$C:$C,'Modelo Soja'!$B65,'Preço Soja ESALQ'!M:M),NA())</f>
        <v>1570.88</v>
      </c>
      <c r="M65" s="32">
        <f ca="1">IFERROR(AVERAGEIF('Preço Soja ESALQ'!$C:$C,'Modelo Soja'!$B65,'Preço Soja ESALQ'!N:N),NA())</f>
        <v>1666.6338888888893</v>
      </c>
      <c r="N65" s="32">
        <f ca="1">IFERROR(AVERAGEIF('Preço Soja ESALQ'!$C:$C,'Modelo Soja'!$B65,'Preço Soja ESALQ'!P:P),NA())</f>
        <v>1763.1555555555556</v>
      </c>
      <c r="O65" s="32" t="e">
        <f>+#REF!</f>
        <v>#REF!</v>
      </c>
      <c r="P65" s="33"/>
      <c r="Q65" s="33"/>
      <c r="R65" s="32">
        <f>+[3]mensal!AF65/0.90718</f>
        <v>1825.3735628541197</v>
      </c>
      <c r="T65" s="36">
        <f>+[6]FSORPRA!H64</f>
        <v>478.9</v>
      </c>
      <c r="U65" s="36">
        <f>+[6]FRONPRA!H64</f>
        <v>386.5</v>
      </c>
      <c r="V65" s="36">
        <f>VLOOKUP(B65,'Frete ESALQ'!$C$5:$AL$131,36,FALSE)</f>
        <v>167.75</v>
      </c>
      <c r="W65" s="36">
        <f>VLOOKUP(B65,'Frete ESALQ'!$C$5:$AW$131,47,FALSE)</f>
        <v>161.25</v>
      </c>
      <c r="X65" s="36">
        <f>VLOOKUP(B65,'Frete ESALQ'!$C$5:$BH$131,58,FALSE)</f>
        <v>155</v>
      </c>
      <c r="Y65" s="36">
        <f>VLOOKUP(B65,'Frete ESALQ'!$C$5:$BH$131,32,FALSE)</f>
        <v>156.25</v>
      </c>
      <c r="AA65" s="33">
        <f t="shared" si="1"/>
        <v>1346.4735628541198</v>
      </c>
      <c r="AB65" s="33">
        <f t="shared" si="2"/>
        <v>1438.8735628541197</v>
      </c>
      <c r="AC65" s="33">
        <f t="shared" si="3"/>
        <v>1657.6235628541197</v>
      </c>
      <c r="AD65" s="33">
        <f t="shared" si="4"/>
        <v>1664.1235628541197</v>
      </c>
      <c r="AE65" s="33">
        <f t="shared" si="5"/>
        <v>1670.3735628541197</v>
      </c>
      <c r="AF65" s="33">
        <f t="shared" si="6"/>
        <v>1669.1235628541197</v>
      </c>
      <c r="AG65" s="42">
        <f>+R65-'Modelo Soja'!BL65</f>
        <v>1356.4735628541198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91367-D5EC-496F-B0F7-A2FDBDB45D73}">
  <dimension ref="B1:AG65"/>
  <sheetViews>
    <sheetView workbookViewId="0">
      <selection activeCell="AG3" sqref="AG3:AG65"/>
    </sheetView>
  </sheetViews>
  <sheetFormatPr defaultRowHeight="14.4" x14ac:dyDescent="0.3"/>
  <cols>
    <col min="2" max="2" width="10.109375" customWidth="1"/>
    <col min="4" max="4" width="13.6640625" customWidth="1"/>
    <col min="8" max="8" width="9.44140625" bestFit="1" customWidth="1"/>
    <col min="26" max="26" width="4.5546875" customWidth="1"/>
    <col min="27" max="27" width="11.5546875" customWidth="1"/>
    <col min="28" max="28" width="13.6640625" bestFit="1" customWidth="1"/>
    <col min="29" max="29" width="12" customWidth="1"/>
    <col min="30" max="30" width="10" customWidth="1"/>
    <col min="31" max="31" width="11.33203125" customWidth="1"/>
    <col min="32" max="32" width="11.33203125" bestFit="1" customWidth="1"/>
    <col min="33" max="33" width="9.44140625" bestFit="1" customWidth="1"/>
  </cols>
  <sheetData>
    <row r="1" spans="2:33" x14ac:dyDescent="0.3">
      <c r="D1" s="1" t="s">
        <v>160</v>
      </c>
      <c r="T1" t="s">
        <v>228</v>
      </c>
      <c r="AA1" t="s">
        <v>352</v>
      </c>
    </row>
    <row r="2" spans="2:33" x14ac:dyDescent="0.3">
      <c r="B2" s="30" t="s">
        <v>210</v>
      </c>
      <c r="C2" t="s">
        <v>211</v>
      </c>
      <c r="D2" s="1" t="s">
        <v>246</v>
      </c>
      <c r="E2" t="s">
        <v>220</v>
      </c>
      <c r="F2" t="s">
        <v>250</v>
      </c>
      <c r="H2" t="s">
        <v>249</v>
      </c>
      <c r="T2" s="15" t="s">
        <v>221</v>
      </c>
      <c r="U2" s="15" t="s">
        <v>222</v>
      </c>
      <c r="V2" s="15" t="s">
        <v>233</v>
      </c>
      <c r="W2" s="15" t="s">
        <v>235</v>
      </c>
      <c r="X2" s="35" t="s">
        <v>347</v>
      </c>
      <c r="Y2" s="35" t="s">
        <v>348</v>
      </c>
      <c r="AA2" s="15" t="s">
        <v>224</v>
      </c>
      <c r="AB2" s="15" t="s">
        <v>225</v>
      </c>
      <c r="AC2" s="15" t="s">
        <v>234</v>
      </c>
      <c r="AD2" s="15" t="s">
        <v>236</v>
      </c>
      <c r="AE2" s="15" t="s">
        <v>217</v>
      </c>
      <c r="AF2" s="15" t="s">
        <v>216</v>
      </c>
      <c r="AG2" s="15" t="s">
        <v>291</v>
      </c>
    </row>
    <row r="3" spans="2:33" x14ac:dyDescent="0.3">
      <c r="B3" s="31" t="str">
        <f>YEAR(C3)&amp;MONTH(C3)</f>
        <v>20211</v>
      </c>
      <c r="C3" s="17">
        <v>44197</v>
      </c>
      <c r="D3" s="32">
        <f ca="1">IFERROR(AVERAGEIF('Preço Soja ESALQ'!$C:$C,'Modelo Soja'!$B3,'Preço Soja ESALQ'!Q:Q),NA())</f>
        <v>6097.5814999999984</v>
      </c>
      <c r="E3" s="32">
        <f>+[5]mensal!C2</f>
        <v>5544.4026806526608</v>
      </c>
      <c r="H3" s="32">
        <f ca="1">+D3*0.88</f>
        <v>5365.8717199999983</v>
      </c>
      <c r="T3" s="36">
        <f>+[6]FSORPRA!H2</f>
        <v>237.5</v>
      </c>
      <c r="U3" s="36">
        <f>+[6]FRONPRA!H2</f>
        <v>176.25</v>
      </c>
      <c r="V3" s="36">
        <f>VLOOKUP(B3,'Frete ESALQ'!$C$5:$AL$131,36,FALSE)</f>
        <v>86.07</v>
      </c>
      <c r="W3" s="36">
        <f>VLOOKUP(B3,'Frete ESALQ'!$C$5:$AW$131,47,FALSE)</f>
        <v>71.63</v>
      </c>
      <c r="X3" s="36">
        <f>VLOOKUP(B3,'Frete ESALQ'!$C$5:$BH$131,58,FALSE)</f>
        <v>52.83</v>
      </c>
      <c r="Y3" s="36">
        <f>VLOOKUP(B3,'Frete ESALQ'!$C$5:$BH$131,32,FALSE)</f>
        <v>61.11</v>
      </c>
      <c r="AA3" s="33">
        <f>+E3-T3</f>
        <v>5306.9026806526608</v>
      </c>
      <c r="AB3" s="33">
        <f>+E3-U3</f>
        <v>5368.1526806526608</v>
      </c>
      <c r="AC3" s="33">
        <f>+E3-V3</f>
        <v>5458.3326806526611</v>
      </c>
      <c r="AD3" s="33">
        <f>+E3-W3</f>
        <v>5472.7726806526607</v>
      </c>
      <c r="AE3" s="33">
        <f>+E3-X3</f>
        <v>5491.5726806526609</v>
      </c>
      <c r="AF3" s="33">
        <f>+E3-Y3</f>
        <v>5483.2926806526611</v>
      </c>
      <c r="AG3" s="42">
        <f>+E3-'Modelo Soja'!BL3</f>
        <v>5316.9026806526608</v>
      </c>
    </row>
    <row r="4" spans="2:33" x14ac:dyDescent="0.3">
      <c r="B4" s="31" t="str">
        <f t="shared" ref="B4:B65" si="0">YEAR(C4)&amp;MONTH(C4)</f>
        <v>20212</v>
      </c>
      <c r="C4" s="17">
        <f>EDATE(C3,1)</f>
        <v>44228</v>
      </c>
      <c r="D4" s="32">
        <f ca="1">IFERROR(AVERAGEIF('Preço Soja ESALQ'!$C:$C,'Modelo Soja'!$B4,'Preço Soja ESALQ'!Q:Q),NA())</f>
        <v>5978.8672222222231</v>
      </c>
      <c r="E4" s="32">
        <f>+[5]mensal!C3</f>
        <v>5747.9166533795596</v>
      </c>
      <c r="H4" s="32">
        <f t="shared" ref="H4:H65" ca="1" si="1">+D4*0.88</f>
        <v>5261.4031555555566</v>
      </c>
      <c r="T4" s="36">
        <f>+[6]FSORPRA!H3</f>
        <v>304.16750000000002</v>
      </c>
      <c r="U4" s="36">
        <f>+[6]FRONPRA!H3</f>
        <v>247.5</v>
      </c>
      <c r="V4" s="36">
        <f>VLOOKUP(B4,'Frete ESALQ'!$C$5:$AL$131,36,FALSE)</f>
        <v>131.08000000000001</v>
      </c>
      <c r="W4" s="36">
        <f>VLOOKUP(B4,'Frete ESALQ'!$C$5:$AW$131,47,FALSE)</f>
        <v>113.68</v>
      </c>
      <c r="X4" s="36">
        <f>VLOOKUP(B4,'Frete ESALQ'!$C$5:$BH$131,58,FALSE)</f>
        <v>61.48</v>
      </c>
      <c r="Y4" s="36">
        <f>VLOOKUP(B4,'Frete ESALQ'!$C$5:$BH$131,32,FALSE)</f>
        <v>69.66</v>
      </c>
      <c r="AA4" s="33">
        <f t="shared" ref="AA4:AA65" si="2">+E4-T4</f>
        <v>5443.7491533795601</v>
      </c>
      <c r="AB4" s="33">
        <f t="shared" ref="AB4:AB65" si="3">+E4-U4</f>
        <v>5500.4166533795596</v>
      </c>
      <c r="AC4" s="33">
        <f t="shared" ref="AC4:AC65" si="4">+E4-V4</f>
        <v>5616.8366533795597</v>
      </c>
      <c r="AD4" s="33">
        <f t="shared" ref="AD4:AD65" si="5">+E4-W4</f>
        <v>5634.2366533795594</v>
      </c>
      <c r="AE4" s="33">
        <f t="shared" ref="AE4:AE65" si="6">+E4-X4</f>
        <v>5686.4366533795601</v>
      </c>
      <c r="AF4" s="33">
        <f t="shared" ref="AF4:AF65" si="7">+E4-Y4</f>
        <v>5678.2566533795598</v>
      </c>
      <c r="AG4" s="42">
        <f>+E4-'Modelo Soja'!BL4</f>
        <v>5453.7491533795601</v>
      </c>
    </row>
    <row r="5" spans="2:33" x14ac:dyDescent="0.3">
      <c r="B5" s="31" t="str">
        <f t="shared" si="0"/>
        <v>20213</v>
      </c>
      <c r="C5" s="17">
        <f t="shared" ref="C5:C65" si="8">EDATE(C4,1)</f>
        <v>44256</v>
      </c>
      <c r="D5" s="32">
        <f ca="1">IFERROR(AVERAGEIF('Preço Soja ESALQ'!$C:$C,'Modelo Soja'!$B5,'Preço Soja ESALQ'!Q:Q),NA())</f>
        <v>7045.6608695652167</v>
      </c>
      <c r="E5" s="32">
        <f>+[5]mensal!C4</f>
        <v>6820.0369806721574</v>
      </c>
      <c r="H5" s="32">
        <f t="shared" ca="1" si="1"/>
        <v>6200.1815652173909</v>
      </c>
      <c r="T5" s="36">
        <f>+[6]FSORPRA!H4</f>
        <v>320</v>
      </c>
      <c r="U5" s="36">
        <f>+[6]FRONPRA!H4</f>
        <v>273.75</v>
      </c>
      <c r="V5" s="36">
        <f>VLOOKUP(B5,'Frete ESALQ'!$C$5:$AL$131,36,FALSE)</f>
        <v>184.08</v>
      </c>
      <c r="W5" s="36">
        <f>VLOOKUP(B5,'Frete ESALQ'!$C$5:$AW$131,47,FALSE)</f>
        <v>151.22</v>
      </c>
      <c r="X5" s="36">
        <f>VLOOKUP(B5,'Frete ESALQ'!$C$5:$BH$131,58,FALSE)</f>
        <v>123.2</v>
      </c>
      <c r="Y5" s="36">
        <f>VLOOKUP(B5,'Frete ESALQ'!$C$5:$BH$131,32,FALSE)</f>
        <v>124.1</v>
      </c>
      <c r="AA5" s="33">
        <f t="shared" si="2"/>
        <v>6500.0369806721574</v>
      </c>
      <c r="AB5" s="33">
        <f t="shared" si="3"/>
        <v>6546.2869806721574</v>
      </c>
      <c r="AC5" s="33">
        <f t="shared" si="4"/>
        <v>6635.9569806721574</v>
      </c>
      <c r="AD5" s="33">
        <f t="shared" si="5"/>
        <v>6668.8169806721571</v>
      </c>
      <c r="AE5" s="33">
        <f t="shared" si="6"/>
        <v>6696.8369806721576</v>
      </c>
      <c r="AF5" s="33">
        <f t="shared" si="7"/>
        <v>6695.936980672157</v>
      </c>
      <c r="AG5" s="42">
        <f>+E5-'Modelo Soja'!BL5</f>
        <v>6510.0369806721574</v>
      </c>
    </row>
    <row r="6" spans="2:33" x14ac:dyDescent="0.3">
      <c r="B6" s="31" t="str">
        <f t="shared" si="0"/>
        <v>20214</v>
      </c>
      <c r="C6" s="17">
        <f t="shared" si="8"/>
        <v>44287</v>
      </c>
      <c r="D6" s="32">
        <f ca="1">IFERROR(AVERAGEIF('Preço Soja ESALQ'!$C:$C,'Modelo Soja'!$B6,'Preço Soja ESALQ'!Q:Q),NA())</f>
        <v>7429.3750000000018</v>
      </c>
      <c r="E6" s="32">
        <f>+[5]mensal!C5</f>
        <v>6947.0664672199982</v>
      </c>
      <c r="H6" s="32">
        <f t="shared" ca="1" si="1"/>
        <v>6537.8500000000013</v>
      </c>
      <c r="T6" s="36">
        <f>+[6]FSORPRA!H5</f>
        <v>307</v>
      </c>
      <c r="U6" s="36">
        <f>+[6]FRONPRA!H5</f>
        <v>263</v>
      </c>
      <c r="V6" s="36">
        <f>VLOOKUP(B6,'Frete ESALQ'!$C$5:$AL$131,36,FALSE)</f>
        <v>94.82</v>
      </c>
      <c r="W6" s="36">
        <f>VLOOKUP(B6,'Frete ESALQ'!$C$5:$AW$131,47,FALSE)</f>
        <v>123.97</v>
      </c>
      <c r="X6" s="36">
        <f>VLOOKUP(B6,'Frete ESALQ'!$C$5:$BH$131,58,FALSE)</f>
        <v>121.3</v>
      </c>
      <c r="Y6" s="36">
        <f>VLOOKUP(B6,'Frete ESALQ'!$C$5:$BH$131,32,FALSE)</f>
        <v>129.03</v>
      </c>
      <c r="AA6" s="33">
        <f t="shared" si="2"/>
        <v>6640.0664672199982</v>
      </c>
      <c r="AB6" s="33">
        <f t="shared" si="3"/>
        <v>6684.0664672199982</v>
      </c>
      <c r="AC6" s="33">
        <f t="shared" si="4"/>
        <v>6852.2464672199985</v>
      </c>
      <c r="AD6" s="33">
        <f t="shared" si="5"/>
        <v>6823.096467219998</v>
      </c>
      <c r="AE6" s="33">
        <f t="shared" si="6"/>
        <v>6825.766467219998</v>
      </c>
      <c r="AF6" s="33">
        <f t="shared" si="7"/>
        <v>6818.0364672199985</v>
      </c>
      <c r="AG6" s="42">
        <f>+E6-'Modelo Soja'!BL6</f>
        <v>6650.0664672199982</v>
      </c>
    </row>
    <row r="7" spans="2:33" x14ac:dyDescent="0.3">
      <c r="B7" s="31" t="str">
        <f t="shared" si="0"/>
        <v>20215</v>
      </c>
      <c r="C7" s="17">
        <f t="shared" si="8"/>
        <v>44317</v>
      </c>
      <c r="D7" s="32">
        <f ca="1">IFERROR(AVERAGEIF('Preço Soja ESALQ'!$C:$C,'Modelo Soja'!$B7,'Preço Soja ESALQ'!Q:Q),NA())</f>
        <v>7638.496666666666</v>
      </c>
      <c r="E7" s="32">
        <f>+[5]mensal!C6</f>
        <v>7124.9095481884588</v>
      </c>
      <c r="H7" s="32">
        <f t="shared" ca="1" si="1"/>
        <v>6721.877066666666</v>
      </c>
      <c r="T7" s="36">
        <f>+[6]FSORPRA!H6</f>
        <v>289.25</v>
      </c>
      <c r="U7" s="36">
        <f>+[6]FRONPRA!H6</f>
        <v>265</v>
      </c>
      <c r="V7" s="36">
        <f>VLOOKUP(B7,'Frete ESALQ'!$C$5:$AL$131,36,FALSE)</f>
        <v>101.73</v>
      </c>
      <c r="W7" s="36">
        <f>VLOOKUP(B7,'Frete ESALQ'!$C$5:$AW$131,47,FALSE)</f>
        <v>104.75</v>
      </c>
      <c r="X7" s="36">
        <f>VLOOKUP(B7,'Frete ESALQ'!$C$5:$BH$131,58,FALSE)</f>
        <v>95</v>
      </c>
      <c r="Y7" s="36">
        <f>VLOOKUP(B7,'Frete ESALQ'!$C$5:$BH$131,32,FALSE)</f>
        <v>98.38</v>
      </c>
      <c r="AA7" s="33">
        <f t="shared" si="2"/>
        <v>6835.6595481884588</v>
      </c>
      <c r="AB7" s="33">
        <f t="shared" si="3"/>
        <v>6859.9095481884588</v>
      </c>
      <c r="AC7" s="33">
        <f t="shared" si="4"/>
        <v>7023.1795481884592</v>
      </c>
      <c r="AD7" s="33">
        <f t="shared" si="5"/>
        <v>7020.1595481884588</v>
      </c>
      <c r="AE7" s="33">
        <f t="shared" si="6"/>
        <v>7029.9095481884588</v>
      </c>
      <c r="AF7" s="33">
        <f t="shared" si="7"/>
        <v>7026.5295481884586</v>
      </c>
      <c r="AG7" s="42">
        <f>+E7-'Modelo Soja'!BL7</f>
        <v>6845.6595481884588</v>
      </c>
    </row>
    <row r="8" spans="2:33" x14ac:dyDescent="0.3">
      <c r="B8" s="31" t="str">
        <f t="shared" si="0"/>
        <v>20216</v>
      </c>
      <c r="C8" s="17">
        <f t="shared" si="8"/>
        <v>44348</v>
      </c>
      <c r="D8" s="32">
        <f ca="1">IFERROR(AVERAGEIF('Preço Soja ESALQ'!$C:$C,'Modelo Soja'!$B8,'Preço Soja ESALQ'!Q:Q),NA())</f>
        <v>6990.8223809523834</v>
      </c>
      <c r="E8" s="32">
        <f>+[5]mensal!C7</f>
        <v>5891.1729976659999</v>
      </c>
      <c r="H8" s="32">
        <f t="shared" ca="1" si="1"/>
        <v>6151.923695238097</v>
      </c>
      <c r="T8" s="36">
        <f>+[6]FSORPRA!H7</f>
        <v>295.83249999999998</v>
      </c>
      <c r="U8" s="36">
        <f>+[6]FRONPRA!H7</f>
        <v>242.5</v>
      </c>
      <c r="V8" s="36">
        <f>VLOOKUP(B8,'Frete ESALQ'!$C$5:$AL$131,36,FALSE)</f>
        <v>96.49</v>
      </c>
      <c r="W8" s="36">
        <f>VLOOKUP(B8,'Frete ESALQ'!$C$5:$AW$131,47,FALSE)</f>
        <v>84.57</v>
      </c>
      <c r="X8" s="36">
        <f>VLOOKUP(B8,'Frete ESALQ'!$C$5:$BH$131,58,FALSE)</f>
        <v>94.83</v>
      </c>
      <c r="Y8" s="36">
        <f>VLOOKUP(B8,'Frete ESALQ'!$C$5:$BH$131,32,FALSE)</f>
        <v>84</v>
      </c>
      <c r="AA8" s="33">
        <f t="shared" si="2"/>
        <v>5595.3404976660004</v>
      </c>
      <c r="AB8" s="33">
        <f t="shared" si="3"/>
        <v>5648.6729976659999</v>
      </c>
      <c r="AC8" s="33">
        <f t="shared" si="4"/>
        <v>5794.6829976660001</v>
      </c>
      <c r="AD8" s="33">
        <f t="shared" si="5"/>
        <v>5806.6029976660002</v>
      </c>
      <c r="AE8" s="33">
        <f t="shared" si="6"/>
        <v>5796.342997666</v>
      </c>
      <c r="AF8" s="33">
        <f t="shared" si="7"/>
        <v>5807.1729976659999</v>
      </c>
      <c r="AG8" s="42">
        <f>+E8-'Modelo Soja'!BL8</f>
        <v>5605.3404976660004</v>
      </c>
    </row>
    <row r="9" spans="2:33" x14ac:dyDescent="0.3">
      <c r="B9" s="31" t="str">
        <f t="shared" si="0"/>
        <v>20217</v>
      </c>
      <c r="C9" s="17">
        <f t="shared" si="8"/>
        <v>44378</v>
      </c>
      <c r="D9" s="32">
        <f ca="1">IFERROR(AVERAGEIF('Preço Soja ESALQ'!$C:$C,'Modelo Soja'!$B9,'Preço Soja ESALQ'!Q:Q),NA())</f>
        <v>7047.86409090909</v>
      </c>
      <c r="E9" s="32">
        <f>+[5]mensal!C8</f>
        <v>6499.823936111</v>
      </c>
      <c r="H9" s="32">
        <f t="shared" ca="1" si="1"/>
        <v>6202.1203999999989</v>
      </c>
      <c r="T9" s="36">
        <f>+[6]FSORPRA!H8</f>
        <v>325</v>
      </c>
      <c r="U9" s="36">
        <f>+[6]FRONPRA!H8</f>
        <v>270</v>
      </c>
      <c r="V9" s="36">
        <f>VLOOKUP(B9,'Frete ESALQ'!$C$5:$AL$131,36,FALSE)</f>
        <v>86.17</v>
      </c>
      <c r="W9" s="36">
        <f>VLOOKUP(B9,'Frete ESALQ'!$C$5:$AW$131,47,FALSE)</f>
        <v>80.75</v>
      </c>
      <c r="X9" s="36">
        <f>VLOOKUP(B9,'Frete ESALQ'!$C$5:$BH$131,58,FALSE)</f>
        <v>77.680000000000007</v>
      </c>
      <c r="Y9" s="36">
        <f>VLOOKUP(B9,'Frete ESALQ'!$C$5:$BH$131,32,FALSE)</f>
        <v>72</v>
      </c>
      <c r="AA9" s="33">
        <f t="shared" si="2"/>
        <v>6174.823936111</v>
      </c>
      <c r="AB9" s="33">
        <f t="shared" si="3"/>
        <v>6229.823936111</v>
      </c>
      <c r="AC9" s="33">
        <f t="shared" si="4"/>
        <v>6413.6539361109999</v>
      </c>
      <c r="AD9" s="33">
        <f t="shared" si="5"/>
        <v>6419.073936111</v>
      </c>
      <c r="AE9" s="33">
        <f t="shared" si="6"/>
        <v>6422.1439361109997</v>
      </c>
      <c r="AF9" s="33">
        <f t="shared" si="7"/>
        <v>6427.823936111</v>
      </c>
      <c r="AG9" s="42">
        <f>+E9-'Modelo Soja'!BL9</f>
        <v>6184.823936111</v>
      </c>
    </row>
    <row r="10" spans="2:33" x14ac:dyDescent="0.3">
      <c r="B10" s="31" t="str">
        <f t="shared" si="0"/>
        <v>20218</v>
      </c>
      <c r="C10" s="17">
        <f t="shared" si="8"/>
        <v>44409</v>
      </c>
      <c r="D10" s="32">
        <f ca="1">IFERROR(AVERAGEIF('Preço Soja ESALQ'!$C:$C,'Modelo Soja'!$B10,'Preço Soja ESALQ'!Q:Q),NA())</f>
        <v>7477.1781818181807</v>
      </c>
      <c r="E10" s="32">
        <f>+[5]mensal!C9</f>
        <v>6851.8666896382983</v>
      </c>
      <c r="H10" s="32">
        <f t="shared" ca="1" si="1"/>
        <v>6579.9167999999991</v>
      </c>
      <c r="T10" s="36">
        <f>+[6]FSORPRA!H9</f>
        <v>310</v>
      </c>
      <c r="U10" s="36">
        <f>+[6]FRONPRA!H9</f>
        <v>273.75</v>
      </c>
      <c r="V10" s="36">
        <f>VLOOKUP(B10,'Frete ESALQ'!$C$5:$AL$131,36,FALSE)</f>
        <v>80.27</v>
      </c>
      <c r="W10" s="36">
        <f>VLOOKUP(B10,'Frete ESALQ'!$C$5:$AW$131,47,FALSE)</f>
        <v>67.33</v>
      </c>
      <c r="X10" s="36">
        <f>VLOOKUP(B10,'Frete ESALQ'!$C$5:$BH$131,58,FALSE)</f>
        <v>83.38</v>
      </c>
      <c r="Y10" s="36">
        <f>VLOOKUP(B10,'Frete ESALQ'!$C$5:$BH$131,32,FALSE)</f>
        <v>87.23</v>
      </c>
      <c r="AA10" s="33">
        <f t="shared" si="2"/>
        <v>6541.8666896382983</v>
      </c>
      <c r="AB10" s="33">
        <f t="shared" si="3"/>
        <v>6578.1166896382983</v>
      </c>
      <c r="AC10" s="33">
        <f t="shared" si="4"/>
        <v>6771.5966896382979</v>
      </c>
      <c r="AD10" s="33">
        <f t="shared" si="5"/>
        <v>6784.5366896382984</v>
      </c>
      <c r="AE10" s="33">
        <f t="shared" si="6"/>
        <v>6768.4866896382982</v>
      </c>
      <c r="AF10" s="33">
        <f t="shared" si="7"/>
        <v>6764.6366896382988</v>
      </c>
      <c r="AG10" s="42">
        <f>+E10-'Modelo Soja'!BL10</f>
        <v>6551.8666896382983</v>
      </c>
    </row>
    <row r="11" spans="2:33" x14ac:dyDescent="0.3">
      <c r="B11" s="31" t="str">
        <f t="shared" si="0"/>
        <v>20219</v>
      </c>
      <c r="C11" s="17">
        <f t="shared" si="8"/>
        <v>44440</v>
      </c>
      <c r="D11" s="32">
        <f ca="1">IFERROR(AVERAGEIF('Preço Soja ESALQ'!$C:$C,'Modelo Soja'!$B11,'Preço Soja ESALQ'!Q:Q),NA())</f>
        <v>7496.1452380952387</v>
      </c>
      <c r="E11" s="32">
        <f>+[5]mensal!C10</f>
        <v>6866.8014408916988</v>
      </c>
      <c r="H11" s="32">
        <f t="shared" ca="1" si="1"/>
        <v>6596.6078095238099</v>
      </c>
      <c r="T11" s="36">
        <f>+[6]FSORPRA!H10</f>
        <v>291.25</v>
      </c>
      <c r="U11" s="36">
        <f>+[6]FRONPRA!H10</f>
        <v>255</v>
      </c>
      <c r="V11" s="36">
        <f>VLOOKUP(B11,'Frete ESALQ'!$C$5:$AL$131,36,FALSE)</f>
        <v>68</v>
      </c>
      <c r="W11" s="36">
        <f>VLOOKUP(B11,'Frete ESALQ'!$C$5:$AW$131,47,FALSE)</f>
        <v>68</v>
      </c>
      <c r="X11" s="36">
        <f>VLOOKUP(B11,'Frete ESALQ'!$C$5:$BH$131,58,FALSE)</f>
        <v>91.24</v>
      </c>
      <c r="Y11" s="36">
        <f>VLOOKUP(B11,'Frete ESALQ'!$C$5:$BH$131,32,FALSE)</f>
        <v>96.6</v>
      </c>
      <c r="AA11" s="33">
        <f t="shared" si="2"/>
        <v>6575.5514408916988</v>
      </c>
      <c r="AB11" s="33">
        <f t="shared" si="3"/>
        <v>6611.8014408916988</v>
      </c>
      <c r="AC11" s="33">
        <f t="shared" si="4"/>
        <v>6798.8014408916988</v>
      </c>
      <c r="AD11" s="33">
        <f t="shared" si="5"/>
        <v>6798.8014408916988</v>
      </c>
      <c r="AE11" s="33">
        <f t="shared" si="6"/>
        <v>6775.561440891699</v>
      </c>
      <c r="AF11" s="33">
        <f t="shared" si="7"/>
        <v>6770.2014408916984</v>
      </c>
      <c r="AG11" s="42">
        <f>+E11-'Modelo Soja'!BL11</f>
        <v>6585.5514408916988</v>
      </c>
    </row>
    <row r="12" spans="2:33" x14ac:dyDescent="0.3">
      <c r="B12" s="31" t="str">
        <f t="shared" si="0"/>
        <v>202110</v>
      </c>
      <c r="C12" s="17">
        <f t="shared" si="8"/>
        <v>44470</v>
      </c>
      <c r="D12" s="32">
        <f ca="1">IFERROR(AVERAGEIF('Preço Soja ESALQ'!$C:$C,'Modelo Soja'!$B12,'Preço Soja ESALQ'!Q:Q),NA())</f>
        <v>8236.7200000000012</v>
      </c>
      <c r="E12" s="32">
        <f>+[5]mensal!C11</f>
        <v>7634.1253795460752</v>
      </c>
      <c r="H12" s="32">
        <f t="shared" ca="1" si="1"/>
        <v>7248.3136000000013</v>
      </c>
      <c r="T12" s="36">
        <f>+[6]FSORPRA!H11</f>
        <v>313</v>
      </c>
      <c r="U12" s="36">
        <f>+[6]FRONPRA!H11</f>
        <v>232</v>
      </c>
      <c r="V12" s="36">
        <f>VLOOKUP(B12,'Frete ESALQ'!$C$5:$AL$131,36,FALSE)</f>
        <v>68</v>
      </c>
      <c r="W12" s="36">
        <f>VLOOKUP(B12,'Frete ESALQ'!$C$5:$AW$131,47,FALSE)</f>
        <v>72</v>
      </c>
      <c r="X12" s="36">
        <f>VLOOKUP(B12,'Frete ESALQ'!$C$5:$BH$131,58,FALSE)</f>
        <v>85.59</v>
      </c>
      <c r="Y12" s="36">
        <f>VLOOKUP(B12,'Frete ESALQ'!$C$5:$BH$131,32,FALSE)</f>
        <v>91.5</v>
      </c>
      <c r="AA12" s="33">
        <f t="shared" si="2"/>
        <v>7321.1253795460752</v>
      </c>
      <c r="AB12" s="33">
        <f t="shared" si="3"/>
        <v>7402.1253795460752</v>
      </c>
      <c r="AC12" s="33">
        <f t="shared" si="4"/>
        <v>7566.1253795460752</v>
      </c>
      <c r="AD12" s="33">
        <f t="shared" si="5"/>
        <v>7562.1253795460752</v>
      </c>
      <c r="AE12" s="33">
        <f t="shared" si="6"/>
        <v>7548.5353795460751</v>
      </c>
      <c r="AF12" s="33">
        <f t="shared" si="7"/>
        <v>7542.6253795460752</v>
      </c>
      <c r="AG12" s="42">
        <f>+E12-'Modelo Soja'!BL12</f>
        <v>7331.1253795460752</v>
      </c>
    </row>
    <row r="13" spans="2:33" x14ac:dyDescent="0.3">
      <c r="B13" s="31" t="str">
        <f t="shared" si="0"/>
        <v>202111</v>
      </c>
      <c r="C13" s="17">
        <f t="shared" si="8"/>
        <v>44501</v>
      </c>
      <c r="D13" s="32">
        <f ca="1">IFERROR(AVERAGEIF('Preço Soja ESALQ'!$C:$C,'Modelo Soja'!$B13,'Preço Soja ESALQ'!Q:Q),NA())</f>
        <v>8398.9134999999987</v>
      </c>
      <c r="E13" s="32">
        <f>+[5]mensal!C12</f>
        <v>7635.589871343499</v>
      </c>
      <c r="H13" s="32">
        <f t="shared" ca="1" si="1"/>
        <v>7391.0438799999993</v>
      </c>
      <c r="T13" s="36">
        <f>+[6]FSORPRA!H12</f>
        <v>318.75</v>
      </c>
      <c r="U13" s="36">
        <f>+[6]FRONPRA!H12</f>
        <v>243.75</v>
      </c>
      <c r="V13" s="36">
        <f>VLOOKUP(B13,'Frete ESALQ'!$C$5:$AL$131,36,FALSE)</f>
        <v>68</v>
      </c>
      <c r="W13" s="36">
        <f>VLOOKUP(B13,'Frete ESALQ'!$C$5:$AW$131,47,FALSE)</f>
        <v>70</v>
      </c>
      <c r="X13" s="36">
        <f>VLOOKUP(B13,'Frete ESALQ'!$C$5:$BH$131,58,FALSE)</f>
        <v>76.08</v>
      </c>
      <c r="Y13" s="36">
        <f>VLOOKUP(B13,'Frete ESALQ'!$C$5:$BH$131,32,FALSE)</f>
        <v>73.5</v>
      </c>
      <c r="AA13" s="33">
        <f t="shared" si="2"/>
        <v>7316.839871343499</v>
      </c>
      <c r="AB13" s="33">
        <f t="shared" si="3"/>
        <v>7391.839871343499</v>
      </c>
      <c r="AC13" s="33">
        <f t="shared" si="4"/>
        <v>7567.589871343499</v>
      </c>
      <c r="AD13" s="33">
        <f t="shared" si="5"/>
        <v>7565.589871343499</v>
      </c>
      <c r="AE13" s="33">
        <f t="shared" si="6"/>
        <v>7559.5098713434991</v>
      </c>
      <c r="AF13" s="33">
        <f t="shared" si="7"/>
        <v>7562.089871343499</v>
      </c>
      <c r="AG13" s="42">
        <f>+E13-'Modelo Soja'!BL13</f>
        <v>7326.839871343499</v>
      </c>
    </row>
    <row r="14" spans="2:33" x14ac:dyDescent="0.3">
      <c r="B14" s="31" t="str">
        <f t="shared" si="0"/>
        <v>202112</v>
      </c>
      <c r="C14" s="17">
        <f t="shared" si="8"/>
        <v>44531</v>
      </c>
      <c r="D14" s="32">
        <f ca="1">IFERROR(AVERAGEIF('Preço Soja ESALQ'!$C:$C,'Modelo Soja'!$B14,'Preço Soja ESALQ'!Q:Q),NA())</f>
        <v>8315.286666666665</v>
      </c>
      <c r="E14" s="32">
        <f>+[5]mensal!C13</f>
        <v>7476.6046034584351</v>
      </c>
      <c r="H14" s="32">
        <f t="shared" ca="1" si="1"/>
        <v>7317.4522666666653</v>
      </c>
      <c r="T14" s="36">
        <f>+[6]FSORPRA!H13</f>
        <v>352</v>
      </c>
      <c r="U14" s="36">
        <f>+[6]FRONPRA!H13</f>
        <v>266</v>
      </c>
      <c r="V14" s="36">
        <f>VLOOKUP(B14,'Frete ESALQ'!$C$5:$AL$131,36,FALSE)</f>
        <v>76.2</v>
      </c>
      <c r="W14" s="36">
        <f>VLOOKUP(B14,'Frete ESALQ'!$C$5:$AW$131,47,FALSE)</f>
        <v>67.67</v>
      </c>
      <c r="X14" s="36">
        <f>VLOOKUP(B14,'Frete ESALQ'!$C$5:$BH$131,58,FALSE)</f>
        <v>92.96</v>
      </c>
      <c r="Y14" s="36">
        <f>VLOOKUP(B14,'Frete ESALQ'!$C$5:$BH$131,32,FALSE)</f>
        <v>91.67</v>
      </c>
      <c r="AA14" s="33">
        <f t="shared" si="2"/>
        <v>7124.6046034584351</v>
      </c>
      <c r="AB14" s="33">
        <f t="shared" si="3"/>
        <v>7210.6046034584351</v>
      </c>
      <c r="AC14" s="33">
        <f t="shared" si="4"/>
        <v>7400.4046034584353</v>
      </c>
      <c r="AD14" s="33">
        <f t="shared" si="5"/>
        <v>7408.934603458435</v>
      </c>
      <c r="AE14" s="33">
        <f t="shared" si="6"/>
        <v>7383.6446034584351</v>
      </c>
      <c r="AF14" s="33">
        <f t="shared" si="7"/>
        <v>7384.934603458435</v>
      </c>
      <c r="AG14" s="42">
        <f>+E14-'Modelo Soja'!BL14</f>
        <v>7134.6046034584351</v>
      </c>
    </row>
    <row r="15" spans="2:33" x14ac:dyDescent="0.3">
      <c r="B15" s="31" t="str">
        <f t="shared" si="0"/>
        <v>20221</v>
      </c>
      <c r="C15" s="17">
        <f t="shared" si="8"/>
        <v>44562</v>
      </c>
      <c r="D15" s="32">
        <f ca="1">IFERROR(AVERAGEIF('Preço Soja ESALQ'!$C:$C,'Modelo Soja'!$B15,'Preço Soja ESALQ'!Q:Q),NA())</f>
        <v>8338.0633333333335</v>
      </c>
      <c r="E15" s="32">
        <f>+[5]mensal!C14</f>
        <v>7510.4032746190478</v>
      </c>
      <c r="H15" s="32">
        <f t="shared" ca="1" si="1"/>
        <v>7337.4957333333332</v>
      </c>
      <c r="T15" s="36">
        <f>+[6]FSORPRA!H14</f>
        <v>375.625</v>
      </c>
      <c r="U15" s="36">
        <f>+[6]FRONPRA!H14</f>
        <v>285</v>
      </c>
      <c r="V15" s="36">
        <f>VLOOKUP(B15,'Frete ESALQ'!$C$5:$AL$131,36,FALSE)</f>
        <v>74.849999999999994</v>
      </c>
      <c r="W15" s="36">
        <f>VLOOKUP(B15,'Frete ESALQ'!$C$5:$AW$131,47,FALSE)</f>
        <v>71.75</v>
      </c>
      <c r="X15" s="36">
        <f>VLOOKUP(B15,'Frete ESALQ'!$C$5:$BH$131,58,FALSE)</f>
        <v>121.72</v>
      </c>
      <c r="Y15" s="36">
        <f>VLOOKUP(B15,'Frete ESALQ'!$C$5:$BH$131,32,FALSE)</f>
        <v>127.6</v>
      </c>
      <c r="AA15" s="33">
        <f t="shared" si="2"/>
        <v>7134.7782746190478</v>
      </c>
      <c r="AB15" s="33">
        <f t="shared" si="3"/>
        <v>7225.4032746190478</v>
      </c>
      <c r="AC15" s="33">
        <f t="shared" si="4"/>
        <v>7435.5532746190474</v>
      </c>
      <c r="AD15" s="33">
        <f t="shared" si="5"/>
        <v>7438.6532746190478</v>
      </c>
      <c r="AE15" s="33">
        <f t="shared" si="6"/>
        <v>7388.6832746190476</v>
      </c>
      <c r="AF15" s="33">
        <f t="shared" si="7"/>
        <v>7382.8032746190474</v>
      </c>
      <c r="AG15" s="42">
        <f>+E15-'Modelo Soja'!BL15</f>
        <v>7144.7782746190478</v>
      </c>
    </row>
    <row r="16" spans="2:33" x14ac:dyDescent="0.3">
      <c r="B16" s="31" t="str">
        <f t="shared" si="0"/>
        <v>20222</v>
      </c>
      <c r="C16" s="17">
        <f t="shared" si="8"/>
        <v>44593</v>
      </c>
      <c r="D16" s="32">
        <f ca="1">IFERROR(AVERAGEIF('Preço Soja ESALQ'!$C:$C,'Modelo Soja'!$B16,'Preço Soja ESALQ'!Q:Q),NA())</f>
        <v>8578.1194736842117</v>
      </c>
      <c r="E16" s="32">
        <f>+[5]mensal!C15</f>
        <v>7888.8914828499983</v>
      </c>
      <c r="H16" s="32">
        <f t="shared" ca="1" si="1"/>
        <v>7548.7451368421061</v>
      </c>
      <c r="T16" s="36">
        <f>+[6]FSORPRA!H15</f>
        <v>396.25</v>
      </c>
      <c r="U16" s="36">
        <f>+[6]FRONPRA!H15</f>
        <v>293.75</v>
      </c>
      <c r="V16" s="36">
        <f>VLOOKUP(B16,'Frete ESALQ'!$C$5:$AL$131,36,FALSE)</f>
        <v>99.95</v>
      </c>
      <c r="W16" s="36">
        <f>VLOOKUP(B16,'Frete ESALQ'!$C$5:$AW$131,47,FALSE)</f>
        <v>70</v>
      </c>
      <c r="X16" s="36">
        <f>VLOOKUP(B16,'Frete ESALQ'!$C$5:$BH$131,58,FALSE)</f>
        <v>92.53</v>
      </c>
      <c r="Y16" s="36">
        <f>VLOOKUP(B16,'Frete ESALQ'!$C$5:$BH$131,32,FALSE)</f>
        <v>102.79</v>
      </c>
      <c r="AA16" s="33">
        <f t="shared" si="2"/>
        <v>7492.6414828499983</v>
      </c>
      <c r="AB16" s="33">
        <f t="shared" si="3"/>
        <v>7595.1414828499983</v>
      </c>
      <c r="AC16" s="33">
        <f t="shared" si="4"/>
        <v>7788.9414828499985</v>
      </c>
      <c r="AD16" s="33">
        <f t="shared" si="5"/>
        <v>7818.8914828499983</v>
      </c>
      <c r="AE16" s="33">
        <f t="shared" si="6"/>
        <v>7796.3614828499985</v>
      </c>
      <c r="AF16" s="33">
        <f t="shared" si="7"/>
        <v>7786.1014828499983</v>
      </c>
      <c r="AG16" s="42">
        <f>+E16-'Modelo Soja'!BL16</f>
        <v>7502.6414828499983</v>
      </c>
    </row>
    <row r="17" spans="2:33" x14ac:dyDescent="0.3">
      <c r="B17" s="31" t="str">
        <f t="shared" si="0"/>
        <v>20223</v>
      </c>
      <c r="C17" s="17">
        <f t="shared" si="8"/>
        <v>44621</v>
      </c>
      <c r="D17" s="32">
        <f ca="1">IFERROR(AVERAGEIF('Preço Soja ESALQ'!$C:$C,'Modelo Soja'!$B17,'Preço Soja ESALQ'!Q:Q),NA())</f>
        <v>9353.9549999999981</v>
      </c>
      <c r="E17" s="32">
        <f>+[5]mensal!C16</f>
        <v>8650.622948695649</v>
      </c>
      <c r="H17" s="32">
        <f t="shared" ca="1" si="1"/>
        <v>8231.4803999999986</v>
      </c>
      <c r="T17" s="36">
        <f>+[6]FSORPRA!H16</f>
        <v>420.625</v>
      </c>
      <c r="U17" s="36">
        <f>+[6]FRONPRA!H16</f>
        <v>320</v>
      </c>
      <c r="V17" s="36">
        <f>VLOOKUP(B17,'Frete ESALQ'!$C$5:$AL$131,36,FALSE)</f>
        <v>146.59</v>
      </c>
      <c r="W17" s="36">
        <f>VLOOKUP(B17,'Frete ESALQ'!$C$5:$AW$131,47,FALSE)</f>
        <v>118.4</v>
      </c>
      <c r="X17" s="36">
        <f>VLOOKUP(B17,'Frete ESALQ'!$C$5:$BH$131,58,FALSE)</f>
        <v>102.63</v>
      </c>
      <c r="Y17" s="36">
        <f>VLOOKUP(B17,'Frete ESALQ'!$C$5:$BH$131,32,FALSE)</f>
        <v>110.96</v>
      </c>
      <c r="AA17" s="33">
        <f t="shared" si="2"/>
        <v>8229.997948695649</v>
      </c>
      <c r="AB17" s="33">
        <f t="shared" si="3"/>
        <v>8330.622948695649</v>
      </c>
      <c r="AC17" s="33">
        <f t="shared" si="4"/>
        <v>8504.0329486956489</v>
      </c>
      <c r="AD17" s="33">
        <f t="shared" si="5"/>
        <v>8532.2229486956494</v>
      </c>
      <c r="AE17" s="33">
        <f t="shared" si="6"/>
        <v>8547.9929486956498</v>
      </c>
      <c r="AF17" s="33">
        <f t="shared" si="7"/>
        <v>8539.6629486956499</v>
      </c>
      <c r="AG17" s="42">
        <f>+E17-'Modelo Soja'!BL17</f>
        <v>8239.997948695649</v>
      </c>
    </row>
    <row r="18" spans="2:33" x14ac:dyDescent="0.3">
      <c r="B18" s="31" t="str">
        <f t="shared" si="0"/>
        <v>20224</v>
      </c>
      <c r="C18" s="17">
        <f t="shared" si="8"/>
        <v>44652</v>
      </c>
      <c r="D18" s="32">
        <f ca="1">IFERROR(AVERAGEIF('Preço Soja ESALQ'!$C:$C,'Modelo Soja'!$B18,'Preço Soja ESALQ'!Q:Q),NA())</f>
        <v>9201.4536842105281</v>
      </c>
      <c r="E18" s="32">
        <f>+[5]mensal!C17</f>
        <v>8622.7853803333328</v>
      </c>
      <c r="H18" s="32">
        <f t="shared" ca="1" si="1"/>
        <v>8097.2792421052645</v>
      </c>
      <c r="T18" s="36">
        <f>+[6]FSORPRA!H17</f>
        <v>474.4</v>
      </c>
      <c r="U18" s="36">
        <f>+[6]FRONPRA!H17</f>
        <v>317</v>
      </c>
      <c r="V18" s="36">
        <f>VLOOKUP(B18,'Frete ESALQ'!$C$5:$AL$131,36,FALSE)</f>
        <v>127.59</v>
      </c>
      <c r="W18" s="36">
        <f>VLOOKUP(B18,'Frete ESALQ'!$C$5:$AW$131,47,FALSE)</f>
        <v>105.25</v>
      </c>
      <c r="X18" s="36">
        <f>VLOOKUP(B18,'Frete ESALQ'!$C$5:$BH$131,58,FALSE)</f>
        <v>99.55</v>
      </c>
      <c r="Y18" s="36">
        <f>VLOOKUP(B18,'Frete ESALQ'!$C$5:$BH$131,32,FALSE)</f>
        <v>107.48</v>
      </c>
      <c r="AA18" s="33">
        <f t="shared" si="2"/>
        <v>8148.3853803333332</v>
      </c>
      <c r="AB18" s="33">
        <f t="shared" si="3"/>
        <v>8305.7853803333328</v>
      </c>
      <c r="AC18" s="33">
        <f t="shared" si="4"/>
        <v>8495.1953803333327</v>
      </c>
      <c r="AD18" s="33">
        <f t="shared" si="5"/>
        <v>8517.5353803333328</v>
      </c>
      <c r="AE18" s="33">
        <f t="shared" si="6"/>
        <v>8523.2353803333335</v>
      </c>
      <c r="AF18" s="33">
        <f t="shared" si="7"/>
        <v>8515.3053803333332</v>
      </c>
      <c r="AG18" s="42">
        <f>+E18-'Modelo Soja'!BL18</f>
        <v>8158.3853803333332</v>
      </c>
    </row>
    <row r="19" spans="2:33" x14ac:dyDescent="0.3">
      <c r="B19" s="31" t="str">
        <f t="shared" si="0"/>
        <v>20225</v>
      </c>
      <c r="C19" s="17">
        <f t="shared" si="8"/>
        <v>44682</v>
      </c>
      <c r="D19" s="32">
        <f ca="1">IFERROR(AVERAGEIF('Preço Soja ESALQ'!$C:$C,'Modelo Soja'!$B19,'Preço Soja ESALQ'!Q:Q),NA())</f>
        <v>9715.5077272727249</v>
      </c>
      <c r="E19" s="32">
        <f>+[5]mensal!C18</f>
        <v>9140.9271790909097</v>
      </c>
      <c r="H19" s="32">
        <f t="shared" ca="1" si="1"/>
        <v>8549.6467999999986</v>
      </c>
      <c r="T19" s="36">
        <f>+[6]FSORPRA!H18</f>
        <v>465</v>
      </c>
      <c r="U19" s="36">
        <f>+[6]FRONPRA!H18</f>
        <v>330</v>
      </c>
      <c r="V19" s="36">
        <f>VLOOKUP(B19,'Frete ESALQ'!$C$5:$AL$131,36,FALSE)</f>
        <v>127.5</v>
      </c>
      <c r="W19" s="36">
        <f>VLOOKUP(B19,'Frete ESALQ'!$C$5:$AW$131,47,FALSE)</f>
        <v>109.2</v>
      </c>
      <c r="X19" s="36">
        <f>VLOOKUP(B19,'Frete ESALQ'!$C$5:$BH$131,58,FALSE)</f>
        <v>122.4</v>
      </c>
      <c r="Y19" s="36">
        <f>VLOOKUP(B19,'Frete ESALQ'!$C$5:$BH$131,32,FALSE)</f>
        <v>130.56</v>
      </c>
      <c r="AA19" s="33">
        <f t="shared" si="2"/>
        <v>8675.9271790909097</v>
      </c>
      <c r="AB19" s="33">
        <f t="shared" si="3"/>
        <v>8810.9271790909097</v>
      </c>
      <c r="AC19" s="33">
        <f t="shared" si="4"/>
        <v>9013.4271790909097</v>
      </c>
      <c r="AD19" s="33">
        <f t="shared" si="5"/>
        <v>9031.727179090909</v>
      </c>
      <c r="AE19" s="33">
        <f t="shared" si="6"/>
        <v>9018.5271790909101</v>
      </c>
      <c r="AF19" s="33">
        <f t="shared" si="7"/>
        <v>9010.3671790909102</v>
      </c>
      <c r="AG19" s="42">
        <f>+E19-'Modelo Soja'!BL19</f>
        <v>8685.9271790909097</v>
      </c>
    </row>
    <row r="20" spans="2:33" x14ac:dyDescent="0.3">
      <c r="B20" s="31" t="str">
        <f t="shared" si="0"/>
        <v>20226</v>
      </c>
      <c r="C20" s="17">
        <f t="shared" si="8"/>
        <v>44713</v>
      </c>
      <c r="D20" s="32">
        <f ca="1">IFERROR(AVERAGEIF('Preço Soja ESALQ'!$C:$C,'Modelo Soja'!$B20,'Preço Soja ESALQ'!Q:Q),NA())</f>
        <v>9168.165714285713</v>
      </c>
      <c r="E20" s="32">
        <f>+[5]mensal!C19</f>
        <v>8097.9163633636381</v>
      </c>
      <c r="H20" s="32">
        <f t="shared" ca="1" si="1"/>
        <v>8067.9858285714272</v>
      </c>
      <c r="T20" s="36">
        <f>+[6]FSORPRA!H19</f>
        <v>535</v>
      </c>
      <c r="U20" s="36">
        <f>+[6]FRONPRA!H19</f>
        <v>373.75</v>
      </c>
      <c r="V20" s="36">
        <f>VLOOKUP(B20,'Frete ESALQ'!$C$5:$AL$131,36,FALSE)</f>
        <v>110</v>
      </c>
      <c r="W20" s="36">
        <f>VLOOKUP(B20,'Frete ESALQ'!$C$5:$AW$131,47,FALSE)</f>
        <v>115.3</v>
      </c>
      <c r="X20" s="36">
        <f>VLOOKUP(B20,'Frete ESALQ'!$C$5:$BH$131,58,FALSE)</f>
        <v>92.46</v>
      </c>
      <c r="Y20" s="36">
        <f>VLOOKUP(B20,'Frete ESALQ'!$C$5:$BH$131,32,FALSE)</f>
        <v>101.66</v>
      </c>
      <c r="AA20" s="33">
        <f t="shared" si="2"/>
        <v>7562.9163633636381</v>
      </c>
      <c r="AB20" s="33">
        <f t="shared" si="3"/>
        <v>7724.1663633636381</v>
      </c>
      <c r="AC20" s="33">
        <f t="shared" si="4"/>
        <v>7987.9163633636381</v>
      </c>
      <c r="AD20" s="33">
        <f t="shared" si="5"/>
        <v>7982.6163633636379</v>
      </c>
      <c r="AE20" s="33">
        <f t="shared" si="6"/>
        <v>8005.456363363638</v>
      </c>
      <c r="AF20" s="33">
        <f t="shared" si="7"/>
        <v>7996.2563633636382</v>
      </c>
      <c r="AG20" s="42">
        <f>+E20-'Modelo Soja'!BL20</f>
        <v>7572.9163633636381</v>
      </c>
    </row>
    <row r="21" spans="2:33" x14ac:dyDescent="0.3">
      <c r="B21" s="31" t="str">
        <f t="shared" si="0"/>
        <v>20227</v>
      </c>
      <c r="C21" s="17">
        <f t="shared" si="8"/>
        <v>44743</v>
      </c>
      <c r="D21" s="32">
        <f ca="1">IFERROR(AVERAGEIF('Preço Soja ESALQ'!$C:$C,'Modelo Soja'!$B21,'Preço Soja ESALQ'!Q:Q),NA())</f>
        <v>8163.08</v>
      </c>
      <c r="E21" s="32">
        <f>+[5]mensal!C20</f>
        <v>7066.7722575238095</v>
      </c>
      <c r="H21" s="32">
        <f t="shared" ca="1" si="1"/>
        <v>7183.5104000000001</v>
      </c>
      <c r="T21" s="36">
        <f>+[6]FSORPRA!H20</f>
        <v>530</v>
      </c>
      <c r="U21" s="36">
        <f>+[6]FRONPRA!H20</f>
        <v>398</v>
      </c>
      <c r="V21" s="36">
        <f>VLOOKUP(B21,'Frete ESALQ'!$C$5:$AL$131,36,FALSE)</f>
        <v>147.75</v>
      </c>
      <c r="W21" s="36">
        <f>VLOOKUP(B21,'Frete ESALQ'!$C$5:$AW$131,47,FALSE)</f>
        <v>125</v>
      </c>
      <c r="X21" s="36">
        <f>VLOOKUP(B21,'Frete ESALQ'!$C$5:$BH$131,58,FALSE)</f>
        <v>121</v>
      </c>
      <c r="Y21" s="36">
        <f>VLOOKUP(B21,'Frete ESALQ'!$C$5:$BH$131,32,FALSE)</f>
        <v>100</v>
      </c>
      <c r="AA21" s="33">
        <f t="shared" si="2"/>
        <v>6536.7722575238095</v>
      </c>
      <c r="AB21" s="33">
        <f t="shared" si="3"/>
        <v>6668.7722575238095</v>
      </c>
      <c r="AC21" s="33">
        <f t="shared" si="4"/>
        <v>6919.0222575238095</v>
      </c>
      <c r="AD21" s="33">
        <f t="shared" si="5"/>
        <v>6941.7722575238095</v>
      </c>
      <c r="AE21" s="33">
        <f t="shared" si="6"/>
        <v>6945.7722575238095</v>
      </c>
      <c r="AF21" s="33">
        <f t="shared" si="7"/>
        <v>6966.7722575238095</v>
      </c>
      <c r="AG21" s="42">
        <f>+E21-'Modelo Soja'!BL21</f>
        <v>6546.7722575238095</v>
      </c>
    </row>
    <row r="22" spans="2:33" x14ac:dyDescent="0.3">
      <c r="B22" s="31" t="str">
        <f t="shared" si="0"/>
        <v>20228</v>
      </c>
      <c r="C22" s="17">
        <f t="shared" si="8"/>
        <v>44774</v>
      </c>
      <c r="D22" s="32">
        <f ca="1">IFERROR(AVERAGEIF('Preço Soja ESALQ'!$C:$C,'Modelo Soja'!$B22,'Preço Soja ESALQ'!Q:Q),NA())</f>
        <v>7771.6139130434776</v>
      </c>
      <c r="E22" s="32">
        <f>+[5]mensal!C21</f>
        <v>7096.3803166956504</v>
      </c>
      <c r="H22" s="32">
        <f t="shared" ca="1" si="1"/>
        <v>6839.0202434782605</v>
      </c>
      <c r="T22" s="36">
        <f>+[6]FSORPRA!H21</f>
        <v>474.875</v>
      </c>
      <c r="U22" s="36">
        <f>+[6]FRONPRA!H21</f>
        <v>355</v>
      </c>
      <c r="V22" s="36">
        <f>VLOOKUP(B22,'Frete ESALQ'!$C$5:$AL$131,36,FALSE)</f>
        <v>140.82</v>
      </c>
      <c r="W22" s="36">
        <f>VLOOKUP(B22,'Frete ESALQ'!$C$5:$AW$131,47,FALSE)</f>
        <v>126.75</v>
      </c>
      <c r="X22" s="36">
        <f>VLOOKUP(B22,'Frete ESALQ'!$C$5:$BH$131,58,FALSE)</f>
        <v>111.58</v>
      </c>
      <c r="Y22" s="36">
        <f>VLOOKUP(B22,'Frete ESALQ'!$C$5:$BH$131,32,FALSE)</f>
        <v>116.89</v>
      </c>
      <c r="AA22" s="33">
        <f t="shared" si="2"/>
        <v>6621.5053166956504</v>
      </c>
      <c r="AB22" s="33">
        <f t="shared" si="3"/>
        <v>6741.3803166956504</v>
      </c>
      <c r="AC22" s="33">
        <f t="shared" si="4"/>
        <v>6955.5603166956507</v>
      </c>
      <c r="AD22" s="33">
        <f t="shared" si="5"/>
        <v>6969.6303166956504</v>
      </c>
      <c r="AE22" s="33">
        <f t="shared" si="6"/>
        <v>6984.8003166956505</v>
      </c>
      <c r="AF22" s="33">
        <f t="shared" si="7"/>
        <v>6979.4903166956501</v>
      </c>
      <c r="AG22" s="42">
        <f>+E22-'Modelo Soja'!BL22</f>
        <v>6631.5053166956504</v>
      </c>
    </row>
    <row r="23" spans="2:33" x14ac:dyDescent="0.3">
      <c r="B23" s="31" t="str">
        <f t="shared" si="0"/>
        <v>20229</v>
      </c>
      <c r="C23" s="17">
        <f t="shared" si="8"/>
        <v>44805</v>
      </c>
      <c r="D23" s="32">
        <f ca="1">IFERROR(AVERAGEIF('Preço Soja ESALQ'!$C:$C,'Modelo Soja'!$B23,'Preço Soja ESALQ'!Q:Q),NA())</f>
        <v>7357.0304761904754</v>
      </c>
      <c r="E23" s="32">
        <f>+[5]mensal!C22</f>
        <v>6397.7521325000007</v>
      </c>
      <c r="H23" s="32">
        <f t="shared" ca="1" si="1"/>
        <v>6474.186819047618</v>
      </c>
      <c r="T23" s="36">
        <f>+[6]FSORPRA!H22</f>
        <v>434</v>
      </c>
      <c r="U23" s="36">
        <f>+[6]FRONPRA!H22</f>
        <v>298</v>
      </c>
      <c r="V23" s="37">
        <f>(V22+V24)/2</f>
        <v>138.12</v>
      </c>
      <c r="W23" s="37">
        <f>(W22+W24)/2</f>
        <v>111.375</v>
      </c>
      <c r="X23" s="37">
        <f t="shared" ref="X23:Y23" si="9">(X22+X24)/2</f>
        <v>114.9</v>
      </c>
      <c r="Y23" s="37">
        <f t="shared" si="9"/>
        <v>119.68</v>
      </c>
      <c r="AA23" s="33">
        <f t="shared" si="2"/>
        <v>5963.7521325000007</v>
      </c>
      <c r="AB23" s="33">
        <f t="shared" si="3"/>
        <v>6099.7521325000007</v>
      </c>
      <c r="AC23" s="33">
        <f t="shared" si="4"/>
        <v>6259.6321325000008</v>
      </c>
      <c r="AD23" s="33">
        <f t="shared" si="5"/>
        <v>6286.3771325000007</v>
      </c>
      <c r="AE23" s="33">
        <f t="shared" si="6"/>
        <v>6282.8521325000011</v>
      </c>
      <c r="AF23" s="33">
        <f t="shared" si="7"/>
        <v>6278.0721325000004</v>
      </c>
      <c r="AG23" s="42">
        <f>+E23-'Modelo Soja'!BL23</f>
        <v>5973.7521325000007</v>
      </c>
    </row>
    <row r="24" spans="2:33" x14ac:dyDescent="0.3">
      <c r="B24" s="31" t="str">
        <f t="shared" si="0"/>
        <v>202210</v>
      </c>
      <c r="C24" s="17">
        <f t="shared" si="8"/>
        <v>44835</v>
      </c>
      <c r="D24" s="32">
        <f ca="1">IFERROR(AVERAGEIF('Preço Soja ESALQ'!$C:$C,'Modelo Soja'!$B24,'Preço Soja ESALQ'!Q:Q),NA())</f>
        <v>7218.4325000000008</v>
      </c>
      <c r="E24" s="32">
        <f>+[5]mensal!C23</f>
        <v>6730.8277140476175</v>
      </c>
      <c r="H24" s="32">
        <f t="shared" ca="1" si="1"/>
        <v>6352.2206000000006</v>
      </c>
      <c r="T24" s="36">
        <f>+[6]FSORPRA!H23</f>
        <v>400</v>
      </c>
      <c r="U24" s="36">
        <f>+[6]FRONPRA!H23</f>
        <v>280</v>
      </c>
      <c r="V24" s="36">
        <f>VLOOKUP(B24,'Frete ESALQ'!$C$5:$AL$131,36,FALSE)</f>
        <v>135.41999999999999</v>
      </c>
      <c r="W24" s="36">
        <f>VLOOKUP(B24,'Frete ESALQ'!$C$5:$AW$131,47,FALSE)</f>
        <v>96</v>
      </c>
      <c r="X24" s="36">
        <f>VLOOKUP(B24,'Frete ESALQ'!$C$5:$BH$131,58,FALSE)</f>
        <v>118.22</v>
      </c>
      <c r="Y24" s="36">
        <f>VLOOKUP(B24,'Frete ESALQ'!$C$5:$BH$131,32,FALSE)</f>
        <v>122.47</v>
      </c>
      <c r="AA24" s="33">
        <f t="shared" si="2"/>
        <v>6330.8277140476175</v>
      </c>
      <c r="AB24" s="33">
        <f t="shared" si="3"/>
        <v>6450.8277140476175</v>
      </c>
      <c r="AC24" s="33">
        <f t="shared" si="4"/>
        <v>6595.4077140476174</v>
      </c>
      <c r="AD24" s="33">
        <f t="shared" si="5"/>
        <v>6634.8277140476175</v>
      </c>
      <c r="AE24" s="33">
        <f t="shared" si="6"/>
        <v>6612.6077140476173</v>
      </c>
      <c r="AF24" s="33">
        <f t="shared" si="7"/>
        <v>6608.3577140476173</v>
      </c>
      <c r="AG24" s="42">
        <f>+E24-'Modelo Soja'!BL24</f>
        <v>6340.8277140476175</v>
      </c>
    </row>
    <row r="25" spans="2:33" x14ac:dyDescent="0.3">
      <c r="B25" s="31" t="str">
        <f t="shared" si="0"/>
        <v>202211</v>
      </c>
      <c r="C25" s="17">
        <f t="shared" si="8"/>
        <v>44866</v>
      </c>
      <c r="D25" s="32">
        <f ca="1">IFERROR(AVERAGEIF('Preço Soja ESALQ'!$C:$C,'Modelo Soja'!$B25,'Preço Soja ESALQ'!Q:Q),NA())</f>
        <v>7884.7335000000003</v>
      </c>
      <c r="E25" s="32">
        <f>+[5]mensal!C24</f>
        <v>7114.3804593181812</v>
      </c>
      <c r="H25" s="32">
        <f t="shared" ca="1" si="1"/>
        <v>6938.5654800000002</v>
      </c>
      <c r="T25" s="36">
        <f>+[6]FSORPRA!H24</f>
        <v>385</v>
      </c>
      <c r="U25" s="36">
        <f>+[6]FRONPRA!H24</f>
        <v>290</v>
      </c>
      <c r="V25" s="36">
        <f>VLOOKUP(B25,'Frete ESALQ'!$C$5:$AL$131,36,FALSE)</f>
        <v>120</v>
      </c>
      <c r="W25" s="36">
        <f>VLOOKUP(B25,'Frete ESALQ'!$C$5:$AW$131,47,FALSE)</f>
        <v>97.5</v>
      </c>
      <c r="X25" s="36">
        <f>VLOOKUP(B25,'Frete ESALQ'!$C$5:$BH$131,58,FALSE)</f>
        <v>137</v>
      </c>
      <c r="Y25" s="36">
        <f>VLOOKUP(B25,'Frete ESALQ'!$C$5:$BH$131,32,FALSE)</f>
        <v>133</v>
      </c>
      <c r="AA25" s="33">
        <f t="shared" si="2"/>
        <v>6729.3804593181812</v>
      </c>
      <c r="AB25" s="33">
        <f t="shared" si="3"/>
        <v>6824.3804593181812</v>
      </c>
      <c r="AC25" s="33">
        <f t="shared" si="4"/>
        <v>6994.3804593181812</v>
      </c>
      <c r="AD25" s="33">
        <f t="shared" si="5"/>
        <v>7016.8804593181812</v>
      </c>
      <c r="AE25" s="33">
        <f t="shared" si="6"/>
        <v>6977.3804593181812</v>
      </c>
      <c r="AF25" s="33">
        <f t="shared" si="7"/>
        <v>6981.3804593181812</v>
      </c>
      <c r="AG25" s="42">
        <f>+E25-'Modelo Soja'!BL25</f>
        <v>6739.3804593181812</v>
      </c>
    </row>
    <row r="26" spans="2:33" x14ac:dyDescent="0.3">
      <c r="B26" s="31" t="str">
        <f t="shared" si="0"/>
        <v>202212</v>
      </c>
      <c r="C26" s="17">
        <f t="shared" si="8"/>
        <v>44896</v>
      </c>
      <c r="D26" s="32">
        <f ca="1">IFERROR(AVERAGEIF('Preço Soja ESALQ'!$C:$C,'Modelo Soja'!$B26,'Preço Soja ESALQ'!Q:Q),NA())</f>
        <v>7362.7152380952393</v>
      </c>
      <c r="E26" s="32">
        <f>+[5]mensal!C25</f>
        <v>6456.5643112727294</v>
      </c>
      <c r="H26" s="32">
        <f t="shared" ca="1" si="1"/>
        <v>6479.1894095238104</v>
      </c>
      <c r="T26" s="36">
        <f>+[6]FSORPRA!H25</f>
        <v>457.5</v>
      </c>
      <c r="U26" s="36">
        <f>+[6]FRONPRA!H25</f>
        <v>288.75</v>
      </c>
      <c r="V26" s="37">
        <f t="shared" ref="V26:Y26" si="10">+(V25*2+V28)/3</f>
        <v>131.63999999999999</v>
      </c>
      <c r="W26" s="37">
        <f t="shared" si="10"/>
        <v>111.66666666666667</v>
      </c>
      <c r="X26" s="37">
        <f t="shared" si="10"/>
        <v>136</v>
      </c>
      <c r="Y26" s="37">
        <f t="shared" si="10"/>
        <v>136.91333333333333</v>
      </c>
      <c r="AA26" s="33">
        <f t="shared" si="2"/>
        <v>5999.0643112727294</v>
      </c>
      <c r="AB26" s="33">
        <f t="shared" si="3"/>
        <v>6167.8143112727294</v>
      </c>
      <c r="AC26" s="33">
        <f t="shared" si="4"/>
        <v>6324.924311272729</v>
      </c>
      <c r="AD26" s="33">
        <f t="shared" si="5"/>
        <v>6344.8976446060624</v>
      </c>
      <c r="AE26" s="33">
        <f t="shared" si="6"/>
        <v>6320.5643112727294</v>
      </c>
      <c r="AF26" s="33">
        <f t="shared" si="7"/>
        <v>6319.6509779393964</v>
      </c>
      <c r="AG26" s="42">
        <f>+E26-'Modelo Soja'!BL26</f>
        <v>6009.0643112727294</v>
      </c>
    </row>
    <row r="27" spans="2:33" x14ac:dyDescent="0.3">
      <c r="B27" s="31" t="str">
        <f t="shared" si="0"/>
        <v>20231</v>
      </c>
      <c r="C27" s="17">
        <f t="shared" si="8"/>
        <v>44927</v>
      </c>
      <c r="D27" s="32">
        <f ca="1">IFERROR(AVERAGEIF('Preço Soja ESALQ'!$C:$C,'Modelo Soja'!$B27,'Preço Soja ESALQ'!Q:Q),NA())</f>
        <v>6945.4250000000002</v>
      </c>
      <c r="E27" s="32">
        <f>+[5]mensal!C26</f>
        <v>6101.9268512727258</v>
      </c>
      <c r="F27" s="32"/>
      <c r="G27" s="32"/>
      <c r="H27" s="32">
        <f t="shared" ca="1" si="1"/>
        <v>6111.9740000000002</v>
      </c>
      <c r="T27" s="36">
        <f>+[6]FSORPRA!H26</f>
        <v>450</v>
      </c>
      <c r="U27" s="36">
        <f>+[6]FRONPRA!H26</f>
        <v>340</v>
      </c>
      <c r="V27" s="37">
        <f t="shared" ref="V27:Y27" si="11">+(V28*2+V25)/3</f>
        <v>143.28</v>
      </c>
      <c r="W27" s="37">
        <f t="shared" si="11"/>
        <v>125.83333333333333</v>
      </c>
      <c r="X27" s="37">
        <f t="shared" si="11"/>
        <v>135</v>
      </c>
      <c r="Y27" s="37">
        <f t="shared" si="11"/>
        <v>140.82666666666668</v>
      </c>
      <c r="AA27" s="33">
        <f t="shared" si="2"/>
        <v>5651.9268512727258</v>
      </c>
      <c r="AB27" s="33">
        <f t="shared" si="3"/>
        <v>5761.9268512727258</v>
      </c>
      <c r="AC27" s="33">
        <f t="shared" si="4"/>
        <v>5958.6468512727261</v>
      </c>
      <c r="AD27" s="33">
        <f t="shared" si="5"/>
        <v>5976.0935179393928</v>
      </c>
      <c r="AE27" s="33">
        <f t="shared" si="6"/>
        <v>5966.9268512727258</v>
      </c>
      <c r="AF27" s="33">
        <f t="shared" si="7"/>
        <v>5961.100184606059</v>
      </c>
      <c r="AG27" s="42">
        <f>+E27-'Modelo Soja'!BL27</f>
        <v>5661.9268512727258</v>
      </c>
    </row>
    <row r="28" spans="2:33" x14ac:dyDescent="0.3">
      <c r="B28" s="31" t="str">
        <f t="shared" si="0"/>
        <v>20232</v>
      </c>
      <c r="C28" s="17">
        <f t="shared" si="8"/>
        <v>44958</v>
      </c>
      <c r="D28" s="32">
        <f ca="1">IFERROR(AVERAGEIF('Preço Soja ESALQ'!$C:$C,'Modelo Soja'!$B28,'Preço Soja ESALQ'!Q:Q),NA())</f>
        <v>6526.9427777777782</v>
      </c>
      <c r="E28" s="32">
        <f>+[5]mensal!C27</f>
        <v>5932.9275063000005</v>
      </c>
      <c r="F28" s="32"/>
      <c r="G28" s="32"/>
      <c r="H28" s="32">
        <f t="shared" ca="1" si="1"/>
        <v>5743.7096444444451</v>
      </c>
      <c r="T28" s="36">
        <f>+[6]FSORPRA!H27</f>
        <v>518.5</v>
      </c>
      <c r="U28" s="36">
        <f>+[6]FRONPRA!H27</f>
        <v>392.5</v>
      </c>
      <c r="V28" s="36">
        <f>VLOOKUP(B28,'Frete ESALQ'!$C$5:$AL$131,36,FALSE)</f>
        <v>154.91999999999999</v>
      </c>
      <c r="W28" s="36">
        <f>VLOOKUP(B28,'Frete ESALQ'!$C$5:$AW$131,47,FALSE)</f>
        <v>140</v>
      </c>
      <c r="X28" s="36">
        <f>VLOOKUP(B28,'Frete ESALQ'!$C$5:$BH$131,58,FALSE)</f>
        <v>134</v>
      </c>
      <c r="Y28" s="36">
        <f>VLOOKUP(B28,'Frete ESALQ'!$C$5:$BH$131,32,FALSE)</f>
        <v>144.74</v>
      </c>
      <c r="AA28" s="33">
        <f t="shared" si="2"/>
        <v>5414.4275063000005</v>
      </c>
      <c r="AB28" s="33">
        <f t="shared" si="3"/>
        <v>5540.4275063000005</v>
      </c>
      <c r="AC28" s="33">
        <f t="shared" si="4"/>
        <v>5778.0075063000004</v>
      </c>
      <c r="AD28" s="33">
        <f t="shared" si="5"/>
        <v>5792.9275063000005</v>
      </c>
      <c r="AE28" s="33">
        <f t="shared" si="6"/>
        <v>5798.9275063000005</v>
      </c>
      <c r="AF28" s="33">
        <f t="shared" si="7"/>
        <v>5788.1875063000007</v>
      </c>
      <c r="AG28" s="42">
        <f>+E28-'Modelo Soja'!BL28</f>
        <v>5424.4275063000005</v>
      </c>
    </row>
    <row r="29" spans="2:33" x14ac:dyDescent="0.3">
      <c r="B29" s="31" t="str">
        <f t="shared" si="0"/>
        <v>20233</v>
      </c>
      <c r="C29" s="17">
        <f t="shared" si="8"/>
        <v>44986</v>
      </c>
      <c r="D29" s="32">
        <f ca="1">IFERROR(AVERAGEIF('Preço Soja ESALQ'!$C:$C,'Modelo Soja'!$B29,'Preço Soja ESALQ'!Q:Q),NA())</f>
        <v>6131.8269565217388</v>
      </c>
      <c r="E29" s="32">
        <f>+[5]mensal!C28</f>
        <v>5400.8614693913041</v>
      </c>
      <c r="F29" s="32"/>
      <c r="G29" s="32"/>
      <c r="H29" s="32">
        <f t="shared" ca="1" si="1"/>
        <v>5396.0077217391299</v>
      </c>
      <c r="T29" s="36">
        <f>+[6]FSORPRA!H28</f>
        <v>441.6</v>
      </c>
      <c r="U29" s="36">
        <f>+[6]FRONPRA!H28</f>
        <v>326</v>
      </c>
      <c r="V29" s="36">
        <f>VLOOKUP(B29,'Frete ESALQ'!$C$5:$AL$131,36,FALSE)</f>
        <v>181.34</v>
      </c>
      <c r="W29" s="36">
        <f>VLOOKUP(B29,'Frete ESALQ'!$C$5:$AW$131,47,FALSE)</f>
        <v>184.33</v>
      </c>
      <c r="X29" s="36">
        <f>VLOOKUP(B29,'Frete ESALQ'!$C$5:$BH$131,58,FALSE)</f>
        <v>124.85</v>
      </c>
      <c r="Y29" s="36">
        <f>VLOOKUP(B29,'Frete ESALQ'!$C$5:$BH$131,32,FALSE)</f>
        <v>134.22</v>
      </c>
      <c r="AA29" s="33">
        <f t="shared" si="2"/>
        <v>4959.2614693913038</v>
      </c>
      <c r="AB29" s="33">
        <f t="shared" si="3"/>
        <v>5074.8614693913041</v>
      </c>
      <c r="AC29" s="33">
        <f t="shared" si="4"/>
        <v>5219.521469391304</v>
      </c>
      <c r="AD29" s="33">
        <f t="shared" si="5"/>
        <v>5216.5314693913042</v>
      </c>
      <c r="AE29" s="33">
        <f t="shared" si="6"/>
        <v>5276.0114693913038</v>
      </c>
      <c r="AF29" s="33">
        <f t="shared" si="7"/>
        <v>5266.6414693913039</v>
      </c>
      <c r="AG29" s="42">
        <f>+E29-'Modelo Soja'!BL29</f>
        <v>4969.2614693913038</v>
      </c>
    </row>
    <row r="30" spans="2:33" x14ac:dyDescent="0.3">
      <c r="B30" s="31" t="str">
        <f t="shared" si="0"/>
        <v>20234</v>
      </c>
      <c r="C30" s="17">
        <f t="shared" si="8"/>
        <v>45017</v>
      </c>
      <c r="D30" s="32">
        <f ca="1">IFERROR(AVERAGEIF('Preço Soja ESALQ'!$C:$C,'Modelo Soja'!$B30,'Preço Soja ESALQ'!Q:Q),NA())</f>
        <v>5486.3366666666661</v>
      </c>
      <c r="E30" s="32">
        <f>+[5]mensal!C29</f>
        <v>4724.0803943999999</v>
      </c>
      <c r="F30" s="32"/>
      <c r="G30" s="32"/>
      <c r="H30" s="32">
        <f t="shared" ca="1" si="1"/>
        <v>4827.9762666666666</v>
      </c>
      <c r="T30" s="36">
        <f>+[6]FSORPRA!H29</f>
        <v>468.25</v>
      </c>
      <c r="U30" s="36">
        <f>+[6]FRONPRA!H29</f>
        <v>350</v>
      </c>
      <c r="V30" s="36">
        <f>VLOOKUP(B30,'Frete ESALQ'!$C$5:$AL$131,36,FALSE)</f>
        <v>193.29</v>
      </c>
      <c r="W30" s="36">
        <f>VLOOKUP(B30,'Frete ESALQ'!$C$5:$AW$131,47,FALSE)</f>
        <v>162.6</v>
      </c>
      <c r="X30" s="36">
        <f>VLOOKUP(B30,'Frete ESALQ'!$C$5:$BH$131,58,FALSE)</f>
        <v>132.5</v>
      </c>
      <c r="Y30" s="36">
        <f>VLOOKUP(B30,'Frete ESALQ'!$C$5:$BH$131,32,FALSE)</f>
        <v>130</v>
      </c>
      <c r="AA30" s="33">
        <f t="shared" si="2"/>
        <v>4255.8303943999999</v>
      </c>
      <c r="AB30" s="33">
        <f t="shared" si="3"/>
        <v>4374.0803943999999</v>
      </c>
      <c r="AC30" s="33">
        <f t="shared" si="4"/>
        <v>4530.7903944</v>
      </c>
      <c r="AD30" s="33">
        <f t="shared" si="5"/>
        <v>4561.4803943999996</v>
      </c>
      <c r="AE30" s="33">
        <f t="shared" si="6"/>
        <v>4591.5803943999999</v>
      </c>
      <c r="AF30" s="33">
        <f t="shared" si="7"/>
        <v>4594.0803943999999</v>
      </c>
      <c r="AG30" s="42">
        <f>+E30-'Modelo Soja'!BL30</f>
        <v>4265.8303943999999</v>
      </c>
    </row>
    <row r="31" spans="2:33" x14ac:dyDescent="0.3">
      <c r="B31" s="31" t="str">
        <f t="shared" si="0"/>
        <v>20235</v>
      </c>
      <c r="C31" s="17">
        <f t="shared" si="8"/>
        <v>45047</v>
      </c>
      <c r="D31" s="32">
        <f ca="1">IFERROR(AVERAGEIF('Preço Soja ESALQ'!$C:$C,'Modelo Soja'!$B31,'Preço Soja ESALQ'!Q:Q),NA())</f>
        <v>5176.1509090909094</v>
      </c>
      <c r="E31" s="32">
        <f>+[5]mensal!C30</f>
        <v>4464.729038391305</v>
      </c>
      <c r="F31" s="32"/>
      <c r="G31" s="32"/>
      <c r="H31" s="32">
        <f t="shared" ca="1" si="1"/>
        <v>4555.0128000000004</v>
      </c>
      <c r="T31" s="36">
        <f>+[6]FSORPRA!H30</f>
        <v>465</v>
      </c>
      <c r="U31" s="36">
        <f>+[6]FRONPRA!H30</f>
        <v>347.75</v>
      </c>
      <c r="V31" s="37">
        <f>(V30+V32)/2</f>
        <v>176.5</v>
      </c>
      <c r="W31" s="37">
        <f t="shared" ref="W31:Y31" si="12">(W30+W32)/2</f>
        <v>154.63499999999999</v>
      </c>
      <c r="X31" s="37">
        <f t="shared" si="12"/>
        <v>122.91499999999999</v>
      </c>
      <c r="Y31" s="37">
        <f t="shared" si="12"/>
        <v>125</v>
      </c>
      <c r="AA31" s="33">
        <f t="shared" si="2"/>
        <v>3999.729038391305</v>
      </c>
      <c r="AB31" s="33">
        <f t="shared" si="3"/>
        <v>4116.979038391305</v>
      </c>
      <c r="AC31" s="33">
        <f t="shared" si="4"/>
        <v>4288.229038391305</v>
      </c>
      <c r="AD31" s="33">
        <f t="shared" si="5"/>
        <v>4310.0940383913048</v>
      </c>
      <c r="AE31" s="33">
        <f t="shared" si="6"/>
        <v>4341.8140383913051</v>
      </c>
      <c r="AF31" s="33">
        <f t="shared" si="7"/>
        <v>4339.729038391305</v>
      </c>
      <c r="AG31" s="42">
        <f>+E31-'Modelo Soja'!BL31</f>
        <v>4009.729038391305</v>
      </c>
    </row>
    <row r="32" spans="2:33" x14ac:dyDescent="0.3">
      <c r="B32" s="31" t="str">
        <f t="shared" si="0"/>
        <v>20236</v>
      </c>
      <c r="C32" s="17">
        <f t="shared" si="8"/>
        <v>45078</v>
      </c>
      <c r="D32" s="32">
        <f ca="1">IFERROR(AVERAGEIF('Preço Soja ESALQ'!$C:$C,'Modelo Soja'!$B32,'Preço Soja ESALQ'!Q:Q),NA())</f>
        <v>4998.2485714285731</v>
      </c>
      <c r="E32" s="32">
        <f>+[5]mensal!C31</f>
        <v>4540.7592626818196</v>
      </c>
      <c r="F32" s="32"/>
      <c r="G32" s="32"/>
      <c r="H32" s="32">
        <f t="shared" ca="1" si="1"/>
        <v>4398.458742857144</v>
      </c>
      <c r="T32" s="36">
        <f>+[6]FSORPRA!H31</f>
        <v>502</v>
      </c>
      <c r="U32" s="36">
        <f>+[6]FRONPRA!H31</f>
        <v>357</v>
      </c>
      <c r="V32" s="36">
        <f>VLOOKUP(B32,'Frete ESALQ'!$C$5:$AL$131,36,FALSE)</f>
        <v>159.71</v>
      </c>
      <c r="W32" s="36">
        <f>VLOOKUP(B32,'Frete ESALQ'!$C$5:$AW$131,47,FALSE)</f>
        <v>146.66999999999999</v>
      </c>
      <c r="X32" s="36">
        <f>VLOOKUP(B32,'Frete ESALQ'!$C$5:$BH$131,58,FALSE)</f>
        <v>113.33</v>
      </c>
      <c r="Y32" s="36">
        <f>VLOOKUP(B32,'Frete ESALQ'!$C$5:$BH$131,32,FALSE)</f>
        <v>120</v>
      </c>
      <c r="AA32" s="33">
        <f t="shared" si="2"/>
        <v>4038.7592626818196</v>
      </c>
      <c r="AB32" s="33">
        <f t="shared" si="3"/>
        <v>4183.7592626818196</v>
      </c>
      <c r="AC32" s="33">
        <f t="shared" si="4"/>
        <v>4381.0492626818195</v>
      </c>
      <c r="AD32" s="33">
        <f t="shared" si="5"/>
        <v>4394.0892626818195</v>
      </c>
      <c r="AE32" s="33">
        <f t="shared" si="6"/>
        <v>4427.4292626818196</v>
      </c>
      <c r="AF32" s="33">
        <f t="shared" si="7"/>
        <v>4420.7592626818196</v>
      </c>
      <c r="AG32" s="42">
        <f>+E32-'Modelo Soja'!BL32</f>
        <v>4048.7592626818196</v>
      </c>
    </row>
    <row r="33" spans="2:33" x14ac:dyDescent="0.3">
      <c r="B33" s="31" t="str">
        <f t="shared" si="0"/>
        <v>20237</v>
      </c>
      <c r="C33" s="17">
        <f t="shared" si="8"/>
        <v>45108</v>
      </c>
      <c r="D33" s="32">
        <f ca="1">IFERROR(AVERAGEIF('Preço Soja ESALQ'!$C:$C,'Modelo Soja'!$B33,'Preço Soja ESALQ'!Q:Q),NA())</f>
        <v>5091.5790476190477</v>
      </c>
      <c r="E33" s="32">
        <f>+[5]mensal!C32</f>
        <v>4731.067068095238</v>
      </c>
      <c r="F33" s="32"/>
      <c r="G33" s="32"/>
      <c r="H33" s="32">
        <f t="shared" ca="1" si="1"/>
        <v>4480.5895619047624</v>
      </c>
      <c r="T33" s="36">
        <f>+[6]FSORPRA!H32</f>
        <v>526.4375</v>
      </c>
      <c r="U33" s="36">
        <f>+[6]FRONPRA!H32</f>
        <v>399.89749999999998</v>
      </c>
      <c r="V33" s="36">
        <f>VLOOKUP(B33,'Frete ESALQ'!$C$5:$AL$131,36,FALSE)</f>
        <v>159.71</v>
      </c>
      <c r="W33" s="36">
        <f>VLOOKUP(B33,'Frete ESALQ'!$C$5:$AW$131,47,FALSE)</f>
        <v>146.66999999999999</v>
      </c>
      <c r="X33" s="36">
        <f>VLOOKUP(B33,'Frete ESALQ'!$C$5:$BH$131,58,FALSE)</f>
        <v>113.33</v>
      </c>
      <c r="Y33" s="36">
        <f>VLOOKUP(B33,'Frete ESALQ'!$C$5:$BH$131,32,FALSE)</f>
        <v>120</v>
      </c>
      <c r="AA33" s="33">
        <f t="shared" si="2"/>
        <v>4204.629568095238</v>
      </c>
      <c r="AB33" s="33">
        <f t="shared" si="3"/>
        <v>4331.169568095238</v>
      </c>
      <c r="AC33" s="33">
        <f t="shared" si="4"/>
        <v>4571.357068095238</v>
      </c>
      <c r="AD33" s="33">
        <f t="shared" si="5"/>
        <v>4584.397068095238</v>
      </c>
      <c r="AE33" s="33">
        <f t="shared" si="6"/>
        <v>4617.7370680952381</v>
      </c>
      <c r="AF33" s="33">
        <f t="shared" si="7"/>
        <v>4611.067068095238</v>
      </c>
      <c r="AG33" s="42">
        <f>+E33-'Modelo Soja'!BL33</f>
        <v>4214.629568095238</v>
      </c>
    </row>
    <row r="34" spans="2:33" x14ac:dyDescent="0.3">
      <c r="B34" s="31" t="str">
        <f t="shared" si="0"/>
        <v>20238</v>
      </c>
      <c r="C34" s="17">
        <f t="shared" si="8"/>
        <v>45139</v>
      </c>
      <c r="D34" s="32">
        <f ca="1">IFERROR(AVERAGEIF('Preço Soja ESALQ'!$C:$C,'Modelo Soja'!$B34,'Preço Soja ESALQ'!Q:Q),NA())</f>
        <v>5208.329565217392</v>
      </c>
      <c r="E34" s="32">
        <f>+[5]mensal!C33</f>
        <v>4722.7573432608697</v>
      </c>
      <c r="F34" s="32"/>
      <c r="G34" s="32"/>
      <c r="H34" s="32">
        <f t="shared" ca="1" si="1"/>
        <v>4583.3300173913049</v>
      </c>
      <c r="T34" s="36">
        <f>+[6]FSORPRA!H33</f>
        <v>486.25</v>
      </c>
      <c r="U34" s="36">
        <f>+[6]FRONPRA!H33</f>
        <v>396.875</v>
      </c>
      <c r="V34" s="36">
        <f>VLOOKUP(B34,'Frete ESALQ'!$C$5:$AL$131,36,FALSE)</f>
        <v>193.11</v>
      </c>
      <c r="W34" s="36">
        <f>VLOOKUP(B34,'Frete ESALQ'!$C$5:$AW$131,47,FALSE)</f>
        <v>172.58</v>
      </c>
      <c r="X34" s="36">
        <f>VLOOKUP(B34,'Frete ESALQ'!$C$5:$BH$131,58,FALSE)</f>
        <v>127.5</v>
      </c>
      <c r="Y34" s="36">
        <f>VLOOKUP(B34,'Frete ESALQ'!$C$5:$BH$131,32,FALSE)</f>
        <v>130.16999999999999</v>
      </c>
      <c r="AA34" s="33">
        <f t="shared" si="2"/>
        <v>4236.5073432608697</v>
      </c>
      <c r="AB34" s="33">
        <f t="shared" si="3"/>
        <v>4325.8823432608697</v>
      </c>
      <c r="AC34" s="33">
        <f t="shared" si="4"/>
        <v>4529.64734326087</v>
      </c>
      <c r="AD34" s="33">
        <f t="shared" si="5"/>
        <v>4550.1773432608697</v>
      </c>
      <c r="AE34" s="33">
        <f t="shared" si="6"/>
        <v>4595.2573432608697</v>
      </c>
      <c r="AF34" s="33">
        <f t="shared" si="7"/>
        <v>4592.5873432608696</v>
      </c>
      <c r="AG34" s="42">
        <f>+E34-'Modelo Soja'!BL34</f>
        <v>4246.5073432608697</v>
      </c>
    </row>
    <row r="35" spans="2:33" x14ac:dyDescent="0.3">
      <c r="B35" s="31" t="str">
        <f t="shared" si="0"/>
        <v>20239</v>
      </c>
      <c r="C35" s="17">
        <f t="shared" si="8"/>
        <v>45170</v>
      </c>
      <c r="D35" s="32">
        <f ca="1">IFERROR(AVERAGEIF('Preço Soja ESALQ'!$C:$C,'Modelo Soja'!$B35,'Preço Soja ESALQ'!Q:Q),NA())</f>
        <v>5246.9394999999995</v>
      </c>
      <c r="E35" s="32">
        <f>+[5]mensal!C34</f>
        <v>4538.5485531904769</v>
      </c>
      <c r="F35" s="32"/>
      <c r="G35" s="32"/>
      <c r="H35" s="32">
        <f t="shared" ca="1" si="1"/>
        <v>4617.3067599999995</v>
      </c>
      <c r="T35" s="36">
        <f>+[6]FSORPRA!H34</f>
        <v>509.6</v>
      </c>
      <c r="U35" s="36">
        <f>+[6]FRONPRA!H34</f>
        <v>391.3</v>
      </c>
      <c r="V35" s="36">
        <f>VLOOKUP(B35,'Frete ESALQ'!$C$5:$AL$131,36,FALSE)</f>
        <v>182.6</v>
      </c>
      <c r="W35" s="36">
        <f>VLOOKUP(B35,'Frete ESALQ'!$C$5:$AW$131,47,FALSE)</f>
        <v>197.5</v>
      </c>
      <c r="X35" s="36">
        <f>VLOOKUP(B35,'Frete ESALQ'!$C$5:$BH$131,58,FALSE)</f>
        <v>153.75</v>
      </c>
      <c r="Y35" s="36">
        <f>VLOOKUP(B35,'Frete ESALQ'!$C$5:$BH$131,32,FALSE)</f>
        <v>155.91</v>
      </c>
      <c r="AA35" s="33">
        <f t="shared" si="2"/>
        <v>4028.948553190477</v>
      </c>
      <c r="AB35" s="33">
        <f t="shared" si="3"/>
        <v>4147.2485531904767</v>
      </c>
      <c r="AC35" s="33">
        <f t="shared" si="4"/>
        <v>4355.9485531904766</v>
      </c>
      <c r="AD35" s="33">
        <f t="shared" si="5"/>
        <v>4341.0485531904769</v>
      </c>
      <c r="AE35" s="33">
        <f t="shared" si="6"/>
        <v>4384.7985531904769</v>
      </c>
      <c r="AF35" s="33">
        <f t="shared" si="7"/>
        <v>4382.6385531904771</v>
      </c>
      <c r="AG35" s="42">
        <f>+E35-'Modelo Soja'!BL35</f>
        <v>4038.948553190477</v>
      </c>
    </row>
    <row r="36" spans="2:33" x14ac:dyDescent="0.3">
      <c r="B36" s="31" t="str">
        <f t="shared" si="0"/>
        <v>202310</v>
      </c>
      <c r="C36" s="17">
        <f t="shared" si="8"/>
        <v>45200</v>
      </c>
      <c r="D36" s="32">
        <f ca="1">IFERROR(AVERAGEIF('Preço Soja ESALQ'!$C:$C,'Modelo Soja'!$B36,'Preço Soja ESALQ'!Q:Q),NA())</f>
        <v>5281.5680952380953</v>
      </c>
      <c r="E36" s="32">
        <f>+[5]mensal!C35</f>
        <v>4544.2165025909107</v>
      </c>
      <c r="F36" s="32"/>
      <c r="G36" s="32"/>
      <c r="H36" s="32">
        <f t="shared" ca="1" si="1"/>
        <v>4647.779923809524</v>
      </c>
      <c r="T36" s="36">
        <f>+[6]FSORPRA!H35</f>
        <v>518.75</v>
      </c>
      <c r="U36" s="36">
        <f>+[6]FRONPRA!H35</f>
        <v>390</v>
      </c>
      <c r="V36" s="36">
        <f>VLOOKUP(B36,'Frete ESALQ'!$C$5:$AL$131,36,FALSE)</f>
        <v>167.75</v>
      </c>
      <c r="W36" s="36">
        <f>VLOOKUP(B36,'Frete ESALQ'!$C$5:$AW$131,47,FALSE)</f>
        <v>150</v>
      </c>
      <c r="X36" s="36">
        <f>VLOOKUP(B36,'Frete ESALQ'!$C$5:$BH$131,58,FALSE)</f>
        <v>120</v>
      </c>
      <c r="Y36" s="36">
        <f>VLOOKUP(B36,'Frete ESALQ'!$C$5:$BH$131,32,FALSE)</f>
        <v>186.85</v>
      </c>
      <c r="AA36" s="33">
        <f t="shared" si="2"/>
        <v>4025.4665025909107</v>
      </c>
      <c r="AB36" s="33">
        <f t="shared" si="3"/>
        <v>4154.2165025909107</v>
      </c>
      <c r="AC36" s="33">
        <f t="shared" si="4"/>
        <v>4376.4665025909107</v>
      </c>
      <c r="AD36" s="33">
        <f t="shared" si="5"/>
        <v>4394.2165025909107</v>
      </c>
      <c r="AE36" s="33">
        <f t="shared" si="6"/>
        <v>4424.2165025909107</v>
      </c>
      <c r="AF36" s="33">
        <f t="shared" si="7"/>
        <v>4357.3665025909104</v>
      </c>
      <c r="AG36" s="42">
        <f>+E36-'Modelo Soja'!BL36</f>
        <v>4035.4665025909107</v>
      </c>
    </row>
    <row r="37" spans="2:33" x14ac:dyDescent="0.3">
      <c r="B37" s="31" t="str">
        <f t="shared" si="0"/>
        <v>202311</v>
      </c>
      <c r="C37" s="17">
        <f t="shared" si="8"/>
        <v>45231</v>
      </c>
      <c r="D37" s="32">
        <f ca="1">IFERROR(AVERAGEIF('Preço Soja ESALQ'!$C:$C,'Modelo Soja'!$B37,'Preço Soja ESALQ'!Q:Q),NA())</f>
        <v>5473.7290000000012</v>
      </c>
      <c r="E37" s="32">
        <f>+[5]mensal!C36</f>
        <v>4815.356968363636</v>
      </c>
      <c r="F37" s="32"/>
      <c r="G37" s="32"/>
      <c r="H37" s="32">
        <f t="shared" ca="1" si="1"/>
        <v>4816.8815200000008</v>
      </c>
      <c r="T37" s="36">
        <f>+[6]FSORPRA!H36</f>
        <v>495</v>
      </c>
      <c r="U37" s="36">
        <f>+[6]FRONPRA!H36</f>
        <v>366.66750000000002</v>
      </c>
      <c r="V37" s="37">
        <f>(V36+V38)/2</f>
        <v>166.375</v>
      </c>
      <c r="W37" s="37">
        <f t="shared" ref="W37:Y37" si="13">(W36+W38)/2</f>
        <v>152.5</v>
      </c>
      <c r="X37" s="37">
        <f t="shared" si="13"/>
        <v>132.5</v>
      </c>
      <c r="Y37" s="37">
        <f t="shared" si="13"/>
        <v>163.42500000000001</v>
      </c>
      <c r="AA37" s="33">
        <f t="shared" si="2"/>
        <v>4320.356968363636</v>
      </c>
      <c r="AB37" s="33">
        <f t="shared" si="3"/>
        <v>4448.6894683636365</v>
      </c>
      <c r="AC37" s="33">
        <f t="shared" si="4"/>
        <v>4648.981968363636</v>
      </c>
      <c r="AD37" s="33">
        <f t="shared" si="5"/>
        <v>4662.856968363636</v>
      </c>
      <c r="AE37" s="33">
        <f t="shared" si="6"/>
        <v>4682.856968363636</v>
      </c>
      <c r="AF37" s="33">
        <f t="shared" si="7"/>
        <v>4651.9319683636359</v>
      </c>
      <c r="AG37" s="42">
        <f>+E37-'Modelo Soja'!BL37</f>
        <v>4330.356968363636</v>
      </c>
    </row>
    <row r="38" spans="2:33" x14ac:dyDescent="0.3">
      <c r="B38" s="31" t="str">
        <f t="shared" si="0"/>
        <v>202312</v>
      </c>
      <c r="C38" s="17">
        <f t="shared" si="8"/>
        <v>45261</v>
      </c>
      <c r="D38" s="32">
        <f ca="1">IFERROR(AVERAGEIF('Preço Soja ESALQ'!$C:$C,'Modelo Soja'!$B38,'Preço Soja ESALQ'!Q:Q),NA())</f>
        <v>5471.0536842105275</v>
      </c>
      <c r="E38" s="32">
        <f>+[5]mensal!C37</f>
        <v>4335.490083857143</v>
      </c>
      <c r="F38" s="32"/>
      <c r="G38" s="32"/>
      <c r="H38" s="32">
        <f t="shared" ca="1" si="1"/>
        <v>4814.5272421052641</v>
      </c>
      <c r="I38" s="33"/>
      <c r="J38" s="33"/>
      <c r="T38" s="36">
        <f>+[6]FSORPRA!H37</f>
        <v>485.6</v>
      </c>
      <c r="U38" s="36">
        <f>+[6]FRONPRA!H37</f>
        <v>366</v>
      </c>
      <c r="V38" s="36">
        <f>VLOOKUP(B38,'Frete ESALQ'!$C$5:$AL$131,36,FALSE)</f>
        <v>165</v>
      </c>
      <c r="W38" s="36">
        <f>VLOOKUP(B38,'Frete ESALQ'!$C$5:$AW$131,47,FALSE)</f>
        <v>155</v>
      </c>
      <c r="X38" s="36">
        <f>VLOOKUP(B38,'Frete ESALQ'!$C$5:$BH$131,58,FALSE)</f>
        <v>145</v>
      </c>
      <c r="Y38" s="36">
        <f>VLOOKUP(B38,'Frete ESALQ'!$C$5:$BH$131,32,FALSE)</f>
        <v>140</v>
      </c>
      <c r="AA38" s="33">
        <f t="shared" si="2"/>
        <v>3849.8900838571431</v>
      </c>
      <c r="AB38" s="33">
        <f t="shared" si="3"/>
        <v>3969.490083857143</v>
      </c>
      <c r="AC38" s="33">
        <f t="shared" si="4"/>
        <v>4170.490083857143</v>
      </c>
      <c r="AD38" s="33">
        <f t="shared" si="5"/>
        <v>4180.490083857143</v>
      </c>
      <c r="AE38" s="33">
        <f t="shared" si="6"/>
        <v>4190.490083857143</v>
      </c>
      <c r="AF38" s="33">
        <f t="shared" si="7"/>
        <v>4195.490083857143</v>
      </c>
      <c r="AG38" s="42">
        <f>+E38-'Modelo Soja'!BL38</f>
        <v>3859.8900838571431</v>
      </c>
    </row>
    <row r="39" spans="2:33" x14ac:dyDescent="0.3">
      <c r="B39" s="31" t="str">
        <f t="shared" si="0"/>
        <v>20241</v>
      </c>
      <c r="C39" s="17">
        <f t="shared" si="8"/>
        <v>45292</v>
      </c>
      <c r="D39" s="32">
        <f ca="1">IFERROR(AVERAGEIF('Preço Soja ESALQ'!$C:$C,'Modelo Soja'!$B39,'Preço Soja ESALQ'!Q:Q),NA())</f>
        <v>5058.2372727272732</v>
      </c>
      <c r="E39" s="32">
        <f>+[5]mensal!C38</f>
        <v>4076.5912183043483</v>
      </c>
      <c r="F39" s="32"/>
      <c r="G39" s="32"/>
      <c r="H39" s="32">
        <f t="shared" ca="1" si="1"/>
        <v>4451.2488000000003</v>
      </c>
      <c r="I39" s="33"/>
      <c r="J39" s="33"/>
      <c r="T39" s="36">
        <f>+[6]FSORPRA!H38</f>
        <v>452.5</v>
      </c>
      <c r="U39" s="36">
        <f>+[6]FRONPRA!H38</f>
        <v>323.75</v>
      </c>
      <c r="V39" s="36">
        <f>VLOOKUP(B39,'Frete ESALQ'!$C$5:$AL$131,36,FALSE)</f>
        <v>180.2</v>
      </c>
      <c r="W39" s="36">
        <f>VLOOKUP(B39,'Frete ESALQ'!$C$5:$AW$131,47,FALSE)</f>
        <v>160</v>
      </c>
      <c r="X39" s="36">
        <f>VLOOKUP(B39,'Frete ESALQ'!$C$5:$BH$131,58,FALSE)</f>
        <v>155</v>
      </c>
      <c r="Y39" s="36">
        <f>VLOOKUP(B39,'Frete ESALQ'!$C$5:$BH$131,32,FALSE)</f>
        <v>151.38999999999999</v>
      </c>
      <c r="AA39" s="33">
        <f t="shared" si="2"/>
        <v>3624.0912183043483</v>
      </c>
      <c r="AB39" s="33">
        <f t="shared" si="3"/>
        <v>3752.8412183043483</v>
      </c>
      <c r="AC39" s="33">
        <f t="shared" si="4"/>
        <v>3896.3912183043485</v>
      </c>
      <c r="AD39" s="33">
        <f t="shared" si="5"/>
        <v>3916.5912183043483</v>
      </c>
      <c r="AE39" s="33">
        <f t="shared" si="6"/>
        <v>3921.5912183043483</v>
      </c>
      <c r="AF39" s="33">
        <f t="shared" si="7"/>
        <v>3925.2012183043485</v>
      </c>
      <c r="AG39" s="42">
        <f>+E39-'Modelo Soja'!BL39</f>
        <v>3634.0912183043483</v>
      </c>
    </row>
    <row r="40" spans="2:33" x14ac:dyDescent="0.3">
      <c r="B40" s="31" t="str">
        <f t="shared" si="0"/>
        <v>20242</v>
      </c>
      <c r="C40" s="17">
        <f t="shared" si="8"/>
        <v>45323</v>
      </c>
      <c r="D40" s="32">
        <f ca="1">IFERROR(AVERAGEIF('Preço Soja ESALQ'!$C:$C,'Modelo Soja'!$B40,'Preço Soja ESALQ'!Q:Q),NA())</f>
        <v>4797.5784210526308</v>
      </c>
      <c r="E40" s="32">
        <f>+[5]mensal!C39</f>
        <v>4048.8421695238089</v>
      </c>
      <c r="F40" s="32"/>
      <c r="G40" s="32"/>
      <c r="H40" s="32">
        <f t="shared" ca="1" si="1"/>
        <v>4221.8690105263149</v>
      </c>
      <c r="I40" s="33"/>
      <c r="J40" s="33"/>
      <c r="T40" s="36">
        <f>+[6]FSORPRA!H39</f>
        <v>440.625</v>
      </c>
      <c r="U40" s="36">
        <f>+[6]FRONPRA!H39</f>
        <v>317.5</v>
      </c>
      <c r="V40" s="36">
        <f>VLOOKUP(B40,'Frete ESALQ'!$C$5:$AL$131,36,FALSE)</f>
        <v>149.99</v>
      </c>
      <c r="W40" s="36">
        <f>VLOOKUP(B40,'Frete ESALQ'!$C$5:$AW$131,47,FALSE)</f>
        <v>133.5</v>
      </c>
      <c r="X40" s="36">
        <f>VLOOKUP(B40,'Frete ESALQ'!$C$5:$BH$131,58,FALSE)</f>
        <v>141.66999999999999</v>
      </c>
      <c r="Y40" s="36">
        <f>VLOOKUP(B40,'Frete ESALQ'!$C$5:$BH$131,32,FALSE)</f>
        <v>141.66999999999999</v>
      </c>
      <c r="AA40" s="33">
        <f t="shared" si="2"/>
        <v>3608.2171695238089</v>
      </c>
      <c r="AB40" s="33">
        <f t="shared" si="3"/>
        <v>3731.3421695238089</v>
      </c>
      <c r="AC40" s="33">
        <f t="shared" si="4"/>
        <v>3898.8521695238087</v>
      </c>
      <c r="AD40" s="33">
        <f t="shared" si="5"/>
        <v>3915.3421695238089</v>
      </c>
      <c r="AE40" s="33">
        <f t="shared" si="6"/>
        <v>3907.1721695238089</v>
      </c>
      <c r="AF40" s="33">
        <f t="shared" si="7"/>
        <v>3907.1721695238089</v>
      </c>
      <c r="AG40" s="42">
        <f>+E40-'Modelo Soja'!BL40</f>
        <v>3618.2171695238089</v>
      </c>
    </row>
    <row r="41" spans="2:33" x14ac:dyDescent="0.3">
      <c r="B41" s="31" t="str">
        <f t="shared" si="0"/>
        <v>20243</v>
      </c>
      <c r="C41" s="17">
        <f t="shared" si="8"/>
        <v>45352</v>
      </c>
      <c r="D41" s="32">
        <f ca="1">IFERROR(AVERAGEIF('Preço Soja ESALQ'!$C:$C,'Modelo Soja'!$B41,'Preço Soja ESALQ'!Q:Q),NA())</f>
        <v>5097.9975000000004</v>
      </c>
      <c r="E41" s="32">
        <f>+[5]mensal!C40</f>
        <v>4486.3089558095235</v>
      </c>
      <c r="F41" s="32"/>
      <c r="G41" s="32"/>
      <c r="H41" s="32">
        <f t="shared" ca="1" si="1"/>
        <v>4486.2378000000008</v>
      </c>
      <c r="I41" s="33"/>
      <c r="J41" s="33"/>
      <c r="T41" s="36">
        <f>+[6]FSORPRA!H40</f>
        <v>401</v>
      </c>
      <c r="U41" s="36">
        <f>+[6]FRONPRA!H40</f>
        <v>300</v>
      </c>
      <c r="V41" s="36">
        <f>VLOOKUP(B41,'Frete ESALQ'!$C$5:$AL$131,36,FALSE)</f>
        <v>145.56</v>
      </c>
      <c r="W41" s="36">
        <f>VLOOKUP(B41,'Frete ESALQ'!$C$5:$AW$131,47,FALSE)</f>
        <v>132.24</v>
      </c>
      <c r="X41" s="36">
        <f>VLOOKUP(B41,'Frete ESALQ'!$C$5:$BH$131,58,FALSE)</f>
        <v>122.68</v>
      </c>
      <c r="Y41" s="36">
        <f>VLOOKUP(B41,'Frete ESALQ'!$C$5:$BH$131,32,FALSE)</f>
        <v>140.63</v>
      </c>
      <c r="AA41" s="33">
        <f t="shared" si="2"/>
        <v>4085.3089558095235</v>
      </c>
      <c r="AB41" s="33">
        <f t="shared" si="3"/>
        <v>4186.3089558095235</v>
      </c>
      <c r="AC41" s="33">
        <f t="shared" si="4"/>
        <v>4340.7489558095231</v>
      </c>
      <c r="AD41" s="33">
        <f t="shared" si="5"/>
        <v>4354.0689558095237</v>
      </c>
      <c r="AE41" s="33">
        <f t="shared" si="6"/>
        <v>4363.6289558095232</v>
      </c>
      <c r="AF41" s="33">
        <f t="shared" si="7"/>
        <v>4345.6789558095234</v>
      </c>
      <c r="AG41" s="42">
        <f>+E41-'Modelo Soja'!BL41</f>
        <v>4095.3089558095235</v>
      </c>
    </row>
    <row r="42" spans="2:33" x14ac:dyDescent="0.3">
      <c r="B42" s="31" t="str">
        <f t="shared" si="0"/>
        <v>20244</v>
      </c>
      <c r="C42" s="17">
        <f t="shared" si="8"/>
        <v>45383</v>
      </c>
      <c r="D42" s="32">
        <f ca="1">IFERROR(AVERAGEIF('Preço Soja ESALQ'!$C:$C,'Modelo Soja'!$B42,'Preço Soja ESALQ'!Q:Q),NA())</f>
        <v>5152.216363636363</v>
      </c>
      <c r="E42" s="32">
        <f>+[5]mensal!C41</f>
        <v>4568.5571288181818</v>
      </c>
      <c r="F42" s="32"/>
      <c r="G42" s="32"/>
      <c r="H42" s="32">
        <f t="shared" ca="1" si="1"/>
        <v>4533.9503999999997</v>
      </c>
      <c r="I42" s="33"/>
      <c r="J42" s="33"/>
      <c r="T42" s="36">
        <f>+[6]FSORPRA!H41</f>
        <v>403.75</v>
      </c>
      <c r="U42" s="36">
        <f>+[6]FRONPRA!H41</f>
        <v>306.25</v>
      </c>
      <c r="V42" s="36">
        <f>VLOOKUP(B42,'Frete ESALQ'!$C$5:$AL$131,36,FALSE)</f>
        <v>122.5</v>
      </c>
      <c r="W42" s="36">
        <f>VLOOKUP(B42,'Frete ESALQ'!$C$5:$AW$131,47,FALSE)</f>
        <v>117.45</v>
      </c>
      <c r="X42" s="36">
        <f>VLOOKUP(B42,'Frete ESALQ'!$C$5:$BH$131,58,FALSE)</f>
        <v>124.29</v>
      </c>
      <c r="Y42" s="36">
        <f>VLOOKUP(B42,'Frete ESALQ'!$C$5:$BH$131,32,FALSE)</f>
        <v>136.5</v>
      </c>
      <c r="AA42" s="33">
        <f t="shared" si="2"/>
        <v>4164.8071288181818</v>
      </c>
      <c r="AB42" s="33">
        <f t="shared" si="3"/>
        <v>4262.3071288181818</v>
      </c>
      <c r="AC42" s="33">
        <f t="shared" si="4"/>
        <v>4446.0571288181818</v>
      </c>
      <c r="AD42" s="33">
        <f t="shared" si="5"/>
        <v>4451.107128818182</v>
      </c>
      <c r="AE42" s="33">
        <f t="shared" si="6"/>
        <v>4444.2671288181818</v>
      </c>
      <c r="AF42" s="33">
        <f t="shared" si="7"/>
        <v>4432.0571288181818</v>
      </c>
      <c r="AG42" s="42">
        <f>+E42-'Modelo Soja'!BL42</f>
        <v>4174.8071288181818</v>
      </c>
    </row>
    <row r="43" spans="2:33" x14ac:dyDescent="0.3">
      <c r="B43" s="31" t="str">
        <f t="shared" si="0"/>
        <v>20245</v>
      </c>
      <c r="C43" s="17">
        <f t="shared" si="8"/>
        <v>45413</v>
      </c>
      <c r="D43" s="32">
        <f ca="1">IFERROR(AVERAGEIF('Preço Soja ESALQ'!$C:$C,'Modelo Soja'!$B43,'Preço Soja ESALQ'!Q:Q),NA())</f>
        <v>5116.9052380952389</v>
      </c>
      <c r="E43" s="32">
        <f>+[5]mensal!C42</f>
        <v>4590.199785652173</v>
      </c>
      <c r="F43" s="32"/>
      <c r="G43" s="32"/>
      <c r="H43" s="32">
        <f t="shared" ca="1" si="1"/>
        <v>4502.8766095238107</v>
      </c>
      <c r="I43" s="33"/>
      <c r="J43" s="33"/>
      <c r="T43" s="36">
        <f>+[6]FSORPRA!H42</f>
        <v>443.125</v>
      </c>
      <c r="U43" s="36">
        <f>+[6]FRONPRA!H42</f>
        <v>343</v>
      </c>
      <c r="V43" s="37">
        <f>(V42+V44)/2</f>
        <v>145.63499999999999</v>
      </c>
      <c r="W43" s="37">
        <f t="shared" ref="W43:Y43" si="14">(W42+W44)/2</f>
        <v>128.155</v>
      </c>
      <c r="X43" s="37">
        <f t="shared" si="14"/>
        <v>123.76</v>
      </c>
      <c r="Y43" s="37">
        <f t="shared" si="14"/>
        <v>130.33500000000001</v>
      </c>
      <c r="AA43" s="33">
        <f t="shared" si="2"/>
        <v>4147.074785652173</v>
      </c>
      <c r="AB43" s="33">
        <f t="shared" si="3"/>
        <v>4247.199785652173</v>
      </c>
      <c r="AC43" s="33">
        <f t="shared" si="4"/>
        <v>4444.5647856521728</v>
      </c>
      <c r="AD43" s="33">
        <f t="shared" si="5"/>
        <v>4462.0447856521732</v>
      </c>
      <c r="AE43" s="33">
        <f t="shared" si="6"/>
        <v>4466.4397856521728</v>
      </c>
      <c r="AF43" s="33">
        <f t="shared" si="7"/>
        <v>4459.8647856521729</v>
      </c>
      <c r="AG43" s="42">
        <f>+E43-'Modelo Soja'!BL43</f>
        <v>4157.074785652173</v>
      </c>
    </row>
    <row r="44" spans="2:33" x14ac:dyDescent="0.3">
      <c r="B44" s="31" t="str">
        <f t="shared" si="0"/>
        <v>20246</v>
      </c>
      <c r="C44" s="17">
        <f t="shared" si="8"/>
        <v>45444</v>
      </c>
      <c r="D44" s="32">
        <f ca="1">IFERROR(AVERAGEIF('Preço Soja ESALQ'!$C:$C,'Modelo Soja'!$B44,'Preço Soja ESALQ'!Q:Q),NA())</f>
        <v>5558.7800000000007</v>
      </c>
      <c r="E44" s="32">
        <f>+[5]mensal!C43</f>
        <v>5087.6969568000004</v>
      </c>
      <c r="F44" s="32"/>
      <c r="G44" s="32"/>
      <c r="H44" s="32">
        <f t="shared" ca="1" si="1"/>
        <v>4891.7264000000005</v>
      </c>
      <c r="I44" s="33"/>
      <c r="J44" s="33"/>
      <c r="T44" s="36">
        <f>+[6]FSORPRA!H43</f>
        <v>464.57499999999999</v>
      </c>
      <c r="U44" s="36">
        <f>+[6]FRONPRA!H43</f>
        <v>367.5</v>
      </c>
      <c r="V44" s="36">
        <f>VLOOKUP(B44,'Frete ESALQ'!$C$5:$AL$131,36,FALSE)</f>
        <v>168.77</v>
      </c>
      <c r="W44" s="36">
        <f>VLOOKUP(B44,'Frete ESALQ'!$C$5:$AW$131,47,FALSE)</f>
        <v>138.86000000000001</v>
      </c>
      <c r="X44" s="36">
        <f>VLOOKUP(B44,'Frete ESALQ'!$C$5:$BH$131,58,FALSE)</f>
        <v>123.23</v>
      </c>
      <c r="Y44" s="36">
        <f>VLOOKUP(B44,'Frete ESALQ'!$C$5:$BH$131,32,FALSE)</f>
        <v>124.17</v>
      </c>
      <c r="AA44" s="33">
        <f t="shared" si="2"/>
        <v>4623.1219568000006</v>
      </c>
      <c r="AB44" s="33">
        <f t="shared" si="3"/>
        <v>4720.1969568000004</v>
      </c>
      <c r="AC44" s="33">
        <f t="shared" si="4"/>
        <v>4918.9269568</v>
      </c>
      <c r="AD44" s="33">
        <f t="shared" si="5"/>
        <v>4948.8369568000007</v>
      </c>
      <c r="AE44" s="33">
        <f t="shared" si="6"/>
        <v>4964.4669568000008</v>
      </c>
      <c r="AF44" s="33">
        <f t="shared" si="7"/>
        <v>4963.5269568000003</v>
      </c>
      <c r="AG44" s="42">
        <f>+E44-'Modelo Soja'!BL44</f>
        <v>4633.1219568000006</v>
      </c>
    </row>
    <row r="45" spans="2:33" x14ac:dyDescent="0.3">
      <c r="B45" s="31" t="str">
        <f t="shared" si="0"/>
        <v>20247</v>
      </c>
      <c r="C45" s="17">
        <f t="shared" si="8"/>
        <v>45474</v>
      </c>
      <c r="D45" s="32">
        <f ca="1">IFERROR(AVERAGEIF('Preço Soja ESALQ'!$C:$C,'Modelo Soja'!$B45,'Preço Soja ESALQ'!Q:Q),NA())</f>
        <v>6056.3700000000008</v>
      </c>
      <c r="E45" s="32">
        <f>+[5]mensal!C44</f>
        <v>5289.6251895652176</v>
      </c>
      <c r="F45" s="32"/>
      <c r="G45" s="32"/>
      <c r="H45" s="32">
        <f t="shared" ca="1" si="1"/>
        <v>5329.6056000000008</v>
      </c>
      <c r="I45" s="33"/>
      <c r="J45" s="33"/>
      <c r="T45" s="36">
        <f>+[6]FSORPRA!H44</f>
        <v>457.5</v>
      </c>
      <c r="U45" s="36">
        <f>+[6]FRONPRA!H44</f>
        <v>351.25</v>
      </c>
      <c r="V45" s="36">
        <f>VLOOKUP(B45,'Frete ESALQ'!$C$5:$AL$131,36,FALSE)</f>
        <v>177</v>
      </c>
      <c r="W45" s="36">
        <f>VLOOKUP(B45,'Frete ESALQ'!$C$5:$AW$131,47,FALSE)</f>
        <v>142.22</v>
      </c>
      <c r="X45" s="36">
        <f>VLOOKUP(B45,'Frete ESALQ'!$C$5:$BH$131,58,FALSE)</f>
        <v>123</v>
      </c>
      <c r="Y45" s="36">
        <f>VLOOKUP(B45,'Frete ESALQ'!$C$5:$BH$131,32,FALSE)</f>
        <v>120.83</v>
      </c>
      <c r="AA45" s="33">
        <f t="shared" si="2"/>
        <v>4832.1251895652176</v>
      </c>
      <c r="AB45" s="33">
        <f t="shared" si="3"/>
        <v>4938.3751895652176</v>
      </c>
      <c r="AC45" s="33">
        <f t="shared" si="4"/>
        <v>5112.6251895652176</v>
      </c>
      <c r="AD45" s="33">
        <f t="shared" si="5"/>
        <v>5147.4051895652174</v>
      </c>
      <c r="AE45" s="33">
        <f t="shared" si="6"/>
        <v>5166.6251895652176</v>
      </c>
      <c r="AF45" s="33">
        <f t="shared" si="7"/>
        <v>5168.7951895652177</v>
      </c>
      <c r="AG45" s="42">
        <f>+E45-'Modelo Soja'!BL45</f>
        <v>4842.1251895652176</v>
      </c>
    </row>
    <row r="46" spans="2:33" x14ac:dyDescent="0.3">
      <c r="B46" s="31" t="str">
        <f t="shared" si="0"/>
        <v>20248</v>
      </c>
      <c r="C46" s="17">
        <f t="shared" si="8"/>
        <v>45505</v>
      </c>
      <c r="D46" s="32">
        <f ca="1">IFERROR(AVERAGEIF('Preço Soja ESALQ'!$C:$C,'Modelo Soja'!$B46,'Preço Soja ESALQ'!Q:Q),NA())</f>
        <v>6317.2481818181814</v>
      </c>
      <c r="E46" s="32">
        <f>+[5]mensal!C45</f>
        <v>5129.6955491363642</v>
      </c>
      <c r="F46" s="32"/>
      <c r="G46" s="32"/>
      <c r="H46" s="32">
        <f t="shared" ca="1" si="1"/>
        <v>5559.1783999999998</v>
      </c>
      <c r="I46" s="33"/>
      <c r="J46" s="33"/>
      <c r="T46" s="36">
        <f>+[6]FSORPRA!H45</f>
        <v>396</v>
      </c>
      <c r="U46" s="36">
        <f>+[6]FRONPRA!H45</f>
        <v>293</v>
      </c>
      <c r="V46" s="36">
        <f>VLOOKUP(B46,'Frete ESALQ'!$C$5:$AL$131,36,FALSE)</f>
        <v>151.75</v>
      </c>
      <c r="W46" s="36">
        <f>VLOOKUP(B46,'Frete ESALQ'!$C$5:$AW$131,47,FALSE)</f>
        <v>124.29</v>
      </c>
      <c r="X46" s="36">
        <f>VLOOKUP(B46,'Frete ESALQ'!$C$5:$BH$131,58,FALSE)</f>
        <v>119.35</v>
      </c>
      <c r="Y46" s="36">
        <f>VLOOKUP(B46,'Frete ESALQ'!$C$5:$BH$131,32,FALSE)</f>
        <v>130.75</v>
      </c>
      <c r="AA46" s="33">
        <f t="shared" si="2"/>
        <v>4733.6955491363642</v>
      </c>
      <c r="AB46" s="33">
        <f t="shared" si="3"/>
        <v>4836.6955491363642</v>
      </c>
      <c r="AC46" s="33">
        <f t="shared" si="4"/>
        <v>4977.9455491363642</v>
      </c>
      <c r="AD46" s="33">
        <f t="shared" si="5"/>
        <v>5005.4055491363642</v>
      </c>
      <c r="AE46" s="33">
        <f t="shared" si="6"/>
        <v>5010.3455491363638</v>
      </c>
      <c r="AF46" s="33">
        <f t="shared" si="7"/>
        <v>4998.9455491363642</v>
      </c>
      <c r="AG46" s="42">
        <f>+E46-'Modelo Soja'!BL46</f>
        <v>4743.6955491363642</v>
      </c>
    </row>
    <row r="47" spans="2:33" x14ac:dyDescent="0.3">
      <c r="B47" s="31" t="str">
        <f t="shared" si="0"/>
        <v>20249</v>
      </c>
      <c r="C47" s="17">
        <f t="shared" si="8"/>
        <v>45536</v>
      </c>
      <c r="D47" s="32">
        <f ca="1">IFERROR(AVERAGEIF('Preço Soja ESALQ'!$C:$C,'Modelo Soja'!$B47,'Preço Soja ESALQ'!Q:Q),NA())</f>
        <v>6413.7071428571435</v>
      </c>
      <c r="E47" s="32">
        <f>+[5]mensal!C46</f>
        <v>5315.5726588571442</v>
      </c>
      <c r="F47" s="32"/>
      <c r="G47" s="32"/>
      <c r="H47" s="32">
        <f t="shared" ca="1" si="1"/>
        <v>5644.0622857142862</v>
      </c>
      <c r="I47" s="33"/>
      <c r="J47" s="33"/>
      <c r="T47" s="36">
        <f>+[6]FSORPRA!H46</f>
        <v>408.75</v>
      </c>
      <c r="U47" s="36">
        <f>+[6]FRONPRA!H46</f>
        <v>292.5</v>
      </c>
      <c r="V47" s="36">
        <f>VLOOKUP(B47,'Frete ESALQ'!$C$5:$AL$131,36,FALSE)</f>
        <v>144.30000000000001</v>
      </c>
      <c r="W47" s="36">
        <f>VLOOKUP(B47,'Frete ESALQ'!$C$5:$AW$131,47,FALSE)</f>
        <v>125.44</v>
      </c>
      <c r="X47" s="36">
        <f>VLOOKUP(B47,'Frete ESALQ'!$C$5:$BH$131,58,FALSE)</f>
        <v>141.55000000000001</v>
      </c>
      <c r="Y47" s="36">
        <f>VLOOKUP(B47,'Frete ESALQ'!$C$5:$BH$131,32,FALSE)</f>
        <v>129.59</v>
      </c>
      <c r="AA47" s="33">
        <f t="shared" si="2"/>
        <v>4906.8226588571442</v>
      </c>
      <c r="AB47" s="33">
        <f t="shared" si="3"/>
        <v>5023.0726588571442</v>
      </c>
      <c r="AC47" s="33">
        <f t="shared" si="4"/>
        <v>5171.2726588571441</v>
      </c>
      <c r="AD47" s="33">
        <f t="shared" si="5"/>
        <v>5190.1326588571446</v>
      </c>
      <c r="AE47" s="33">
        <f t="shared" si="6"/>
        <v>5174.0226588571441</v>
      </c>
      <c r="AF47" s="33">
        <f t="shared" si="7"/>
        <v>5185.9826588571441</v>
      </c>
      <c r="AG47" s="42">
        <f>+E47-'Modelo Soja'!BL47</f>
        <v>4916.8226588571442</v>
      </c>
    </row>
    <row r="48" spans="2:33" x14ac:dyDescent="0.3">
      <c r="B48" s="31" t="str">
        <f t="shared" si="0"/>
        <v>202410</v>
      </c>
      <c r="C48" s="17">
        <f t="shared" si="8"/>
        <v>45566</v>
      </c>
      <c r="D48" s="32">
        <f ca="1">IFERROR(AVERAGEIF('Preço Soja ESALQ'!$C:$C,'Modelo Soja'!$B48,'Preço Soja ESALQ'!Q:Q),NA())</f>
        <v>6730.6243478260876</v>
      </c>
      <c r="E48" s="32">
        <f>+[5]mensal!C47</f>
        <v>5951.5333270000001</v>
      </c>
      <c r="F48" s="32"/>
      <c r="G48" s="32"/>
      <c r="H48" s="32">
        <f t="shared" ca="1" si="1"/>
        <v>5922.9494260869569</v>
      </c>
      <c r="I48" s="33"/>
      <c r="J48" s="33"/>
      <c r="T48" s="36">
        <f>+[6]FSORPRA!H47</f>
        <v>393.75</v>
      </c>
      <c r="U48" s="36">
        <f>+[6]FRONPRA!H47</f>
        <v>287.5</v>
      </c>
      <c r="V48" s="36">
        <f>VLOOKUP(B48,'Frete ESALQ'!$C$5:$AL$131,36,FALSE)</f>
        <v>137.07</v>
      </c>
      <c r="W48" s="36">
        <f>VLOOKUP(B48,'Frete ESALQ'!$C$5:$AW$131,47,FALSE)</f>
        <v>113.57</v>
      </c>
      <c r="X48" s="36">
        <f>VLOOKUP(B48,'Frete ESALQ'!$C$5:$BH$131,58,FALSE)</f>
        <v>140</v>
      </c>
      <c r="Y48" s="36">
        <f>VLOOKUP(B48,'Frete ESALQ'!$C$5:$BH$131,32,FALSE)</f>
        <v>143</v>
      </c>
      <c r="AA48" s="33">
        <f t="shared" si="2"/>
        <v>5557.7833270000001</v>
      </c>
      <c r="AB48" s="33">
        <f t="shared" si="3"/>
        <v>5664.0333270000001</v>
      </c>
      <c r="AC48" s="33">
        <f t="shared" si="4"/>
        <v>5814.4633270000004</v>
      </c>
      <c r="AD48" s="33">
        <f t="shared" si="5"/>
        <v>5837.9633270000004</v>
      </c>
      <c r="AE48" s="33">
        <f t="shared" si="6"/>
        <v>5811.5333270000001</v>
      </c>
      <c r="AF48" s="33">
        <f t="shared" si="7"/>
        <v>5808.5333270000001</v>
      </c>
      <c r="AG48" s="42">
        <f>+E48-'Modelo Soja'!BL48</f>
        <v>5567.7833270000001</v>
      </c>
    </row>
    <row r="49" spans="2:33" x14ac:dyDescent="0.3">
      <c r="B49" s="31" t="str">
        <f t="shared" si="0"/>
        <v>202411</v>
      </c>
      <c r="C49" s="17">
        <f t="shared" si="8"/>
        <v>45597</v>
      </c>
      <c r="D49" s="32">
        <f ca="1">IFERROR(AVERAGEIF('Preço Soja ESALQ'!$C:$C,'Modelo Soja'!$B49,'Preço Soja ESALQ'!Q:Q),NA())</f>
        <v>7351.6515789473669</v>
      </c>
      <c r="E49" s="32">
        <f>+[5]mensal!C48</f>
        <v>6377.4681748095236</v>
      </c>
      <c r="F49" s="32"/>
      <c r="G49" s="32"/>
      <c r="H49" s="32">
        <f t="shared" ca="1" si="1"/>
        <v>6469.4533894736833</v>
      </c>
      <c r="I49" s="33"/>
      <c r="J49" s="33"/>
      <c r="T49" s="36">
        <f>+[6]FSORPRA!H48</f>
        <v>370.76</v>
      </c>
      <c r="U49" s="36">
        <f>+[6]FRONPRA!H48</f>
        <v>248.71999999999997</v>
      </c>
      <c r="V49" s="36">
        <f>VLOOKUP(B49,'Frete ESALQ'!$C$5:$AL$131,36,FALSE)</f>
        <v>137.66</v>
      </c>
      <c r="W49" s="36">
        <f>VLOOKUP(B49,'Frete ESALQ'!$C$5:$AW$131,47,FALSE)</f>
        <v>106.67</v>
      </c>
      <c r="X49" s="36">
        <f>VLOOKUP(B49,'Frete ESALQ'!$C$5:$BH$131,58,FALSE)</f>
        <v>135</v>
      </c>
      <c r="Y49" s="36">
        <f>VLOOKUP(B49,'Frete ESALQ'!$C$5:$BH$131,32,FALSE)</f>
        <v>137.5</v>
      </c>
      <c r="AA49" s="33">
        <f t="shared" si="2"/>
        <v>6006.7081748095234</v>
      </c>
      <c r="AB49" s="33">
        <f t="shared" si="3"/>
        <v>6128.7481748095233</v>
      </c>
      <c r="AC49" s="33">
        <f t="shared" si="4"/>
        <v>6239.8081748095237</v>
      </c>
      <c r="AD49" s="33">
        <f t="shared" si="5"/>
        <v>6270.7981748095235</v>
      </c>
      <c r="AE49" s="33">
        <f t="shared" si="6"/>
        <v>6242.4681748095236</v>
      </c>
      <c r="AF49" s="33">
        <f t="shared" si="7"/>
        <v>6239.9681748095236</v>
      </c>
      <c r="AG49" s="42">
        <f>+E49-'Modelo Soja'!BL49</f>
        <v>6016.7081748095234</v>
      </c>
    </row>
    <row r="50" spans="2:33" x14ac:dyDescent="0.3">
      <c r="B50" s="31" t="str">
        <f t="shared" si="0"/>
        <v>202412</v>
      </c>
      <c r="C50" s="17">
        <f t="shared" si="8"/>
        <v>45627</v>
      </c>
      <c r="D50" s="32">
        <f ca="1">IFERROR(AVERAGEIF('Preço Soja ESALQ'!$C:$C,'Modelo Soja'!$B50,'Preço Soja ESALQ'!Q:Q),NA())</f>
        <v>7148.2542105263155</v>
      </c>
      <c r="E50" s="32">
        <f>+[5]mensal!C49</f>
        <v>6125.6739538500015</v>
      </c>
      <c r="F50" s="32"/>
      <c r="G50" s="32"/>
      <c r="H50" s="32">
        <f t="shared" ca="1" si="1"/>
        <v>6290.4637052631579</v>
      </c>
      <c r="I50" s="33"/>
      <c r="J50" s="33"/>
      <c r="T50" s="36">
        <f>+[6]FSORPRA!H49</f>
        <v>323.27499999999998</v>
      </c>
      <c r="U50" s="36">
        <f>+[6]FRONPRA!H49</f>
        <v>219.42500000000001</v>
      </c>
      <c r="V50" s="36">
        <f>VLOOKUP(B50,'Frete ESALQ'!$C$5:$AL$131,36,FALSE)</f>
        <v>122.55</v>
      </c>
      <c r="W50" s="36">
        <f>VLOOKUP(B50,'Frete ESALQ'!$C$5:$AW$131,47,FALSE)</f>
        <v>102.5</v>
      </c>
      <c r="X50" s="36">
        <f>VLOOKUP(B50,'Frete ESALQ'!$C$5:$BH$131,58,FALSE)</f>
        <v>130</v>
      </c>
      <c r="Y50" s="36">
        <f>VLOOKUP(B50,'Frete ESALQ'!$C$5:$BH$131,32,FALSE)</f>
        <v>130</v>
      </c>
      <c r="AA50" s="33">
        <f t="shared" si="2"/>
        <v>5802.3989538500018</v>
      </c>
      <c r="AB50" s="33">
        <f t="shared" si="3"/>
        <v>5906.2489538500013</v>
      </c>
      <c r="AC50" s="33">
        <f t="shared" si="4"/>
        <v>6003.1239538500013</v>
      </c>
      <c r="AD50" s="33">
        <f t="shared" si="5"/>
        <v>6023.1739538500015</v>
      </c>
      <c r="AE50" s="33">
        <f t="shared" si="6"/>
        <v>5995.6739538500015</v>
      </c>
      <c r="AF50" s="33">
        <f t="shared" si="7"/>
        <v>5995.6739538500015</v>
      </c>
      <c r="AG50" s="42">
        <f>+E50-'Modelo Soja'!BL50</f>
        <v>5812.3989538500018</v>
      </c>
    </row>
    <row r="51" spans="2:33" x14ac:dyDescent="0.3">
      <c r="B51" s="31" t="str">
        <f t="shared" si="0"/>
        <v>20251</v>
      </c>
      <c r="C51" s="17">
        <f t="shared" si="8"/>
        <v>45658</v>
      </c>
      <c r="D51" s="32">
        <f ca="1">IFERROR(AVERAGEIF('Preço Soja ESALQ'!$C:$C,'Modelo Soja'!$B51,'Preço Soja ESALQ'!Q:Q),NA())</f>
        <v>6795.7413636363644</v>
      </c>
      <c r="E51" s="32">
        <f>+[5]mensal!C50</f>
        <v>6065.2193968695647</v>
      </c>
      <c r="F51" s="32"/>
      <c r="G51" s="32"/>
      <c r="H51" s="32">
        <f t="shared" ca="1" si="1"/>
        <v>5980.2524000000003</v>
      </c>
      <c r="I51" s="33"/>
      <c r="J51" s="33"/>
      <c r="T51" s="36">
        <f>+[6]FSORPRA!H50</f>
        <v>343.33333333333331</v>
      </c>
      <c r="U51" s="36">
        <f>+[6]FRONPRA!H50</f>
        <v>256.66666666666669</v>
      </c>
      <c r="V51" s="36">
        <f>VLOOKUP(B51,'Frete ESALQ'!$C$5:$AL$131,36,FALSE)</f>
        <v>146</v>
      </c>
      <c r="W51" s="36">
        <f>VLOOKUP(B51,'Frete ESALQ'!$C$5:$AW$131,47,FALSE)</f>
        <v>113.33</v>
      </c>
      <c r="X51" s="36">
        <f>VLOOKUP(B51,'Frete ESALQ'!$C$5:$BH$131,58,FALSE)</f>
        <v>136.66999999999999</v>
      </c>
      <c r="Y51" s="36">
        <f>VLOOKUP(B51,'Frete ESALQ'!$C$5:$BH$131,32,FALSE)</f>
        <v>132.5</v>
      </c>
      <c r="AA51" s="33">
        <f t="shared" si="2"/>
        <v>5721.8860635362316</v>
      </c>
      <c r="AB51" s="33">
        <f t="shared" si="3"/>
        <v>5808.5527302028977</v>
      </c>
      <c r="AC51" s="33">
        <f t="shared" si="4"/>
        <v>5919.2193968695647</v>
      </c>
      <c r="AD51" s="33">
        <f t="shared" si="5"/>
        <v>5951.8893968695647</v>
      </c>
      <c r="AE51" s="33">
        <f t="shared" si="6"/>
        <v>5928.5493968695646</v>
      </c>
      <c r="AF51" s="33">
        <f t="shared" si="7"/>
        <v>5932.7193968695647</v>
      </c>
      <c r="AG51" s="42">
        <f>+E51-'Modelo Soja'!BL51</f>
        <v>5731.8860635362316</v>
      </c>
    </row>
    <row r="52" spans="2:33" x14ac:dyDescent="0.3">
      <c r="B52" s="31" t="str">
        <f t="shared" si="0"/>
        <v>20252</v>
      </c>
      <c r="C52" s="17">
        <f t="shared" si="8"/>
        <v>45689</v>
      </c>
      <c r="D52" s="32">
        <f ca="1">IFERROR(AVERAGEIF('Preço Soja ESALQ'!$C:$C,'Modelo Soja'!$B52,'Preço Soja ESALQ'!Q:Q),NA())</f>
        <v>6658.2194999999992</v>
      </c>
      <c r="E52" s="32">
        <f>+[5]mensal!C51</f>
        <v>6043.3775714499998</v>
      </c>
      <c r="F52" s="32"/>
      <c r="G52" s="32"/>
      <c r="H52" s="32">
        <f t="shared" ca="1" si="1"/>
        <v>5859.2331599999998</v>
      </c>
      <c r="I52" s="33"/>
      <c r="J52" s="33"/>
      <c r="T52" s="36">
        <f>+[6]FSORPRA!H51</f>
        <v>478.75</v>
      </c>
      <c r="U52" s="36">
        <f>+[6]FRONPRA!H51</f>
        <v>380</v>
      </c>
      <c r="V52" s="36">
        <f>VLOOKUP(B52,'Frete ESALQ'!$C$5:$AL$131,36,FALSE)</f>
        <v>155</v>
      </c>
      <c r="W52" s="36">
        <f>VLOOKUP(B52,'Frete ESALQ'!$C$5:$AW$131,47,FALSE)</f>
        <v>146.25</v>
      </c>
      <c r="X52" s="36">
        <f>VLOOKUP(B52,'Frete ESALQ'!$C$5:$BH$131,58,FALSE)</f>
        <v>148.75</v>
      </c>
      <c r="Y52" s="36">
        <f>VLOOKUP(B52,'Frete ESALQ'!$C$5:$BH$131,32,FALSE)</f>
        <v>145</v>
      </c>
      <c r="AA52" s="33">
        <f t="shared" si="2"/>
        <v>5564.6275714499998</v>
      </c>
      <c r="AB52" s="33">
        <f t="shared" si="3"/>
        <v>5663.3775714499998</v>
      </c>
      <c r="AC52" s="33">
        <f t="shared" si="4"/>
        <v>5888.3775714499998</v>
      </c>
      <c r="AD52" s="33">
        <f t="shared" si="5"/>
        <v>5897.1275714499998</v>
      </c>
      <c r="AE52" s="33">
        <f t="shared" si="6"/>
        <v>5894.6275714499998</v>
      </c>
      <c r="AF52" s="33">
        <f t="shared" si="7"/>
        <v>5898.3775714499998</v>
      </c>
      <c r="AG52" s="42">
        <f>+E52-'Modelo Soja'!BL52</f>
        <v>5574.6275714499998</v>
      </c>
    </row>
    <row r="53" spans="2:33" x14ac:dyDescent="0.3">
      <c r="B53" s="31" t="str">
        <f t="shared" si="0"/>
        <v>20253</v>
      </c>
      <c r="C53" s="17">
        <f t="shared" si="8"/>
        <v>45717</v>
      </c>
      <c r="D53" s="32">
        <f ca="1">IFERROR(AVERAGEIF('Preço Soja ESALQ'!$C:$C,'Modelo Soja'!$B53,'Preço Soja ESALQ'!Q:Q),NA())</f>
        <v>6709.8610526315806</v>
      </c>
      <c r="E53" s="32">
        <f>+[5]mensal!C52</f>
        <v>5665.2752707142863</v>
      </c>
      <c r="F53" s="32"/>
      <c r="G53" s="32"/>
      <c r="H53" s="32">
        <f t="shared" ca="1" si="1"/>
        <v>5904.677726315791</v>
      </c>
      <c r="I53" s="33"/>
      <c r="J53" s="33"/>
      <c r="T53" s="36">
        <f>+[6]FSORPRA!H52</f>
        <v>433.32499999999999</v>
      </c>
      <c r="U53" s="36">
        <f>+[6]FRONPRA!H52</f>
        <v>375.17500000000001</v>
      </c>
      <c r="V53" s="36">
        <f>VLOOKUP(B53,'Frete ESALQ'!$C$5:$AL$131,36,FALSE)</f>
        <v>174.1</v>
      </c>
      <c r="W53" s="36">
        <f>VLOOKUP(B53,'Frete ESALQ'!$C$5:$AW$131,47,FALSE)</f>
        <v>143.75</v>
      </c>
      <c r="X53" s="36">
        <f>VLOOKUP(B53,'Frete ESALQ'!$C$5:$BH$131,58,FALSE)</f>
        <v>155</v>
      </c>
      <c r="Y53" s="36">
        <f>VLOOKUP(B53,'Frete ESALQ'!$C$5:$BH$131,32,FALSE)</f>
        <v>145</v>
      </c>
      <c r="AA53" s="33">
        <f t="shared" si="2"/>
        <v>5231.9502707142865</v>
      </c>
      <c r="AB53" s="33">
        <f t="shared" si="3"/>
        <v>5290.1002707142861</v>
      </c>
      <c r="AC53" s="33">
        <f t="shared" si="4"/>
        <v>5491.1752707142859</v>
      </c>
      <c r="AD53" s="33">
        <f t="shared" si="5"/>
        <v>5521.5252707142863</v>
      </c>
      <c r="AE53" s="33">
        <f t="shared" si="6"/>
        <v>5510.2752707142863</v>
      </c>
      <c r="AF53" s="33">
        <f t="shared" si="7"/>
        <v>5520.2752707142863</v>
      </c>
      <c r="AG53" s="42">
        <f>+E53-'Modelo Soja'!BL53</f>
        <v>5241.9502707142865</v>
      </c>
    </row>
    <row r="54" spans="2:33" x14ac:dyDescent="0.3">
      <c r="B54" s="31" t="str">
        <f t="shared" si="0"/>
        <v>20254</v>
      </c>
      <c r="C54" s="17">
        <f t="shared" si="8"/>
        <v>45748</v>
      </c>
      <c r="D54" s="32">
        <f ca="1">IFERROR(AVERAGEIF('Preço Soja ESALQ'!$C:$C,'Modelo Soja'!$B54,'Preço Soja ESALQ'!Q:Q),NA())</f>
        <v>6715.6449999999995</v>
      </c>
      <c r="E54" s="32">
        <f>+[5]mensal!C53</f>
        <v>5859.9354249500002</v>
      </c>
      <c r="F54" s="32"/>
      <c r="G54" s="32"/>
      <c r="H54" s="32">
        <f t="shared" ca="1" si="1"/>
        <v>5909.7675999999992</v>
      </c>
      <c r="I54" s="33"/>
      <c r="J54" s="33"/>
      <c r="T54" s="36">
        <f>+[6]FSORPRA!H53</f>
        <v>428.75</v>
      </c>
      <c r="U54" s="36">
        <f>+[6]FRONPRA!H53</f>
        <v>327.5</v>
      </c>
      <c r="V54" s="36">
        <f>VLOOKUP(B54,'Frete ESALQ'!$C$5:$AL$131,36,FALSE)</f>
        <v>155.11000000000001</v>
      </c>
      <c r="W54" s="36">
        <f>VLOOKUP(B54,'Frete ESALQ'!$C$5:$AW$131,47,FALSE)</f>
        <v>113.83</v>
      </c>
      <c r="X54" s="36">
        <f>VLOOKUP(B54,'Frete ESALQ'!$C$5:$BH$131,58,FALSE)</f>
        <v>122</v>
      </c>
      <c r="Y54" s="36">
        <f>VLOOKUP(B54,'Frete ESALQ'!$C$5:$BH$131,32,FALSE)</f>
        <v>124</v>
      </c>
      <c r="AA54" s="33">
        <f t="shared" si="2"/>
        <v>5431.1854249500002</v>
      </c>
      <c r="AB54" s="33">
        <f t="shared" si="3"/>
        <v>5532.4354249500002</v>
      </c>
      <c r="AC54" s="33">
        <f t="shared" si="4"/>
        <v>5704.8254249500005</v>
      </c>
      <c r="AD54" s="33">
        <f t="shared" si="5"/>
        <v>5746.1054249500003</v>
      </c>
      <c r="AE54" s="33">
        <f t="shared" si="6"/>
        <v>5737.9354249500002</v>
      </c>
      <c r="AF54" s="33">
        <f t="shared" si="7"/>
        <v>5735.9354249500002</v>
      </c>
      <c r="AG54" s="42">
        <f>+E54-'Modelo Soja'!BL54</f>
        <v>5441.1854249500002</v>
      </c>
    </row>
    <row r="55" spans="2:33" x14ac:dyDescent="0.3">
      <c r="B55" s="31" t="str">
        <f t="shared" si="0"/>
        <v>20255</v>
      </c>
      <c r="C55" s="17">
        <f t="shared" si="8"/>
        <v>45778</v>
      </c>
      <c r="D55" s="32">
        <f ca="1">IFERROR(AVERAGEIF('Preço Soja ESALQ'!$C:$C,'Modelo Soja'!$B55,'Preço Soja ESALQ'!Q:Q),NA())</f>
        <v>6422.1623809523799</v>
      </c>
      <c r="E55" s="32">
        <f>+[5]mensal!C54</f>
        <v>5713.5859790952381</v>
      </c>
      <c r="F55" s="32"/>
      <c r="G55" s="32"/>
      <c r="H55" s="32">
        <f t="shared" ca="1" si="1"/>
        <v>5651.5028952380944</v>
      </c>
      <c r="I55" s="33"/>
      <c r="J55" s="33"/>
      <c r="T55" s="36">
        <f>+[6]FSORPRA!H54</f>
        <v>428</v>
      </c>
      <c r="U55" s="36">
        <f>+[6]FRONPRA!H54</f>
        <v>322</v>
      </c>
      <c r="V55" s="36">
        <f>VLOOKUP(B55,'Frete ESALQ'!$C$5:$AL$131,36,FALSE)</f>
        <v>121</v>
      </c>
      <c r="W55" s="36">
        <f>VLOOKUP(B55,'Frete ESALQ'!$C$5:$AW$131,47,FALSE)</f>
        <v>125.75</v>
      </c>
      <c r="X55" s="36">
        <f>VLOOKUP(B55,'Frete ESALQ'!$C$5:$BH$131,58,FALSE)</f>
        <v>117.5</v>
      </c>
      <c r="Y55" s="36">
        <f>VLOOKUP(B55,'Frete ESALQ'!$C$5:$BH$131,32,FALSE)</f>
        <v>117</v>
      </c>
      <c r="AA55" s="33">
        <f t="shared" si="2"/>
        <v>5285.5859790952381</v>
      </c>
      <c r="AB55" s="33">
        <f t="shared" si="3"/>
        <v>5391.5859790952381</v>
      </c>
      <c r="AC55" s="33">
        <f t="shared" si="4"/>
        <v>5592.5859790952381</v>
      </c>
      <c r="AD55" s="33">
        <f t="shared" si="5"/>
        <v>5587.8359790952381</v>
      </c>
      <c r="AE55" s="33">
        <f t="shared" si="6"/>
        <v>5596.0859790952381</v>
      </c>
      <c r="AF55" s="33">
        <f t="shared" si="7"/>
        <v>5596.5859790952381</v>
      </c>
      <c r="AG55" s="42">
        <f>+E55-'Modelo Soja'!BL55</f>
        <v>5295.5859790952381</v>
      </c>
    </row>
    <row r="56" spans="2:33" x14ac:dyDescent="0.3">
      <c r="B56" s="31" t="str">
        <f t="shared" si="0"/>
        <v>20256</v>
      </c>
      <c r="C56" s="17">
        <f t="shared" si="8"/>
        <v>45809</v>
      </c>
      <c r="D56" s="32">
        <f ca="1">IFERROR(AVERAGEIF('Preço Soja ESALQ'!$C:$C,'Modelo Soja'!$B56,'Preço Soja ESALQ'!Q:Q),NA())</f>
        <v>6282.9839999999995</v>
      </c>
      <c r="E56" s="32">
        <f>+[5]mensal!C55</f>
        <v>5666.0239249999995</v>
      </c>
      <c r="F56" s="32"/>
      <c r="G56" s="32"/>
      <c r="H56" s="32">
        <f t="shared" ca="1" si="1"/>
        <v>5529.0259199999991</v>
      </c>
      <c r="I56" s="33"/>
      <c r="J56" s="33"/>
      <c r="T56" s="36">
        <f>+[6]FSORPRA!H55</f>
        <v>443.25</v>
      </c>
      <c r="U56" s="36">
        <f>+[6]FRONPRA!H55</f>
        <v>323.07499999999999</v>
      </c>
      <c r="V56" s="36">
        <f>VLOOKUP(B56,'Frete ESALQ'!$C$5:$AL$131,36,FALSE)</f>
        <v>155.13</v>
      </c>
      <c r="W56" s="36">
        <f>VLOOKUP(B56,'Frete ESALQ'!$C$5:$AW$131,47,FALSE)</f>
        <v>134.16999999999999</v>
      </c>
      <c r="X56" s="36">
        <f>VLOOKUP(B56,'Frete ESALQ'!$C$5:$BH$131,58,FALSE)</f>
        <v>111.25</v>
      </c>
      <c r="Y56" s="36">
        <f>VLOOKUP(B56,'Frete ESALQ'!$C$5:$BH$131,32,FALSE)</f>
        <v>110</v>
      </c>
      <c r="AA56" s="33">
        <f t="shared" si="2"/>
        <v>5222.7739249999995</v>
      </c>
      <c r="AB56" s="33">
        <f t="shared" si="3"/>
        <v>5342.9489249999997</v>
      </c>
      <c r="AC56" s="33">
        <f t="shared" si="4"/>
        <v>5510.8939249999994</v>
      </c>
      <c r="AD56" s="33">
        <f t="shared" si="5"/>
        <v>5531.8539249999994</v>
      </c>
      <c r="AE56" s="33">
        <f t="shared" si="6"/>
        <v>5554.7739249999995</v>
      </c>
      <c r="AF56" s="33">
        <f t="shared" si="7"/>
        <v>5556.0239249999995</v>
      </c>
      <c r="AG56" s="42">
        <f>+E56-'Modelo Soja'!BL56</f>
        <v>5232.7739249999995</v>
      </c>
    </row>
    <row r="57" spans="2:33" x14ac:dyDescent="0.3">
      <c r="B57" s="31" t="str">
        <f t="shared" si="0"/>
        <v>20257</v>
      </c>
      <c r="C57" s="17">
        <f t="shared" si="8"/>
        <v>45839</v>
      </c>
      <c r="D57" s="32">
        <f ca="1">IFERROR(AVERAGEIF('Preço Soja ESALQ'!$C:$C,'Modelo Soja'!$B57,'Preço Soja ESALQ'!Q:Q),NA())</f>
        <v>6647.0452173913036</v>
      </c>
      <c r="E57" s="32">
        <f>+[5]mensal!C56</f>
        <v>6146.3662916956519</v>
      </c>
      <c r="F57" s="32"/>
      <c r="G57" s="32"/>
      <c r="H57" s="32">
        <f t="shared" ca="1" si="1"/>
        <v>5849.3997913043468</v>
      </c>
      <c r="I57" s="33"/>
      <c r="J57" s="33"/>
      <c r="T57" s="36">
        <f>+[6]FSORPRA!H56</f>
        <v>485.2</v>
      </c>
      <c r="U57" s="36">
        <f>+[6]FRONPRA!H56</f>
        <v>342.625</v>
      </c>
      <c r="V57" s="36">
        <f>VLOOKUP(B57,'Frete ESALQ'!$C$5:$AL$131,36,FALSE)</f>
        <v>208</v>
      </c>
      <c r="W57" s="36">
        <f>VLOOKUP(B57,'Frete ESALQ'!$C$5:$AW$131,47,FALSE)</f>
        <v>181.67</v>
      </c>
      <c r="X57" s="36">
        <f>VLOOKUP(B57,'Frete ESALQ'!$C$5:$BH$131,58,FALSE)</f>
        <v>123.75</v>
      </c>
      <c r="Y57" s="36">
        <f>VLOOKUP(B57,'Frete ESALQ'!$C$5:$BH$131,32,FALSE)</f>
        <v>125</v>
      </c>
      <c r="AA57" s="33">
        <f t="shared" si="2"/>
        <v>5661.166291695652</v>
      </c>
      <c r="AB57" s="33">
        <f t="shared" si="3"/>
        <v>5803.7412916956519</v>
      </c>
      <c r="AC57" s="33">
        <f t="shared" si="4"/>
        <v>5938.3662916956519</v>
      </c>
      <c r="AD57" s="33">
        <f t="shared" si="5"/>
        <v>5964.6962916956518</v>
      </c>
      <c r="AE57" s="33">
        <f t="shared" si="6"/>
        <v>6022.6162916956519</v>
      </c>
      <c r="AF57" s="33">
        <f t="shared" si="7"/>
        <v>6021.3662916956519</v>
      </c>
      <c r="AG57" s="42">
        <f>+E57-'Modelo Soja'!BL57</f>
        <v>5671.166291695652</v>
      </c>
    </row>
    <row r="58" spans="2:33" x14ac:dyDescent="0.3">
      <c r="B58" s="31" t="str">
        <f t="shared" si="0"/>
        <v>20258</v>
      </c>
      <c r="C58" s="17">
        <f t="shared" si="8"/>
        <v>45870</v>
      </c>
      <c r="D58" s="32">
        <f ca="1">IFERROR(AVERAGEIF('Preço Soja ESALQ'!$C:$C,'Modelo Soja'!$B58,'Preço Soja ESALQ'!Q:Q),NA())</f>
        <v>7070.922380952381</v>
      </c>
      <c r="E58" s="32">
        <f>+[5]mensal!C57</f>
        <v>6020.4455168571421</v>
      </c>
      <c r="F58" s="32"/>
      <c r="G58" s="32"/>
      <c r="H58" s="32">
        <f t="shared" ca="1" si="1"/>
        <v>6222.4116952380955</v>
      </c>
      <c r="I58" s="33"/>
      <c r="J58" s="33"/>
      <c r="T58" s="36">
        <f>+[6]FSORPRA!H57</f>
        <v>443.18</v>
      </c>
      <c r="U58" s="36">
        <f>+[6]FRONPRA!H57</f>
        <v>348.02</v>
      </c>
      <c r="V58" s="36">
        <f>VLOOKUP(B58,'Frete ESALQ'!$C$5:$AL$131,36,FALSE)</f>
        <v>173.91</v>
      </c>
      <c r="W58" s="36">
        <f>VLOOKUP(B58,'Frete ESALQ'!$C$5:$AW$131,47,FALSE)</f>
        <v>175</v>
      </c>
      <c r="X58" s="36">
        <f>VLOOKUP(B58,'Frete ESALQ'!$C$5:$BH$131,58,FALSE)</f>
        <v>140</v>
      </c>
      <c r="Y58" s="36">
        <f>VLOOKUP(B58,'Frete ESALQ'!$C$5:$BH$131,32,FALSE)</f>
        <v>138.75</v>
      </c>
      <c r="AA58" s="33">
        <f t="shared" si="2"/>
        <v>5577.2655168571418</v>
      </c>
      <c r="AB58" s="33">
        <f t="shared" si="3"/>
        <v>5672.4255168571417</v>
      </c>
      <c r="AC58" s="33">
        <f t="shared" si="4"/>
        <v>5846.5355168571423</v>
      </c>
      <c r="AD58" s="33">
        <f t="shared" si="5"/>
        <v>5845.4455168571421</v>
      </c>
      <c r="AE58" s="33">
        <f t="shared" si="6"/>
        <v>5880.4455168571421</v>
      </c>
      <c r="AF58" s="33">
        <f t="shared" si="7"/>
        <v>5881.6955168571421</v>
      </c>
      <c r="AG58" s="42">
        <f>+E58-'Modelo Soja'!BL58</f>
        <v>5587.2655168571418</v>
      </c>
    </row>
    <row r="59" spans="2:33" x14ac:dyDescent="0.3">
      <c r="B59" s="31" t="str">
        <f t="shared" si="0"/>
        <v>20259</v>
      </c>
      <c r="C59" s="17">
        <f t="shared" si="8"/>
        <v>45901</v>
      </c>
      <c r="D59" s="32">
        <f ca="1">IFERROR(AVERAGEIF('Preço Soja ESALQ'!$C:$C,'Modelo Soja'!$B59,'Preço Soja ESALQ'!Q:Q),NA())</f>
        <v>7493.8045454545436</v>
      </c>
      <c r="E59" s="32">
        <f>+[5]mensal!C58</f>
        <v>5932.6111845454552</v>
      </c>
      <c r="F59" s="32"/>
      <c r="G59" s="32"/>
      <c r="H59" s="32">
        <f t="shared" ca="1" si="1"/>
        <v>6594.547999999998</v>
      </c>
      <c r="I59" s="33"/>
      <c r="J59" s="33"/>
      <c r="T59" s="36">
        <f>+[6]FSORPRA!H58</f>
        <v>429.35</v>
      </c>
      <c r="U59" s="36">
        <f>+[6]FRONPRA!H58</f>
        <v>333.125</v>
      </c>
      <c r="V59" s="36">
        <f>VLOOKUP(B59,'Frete ESALQ'!$C$5:$AL$131,36,FALSE)</f>
        <v>165.43</v>
      </c>
      <c r="W59" s="36">
        <f>VLOOKUP(B59,'Frete ESALQ'!$C$5:$AW$131,47,FALSE)</f>
        <v>176</v>
      </c>
      <c r="X59" s="36">
        <f>VLOOKUP(B59,'Frete ESALQ'!$C$5:$BH$131,58,FALSE)</f>
        <v>139.16999999999999</v>
      </c>
      <c r="Y59" s="36">
        <f>VLOOKUP(B59,'Frete ESALQ'!$C$5:$BH$131,32,FALSE)</f>
        <v>146.25</v>
      </c>
      <c r="AA59" s="33">
        <f t="shared" si="2"/>
        <v>5503.2611845454549</v>
      </c>
      <c r="AB59" s="33">
        <f t="shared" si="3"/>
        <v>5599.4861845454552</v>
      </c>
      <c r="AC59" s="33">
        <f t="shared" si="4"/>
        <v>5767.1811845454549</v>
      </c>
      <c r="AD59" s="33">
        <f t="shared" si="5"/>
        <v>5756.6111845454552</v>
      </c>
      <c r="AE59" s="33">
        <f t="shared" si="6"/>
        <v>5793.4411845454551</v>
      </c>
      <c r="AF59" s="33">
        <f t="shared" si="7"/>
        <v>5786.3611845454552</v>
      </c>
      <c r="AG59" s="42">
        <f>+E59-'Modelo Soja'!BL59</f>
        <v>5513.2611845454549</v>
      </c>
    </row>
    <row r="60" spans="2:33" x14ac:dyDescent="0.3">
      <c r="B60" s="31" t="str">
        <f t="shared" si="0"/>
        <v>202510</v>
      </c>
      <c r="C60" s="17">
        <f t="shared" si="8"/>
        <v>45931</v>
      </c>
      <c r="D60" s="32">
        <f ca="1">IFERROR(AVERAGEIF('Preço Soja ESALQ'!$C:$C,'Modelo Soja'!$B60,'Preço Soja ESALQ'!Q:Q),NA())</f>
        <v>7470.4295652173914</v>
      </c>
      <c r="E60" s="32">
        <f>+[5]mensal!C59</f>
        <v>5982.9964625217408</v>
      </c>
      <c r="F60" s="32"/>
      <c r="G60" s="32"/>
      <c r="H60" s="32">
        <f t="shared" ca="1" si="1"/>
        <v>6573.9780173913041</v>
      </c>
      <c r="I60" s="33"/>
      <c r="J60" s="33"/>
      <c r="T60" s="36">
        <f>+[6]FSORPRA!H59</f>
        <v>434.91999999999996</v>
      </c>
      <c r="U60" s="36">
        <f>+[6]FRONPRA!H59</f>
        <v>334.52</v>
      </c>
      <c r="V60" s="36">
        <f>VLOOKUP(B60,'Frete ESALQ'!$C$5:$AL$131,36,FALSE)</f>
        <v>163</v>
      </c>
      <c r="W60" s="36">
        <f>VLOOKUP(B60,'Frete ESALQ'!$C$5:$AW$131,47,FALSE)</f>
        <v>166</v>
      </c>
      <c r="X60" s="36">
        <f>VLOOKUP(B60,'Frete ESALQ'!$C$5:$BH$131,58,FALSE)</f>
        <v>155</v>
      </c>
      <c r="Y60" s="36">
        <f>VLOOKUP(B60,'Frete ESALQ'!$C$5:$BH$131,32,FALSE)</f>
        <v>162</v>
      </c>
      <c r="AA60" s="33">
        <f t="shared" si="2"/>
        <v>5548.0764625217407</v>
      </c>
      <c r="AB60" s="33">
        <f t="shared" si="3"/>
        <v>5648.4764625217413</v>
      </c>
      <c r="AC60" s="33">
        <f t="shared" si="4"/>
        <v>5819.9964625217408</v>
      </c>
      <c r="AD60" s="33">
        <f t="shared" si="5"/>
        <v>5816.9964625217408</v>
      </c>
      <c r="AE60" s="33">
        <f t="shared" si="6"/>
        <v>5827.9964625217408</v>
      </c>
      <c r="AF60" s="33">
        <f t="shared" si="7"/>
        <v>5820.9964625217408</v>
      </c>
      <c r="AG60" s="42">
        <f>+E60-'Modelo Soja'!BL60</f>
        <v>5558.0764625217407</v>
      </c>
    </row>
    <row r="61" spans="2:33" x14ac:dyDescent="0.3">
      <c r="B61" s="31" t="str">
        <f t="shared" si="0"/>
        <v>202511</v>
      </c>
      <c r="C61" s="17">
        <f t="shared" si="8"/>
        <v>45962</v>
      </c>
      <c r="D61" s="32">
        <f ca="1">IFERROR(AVERAGEIF('Preço Soja ESALQ'!$C:$C,'Modelo Soja'!$B61,'Preço Soja ESALQ'!Q:Q),NA())</f>
        <v>7101.7721052631568</v>
      </c>
      <c r="E61" s="32">
        <f>+[5]mensal!C60</f>
        <v>5862.0462835789467</v>
      </c>
      <c r="F61" s="32"/>
      <c r="G61" s="32"/>
      <c r="H61" s="32">
        <f t="shared" ca="1" si="1"/>
        <v>6249.5594526315781</v>
      </c>
      <c r="I61" s="33"/>
      <c r="J61" s="33"/>
      <c r="T61" s="36">
        <f>+[6]FSORPRA!H60</f>
        <v>424.3</v>
      </c>
      <c r="U61" s="36">
        <f>+[6]FRONPRA!H60</f>
        <v>315.125</v>
      </c>
      <c r="V61" s="37">
        <f>(V60+V62)/2</f>
        <v>162.5</v>
      </c>
      <c r="W61" s="37">
        <f t="shared" ref="W61:Y61" si="15">(W60+W62)/2</f>
        <v>158</v>
      </c>
      <c r="X61" s="37">
        <f t="shared" si="15"/>
        <v>152.125</v>
      </c>
      <c r="Y61" s="37">
        <f t="shared" si="15"/>
        <v>163.83499999999998</v>
      </c>
      <c r="AA61" s="33">
        <f t="shared" si="2"/>
        <v>5437.7462835789465</v>
      </c>
      <c r="AB61" s="33">
        <f t="shared" si="3"/>
        <v>5546.9212835789467</v>
      </c>
      <c r="AC61" s="33">
        <f t="shared" si="4"/>
        <v>5699.5462835789467</v>
      </c>
      <c r="AD61" s="33">
        <f t="shared" si="5"/>
        <v>5704.0462835789467</v>
      </c>
      <c r="AE61" s="33">
        <f t="shared" si="6"/>
        <v>5709.9212835789467</v>
      </c>
      <c r="AF61" s="33">
        <f t="shared" si="7"/>
        <v>5698.2112835789467</v>
      </c>
      <c r="AG61" s="42">
        <f>+E61-'Modelo Soja'!BL61</f>
        <v>5447.7462835789465</v>
      </c>
    </row>
    <row r="62" spans="2:33" x14ac:dyDescent="0.3">
      <c r="B62" s="31" t="str">
        <f t="shared" si="0"/>
        <v>202512</v>
      </c>
      <c r="C62" s="17">
        <f t="shared" si="8"/>
        <v>45992</v>
      </c>
      <c r="D62" s="32">
        <f ca="1">IFERROR(AVERAGEIF('Preço Soja ESALQ'!$C:$C,'Modelo Soja'!$B62,'Preço Soja ESALQ'!Q:Q),NA())</f>
        <v>6597.4305000000004</v>
      </c>
      <c r="E62" s="32">
        <f>+[5]mensal!C61</f>
        <v>5957.2906355454552</v>
      </c>
      <c r="F62" s="32"/>
      <c r="G62" s="32"/>
      <c r="H62" s="32">
        <f t="shared" ca="1" si="1"/>
        <v>5805.73884</v>
      </c>
      <c r="I62" s="33"/>
      <c r="J62" s="33"/>
      <c r="T62" s="36">
        <f>+[6]FSORPRA!H61</f>
        <v>428.2</v>
      </c>
      <c r="U62" s="36">
        <f>+[6]FRONPRA!H61</f>
        <v>320.25</v>
      </c>
      <c r="V62" s="36">
        <f>VLOOKUP(B62,'Frete ESALQ'!$C$5:$AL$131,36,FALSE)</f>
        <v>162</v>
      </c>
      <c r="W62" s="36">
        <f>VLOOKUP(B62,'Frete ESALQ'!$C$5:$AW$131,47,FALSE)</f>
        <v>150</v>
      </c>
      <c r="X62" s="36">
        <f>VLOOKUP(B62,'Frete ESALQ'!$C$5:$BH$131,58,FALSE)</f>
        <v>149.25</v>
      </c>
      <c r="Y62" s="36">
        <f>VLOOKUP(B62,'Frete ESALQ'!$C$5:$BH$131,32,FALSE)</f>
        <v>165.67</v>
      </c>
      <c r="AA62" s="33">
        <f t="shared" si="2"/>
        <v>5529.0906355454554</v>
      </c>
      <c r="AB62" s="33">
        <f t="shared" si="3"/>
        <v>5637.0406355454552</v>
      </c>
      <c r="AC62" s="33">
        <f t="shared" si="4"/>
        <v>5795.2906355454552</v>
      </c>
      <c r="AD62" s="33">
        <f t="shared" si="5"/>
        <v>5807.2906355454552</v>
      </c>
      <c r="AE62" s="33">
        <f t="shared" si="6"/>
        <v>5808.0406355454552</v>
      </c>
      <c r="AF62" s="33">
        <f t="shared" si="7"/>
        <v>5791.6206355454551</v>
      </c>
      <c r="AG62" s="42">
        <f>+E62-'Modelo Soja'!BL62</f>
        <v>5539.0906355454554</v>
      </c>
    </row>
    <row r="63" spans="2:33" x14ac:dyDescent="0.3">
      <c r="B63" s="31" t="str">
        <f t="shared" si="0"/>
        <v>20261</v>
      </c>
      <c r="C63" s="17">
        <f t="shared" si="8"/>
        <v>46023</v>
      </c>
      <c r="D63" s="32">
        <f ca="1">IFERROR(AVERAGEIF('Preço Soja ESALQ'!$C:$C,'Modelo Soja'!$B63,'Preço Soja ESALQ'!Q:Q),NA())</f>
        <v>6522.9728571428568</v>
      </c>
      <c r="E63" s="32">
        <f>+[5]mensal!C62</f>
        <v>6058.312422809523</v>
      </c>
      <c r="F63" s="32"/>
      <c r="G63" s="32"/>
      <c r="H63" s="32">
        <f t="shared" ca="1" si="1"/>
        <v>5740.216114285714</v>
      </c>
      <c r="I63" s="33"/>
      <c r="J63" s="33"/>
      <c r="T63" s="36">
        <f>+[6]FSORPRA!H62</f>
        <v>440.12</v>
      </c>
      <c r="U63" s="36">
        <f>+[6]FRONPRA!H62</f>
        <v>329.6</v>
      </c>
      <c r="V63" s="36">
        <f>VLOOKUP(B63,'Frete ESALQ'!$C$5:$AL$131,36,FALSE)</f>
        <v>148</v>
      </c>
      <c r="W63" s="36">
        <f>VLOOKUP(B63,'Frete ESALQ'!$C$5:$AW$131,47,FALSE)</f>
        <v>151.25</v>
      </c>
      <c r="X63" s="36">
        <f>VLOOKUP(B63,'Frete ESALQ'!$C$5:$BH$131,58,FALSE)</f>
        <v>150</v>
      </c>
      <c r="Y63" s="36">
        <f>VLOOKUP(B63,'Frete ESALQ'!$C$5:$BH$131,32,FALSE)</f>
        <v>155</v>
      </c>
      <c r="AA63" s="33">
        <f t="shared" si="2"/>
        <v>5618.1924228095231</v>
      </c>
      <c r="AB63" s="33">
        <f t="shared" si="3"/>
        <v>5728.7124228095226</v>
      </c>
      <c r="AC63" s="33">
        <f t="shared" si="4"/>
        <v>5910.312422809523</v>
      </c>
      <c r="AD63" s="33">
        <f t="shared" si="5"/>
        <v>5907.062422809523</v>
      </c>
      <c r="AE63" s="33">
        <f t="shared" si="6"/>
        <v>5908.312422809523</v>
      </c>
      <c r="AF63" s="33">
        <f t="shared" si="7"/>
        <v>5903.312422809523</v>
      </c>
      <c r="AG63" s="42">
        <f>+E63-'Modelo Soja'!BL63</f>
        <v>5628.1924228095231</v>
      </c>
    </row>
    <row r="64" spans="2:33" x14ac:dyDescent="0.3">
      <c r="B64" s="31" t="str">
        <f t="shared" si="0"/>
        <v>20262</v>
      </c>
      <c r="C64" s="17">
        <f t="shared" si="8"/>
        <v>46054</v>
      </c>
      <c r="D64" s="32">
        <f ca="1">IFERROR(AVERAGEIF('Preço Soja ESALQ'!$C:$C,'Modelo Soja'!$B64,'Preço Soja ESALQ'!Q:Q),NA())</f>
        <v>6462.8722222222241</v>
      </c>
      <c r="E64" s="32">
        <f>+[5]mensal!C63</f>
        <v>6086.0183114444444</v>
      </c>
      <c r="F64" s="32"/>
      <c r="G64" s="32"/>
      <c r="H64" s="32">
        <f t="shared" ca="1" si="1"/>
        <v>5687.3275555555574</v>
      </c>
      <c r="I64" s="33"/>
      <c r="J64" s="33"/>
      <c r="T64" s="36">
        <f>+[6]FSORPRA!H63</f>
        <v>461.32499999999999</v>
      </c>
      <c r="U64" s="36">
        <f>+[6]FRONPRA!H63</f>
        <v>360.32499999999999</v>
      </c>
      <c r="V64" s="36">
        <f>VLOOKUP(B64,'Frete ESALQ'!$C$5:$AL$131,36,FALSE)</f>
        <v>167.75</v>
      </c>
      <c r="W64" s="36">
        <f>VLOOKUP(B64,'Frete ESALQ'!$C$5:$AW$131,47,FALSE)</f>
        <v>161.25</v>
      </c>
      <c r="X64" s="36">
        <f>VLOOKUP(B64,'Frete ESALQ'!$C$5:$BH$131,58,FALSE)</f>
        <v>155</v>
      </c>
      <c r="Y64" s="36">
        <f>VLOOKUP(B64,'Frete ESALQ'!$C$5:$BH$131,32,FALSE)</f>
        <v>156.25</v>
      </c>
      <c r="AA64" s="33">
        <f t="shared" si="2"/>
        <v>5624.6933114444446</v>
      </c>
      <c r="AB64" s="33">
        <f t="shared" si="3"/>
        <v>5725.6933114444446</v>
      </c>
      <c r="AC64" s="33">
        <f t="shared" si="4"/>
        <v>5918.2683114444444</v>
      </c>
      <c r="AD64" s="33">
        <f t="shared" si="5"/>
        <v>5924.7683114444444</v>
      </c>
      <c r="AE64" s="33">
        <f t="shared" si="6"/>
        <v>5931.0183114444444</v>
      </c>
      <c r="AF64" s="33">
        <f t="shared" si="7"/>
        <v>5929.7683114444444</v>
      </c>
      <c r="AG64" s="42">
        <f>+E64-'Modelo Soja'!BL64</f>
        <v>5634.6933114444446</v>
      </c>
    </row>
    <row r="65" spans="2:33" x14ac:dyDescent="0.3">
      <c r="B65" s="31" t="str">
        <f t="shared" si="0"/>
        <v>20263</v>
      </c>
      <c r="C65" s="17">
        <f t="shared" si="8"/>
        <v>46082</v>
      </c>
      <c r="D65" s="32">
        <f ca="1">IFERROR(AVERAGEIF('Preço Soja ESALQ'!$C:$C,'Modelo Soja'!$B65,'Preço Soja ESALQ'!Q:Q),NA())</f>
        <v>6619.7538888888885</v>
      </c>
      <c r="E65" s="32">
        <f>+[5]mensal!C64</f>
        <v>5857.6831885555557</v>
      </c>
      <c r="F65" s="32"/>
      <c r="G65" s="32"/>
      <c r="H65" s="32">
        <f t="shared" ca="1" si="1"/>
        <v>5825.3834222222222</v>
      </c>
      <c r="I65" s="33"/>
      <c r="J65" s="33"/>
      <c r="T65" s="36">
        <f>+[6]FSORPRA!H64</f>
        <v>478.9</v>
      </c>
      <c r="U65" s="36">
        <f>+[6]FRONPRA!H64</f>
        <v>386.5</v>
      </c>
      <c r="V65" s="36">
        <f>VLOOKUP(B65,'Frete ESALQ'!$C$5:$AL$131,36,FALSE)</f>
        <v>167.75</v>
      </c>
      <c r="W65" s="36">
        <f>VLOOKUP(B65,'Frete ESALQ'!$C$5:$AW$131,47,FALSE)</f>
        <v>161.25</v>
      </c>
      <c r="X65" s="36">
        <f>VLOOKUP(B65,'Frete ESALQ'!$C$5:$BH$131,58,FALSE)</f>
        <v>155</v>
      </c>
      <c r="Y65" s="36">
        <f>VLOOKUP(B65,'Frete ESALQ'!$C$5:$BH$131,32,FALSE)</f>
        <v>156.25</v>
      </c>
      <c r="AA65" s="33">
        <f t="shared" si="2"/>
        <v>5378.7831885555561</v>
      </c>
      <c r="AB65" s="33">
        <f t="shared" si="3"/>
        <v>5471.1831885555557</v>
      </c>
      <c r="AC65" s="33">
        <f t="shared" si="4"/>
        <v>5689.9331885555557</v>
      </c>
      <c r="AD65" s="33">
        <f t="shared" si="5"/>
        <v>5696.4331885555557</v>
      </c>
      <c r="AE65" s="33">
        <f t="shared" si="6"/>
        <v>5702.6831885555557</v>
      </c>
      <c r="AF65" s="33">
        <f t="shared" si="7"/>
        <v>5701.4331885555557</v>
      </c>
      <c r="AG65" s="42">
        <f>+E65-'Modelo Soja'!BL65</f>
        <v>5388.7831885555561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C23A-A595-4414-BE08-34A94D97E6C8}">
  <dimension ref="A1:EA1631"/>
  <sheetViews>
    <sheetView topLeftCell="AE1" workbookViewId="0">
      <selection activeCell="AH32" sqref="AH32"/>
    </sheetView>
  </sheetViews>
  <sheetFormatPr defaultColWidth="8.88671875" defaultRowHeight="14.4" x14ac:dyDescent="0.3"/>
  <cols>
    <col min="1" max="1" width="17.44140625" style="4" customWidth="1"/>
    <col min="2" max="2" width="13.33203125" style="4" customWidth="1"/>
    <col min="3" max="3" width="10.33203125" style="4" bestFit="1" customWidth="1"/>
    <col min="4" max="4" width="17.33203125" style="4" bestFit="1" customWidth="1"/>
    <col min="5" max="5" width="21.33203125" style="4" customWidth="1"/>
    <col min="6" max="8" width="19.6640625" style="4" bestFit="1" customWidth="1"/>
    <col min="9" max="9" width="19.44140625" style="4" bestFit="1" customWidth="1"/>
    <col min="10" max="127" width="19.6640625" style="4" bestFit="1" customWidth="1"/>
    <col min="128" max="130" width="8.88671875" style="4"/>
    <col min="131" max="131" width="23" style="4" bestFit="1" customWidth="1"/>
    <col min="132" max="16384" width="8.88671875" style="4"/>
  </cols>
  <sheetData>
    <row r="1" spans="1:131" x14ac:dyDescent="0.3">
      <c r="E1" s="4" t="str">
        <f>VLOOKUP(LEFT(RIGHT(E6,7),3),$DZ$4:$EA$65,2,FALSE)</f>
        <v>Sorriso</v>
      </c>
      <c r="F1" s="4" t="str">
        <f t="shared" ref="F1:BO1" si="0">VLOOKUP(LEFT(RIGHT(F6,7),3),$DZ$4:$EA$65,2,FALSE)</f>
        <v>Sinop</v>
      </c>
      <c r="G1" s="4" t="str">
        <f t="shared" si="0"/>
        <v>Primavera do Leste</v>
      </c>
      <c r="H1" s="4" t="str">
        <f t="shared" si="0"/>
        <v>Sorriso</v>
      </c>
      <c r="I1" s="4" t="str">
        <f t="shared" si="0"/>
        <v>Primavera do Leste</v>
      </c>
      <c r="J1" s="4" t="str">
        <f t="shared" si="0"/>
        <v>Nova Mutum</v>
      </c>
      <c r="K1" s="4" t="str">
        <f t="shared" si="0"/>
        <v>Sorriso</v>
      </c>
      <c r="L1" s="4" t="str">
        <f t="shared" si="0"/>
        <v>Lucas do Rio Verde</v>
      </c>
      <c r="M1" s="4" t="str">
        <f t="shared" si="0"/>
        <v>Campo Verde</v>
      </c>
      <c r="N1" s="4" t="str">
        <f t="shared" si="0"/>
        <v>Diamantino</v>
      </c>
      <c r="O1" s="4" t="str">
        <f t="shared" si="0"/>
        <v>Alto Garças</v>
      </c>
      <c r="P1" s="4" t="str">
        <f t="shared" si="0"/>
        <v>Ipiranga do Norte</v>
      </c>
      <c r="Q1" s="4" t="str">
        <f t="shared" si="0"/>
        <v>Primavera do Leste</v>
      </c>
      <c r="R1" s="4" t="str">
        <f t="shared" si="0"/>
        <v>Santa Carmem</v>
      </c>
      <c r="S1" s="4" t="str">
        <f t="shared" si="0"/>
        <v>Campo Verde</v>
      </c>
      <c r="T1" s="4" t="str">
        <f t="shared" si="0"/>
        <v>Cascavel</v>
      </c>
      <c r="U1" s="4" t="str">
        <f t="shared" si="0"/>
        <v>Ipiranga do Norte</v>
      </c>
      <c r="V1" s="4" t="str">
        <f t="shared" si="0"/>
        <v>Claudia</v>
      </c>
      <c r="W1" s="4" t="str">
        <f t="shared" si="0"/>
        <v>Sinop</v>
      </c>
      <c r="X1" s="4" t="str">
        <f t="shared" si="0"/>
        <v>Canarana</v>
      </c>
      <c r="Y1" s="4" t="str">
        <f t="shared" si="0"/>
        <v>Nova Ubirata</v>
      </c>
      <c r="Z1" s="4" t="str">
        <f t="shared" si="0"/>
        <v>Querencia</v>
      </c>
      <c r="AA1" s="4" t="str">
        <f t="shared" si="0"/>
        <v>Querencia</v>
      </c>
      <c r="AB1" s="4" t="str">
        <f t="shared" si="0"/>
        <v>Itanhanga</v>
      </c>
      <c r="AC1" s="4" t="str">
        <f t="shared" si="0"/>
        <v>Nova Ubirata</v>
      </c>
      <c r="AD1" s="4" t="str">
        <f t="shared" si="0"/>
        <v>Luis Eduardo Magalhães</v>
      </c>
      <c r="AE1" s="4" t="str">
        <f t="shared" si="0"/>
        <v>Primavera do Leste</v>
      </c>
      <c r="AF1" s="4" t="str">
        <f t="shared" si="0"/>
        <v>Querencia</v>
      </c>
      <c r="AG1" s="4" t="str">
        <f t="shared" si="0"/>
        <v>Primavera do Leste</v>
      </c>
      <c r="AH1" s="4" t="str">
        <f t="shared" si="0"/>
        <v>Passo Fundo</v>
      </c>
      <c r="AI1" s="4" t="str">
        <f t="shared" si="0"/>
        <v>Querencia</v>
      </c>
      <c r="AJ1" s="4" t="str">
        <f t="shared" si="0"/>
        <v>Boa Esperança</v>
      </c>
      <c r="AK1" s="4" t="str">
        <f t="shared" si="0"/>
        <v>Nova Maringa</v>
      </c>
      <c r="AL1" s="4" t="str">
        <f t="shared" si="0"/>
        <v>Toledo</v>
      </c>
      <c r="AM1" s="4" t="str">
        <f t="shared" si="0"/>
        <v>Luis Eduardo Magalhães</v>
      </c>
      <c r="AN1" s="4" t="str">
        <f t="shared" si="0"/>
        <v>São Felix do Araguaia</v>
      </c>
      <c r="AO1" s="4" t="str">
        <f t="shared" si="0"/>
        <v>Sorriso</v>
      </c>
      <c r="AP1" s="4" t="str">
        <f t="shared" si="0"/>
        <v>Canarana</v>
      </c>
      <c r="AQ1" s="4" t="str">
        <f t="shared" si="0"/>
        <v>Querencia</v>
      </c>
      <c r="AR1" s="4" t="str">
        <f t="shared" si="0"/>
        <v>Sorriso</v>
      </c>
      <c r="AS1" s="4" t="str">
        <f t="shared" si="0"/>
        <v>Canarana</v>
      </c>
      <c r="AT1" s="4" t="str">
        <f t="shared" si="0"/>
        <v>Agua Boa</v>
      </c>
      <c r="AU1" s="4" t="str">
        <f t="shared" si="0"/>
        <v>Ipiranga do Norte</v>
      </c>
      <c r="AV1" s="4" t="str">
        <f t="shared" si="0"/>
        <v>Diamantino</v>
      </c>
      <c r="AW1" s="4" t="str">
        <f t="shared" si="0"/>
        <v>Londrina</v>
      </c>
      <c r="AX1" s="4" t="str">
        <f t="shared" si="0"/>
        <v>Canarana</v>
      </c>
      <c r="AY1" s="4" t="str">
        <f t="shared" si="0"/>
        <v>Querencia</v>
      </c>
      <c r="AZ1" s="4" t="str">
        <f t="shared" si="0"/>
        <v>Nova Santa Helena</v>
      </c>
      <c r="BA1" s="4" t="str">
        <f t="shared" si="0"/>
        <v>Cruz Alta</v>
      </c>
      <c r="BB1" s="4" t="str">
        <f t="shared" si="0"/>
        <v>Lucas do Rio Verde</v>
      </c>
      <c r="BC1" s="4" t="str">
        <f t="shared" si="0"/>
        <v>Caravagio</v>
      </c>
      <c r="BD1" s="4" t="str">
        <f t="shared" si="0"/>
        <v>Confresa</v>
      </c>
      <c r="BE1" s="4" t="str">
        <f t="shared" si="0"/>
        <v>Canarana</v>
      </c>
      <c r="BF1" s="4" t="str">
        <f t="shared" si="0"/>
        <v>Nova Mutum</v>
      </c>
      <c r="BG1" s="4" t="str">
        <f t="shared" si="0"/>
        <v>Tapera</v>
      </c>
      <c r="BH1" s="4" t="str">
        <f t="shared" si="0"/>
        <v>Ijui</v>
      </c>
      <c r="BI1" s="4" t="str">
        <f t="shared" si="0"/>
        <v>Maringa</v>
      </c>
      <c r="BJ1" s="4" t="str">
        <f t="shared" si="0"/>
        <v>Campo Mourão</v>
      </c>
      <c r="BK1" s="4" t="str">
        <f t="shared" si="0"/>
        <v>Feliz Natal</v>
      </c>
      <c r="BL1" s="4" t="str">
        <f t="shared" si="0"/>
        <v>Canarana</v>
      </c>
      <c r="BM1" s="4" t="str">
        <f t="shared" si="0"/>
        <v>Matupa</v>
      </c>
      <c r="BN1" s="4" t="str">
        <f t="shared" si="0"/>
        <v>Confresa</v>
      </c>
      <c r="BO1" s="4" t="str">
        <f t="shared" si="0"/>
        <v>Boa Esperança</v>
      </c>
    </row>
    <row r="2" spans="1:131" x14ac:dyDescent="0.3">
      <c r="E2" s="4" t="str">
        <f>+VLOOKUP(RIGHT(E6,3),$DZ$4:$EA$65,2,FALSE)</f>
        <v>Rondonoplis</v>
      </c>
      <c r="F2" s="4" t="str">
        <f t="shared" ref="F2:BO2" si="1">+VLOOKUP(RIGHT(F6,3),$DZ$4:$EA$65,2,FALSE)</f>
        <v>Itaituba</v>
      </c>
      <c r="G2" s="4" t="str">
        <f t="shared" si="1"/>
        <v>Rondonoplis</v>
      </c>
      <c r="H2" s="4" t="str">
        <f t="shared" si="1"/>
        <v>Itaituba</v>
      </c>
      <c r="I2" s="4" t="str">
        <f t="shared" si="1"/>
        <v>Alto Araguaia</v>
      </c>
      <c r="J2" s="4" t="str">
        <f t="shared" si="1"/>
        <v>Rondonoplis</v>
      </c>
      <c r="K2" s="4" t="str">
        <f t="shared" si="1"/>
        <v>Alto Araguaia</v>
      </c>
      <c r="L2" s="4" t="str">
        <f t="shared" si="1"/>
        <v>Rondonoplis</v>
      </c>
      <c r="M2" s="4" t="str">
        <f t="shared" si="1"/>
        <v>Alto Araguaia</v>
      </c>
      <c r="N2" s="4" t="str">
        <f t="shared" si="1"/>
        <v>Rondonoplis</v>
      </c>
      <c r="O2" s="4" t="str">
        <f t="shared" si="1"/>
        <v>Alto Araguaia</v>
      </c>
      <c r="P2" s="4" t="str">
        <f t="shared" si="1"/>
        <v>Rondonoplis</v>
      </c>
      <c r="Q2" s="4" t="str">
        <f t="shared" si="1"/>
        <v>Paranagua</v>
      </c>
      <c r="R2" s="4" t="str">
        <f t="shared" si="1"/>
        <v>Itaituba</v>
      </c>
      <c r="S2" s="4" t="str">
        <f t="shared" si="1"/>
        <v>Rondonoplis</v>
      </c>
      <c r="T2" s="4" t="str">
        <f t="shared" si="1"/>
        <v>Paranagua</v>
      </c>
      <c r="U2" s="4" t="str">
        <f t="shared" si="1"/>
        <v>Itaituba</v>
      </c>
      <c r="V2" s="4" t="str">
        <f t="shared" si="1"/>
        <v>Itaituba</v>
      </c>
      <c r="W2" s="4" t="str">
        <f t="shared" si="1"/>
        <v>Rondonoplis</v>
      </c>
      <c r="X2" s="4" t="str">
        <f t="shared" si="1"/>
        <v>São Simão</v>
      </c>
      <c r="Y2" s="4" t="str">
        <f t="shared" si="1"/>
        <v>Itaituba</v>
      </c>
      <c r="Z2" s="4" t="str">
        <f t="shared" si="1"/>
        <v>São Luis</v>
      </c>
      <c r="AA2" s="4" t="str">
        <f t="shared" si="1"/>
        <v>Araguari</v>
      </c>
      <c r="AB2" s="4" t="str">
        <f t="shared" si="1"/>
        <v>Rondonoplis</v>
      </c>
      <c r="AC2" s="4" t="str">
        <f t="shared" si="1"/>
        <v>Rondonoplis</v>
      </c>
      <c r="AD2" s="4" t="str">
        <f t="shared" si="1"/>
        <v>Aratu</v>
      </c>
      <c r="AE2" s="4" t="str">
        <f t="shared" si="1"/>
        <v>Santos</v>
      </c>
      <c r="AF2" s="4" t="str">
        <f t="shared" si="1"/>
        <v>São Simão</v>
      </c>
      <c r="AG2" s="4" t="str">
        <f t="shared" si="1"/>
        <v>Guaruja</v>
      </c>
      <c r="AH2" s="4" t="str">
        <f t="shared" si="1"/>
        <v>Rio Grande</v>
      </c>
      <c r="AI2" s="4" t="str">
        <f t="shared" si="1"/>
        <v>Colinas do Tocantins</v>
      </c>
      <c r="AJ2" s="4" t="str">
        <f t="shared" si="1"/>
        <v>Itaituba</v>
      </c>
      <c r="AK2" s="4" t="str">
        <f t="shared" si="1"/>
        <v>Rondonoplis</v>
      </c>
      <c r="AL2" s="4" t="str">
        <f t="shared" si="1"/>
        <v>Paranagua</v>
      </c>
      <c r="AM2" s="4" t="str">
        <f t="shared" si="1"/>
        <v>Salvador</v>
      </c>
      <c r="AN2" s="4" t="str">
        <f t="shared" si="1"/>
        <v>Barcarena</v>
      </c>
      <c r="AO2" s="4" t="str">
        <f t="shared" si="1"/>
        <v>Imbituba</v>
      </c>
      <c r="AP2" s="4" t="str">
        <f t="shared" si="1"/>
        <v>Santos</v>
      </c>
      <c r="AQ2" s="4" t="str">
        <f t="shared" si="1"/>
        <v>Uberaba</v>
      </c>
      <c r="AR2" s="4" t="str">
        <f t="shared" si="1"/>
        <v>Santos</v>
      </c>
      <c r="AS2" s="4" t="str">
        <f t="shared" si="1"/>
        <v>Uberaba</v>
      </c>
      <c r="AT2" s="4" t="str">
        <f t="shared" si="1"/>
        <v>São Simão</v>
      </c>
      <c r="AU2" s="4" t="str">
        <f t="shared" si="1"/>
        <v>Alto Araguaia</v>
      </c>
      <c r="AV2" s="4" t="str">
        <f t="shared" si="1"/>
        <v>Alto Araguaia</v>
      </c>
      <c r="AW2" s="4" t="str">
        <f t="shared" si="1"/>
        <v>Paranagua</v>
      </c>
      <c r="AX2" s="4" t="str">
        <f t="shared" si="1"/>
        <v>Araguari</v>
      </c>
      <c r="AY2" s="4" t="str">
        <f t="shared" si="1"/>
        <v>Barcarena</v>
      </c>
      <c r="AZ2" s="4" t="str">
        <f t="shared" si="1"/>
        <v>Itaituba</v>
      </c>
      <c r="BA2" s="4" t="str">
        <f t="shared" si="1"/>
        <v>Rio Grande</v>
      </c>
      <c r="BB2" s="4" t="str">
        <f t="shared" si="1"/>
        <v>Alto Araguaia</v>
      </c>
      <c r="BC2" s="4" t="str">
        <f t="shared" si="1"/>
        <v>Alto Araguaia</v>
      </c>
      <c r="BD2" s="4" t="str">
        <f t="shared" si="1"/>
        <v>São Luis</v>
      </c>
      <c r="BE2" s="4" t="str">
        <f t="shared" si="1"/>
        <v>Paranagua</v>
      </c>
      <c r="BF2" s="4" t="str">
        <f t="shared" si="1"/>
        <v>Alto Araguaia</v>
      </c>
      <c r="BG2" s="4" t="str">
        <f t="shared" si="1"/>
        <v>Rio Grande</v>
      </c>
      <c r="BH2" s="4" t="str">
        <f t="shared" si="1"/>
        <v>Rio Grande</v>
      </c>
      <c r="BI2" s="4" t="str">
        <f t="shared" si="1"/>
        <v>Paranagua</v>
      </c>
      <c r="BJ2" s="4" t="str">
        <f t="shared" si="1"/>
        <v>Paranagua</v>
      </c>
      <c r="BK2" s="4" t="str">
        <f t="shared" si="1"/>
        <v>Itaituba</v>
      </c>
      <c r="BL2" s="4" t="str">
        <f t="shared" si="1"/>
        <v>Guaruja</v>
      </c>
      <c r="BM2" s="4" t="str">
        <f t="shared" si="1"/>
        <v>Itaituba</v>
      </c>
      <c r="BN2" s="4" t="str">
        <f t="shared" si="1"/>
        <v>Barcarena</v>
      </c>
      <c r="BO2" s="4" t="str">
        <f t="shared" si="1"/>
        <v>Itaituba</v>
      </c>
    </row>
    <row r="3" spans="1:131" x14ac:dyDescent="0.3">
      <c r="B3" s="10" t="s">
        <v>146</v>
      </c>
      <c r="C3" s="11">
        <f ca="1">TODAY()</f>
        <v>46119</v>
      </c>
      <c r="D3" s="4" t="s">
        <v>82</v>
      </c>
      <c r="AL3" s="4" t="s">
        <v>230</v>
      </c>
      <c r="AW3" s="4" t="s">
        <v>229</v>
      </c>
      <c r="BI3" s="4" t="s">
        <v>231</v>
      </c>
      <c r="BJ3" s="4" t="s">
        <v>232</v>
      </c>
    </row>
    <row r="4" spans="1:131" ht="20.25" customHeight="1" x14ac:dyDescent="0.3">
      <c r="C4" s="4" t="e">
        <f ca="1">_xll.RDP.HistoricalPricing($A$6:$A$67,"CLOSE","START:01-Jan-2020 END:"&amp;$C$3&amp;" SOURCE:RFV INTERVAL:P1m",,"CH:IN RH:Timestamp TSREPEAT:NO",D6)</f>
        <v>#NAME?</v>
      </c>
      <c r="E4" s="28">
        <v>3</v>
      </c>
      <c r="F4" s="28">
        <f>+E4+1</f>
        <v>4</v>
      </c>
      <c r="G4" s="28">
        <f t="shared" ref="G4:BR4" si="2">+F4+1</f>
        <v>5</v>
      </c>
      <c r="H4" s="28">
        <f t="shared" si="2"/>
        <v>6</v>
      </c>
      <c r="I4" s="28">
        <f t="shared" si="2"/>
        <v>7</v>
      </c>
      <c r="J4" s="28">
        <f t="shared" si="2"/>
        <v>8</v>
      </c>
      <c r="K4" s="28">
        <f t="shared" si="2"/>
        <v>9</v>
      </c>
      <c r="L4" s="28">
        <f t="shared" si="2"/>
        <v>10</v>
      </c>
      <c r="M4" s="28">
        <f t="shared" si="2"/>
        <v>11</v>
      </c>
      <c r="N4" s="28">
        <f t="shared" si="2"/>
        <v>12</v>
      </c>
      <c r="O4" s="28">
        <f t="shared" si="2"/>
        <v>13</v>
      </c>
      <c r="P4" s="28">
        <f t="shared" si="2"/>
        <v>14</v>
      </c>
      <c r="Q4" s="28">
        <f t="shared" si="2"/>
        <v>15</v>
      </c>
      <c r="R4" s="28">
        <f t="shared" si="2"/>
        <v>16</v>
      </c>
      <c r="S4" s="28">
        <f t="shared" si="2"/>
        <v>17</v>
      </c>
      <c r="T4" s="28">
        <f t="shared" si="2"/>
        <v>18</v>
      </c>
      <c r="U4" s="28">
        <f t="shared" si="2"/>
        <v>19</v>
      </c>
      <c r="V4" s="28">
        <f t="shared" si="2"/>
        <v>20</v>
      </c>
      <c r="W4" s="28">
        <f t="shared" si="2"/>
        <v>21</v>
      </c>
      <c r="X4" s="28">
        <f t="shared" si="2"/>
        <v>22</v>
      </c>
      <c r="Y4" s="28">
        <f t="shared" si="2"/>
        <v>23</v>
      </c>
      <c r="Z4" s="28">
        <f t="shared" si="2"/>
        <v>24</v>
      </c>
      <c r="AA4" s="28">
        <f t="shared" si="2"/>
        <v>25</v>
      </c>
      <c r="AB4" s="28">
        <f t="shared" si="2"/>
        <v>26</v>
      </c>
      <c r="AC4" s="28">
        <f t="shared" si="2"/>
        <v>27</v>
      </c>
      <c r="AD4" s="28">
        <f t="shared" si="2"/>
        <v>28</v>
      </c>
      <c r="AE4" s="28">
        <f t="shared" si="2"/>
        <v>29</v>
      </c>
      <c r="AF4" s="28">
        <f t="shared" si="2"/>
        <v>30</v>
      </c>
      <c r="AG4" s="28">
        <f t="shared" si="2"/>
        <v>31</v>
      </c>
      <c r="AH4" s="28">
        <f t="shared" si="2"/>
        <v>32</v>
      </c>
      <c r="AI4" s="28">
        <f t="shared" si="2"/>
        <v>33</v>
      </c>
      <c r="AJ4" s="28">
        <f t="shared" si="2"/>
        <v>34</v>
      </c>
      <c r="AK4" s="28">
        <f t="shared" si="2"/>
        <v>35</v>
      </c>
      <c r="AL4" s="28">
        <f t="shared" si="2"/>
        <v>36</v>
      </c>
      <c r="AM4" s="28">
        <f t="shared" si="2"/>
        <v>37</v>
      </c>
      <c r="AN4" s="28">
        <f t="shared" si="2"/>
        <v>38</v>
      </c>
      <c r="AO4" s="28">
        <f t="shared" si="2"/>
        <v>39</v>
      </c>
      <c r="AP4" s="28">
        <f t="shared" si="2"/>
        <v>40</v>
      </c>
      <c r="AQ4" s="28">
        <f t="shared" si="2"/>
        <v>41</v>
      </c>
      <c r="AR4" s="28">
        <f t="shared" si="2"/>
        <v>42</v>
      </c>
      <c r="AS4" s="28">
        <f t="shared" si="2"/>
        <v>43</v>
      </c>
      <c r="AT4" s="28">
        <f t="shared" si="2"/>
        <v>44</v>
      </c>
      <c r="AU4" s="28">
        <f t="shared" si="2"/>
        <v>45</v>
      </c>
      <c r="AV4" s="28">
        <f t="shared" si="2"/>
        <v>46</v>
      </c>
      <c r="AW4" s="28">
        <f t="shared" si="2"/>
        <v>47</v>
      </c>
      <c r="AX4" s="28">
        <f t="shared" si="2"/>
        <v>48</v>
      </c>
      <c r="AY4" s="28">
        <f t="shared" si="2"/>
        <v>49</v>
      </c>
      <c r="AZ4" s="28">
        <f t="shared" si="2"/>
        <v>50</v>
      </c>
      <c r="BA4" s="28">
        <f t="shared" si="2"/>
        <v>51</v>
      </c>
      <c r="BB4" s="28">
        <f t="shared" si="2"/>
        <v>52</v>
      </c>
      <c r="BC4" s="28">
        <f t="shared" si="2"/>
        <v>53</v>
      </c>
      <c r="BD4" s="28">
        <f t="shared" si="2"/>
        <v>54</v>
      </c>
      <c r="BE4" s="28">
        <f t="shared" si="2"/>
        <v>55</v>
      </c>
      <c r="BF4" s="28">
        <f t="shared" si="2"/>
        <v>56</v>
      </c>
      <c r="BG4" s="28">
        <f t="shared" si="2"/>
        <v>57</v>
      </c>
      <c r="BH4" s="28">
        <f t="shared" si="2"/>
        <v>58</v>
      </c>
      <c r="BI4" s="28">
        <f t="shared" si="2"/>
        <v>59</v>
      </c>
      <c r="BJ4" s="28">
        <f t="shared" si="2"/>
        <v>60</v>
      </c>
      <c r="BK4" s="28">
        <f t="shared" si="2"/>
        <v>61</v>
      </c>
      <c r="BL4" s="28">
        <f t="shared" si="2"/>
        <v>62</v>
      </c>
      <c r="BM4" s="28">
        <f t="shared" si="2"/>
        <v>63</v>
      </c>
      <c r="BN4" s="28">
        <f t="shared" si="2"/>
        <v>64</v>
      </c>
      <c r="BO4" s="28">
        <f t="shared" si="2"/>
        <v>65</v>
      </c>
      <c r="BP4" s="28">
        <f t="shared" si="2"/>
        <v>66</v>
      </c>
      <c r="BQ4" s="28">
        <f t="shared" si="2"/>
        <v>67</v>
      </c>
      <c r="BR4" s="28">
        <f t="shared" si="2"/>
        <v>68</v>
      </c>
      <c r="BS4" s="28">
        <f t="shared" ref="BS4:DW4" si="3">+BR4+1</f>
        <v>69</v>
      </c>
      <c r="BT4" s="28">
        <f t="shared" si="3"/>
        <v>70</v>
      </c>
      <c r="BU4" s="28">
        <f t="shared" si="3"/>
        <v>71</v>
      </c>
      <c r="BV4" s="28">
        <f t="shared" si="3"/>
        <v>72</v>
      </c>
      <c r="BW4" s="28">
        <f t="shared" si="3"/>
        <v>73</v>
      </c>
      <c r="BX4" s="28">
        <f t="shared" si="3"/>
        <v>74</v>
      </c>
      <c r="BY4" s="28">
        <f t="shared" si="3"/>
        <v>75</v>
      </c>
      <c r="BZ4" s="28">
        <f t="shared" si="3"/>
        <v>76</v>
      </c>
      <c r="CA4" s="28">
        <f t="shared" si="3"/>
        <v>77</v>
      </c>
      <c r="CB4" s="28">
        <f t="shared" si="3"/>
        <v>78</v>
      </c>
      <c r="CC4" s="28">
        <f t="shared" si="3"/>
        <v>79</v>
      </c>
      <c r="CD4" s="28">
        <f t="shared" si="3"/>
        <v>80</v>
      </c>
      <c r="CE4" s="28">
        <f t="shared" si="3"/>
        <v>81</v>
      </c>
      <c r="CF4" s="28">
        <f t="shared" si="3"/>
        <v>82</v>
      </c>
      <c r="CG4" s="28">
        <f t="shared" si="3"/>
        <v>83</v>
      </c>
      <c r="CH4" s="28">
        <f t="shared" si="3"/>
        <v>84</v>
      </c>
      <c r="CI4" s="28">
        <f t="shared" si="3"/>
        <v>85</v>
      </c>
      <c r="CJ4" s="28">
        <f t="shared" si="3"/>
        <v>86</v>
      </c>
      <c r="CK4" s="28">
        <f t="shared" si="3"/>
        <v>87</v>
      </c>
      <c r="CL4" s="28">
        <f t="shared" si="3"/>
        <v>88</v>
      </c>
      <c r="CM4" s="28">
        <f t="shared" si="3"/>
        <v>89</v>
      </c>
      <c r="CN4" s="28">
        <f t="shared" si="3"/>
        <v>90</v>
      </c>
      <c r="CO4" s="28">
        <f t="shared" si="3"/>
        <v>91</v>
      </c>
      <c r="CP4" s="28">
        <f t="shared" si="3"/>
        <v>92</v>
      </c>
      <c r="CQ4" s="28">
        <f t="shared" si="3"/>
        <v>93</v>
      </c>
      <c r="CR4" s="28">
        <f t="shared" si="3"/>
        <v>94</v>
      </c>
      <c r="CS4" s="28">
        <f t="shared" si="3"/>
        <v>95</v>
      </c>
      <c r="CT4" s="28">
        <f t="shared" si="3"/>
        <v>96</v>
      </c>
      <c r="CU4" s="28">
        <f t="shared" si="3"/>
        <v>97</v>
      </c>
      <c r="CV4" s="28">
        <f t="shared" si="3"/>
        <v>98</v>
      </c>
      <c r="CW4" s="28">
        <f t="shared" si="3"/>
        <v>99</v>
      </c>
      <c r="CX4" s="28">
        <f t="shared" si="3"/>
        <v>100</v>
      </c>
      <c r="CY4" s="28">
        <f t="shared" si="3"/>
        <v>101</v>
      </c>
      <c r="CZ4" s="28">
        <f t="shared" si="3"/>
        <v>102</v>
      </c>
      <c r="DA4" s="28">
        <f t="shared" si="3"/>
        <v>103</v>
      </c>
      <c r="DB4" s="28">
        <f t="shared" si="3"/>
        <v>104</v>
      </c>
      <c r="DC4" s="28">
        <f t="shared" si="3"/>
        <v>105</v>
      </c>
      <c r="DD4" s="28">
        <f t="shared" si="3"/>
        <v>106</v>
      </c>
      <c r="DE4" s="28">
        <f t="shared" si="3"/>
        <v>107</v>
      </c>
      <c r="DF4" s="28">
        <f t="shared" si="3"/>
        <v>108</v>
      </c>
      <c r="DG4" s="28">
        <f t="shared" si="3"/>
        <v>109</v>
      </c>
      <c r="DH4" s="28">
        <f t="shared" si="3"/>
        <v>110</v>
      </c>
      <c r="DI4" s="28">
        <f t="shared" si="3"/>
        <v>111</v>
      </c>
      <c r="DJ4" s="28">
        <f t="shared" si="3"/>
        <v>112</v>
      </c>
      <c r="DK4" s="28">
        <f t="shared" si="3"/>
        <v>113</v>
      </c>
      <c r="DL4" s="28">
        <f t="shared" si="3"/>
        <v>114</v>
      </c>
      <c r="DM4" s="28">
        <f t="shared" si="3"/>
        <v>115</v>
      </c>
      <c r="DN4" s="28">
        <f t="shared" si="3"/>
        <v>116</v>
      </c>
      <c r="DO4" s="28">
        <f t="shared" si="3"/>
        <v>117</v>
      </c>
      <c r="DP4" s="28">
        <f t="shared" si="3"/>
        <v>118</v>
      </c>
      <c r="DQ4" s="28">
        <f t="shared" si="3"/>
        <v>119</v>
      </c>
      <c r="DR4" s="28">
        <f t="shared" si="3"/>
        <v>120</v>
      </c>
      <c r="DS4" s="28">
        <f t="shared" si="3"/>
        <v>121</v>
      </c>
      <c r="DT4" s="28">
        <f t="shared" si="3"/>
        <v>122</v>
      </c>
      <c r="DU4" s="28">
        <f t="shared" si="3"/>
        <v>123</v>
      </c>
      <c r="DV4" s="28">
        <f t="shared" si="3"/>
        <v>124</v>
      </c>
      <c r="DW4" s="28">
        <f t="shared" si="3"/>
        <v>125</v>
      </c>
      <c r="DZ4" s="34" t="s">
        <v>339</v>
      </c>
      <c r="EA4" s="34" t="s">
        <v>340</v>
      </c>
    </row>
    <row r="5" spans="1:131" x14ac:dyDescent="0.3">
      <c r="A5" s="4" t="s">
        <v>83</v>
      </c>
      <c r="E5" s="10" t="e" cm="1">
        <f t="array" aca="1" ref="E5" ca="1">_xll.TR(E6,$D$3)</f>
        <v>#NAME?</v>
      </c>
      <c r="F5" s="10" t="e" cm="1">
        <f t="array" aca="1" ref="F5" ca="1">_xll.TR(F6,$D$3)</f>
        <v>#NAME?</v>
      </c>
      <c r="G5" s="10" t="e" cm="1">
        <f t="array" aca="1" ref="G5" ca="1">_xll.TR(G6,$D$3)</f>
        <v>#NAME?</v>
      </c>
      <c r="H5" s="10" t="e" cm="1">
        <f t="array" aca="1" ref="H5" ca="1">_xll.TR(H6,$D$3)</f>
        <v>#NAME?</v>
      </c>
      <c r="I5" s="10" t="e" cm="1">
        <f t="array" aca="1" ref="I5" ca="1">_xll.TR(I6,$D$3)</f>
        <v>#NAME?</v>
      </c>
      <c r="J5" s="10" t="e" cm="1">
        <f t="array" aca="1" ref="J5" ca="1">_xll.TR(J6,$D$3)</f>
        <v>#NAME?</v>
      </c>
      <c r="K5" s="10" t="e" cm="1">
        <f t="array" aca="1" ref="K5" ca="1">_xll.TR(K6,$D$3)</f>
        <v>#NAME?</v>
      </c>
      <c r="L5" s="10" t="e" cm="1">
        <f t="array" aca="1" ref="L5" ca="1">_xll.TR(L6,$D$3)</f>
        <v>#NAME?</v>
      </c>
      <c r="M5" s="10" t="e" cm="1">
        <f t="array" aca="1" ref="M5" ca="1">_xll.TR(M6,$D$3)</f>
        <v>#NAME?</v>
      </c>
      <c r="N5" s="10" t="e" cm="1">
        <f t="array" aca="1" ref="N5" ca="1">_xll.TR(N6,$D$3)</f>
        <v>#NAME?</v>
      </c>
      <c r="O5" s="10" t="e" cm="1">
        <f t="array" aca="1" ref="O5" ca="1">_xll.TR(O6,$D$3)</f>
        <v>#NAME?</v>
      </c>
      <c r="P5" s="10" t="e" cm="1">
        <f t="array" aca="1" ref="P5" ca="1">_xll.TR(P6,$D$3)</f>
        <v>#NAME?</v>
      </c>
      <c r="Q5" s="10" t="e" cm="1">
        <f t="array" aca="1" ref="Q5" ca="1">_xll.TR(Q6,$D$3)</f>
        <v>#NAME?</v>
      </c>
      <c r="R5" s="10" t="e" cm="1">
        <f t="array" aca="1" ref="R5" ca="1">_xll.TR(R6,$D$3)</f>
        <v>#NAME?</v>
      </c>
      <c r="S5" s="10" t="e" cm="1">
        <f t="array" aca="1" ref="S5" ca="1">_xll.TR(S6,$D$3)</f>
        <v>#NAME?</v>
      </c>
      <c r="T5" s="10" t="e" cm="1">
        <f t="array" aca="1" ref="T5" ca="1">_xll.TR(T6,$D$3)</f>
        <v>#NAME?</v>
      </c>
      <c r="U5" s="10" t="e" cm="1">
        <f t="array" aca="1" ref="U5" ca="1">_xll.TR(U6,$D$3)</f>
        <v>#NAME?</v>
      </c>
      <c r="V5" s="10" t="e" cm="1">
        <f t="array" aca="1" ref="V5" ca="1">_xll.TR(V6,$D$3)</f>
        <v>#NAME?</v>
      </c>
      <c r="W5" s="10" t="e" cm="1">
        <f t="array" aca="1" ref="W5" ca="1">_xll.TR(W6,$D$3)</f>
        <v>#NAME?</v>
      </c>
      <c r="X5" s="10" t="e" cm="1">
        <f t="array" aca="1" ref="X5" ca="1">_xll.TR(X6,$D$3)</f>
        <v>#NAME?</v>
      </c>
      <c r="Y5" s="10" t="e" cm="1">
        <f t="array" aca="1" ref="Y5" ca="1">_xll.TR(Y6,$D$3)</f>
        <v>#NAME?</v>
      </c>
      <c r="Z5" s="10" t="e" cm="1">
        <f t="array" aca="1" ref="Z5" ca="1">_xll.TR(Z6,$D$3)</f>
        <v>#NAME?</v>
      </c>
      <c r="AA5" s="10" t="e" cm="1">
        <f t="array" aca="1" ref="AA5" ca="1">_xll.TR(AA6,$D$3)</f>
        <v>#NAME?</v>
      </c>
      <c r="AB5" s="10" t="e" cm="1">
        <f t="array" aca="1" ref="AB5" ca="1">_xll.TR(AB6,$D$3)</f>
        <v>#NAME?</v>
      </c>
      <c r="AC5" s="10" t="e" cm="1">
        <f t="array" aca="1" ref="AC5" ca="1">_xll.TR(AC6,$D$3)</f>
        <v>#NAME?</v>
      </c>
      <c r="AD5" s="10" t="e" cm="1">
        <f t="array" aca="1" ref="AD5" ca="1">_xll.TR(AD6,$D$3)</f>
        <v>#NAME?</v>
      </c>
      <c r="AE5" s="10" t="e" cm="1">
        <f t="array" aca="1" ref="AE5" ca="1">_xll.TR(AE6,$D$3)</f>
        <v>#NAME?</v>
      </c>
      <c r="AF5" s="10" t="e" cm="1">
        <f t="array" aca="1" ref="AF5" ca="1">_xll.TR(AF6,$D$3)</f>
        <v>#NAME?</v>
      </c>
      <c r="AG5" s="10" t="e" cm="1">
        <f t="array" aca="1" ref="AG5" ca="1">_xll.TR(AG6,$D$3)</f>
        <v>#NAME?</v>
      </c>
      <c r="AH5" s="10" t="e" cm="1">
        <f t="array" aca="1" ref="AH5" ca="1">_xll.TR(AH6,$D$3)</f>
        <v>#NAME?</v>
      </c>
      <c r="AI5" s="10" t="e" cm="1">
        <f t="array" aca="1" ref="AI5" ca="1">_xll.TR(AI6,$D$3)</f>
        <v>#NAME?</v>
      </c>
      <c r="AJ5" s="10" t="e" cm="1">
        <f t="array" aca="1" ref="AJ5" ca="1">_xll.TR(AJ6,$D$3)</f>
        <v>#NAME?</v>
      </c>
      <c r="AK5" s="10" t="e" cm="1">
        <f t="array" aca="1" ref="AK5" ca="1">_xll.TR(AK6,$D$3)</f>
        <v>#NAME?</v>
      </c>
      <c r="AL5" s="10" t="e" cm="1">
        <f t="array" aca="1" ref="AL5" ca="1">_xll.TR(AL6,$D$3)</f>
        <v>#NAME?</v>
      </c>
      <c r="AM5" s="10" t="e" cm="1">
        <f t="array" aca="1" ref="AM5" ca="1">_xll.TR(AM6,$D$3)</f>
        <v>#NAME?</v>
      </c>
      <c r="AN5" s="10" t="e" cm="1">
        <f t="array" aca="1" ref="AN5" ca="1">_xll.TR(AN6,$D$3)</f>
        <v>#NAME?</v>
      </c>
      <c r="AO5" s="10" t="e" cm="1">
        <f t="array" aca="1" ref="AO5" ca="1">_xll.TR(AO6,$D$3)</f>
        <v>#NAME?</v>
      </c>
      <c r="AP5" s="10" t="e" cm="1">
        <f t="array" aca="1" ref="AP5" ca="1">_xll.TR(AP6,$D$3)</f>
        <v>#NAME?</v>
      </c>
      <c r="AQ5" s="10" t="e" cm="1">
        <f t="array" aca="1" ref="AQ5" ca="1">_xll.TR(AQ6,$D$3)</f>
        <v>#NAME?</v>
      </c>
      <c r="AR5" s="10" t="e" cm="1">
        <f t="array" aca="1" ref="AR5" ca="1">_xll.TR(AR6,$D$3)</f>
        <v>#NAME?</v>
      </c>
      <c r="AS5" s="10" t="e" cm="1">
        <f t="array" aca="1" ref="AS5" ca="1">_xll.TR(AS6,$D$3)</f>
        <v>#NAME?</v>
      </c>
      <c r="AT5" s="10" t="e" cm="1">
        <f t="array" aca="1" ref="AT5" ca="1">_xll.TR(AT6,$D$3)</f>
        <v>#NAME?</v>
      </c>
      <c r="AU5" s="10" t="e" cm="1">
        <f t="array" aca="1" ref="AU5" ca="1">_xll.TR(AU6,$D$3)</f>
        <v>#NAME?</v>
      </c>
      <c r="AV5" s="10" t="e" cm="1">
        <f t="array" aca="1" ref="AV5" ca="1">_xll.TR(AV6,$D$3)</f>
        <v>#NAME?</v>
      </c>
      <c r="AW5" s="10" t="e" cm="1">
        <f t="array" aca="1" ref="AW5" ca="1">_xll.TR(AW6,$D$3)</f>
        <v>#NAME?</v>
      </c>
      <c r="AX5" s="10" t="e" cm="1">
        <f t="array" aca="1" ref="AX5" ca="1">_xll.TR(AX6,$D$3)</f>
        <v>#NAME?</v>
      </c>
      <c r="AY5" s="10" t="e" cm="1">
        <f t="array" aca="1" ref="AY5" ca="1">_xll.TR(AY6,$D$3)</f>
        <v>#NAME?</v>
      </c>
      <c r="AZ5" s="10" t="e" cm="1">
        <f t="array" aca="1" ref="AZ5" ca="1">_xll.TR(AZ6,$D$3)</f>
        <v>#NAME?</v>
      </c>
      <c r="BA5" s="10" t="e" cm="1">
        <f t="array" aca="1" ref="BA5" ca="1">_xll.TR(BA6,$D$3)</f>
        <v>#NAME?</v>
      </c>
      <c r="BB5" s="10" t="e" cm="1">
        <f t="array" aca="1" ref="BB5" ca="1">_xll.TR(BB6,$D$3)</f>
        <v>#NAME?</v>
      </c>
      <c r="BC5" s="10" t="e" cm="1">
        <f t="array" aca="1" ref="BC5" ca="1">_xll.TR(BC6,$D$3)</f>
        <v>#NAME?</v>
      </c>
      <c r="BD5" s="10" t="e" cm="1">
        <f t="array" aca="1" ref="BD5" ca="1">_xll.TR(BD6,$D$3)</f>
        <v>#NAME?</v>
      </c>
      <c r="BE5" s="10" t="e" cm="1">
        <f t="array" aca="1" ref="BE5" ca="1">_xll.TR(BE6,$D$3)</f>
        <v>#NAME?</v>
      </c>
      <c r="BF5" s="10" t="e" cm="1">
        <f t="array" aca="1" ref="BF5" ca="1">_xll.TR(BF6,$D$3)</f>
        <v>#NAME?</v>
      </c>
      <c r="BG5" s="10" t="e" cm="1">
        <f t="array" aca="1" ref="BG5" ca="1">_xll.TR(BG6,$D$3)</f>
        <v>#NAME?</v>
      </c>
      <c r="BH5" s="10" t="e" cm="1">
        <f t="array" aca="1" ref="BH5" ca="1">_xll.TR(BH6,$D$3)</f>
        <v>#NAME?</v>
      </c>
      <c r="BI5" s="10" t="e" cm="1">
        <f t="array" aca="1" ref="BI5" ca="1">_xll.TR(BI6,$D$3)</f>
        <v>#NAME?</v>
      </c>
      <c r="BJ5" s="10" t="e" cm="1">
        <f t="array" aca="1" ref="BJ5" ca="1">_xll.TR(BJ6,$D$3)</f>
        <v>#NAME?</v>
      </c>
      <c r="BK5" s="10" t="e" cm="1">
        <f t="array" aca="1" ref="BK5" ca="1">_xll.TR(BK6,$D$3)</f>
        <v>#NAME?</v>
      </c>
      <c r="BL5" s="10" t="e" cm="1">
        <f t="array" aca="1" ref="BL5" ca="1">_xll.TR(BL6,$D$3)</f>
        <v>#NAME?</v>
      </c>
      <c r="BM5" s="10" t="e" cm="1">
        <f t="array" aca="1" ref="BM5" ca="1">_xll.TR(BM6,$D$3)</f>
        <v>#NAME?</v>
      </c>
      <c r="BN5" s="10" t="e" cm="1">
        <f t="array" aca="1" ref="BN5" ca="1">_xll.TR(BN6,$D$3)</f>
        <v>#NAME?</v>
      </c>
      <c r="BO5" s="10" t="e" cm="1">
        <f t="array" aca="1" ref="BO5" ca="1">_xll.TR(BO6,$D$3)</f>
        <v>#NAME?</v>
      </c>
      <c r="BP5" s="10" t="e" cm="1">
        <f t="array" aca="1" ref="BP5" ca="1">_xll.TR(BP6,$D$3)</f>
        <v>#NAME?</v>
      </c>
      <c r="BQ5" s="10" t="e" cm="1">
        <f t="array" aca="1" ref="BQ5" ca="1">_xll.TR(BQ6,$D$3)</f>
        <v>#NAME?</v>
      </c>
      <c r="BR5" s="10" t="e" cm="1">
        <f t="array" aca="1" ref="BR5" ca="1">_xll.TR(BR6,$D$3)</f>
        <v>#NAME?</v>
      </c>
      <c r="BS5" s="10" t="e" cm="1">
        <f t="array" aca="1" ref="BS5" ca="1">_xll.TR(BS6,$D$3)</f>
        <v>#NAME?</v>
      </c>
      <c r="BT5" s="10" t="e" cm="1">
        <f t="array" aca="1" ref="BT5" ca="1">_xll.TR(BT6,$D$3)</f>
        <v>#NAME?</v>
      </c>
      <c r="BU5" s="10" t="e" cm="1">
        <f t="array" aca="1" ref="BU5" ca="1">_xll.TR(BU6,$D$3)</f>
        <v>#NAME?</v>
      </c>
      <c r="BV5" s="10" t="e" cm="1">
        <f t="array" aca="1" ref="BV5" ca="1">_xll.TR(BV6,$D$3)</f>
        <v>#NAME?</v>
      </c>
      <c r="BW5" s="10" t="e" cm="1">
        <f t="array" aca="1" ref="BW5" ca="1">_xll.TR(BW6,$D$3)</f>
        <v>#NAME?</v>
      </c>
      <c r="BX5" s="10" t="e" cm="1">
        <f t="array" aca="1" ref="BX5" ca="1">_xll.TR(BX6,$D$3)</f>
        <v>#NAME?</v>
      </c>
      <c r="BY5" s="10" t="e" cm="1">
        <f t="array" aca="1" ref="BY5" ca="1">_xll.TR(BY6,$D$3)</f>
        <v>#NAME?</v>
      </c>
      <c r="BZ5" s="10" t="e" cm="1">
        <f t="array" aca="1" ref="BZ5" ca="1">_xll.TR(BZ6,$D$3)</f>
        <v>#NAME?</v>
      </c>
      <c r="CA5" s="10" t="e" cm="1">
        <f t="array" aca="1" ref="CA5" ca="1">_xll.TR(CA6,$D$3)</f>
        <v>#NAME?</v>
      </c>
      <c r="CB5" s="10" t="e" cm="1">
        <f t="array" aca="1" ref="CB5" ca="1">_xll.TR(CB6,$D$3)</f>
        <v>#NAME?</v>
      </c>
      <c r="CC5" s="10" t="e" cm="1">
        <f t="array" aca="1" ref="CC5" ca="1">_xll.TR(CC6,$D$3)</f>
        <v>#NAME?</v>
      </c>
      <c r="CD5" s="10" t="e" cm="1">
        <f t="array" aca="1" ref="CD5" ca="1">_xll.TR(CD6,$D$3)</f>
        <v>#NAME?</v>
      </c>
      <c r="CE5" s="10" t="e" cm="1">
        <f t="array" aca="1" ref="CE5" ca="1">_xll.TR(CE6,$D$3)</f>
        <v>#NAME?</v>
      </c>
      <c r="CF5" s="10" t="e" cm="1">
        <f t="array" aca="1" ref="CF5" ca="1">_xll.TR(CF6,$D$3)</f>
        <v>#NAME?</v>
      </c>
      <c r="CG5" s="10" t="e" cm="1">
        <f t="array" aca="1" ref="CG5" ca="1">_xll.TR(CG6,$D$3)</f>
        <v>#NAME?</v>
      </c>
      <c r="CH5" s="10" t="e" cm="1">
        <f t="array" aca="1" ref="CH5" ca="1">_xll.TR(CH6,$D$3)</f>
        <v>#NAME?</v>
      </c>
      <c r="CI5" s="10" t="e" cm="1">
        <f t="array" aca="1" ref="CI5" ca="1">_xll.TR(CI6,$D$3)</f>
        <v>#NAME?</v>
      </c>
      <c r="CJ5" s="10" t="e" cm="1">
        <f t="array" aca="1" ref="CJ5" ca="1">_xll.TR(CJ6,$D$3)</f>
        <v>#NAME?</v>
      </c>
      <c r="CK5" s="10" t="e" cm="1">
        <f t="array" aca="1" ref="CK5" ca="1">_xll.TR(CK6,$D$3)</f>
        <v>#NAME?</v>
      </c>
      <c r="CL5" s="10" t="e" cm="1">
        <f t="array" aca="1" ref="CL5" ca="1">_xll.TR(CL6,$D$3)</f>
        <v>#NAME?</v>
      </c>
      <c r="CM5" s="10" t="e" cm="1">
        <f t="array" aca="1" ref="CM5" ca="1">_xll.TR(CM6,$D$3)</f>
        <v>#NAME?</v>
      </c>
      <c r="CN5" s="10" t="e" cm="1">
        <f t="array" aca="1" ref="CN5" ca="1">_xll.TR(CN6,$D$3)</f>
        <v>#NAME?</v>
      </c>
      <c r="CO5" s="10" t="e" cm="1">
        <f t="array" aca="1" ref="CO5" ca="1">_xll.TR(CO6,$D$3)</f>
        <v>#NAME?</v>
      </c>
      <c r="CP5" s="10" t="e" cm="1">
        <f t="array" aca="1" ref="CP5" ca="1">_xll.TR(CP6,$D$3)</f>
        <v>#NAME?</v>
      </c>
      <c r="CQ5" s="10" t="e" cm="1">
        <f t="array" aca="1" ref="CQ5" ca="1">_xll.TR(CQ6,$D$3)</f>
        <v>#NAME?</v>
      </c>
      <c r="CR5" s="10" t="e" cm="1">
        <f t="array" aca="1" ref="CR5" ca="1">_xll.TR(CR6,$D$3)</f>
        <v>#NAME?</v>
      </c>
      <c r="CS5" s="10" t="e" cm="1">
        <f t="array" aca="1" ref="CS5" ca="1">_xll.TR(CS6,$D$3)</f>
        <v>#NAME?</v>
      </c>
      <c r="CT5" s="10" t="e" cm="1">
        <f t="array" aca="1" ref="CT5" ca="1">_xll.TR(CT6,$D$3)</f>
        <v>#NAME?</v>
      </c>
      <c r="CU5" s="10" t="e" cm="1">
        <f t="array" aca="1" ref="CU5" ca="1">_xll.TR(CU6,$D$3)</f>
        <v>#NAME?</v>
      </c>
      <c r="CV5" s="10" t="e" cm="1">
        <f t="array" aca="1" ref="CV5" ca="1">_xll.TR(CV6,$D$3)</f>
        <v>#NAME?</v>
      </c>
      <c r="CW5" s="10" t="e" cm="1">
        <f t="array" aca="1" ref="CW5" ca="1">_xll.TR(CW6,$D$3)</f>
        <v>#NAME?</v>
      </c>
      <c r="CX5" s="10" t="e" cm="1">
        <f t="array" aca="1" ref="CX5" ca="1">_xll.TR(CX6,$D$3)</f>
        <v>#NAME?</v>
      </c>
      <c r="CY5" s="10" t="e" cm="1">
        <f t="array" aca="1" ref="CY5" ca="1">_xll.TR(CY6,$D$3)</f>
        <v>#NAME?</v>
      </c>
      <c r="CZ5" s="10" t="e" cm="1">
        <f t="array" aca="1" ref="CZ5" ca="1">_xll.TR(CZ6,$D$3)</f>
        <v>#NAME?</v>
      </c>
      <c r="DA5" s="10" t="e" cm="1">
        <f t="array" aca="1" ref="DA5" ca="1">_xll.TR(DA6,$D$3)</f>
        <v>#NAME?</v>
      </c>
      <c r="DB5" s="10" t="e" cm="1">
        <f t="array" aca="1" ref="DB5" ca="1">_xll.TR(DB6,$D$3)</f>
        <v>#NAME?</v>
      </c>
      <c r="DC5" s="10" t="e" cm="1">
        <f t="array" aca="1" ref="DC5" ca="1">_xll.TR(DC6,$D$3)</f>
        <v>#NAME?</v>
      </c>
      <c r="DD5" s="10" t="e" cm="1">
        <f t="array" aca="1" ref="DD5" ca="1">_xll.TR(DD6,$D$3)</f>
        <v>#NAME?</v>
      </c>
      <c r="DE5" s="10" t="e" cm="1">
        <f t="array" aca="1" ref="DE5" ca="1">_xll.TR(DE6,$D$3)</f>
        <v>#NAME?</v>
      </c>
      <c r="DF5" s="10" t="e" cm="1">
        <f t="array" aca="1" ref="DF5" ca="1">_xll.TR(DF6,$D$3)</f>
        <v>#NAME?</v>
      </c>
      <c r="DG5" s="10" t="e" cm="1">
        <f t="array" aca="1" ref="DG5" ca="1">_xll.TR(DG6,$D$3)</f>
        <v>#NAME?</v>
      </c>
      <c r="DH5" s="10" t="e" cm="1">
        <f t="array" aca="1" ref="DH5" ca="1">_xll.TR(DH6,$D$3)</f>
        <v>#NAME?</v>
      </c>
      <c r="DI5" s="10" t="e" cm="1">
        <f t="array" aca="1" ref="DI5" ca="1">_xll.TR(DI6,$D$3)</f>
        <v>#NAME?</v>
      </c>
      <c r="DJ5" s="10" t="e" cm="1">
        <f t="array" aca="1" ref="DJ5" ca="1">_xll.TR(DJ6,$D$3)</f>
        <v>#NAME?</v>
      </c>
      <c r="DK5" s="10" t="e" cm="1">
        <f t="array" aca="1" ref="DK5" ca="1">_xll.TR(DK6,$D$3)</f>
        <v>#NAME?</v>
      </c>
      <c r="DL5" s="10" t="e" cm="1">
        <f t="array" aca="1" ref="DL5" ca="1">_xll.TR(DL6,$D$3)</f>
        <v>#NAME?</v>
      </c>
      <c r="DM5" s="10" t="e" cm="1">
        <f t="array" aca="1" ref="DM5" ca="1">_xll.TR(DM6,$D$3)</f>
        <v>#NAME?</v>
      </c>
      <c r="DN5" s="10" t="e" cm="1">
        <f t="array" aca="1" ref="DN5" ca="1">_xll.TR(DN6,$D$3)</f>
        <v>#NAME?</v>
      </c>
      <c r="DO5" s="10" t="e" cm="1">
        <f t="array" aca="1" ref="DO5" ca="1">_xll.TR(DO6,$D$3)</f>
        <v>#NAME?</v>
      </c>
      <c r="DP5" s="10" t="e" cm="1">
        <f t="array" aca="1" ref="DP5" ca="1">_xll.TR(DP6,$D$3)</f>
        <v>#NAME?</v>
      </c>
      <c r="DQ5" s="10" t="e" cm="1">
        <f t="array" aca="1" ref="DQ5" ca="1">_xll.TR(DQ6,$D$3)</f>
        <v>#NAME?</v>
      </c>
      <c r="DR5" s="10" t="e" cm="1">
        <f t="array" aca="1" ref="DR5" ca="1">_xll.TR(DR6,$D$3)</f>
        <v>#NAME?</v>
      </c>
      <c r="DS5" s="10" t="e" cm="1">
        <f t="array" aca="1" ref="DS5" ca="1">_xll.TR(DS6,$D$3)</f>
        <v>#NAME?</v>
      </c>
      <c r="DT5" s="10" t="e" cm="1">
        <f t="array" aca="1" ref="DT5" ca="1">_xll.TR(DT6,$D$3)</f>
        <v>#NAME?</v>
      </c>
      <c r="DU5" s="10" t="e" cm="1">
        <f t="array" aca="1" ref="DU5" ca="1">_xll.TR(DU6,$D$3)</f>
        <v>#NAME?</v>
      </c>
      <c r="DV5" s="10" t="e" cm="1">
        <f t="array" aca="1" ref="DV5" ca="1">_xll.TR(DV6,$D$3)</f>
        <v>#NAME?</v>
      </c>
      <c r="DW5" s="10" t="e" cm="1">
        <f t="array" aca="1" ref="DW5" ca="1">_xll.TR(DW6,$D$3)</f>
        <v>#NAME?</v>
      </c>
      <c r="DZ5" s="4" t="s">
        <v>247</v>
      </c>
      <c r="EA5" s="4" t="s">
        <v>224</v>
      </c>
    </row>
    <row r="6" spans="1:131" x14ac:dyDescent="0.3">
      <c r="A6" s="4" t="e" cm="1">
        <f t="array" aca="1" ref="A6" ca="1">_xll.TR(A5,)</f>
        <v>#NAME?</v>
      </c>
      <c r="C6" s="15" t="s">
        <v>210</v>
      </c>
      <c r="D6" s="5"/>
      <c r="E6" s="13" t="s">
        <v>145</v>
      </c>
      <c r="F6" s="13" t="s">
        <v>84</v>
      </c>
      <c r="G6" s="13" t="s">
        <v>85</v>
      </c>
      <c r="H6" s="13" t="s">
        <v>86</v>
      </c>
      <c r="I6" s="13" t="s">
        <v>87</v>
      </c>
      <c r="J6" s="13" t="s">
        <v>88</v>
      </c>
      <c r="K6" s="13" t="s">
        <v>89</v>
      </c>
      <c r="L6" s="13" t="s">
        <v>90</v>
      </c>
      <c r="M6" s="13" t="s">
        <v>91</v>
      </c>
      <c r="N6" s="13" t="s">
        <v>92</v>
      </c>
      <c r="O6" s="13" t="s">
        <v>93</v>
      </c>
      <c r="P6" s="13" t="s">
        <v>94</v>
      </c>
      <c r="Q6" s="13" t="s">
        <v>95</v>
      </c>
      <c r="R6" s="13" t="s">
        <v>96</v>
      </c>
      <c r="S6" s="13" t="s">
        <v>97</v>
      </c>
      <c r="T6" s="13" t="s">
        <v>98</v>
      </c>
      <c r="U6" s="13" t="s">
        <v>99</v>
      </c>
      <c r="V6" s="13" t="s">
        <v>100</v>
      </c>
      <c r="W6" s="13" t="s">
        <v>101</v>
      </c>
      <c r="X6" s="13" t="s">
        <v>102</v>
      </c>
      <c r="Y6" s="13" t="s">
        <v>103</v>
      </c>
      <c r="Z6" s="13" t="s">
        <v>104</v>
      </c>
      <c r="AA6" s="13" t="s">
        <v>105</v>
      </c>
      <c r="AB6" s="13" t="s">
        <v>106</v>
      </c>
      <c r="AC6" s="13" t="s">
        <v>107</v>
      </c>
      <c r="AD6" s="13" t="s">
        <v>108</v>
      </c>
      <c r="AE6" s="13" t="s">
        <v>109</v>
      </c>
      <c r="AF6" s="13" t="s">
        <v>110</v>
      </c>
      <c r="AG6" s="13" t="s">
        <v>111</v>
      </c>
      <c r="AH6" s="13" t="s">
        <v>112</v>
      </c>
      <c r="AI6" s="13" t="s">
        <v>113</v>
      </c>
      <c r="AJ6" s="13" t="s">
        <v>114</v>
      </c>
      <c r="AK6" s="13" t="s">
        <v>115</v>
      </c>
      <c r="AL6" s="13" t="s">
        <v>116</v>
      </c>
      <c r="AM6" s="13" t="s">
        <v>117</v>
      </c>
      <c r="AN6" s="13" t="s">
        <v>118</v>
      </c>
      <c r="AO6" s="13" t="s">
        <v>119</v>
      </c>
      <c r="AP6" s="13" t="s">
        <v>120</v>
      </c>
      <c r="AQ6" s="13" t="s">
        <v>121</v>
      </c>
      <c r="AR6" s="13" t="s">
        <v>122</v>
      </c>
      <c r="AS6" s="13" t="s">
        <v>123</v>
      </c>
      <c r="AT6" s="13" t="s">
        <v>124</v>
      </c>
      <c r="AU6" s="13" t="s">
        <v>125</v>
      </c>
      <c r="AV6" s="13" t="s">
        <v>126</v>
      </c>
      <c r="AW6" s="13" t="s">
        <v>127</v>
      </c>
      <c r="AX6" s="13" t="s">
        <v>128</v>
      </c>
      <c r="AY6" s="13" t="s">
        <v>129</v>
      </c>
      <c r="AZ6" s="13" t="s">
        <v>130</v>
      </c>
      <c r="BA6" s="13" t="s">
        <v>131</v>
      </c>
      <c r="BB6" s="13" t="s">
        <v>132</v>
      </c>
      <c r="BC6" s="13" t="s">
        <v>133</v>
      </c>
      <c r="BD6" s="13" t="s">
        <v>134</v>
      </c>
      <c r="BE6" s="13" t="s">
        <v>135</v>
      </c>
      <c r="BF6" s="13" t="s">
        <v>136</v>
      </c>
      <c r="BG6" s="13" t="s">
        <v>137</v>
      </c>
      <c r="BH6" s="13" t="s">
        <v>138</v>
      </c>
      <c r="BI6" s="13" t="s">
        <v>139</v>
      </c>
      <c r="BJ6" s="13" t="s">
        <v>140</v>
      </c>
      <c r="BK6" s="13" t="s">
        <v>141</v>
      </c>
      <c r="BL6" s="13" t="s">
        <v>142</v>
      </c>
      <c r="BM6" s="13" t="s">
        <v>143</v>
      </c>
      <c r="BN6" s="13" t="s">
        <v>144</v>
      </c>
      <c r="BO6" s="13" t="s">
        <v>114</v>
      </c>
      <c r="BP6" s="13" t="s">
        <v>115</v>
      </c>
      <c r="BQ6" s="13" t="s">
        <v>115</v>
      </c>
      <c r="BR6" s="13" t="s">
        <v>116</v>
      </c>
      <c r="BS6" s="13" t="s">
        <v>116</v>
      </c>
      <c r="BT6" s="13" t="s">
        <v>117</v>
      </c>
      <c r="BU6" s="13" t="s">
        <v>117</v>
      </c>
      <c r="BV6" s="13" t="s">
        <v>118</v>
      </c>
      <c r="BW6" s="13" t="s">
        <v>118</v>
      </c>
      <c r="BX6" s="13" t="s">
        <v>119</v>
      </c>
      <c r="BY6" s="13" t="s">
        <v>119</v>
      </c>
      <c r="BZ6" s="13" t="s">
        <v>120</v>
      </c>
      <c r="CA6" s="13" t="s">
        <v>120</v>
      </c>
      <c r="CB6" s="13" t="s">
        <v>121</v>
      </c>
      <c r="CC6" s="13" t="s">
        <v>121</v>
      </c>
      <c r="CD6" s="13" t="s">
        <v>122</v>
      </c>
      <c r="CE6" s="13" t="s">
        <v>122</v>
      </c>
      <c r="CF6" s="13" t="s">
        <v>123</v>
      </c>
      <c r="CG6" s="13" t="s">
        <v>123</v>
      </c>
      <c r="CH6" s="13" t="s">
        <v>124</v>
      </c>
      <c r="CI6" s="13" t="s">
        <v>124</v>
      </c>
      <c r="CJ6" s="13" t="s">
        <v>125</v>
      </c>
      <c r="CK6" s="13" t="s">
        <v>125</v>
      </c>
      <c r="CL6" s="13" t="s">
        <v>126</v>
      </c>
      <c r="CM6" s="13" t="s">
        <v>126</v>
      </c>
      <c r="CN6" s="13" t="s">
        <v>127</v>
      </c>
      <c r="CO6" s="13" t="s">
        <v>127</v>
      </c>
      <c r="CP6" s="13" t="s">
        <v>128</v>
      </c>
      <c r="CQ6" s="13" t="s">
        <v>128</v>
      </c>
      <c r="CR6" s="13" t="s">
        <v>129</v>
      </c>
      <c r="CS6" s="13" t="s">
        <v>129</v>
      </c>
      <c r="CT6" s="13" t="s">
        <v>130</v>
      </c>
      <c r="CU6" s="13" t="s">
        <v>130</v>
      </c>
      <c r="CV6" s="13" t="s">
        <v>131</v>
      </c>
      <c r="CW6" s="13" t="s">
        <v>131</v>
      </c>
      <c r="CX6" s="13" t="s">
        <v>132</v>
      </c>
      <c r="CY6" s="13" t="s">
        <v>132</v>
      </c>
      <c r="CZ6" s="13" t="s">
        <v>133</v>
      </c>
      <c r="DA6" s="13" t="s">
        <v>133</v>
      </c>
      <c r="DB6" s="13" t="s">
        <v>134</v>
      </c>
      <c r="DC6" s="13" t="s">
        <v>134</v>
      </c>
      <c r="DD6" s="13" t="s">
        <v>135</v>
      </c>
      <c r="DE6" s="13" t="s">
        <v>135</v>
      </c>
      <c r="DF6" s="13" t="s">
        <v>136</v>
      </c>
      <c r="DG6" s="13" t="s">
        <v>136</v>
      </c>
      <c r="DH6" s="13" t="s">
        <v>137</v>
      </c>
      <c r="DI6" s="13" t="s">
        <v>137</v>
      </c>
      <c r="DJ6" s="13" t="s">
        <v>138</v>
      </c>
      <c r="DK6" s="13" t="s">
        <v>138</v>
      </c>
      <c r="DL6" s="13" t="s">
        <v>139</v>
      </c>
      <c r="DM6" s="13" t="s">
        <v>139</v>
      </c>
      <c r="DN6" s="13" t="s">
        <v>140</v>
      </c>
      <c r="DO6" s="13" t="s">
        <v>140</v>
      </c>
      <c r="DP6" s="13" t="s">
        <v>141</v>
      </c>
      <c r="DQ6" s="13" t="s">
        <v>141</v>
      </c>
      <c r="DR6" s="13" t="s">
        <v>142</v>
      </c>
      <c r="DS6" s="13" t="s">
        <v>142</v>
      </c>
      <c r="DT6" s="13" t="s">
        <v>143</v>
      </c>
      <c r="DU6" s="13" t="s">
        <v>143</v>
      </c>
      <c r="DV6" s="13" t="s">
        <v>144</v>
      </c>
      <c r="DW6" s="13" t="s">
        <v>144</v>
      </c>
      <c r="DZ6" s="4" t="s">
        <v>252</v>
      </c>
      <c r="EA6" s="4" t="s">
        <v>253</v>
      </c>
    </row>
    <row r="7" spans="1:131" x14ac:dyDescent="0.3">
      <c r="A7" s="5" t="s">
        <v>84</v>
      </c>
      <c r="C7" s="14" t="str">
        <f>YEAR(D7)&amp;MONTH(D7)</f>
        <v>20263</v>
      </c>
      <c r="D7" s="12">
        <v>46112</v>
      </c>
      <c r="E7" s="5">
        <v>190.93</v>
      </c>
      <c r="F7" s="5">
        <v>305.44</v>
      </c>
      <c r="G7" s="5">
        <v>95.12</v>
      </c>
      <c r="H7" s="5">
        <v>331.15</v>
      </c>
      <c r="I7" s="5">
        <v>130</v>
      </c>
      <c r="J7" s="5">
        <v>165</v>
      </c>
      <c r="K7" s="5">
        <v>211.68</v>
      </c>
      <c r="L7" s="5">
        <v>181.87</v>
      </c>
      <c r="M7" s="5">
        <v>123.45</v>
      </c>
      <c r="N7" s="5">
        <v>166.17</v>
      </c>
      <c r="O7" s="5">
        <v>56.77</v>
      </c>
      <c r="P7" s="5">
        <v>201.2</v>
      </c>
      <c r="Q7" s="5">
        <v>409.82</v>
      </c>
      <c r="R7" s="5">
        <v>319.92</v>
      </c>
      <c r="S7" s="5">
        <v>87.5</v>
      </c>
      <c r="T7" s="5">
        <v>177</v>
      </c>
      <c r="U7" s="5">
        <v>350</v>
      </c>
      <c r="V7" s="5">
        <v>329.97</v>
      </c>
      <c r="W7" s="5">
        <v>207.67</v>
      </c>
      <c r="X7" s="5">
        <v>194</v>
      </c>
      <c r="Y7" s="5">
        <v>301.02</v>
      </c>
      <c r="Z7" s="5">
        <v>520</v>
      </c>
      <c r="AA7" s="5">
        <v>327.39999999999998</v>
      </c>
      <c r="AB7" s="5">
        <v>205</v>
      </c>
      <c r="AC7" s="5">
        <v>213.69</v>
      </c>
      <c r="AD7" s="5">
        <v>227.5</v>
      </c>
      <c r="AE7" s="5">
        <v>417.5</v>
      </c>
      <c r="AF7" s="5">
        <v>284</v>
      </c>
      <c r="AG7" s="5">
        <v>391.16</v>
      </c>
      <c r="AH7" s="5">
        <v>156.25</v>
      </c>
      <c r="AI7" s="5">
        <v>316.25</v>
      </c>
      <c r="AJ7" s="5">
        <v>370.89</v>
      </c>
      <c r="AK7" s="5">
        <v>213.5</v>
      </c>
      <c r="AL7" s="5">
        <v>167.75</v>
      </c>
      <c r="AM7" s="5">
        <v>225</v>
      </c>
      <c r="AN7" s="5">
        <v>475</v>
      </c>
      <c r="AO7" s="5">
        <v>585.94000000000005</v>
      </c>
      <c r="AP7" s="5">
        <v>456</v>
      </c>
      <c r="AQ7" s="5">
        <v>323</v>
      </c>
      <c r="AR7" s="5">
        <v>503.33</v>
      </c>
      <c r="AS7" s="5">
        <v>290</v>
      </c>
      <c r="AT7" s="5">
        <v>212.64</v>
      </c>
      <c r="AU7" s="5">
        <v>138.26</v>
      </c>
      <c r="AV7" s="5">
        <v>179.57</v>
      </c>
      <c r="AW7" s="5">
        <v>161.25</v>
      </c>
      <c r="AX7" s="5">
        <v>256.08999999999997</v>
      </c>
      <c r="AY7" s="5">
        <v>472.5</v>
      </c>
      <c r="AZ7" s="5">
        <v>290</v>
      </c>
      <c r="BA7" s="5">
        <v>137.5</v>
      </c>
      <c r="BB7" s="5">
        <v>211.9</v>
      </c>
      <c r="BC7" s="5">
        <v>230.31</v>
      </c>
      <c r="BD7" s="5">
        <v>436.67</v>
      </c>
      <c r="BE7" s="5">
        <v>446.26</v>
      </c>
      <c r="BF7" s="5">
        <v>190</v>
      </c>
      <c r="BG7" s="5">
        <v>165.47</v>
      </c>
      <c r="BH7" s="5">
        <v>155</v>
      </c>
      <c r="BI7" s="5">
        <v>159.66999999999999</v>
      </c>
      <c r="BJ7" s="5">
        <v>188.75</v>
      </c>
      <c r="BK7" s="5">
        <v>356</v>
      </c>
      <c r="BL7" s="5">
        <v>412.5</v>
      </c>
      <c r="BM7" s="5">
        <v>282.08</v>
      </c>
      <c r="BN7" s="5">
        <v>390.07</v>
      </c>
      <c r="BO7" s="5" t="s">
        <v>80</v>
      </c>
      <c r="BP7" s="5" t="s">
        <v>79</v>
      </c>
      <c r="BQ7" s="5" t="s">
        <v>80</v>
      </c>
      <c r="BR7" s="5" t="s">
        <v>79</v>
      </c>
      <c r="BS7" s="5" t="s">
        <v>80</v>
      </c>
      <c r="BT7" s="5" t="s">
        <v>79</v>
      </c>
      <c r="BU7" s="5" t="s">
        <v>80</v>
      </c>
      <c r="BV7" s="5" t="s">
        <v>79</v>
      </c>
      <c r="BW7" s="5" t="s">
        <v>80</v>
      </c>
      <c r="BX7" s="5" t="s">
        <v>79</v>
      </c>
      <c r="BY7" s="5" t="s">
        <v>80</v>
      </c>
      <c r="BZ7" s="5" t="s">
        <v>79</v>
      </c>
      <c r="CA7" s="5" t="s">
        <v>80</v>
      </c>
      <c r="CB7" s="5" t="s">
        <v>79</v>
      </c>
      <c r="CC7" s="5" t="s">
        <v>80</v>
      </c>
      <c r="CD7" s="5" t="s">
        <v>79</v>
      </c>
      <c r="CE7" s="5" t="s">
        <v>80</v>
      </c>
      <c r="CF7" s="5" t="s">
        <v>79</v>
      </c>
      <c r="CG7" s="5" t="s">
        <v>80</v>
      </c>
      <c r="CH7" s="5" t="s">
        <v>79</v>
      </c>
      <c r="CI7" s="5" t="s">
        <v>80</v>
      </c>
      <c r="CJ7" s="5" t="s">
        <v>79</v>
      </c>
      <c r="CK7" s="5" t="s">
        <v>80</v>
      </c>
      <c r="CL7" s="5" t="s">
        <v>79</v>
      </c>
      <c r="CM7" s="5" t="s">
        <v>80</v>
      </c>
      <c r="CN7" s="5" t="s">
        <v>79</v>
      </c>
      <c r="CO7" s="5" t="s">
        <v>80</v>
      </c>
      <c r="CP7" s="5" t="s">
        <v>79</v>
      </c>
      <c r="CQ7" s="5" t="s">
        <v>80</v>
      </c>
      <c r="CR7" s="5" t="s">
        <v>79</v>
      </c>
      <c r="CS7" s="5" t="s">
        <v>80</v>
      </c>
      <c r="CT7" s="5" t="s">
        <v>79</v>
      </c>
      <c r="CU7" s="5" t="s">
        <v>80</v>
      </c>
      <c r="CV7" s="5" t="s">
        <v>79</v>
      </c>
      <c r="CW7" s="5" t="s">
        <v>80</v>
      </c>
      <c r="CX7" s="5" t="s">
        <v>79</v>
      </c>
      <c r="CY7" s="5" t="s">
        <v>80</v>
      </c>
      <c r="CZ7" s="5" t="s">
        <v>79</v>
      </c>
      <c r="DA7" s="5" t="s">
        <v>80</v>
      </c>
      <c r="DB7" s="5" t="s">
        <v>79</v>
      </c>
      <c r="DC7" s="5" t="s">
        <v>80</v>
      </c>
      <c r="DD7" s="5" t="s">
        <v>79</v>
      </c>
      <c r="DE7" s="5" t="s">
        <v>80</v>
      </c>
      <c r="DF7" s="5" t="s">
        <v>79</v>
      </c>
      <c r="DG7" s="5" t="s">
        <v>80</v>
      </c>
      <c r="DH7" s="5" t="s">
        <v>79</v>
      </c>
      <c r="DI7" s="5" t="s">
        <v>80</v>
      </c>
      <c r="DJ7" s="5" t="s">
        <v>79</v>
      </c>
      <c r="DK7" s="5" t="s">
        <v>80</v>
      </c>
      <c r="DL7" s="5" t="s">
        <v>79</v>
      </c>
      <c r="DM7" s="5" t="s">
        <v>80</v>
      </c>
      <c r="DN7" s="5" t="s">
        <v>79</v>
      </c>
      <c r="DO7" s="5" t="s">
        <v>80</v>
      </c>
      <c r="DP7" s="5" t="s">
        <v>79</v>
      </c>
      <c r="DQ7" s="5" t="s">
        <v>80</v>
      </c>
      <c r="DR7" s="5" t="s">
        <v>79</v>
      </c>
      <c r="DS7" s="5" t="s">
        <v>80</v>
      </c>
      <c r="DT7" s="5" t="s">
        <v>79</v>
      </c>
      <c r="DU7" s="5" t="s">
        <v>80</v>
      </c>
      <c r="DV7" s="5" t="s">
        <v>79</v>
      </c>
      <c r="DW7" s="5" t="s">
        <v>80</v>
      </c>
      <c r="DZ7" s="4" t="s">
        <v>254</v>
      </c>
      <c r="EA7" s="4" t="s">
        <v>255</v>
      </c>
    </row>
    <row r="8" spans="1:131" x14ac:dyDescent="0.3">
      <c r="A8" s="5" t="s">
        <v>85</v>
      </c>
      <c r="C8" s="14" t="str">
        <f t="shared" ref="C8:C71" si="4">YEAR(D8)&amp;MONTH(D8)</f>
        <v>20262</v>
      </c>
      <c r="D8" s="12">
        <v>46081</v>
      </c>
      <c r="E8" s="5">
        <v>190.93</v>
      </c>
      <c r="F8" s="5">
        <v>305.44</v>
      </c>
      <c r="G8" s="5">
        <v>95.12</v>
      </c>
      <c r="H8" s="5">
        <v>331.15</v>
      </c>
      <c r="I8" s="5">
        <v>130</v>
      </c>
      <c r="J8" s="5">
        <v>165</v>
      </c>
      <c r="K8" s="5">
        <v>211.68</v>
      </c>
      <c r="L8" s="5">
        <v>181.87</v>
      </c>
      <c r="M8" s="5">
        <v>123.45</v>
      </c>
      <c r="N8" s="5">
        <v>166.17</v>
      </c>
      <c r="O8" s="5">
        <v>56.77</v>
      </c>
      <c r="P8" s="5">
        <v>201.2</v>
      </c>
      <c r="Q8" s="5">
        <v>409.82</v>
      </c>
      <c r="R8" s="5">
        <v>319.92</v>
      </c>
      <c r="S8" s="5">
        <v>87.5</v>
      </c>
      <c r="T8" s="5">
        <v>177</v>
      </c>
      <c r="U8" s="5">
        <v>350</v>
      </c>
      <c r="V8" s="5">
        <v>329.97</v>
      </c>
      <c r="W8" s="5">
        <v>207.67</v>
      </c>
      <c r="X8" s="5">
        <v>194</v>
      </c>
      <c r="Y8" s="5">
        <v>301.02</v>
      </c>
      <c r="Z8" s="5">
        <v>520</v>
      </c>
      <c r="AA8" s="5">
        <v>327.39999999999998</v>
      </c>
      <c r="AB8" s="5">
        <v>205</v>
      </c>
      <c r="AC8" s="5">
        <v>213.69</v>
      </c>
      <c r="AD8" s="5">
        <v>227.5</v>
      </c>
      <c r="AE8" s="5">
        <v>417.5</v>
      </c>
      <c r="AF8" s="5">
        <v>284</v>
      </c>
      <c r="AG8" s="5">
        <v>391.16</v>
      </c>
      <c r="AH8" s="5">
        <v>156.25</v>
      </c>
      <c r="AI8" s="5">
        <v>316.25</v>
      </c>
      <c r="AJ8" s="5">
        <v>370.89</v>
      </c>
      <c r="AK8" s="5">
        <v>213.5</v>
      </c>
      <c r="AL8" s="5">
        <v>167.75</v>
      </c>
      <c r="AM8" s="5">
        <v>225</v>
      </c>
      <c r="AN8" s="5">
        <v>475</v>
      </c>
      <c r="AO8" s="5">
        <v>585.94000000000005</v>
      </c>
      <c r="AP8" s="5">
        <v>456</v>
      </c>
      <c r="AQ8" s="5">
        <v>323</v>
      </c>
      <c r="AR8" s="5">
        <v>503.33</v>
      </c>
      <c r="AS8" s="5">
        <v>290</v>
      </c>
      <c r="AT8" s="5">
        <v>212.64</v>
      </c>
      <c r="AU8" s="5">
        <v>138.26</v>
      </c>
      <c r="AV8" s="5">
        <v>179.57</v>
      </c>
      <c r="AW8" s="5">
        <v>161.25</v>
      </c>
      <c r="AX8" s="5">
        <v>256.08999999999997</v>
      </c>
      <c r="AY8" s="5">
        <v>472.5</v>
      </c>
      <c r="AZ8" s="5">
        <v>290</v>
      </c>
      <c r="BA8" s="5">
        <v>137.5</v>
      </c>
      <c r="BB8" s="5">
        <v>211.9</v>
      </c>
      <c r="BC8" s="5">
        <v>230.31</v>
      </c>
      <c r="BD8" s="5">
        <v>436.67</v>
      </c>
      <c r="BE8" s="5">
        <v>446.26</v>
      </c>
      <c r="BF8" s="5">
        <v>190</v>
      </c>
      <c r="BG8" s="5">
        <v>165.47</v>
      </c>
      <c r="BH8" s="5">
        <v>155</v>
      </c>
      <c r="BI8" s="5">
        <v>159.66999999999999</v>
      </c>
      <c r="BJ8" s="5">
        <v>188.75</v>
      </c>
      <c r="BK8" s="5">
        <v>356</v>
      </c>
      <c r="BL8" s="5">
        <v>412.5</v>
      </c>
      <c r="BM8" s="5">
        <v>282.08</v>
      </c>
      <c r="BN8" s="4">
        <v>390.07</v>
      </c>
      <c r="BO8" s="4">
        <v>370.89</v>
      </c>
      <c r="BP8" s="4">
        <v>46112</v>
      </c>
      <c r="BQ8" s="4">
        <v>213.5</v>
      </c>
      <c r="BR8" s="4">
        <v>46112</v>
      </c>
      <c r="BS8" s="4">
        <v>167.75</v>
      </c>
      <c r="BT8" s="4">
        <v>46112</v>
      </c>
      <c r="BU8" s="4">
        <v>225</v>
      </c>
      <c r="BV8" s="4">
        <v>46112</v>
      </c>
      <c r="BW8" s="4">
        <v>475</v>
      </c>
      <c r="BX8" s="6">
        <v>46112</v>
      </c>
      <c r="BY8" s="4">
        <v>585.94000000000005</v>
      </c>
      <c r="BZ8" s="6">
        <v>46112</v>
      </c>
      <c r="CA8" s="4">
        <v>456</v>
      </c>
      <c r="CB8" s="6">
        <v>46112</v>
      </c>
      <c r="CC8" s="4">
        <v>323</v>
      </c>
      <c r="CD8" s="6">
        <v>46112</v>
      </c>
      <c r="CE8" s="4">
        <v>503.33</v>
      </c>
      <c r="CF8" s="4">
        <v>46112</v>
      </c>
      <c r="CG8" s="4">
        <v>290</v>
      </c>
      <c r="CH8" s="4">
        <v>46112</v>
      </c>
      <c r="CI8" s="4">
        <v>212.64</v>
      </c>
      <c r="CJ8" s="4">
        <v>46112</v>
      </c>
      <c r="CK8" s="4">
        <v>138.26</v>
      </c>
      <c r="CL8" s="4">
        <v>46112</v>
      </c>
      <c r="CM8" s="4">
        <v>179.57</v>
      </c>
      <c r="CN8" s="4">
        <v>46112</v>
      </c>
      <c r="CO8" s="4">
        <v>161.25</v>
      </c>
      <c r="CP8" s="4">
        <v>46112</v>
      </c>
      <c r="CQ8" s="4">
        <v>256.08999999999997</v>
      </c>
      <c r="CR8" s="4">
        <v>46112</v>
      </c>
      <c r="CS8" s="4">
        <v>472.5</v>
      </c>
      <c r="CT8" s="4">
        <v>46112</v>
      </c>
      <c r="CU8" s="4">
        <v>290</v>
      </c>
      <c r="CV8" s="4">
        <v>46112</v>
      </c>
      <c r="CW8" s="4">
        <v>137.5</v>
      </c>
      <c r="CX8" s="4">
        <v>46112</v>
      </c>
      <c r="CY8" s="4">
        <v>211.9</v>
      </c>
      <c r="CZ8" s="4">
        <v>46112</v>
      </c>
      <c r="DA8" s="4">
        <v>230.31</v>
      </c>
      <c r="DB8" s="4">
        <v>46112</v>
      </c>
      <c r="DC8" s="4">
        <v>436.67</v>
      </c>
      <c r="DD8" s="4">
        <v>46112</v>
      </c>
      <c r="DE8" s="4">
        <v>446.26</v>
      </c>
      <c r="DF8" s="4">
        <v>46112</v>
      </c>
      <c r="DG8" s="4">
        <v>190</v>
      </c>
      <c r="DH8" s="4">
        <v>46112</v>
      </c>
      <c r="DI8" s="4">
        <v>165.47</v>
      </c>
      <c r="DJ8" s="4">
        <v>46112</v>
      </c>
      <c r="DK8" s="4">
        <v>155</v>
      </c>
      <c r="DL8" s="4">
        <v>46112</v>
      </c>
      <c r="DM8" s="4">
        <v>159.66999999999999</v>
      </c>
      <c r="DN8" s="4">
        <v>46081</v>
      </c>
      <c r="DO8" s="4">
        <v>188.75</v>
      </c>
      <c r="DP8" s="4">
        <v>46112</v>
      </c>
      <c r="DQ8" s="4">
        <v>356</v>
      </c>
      <c r="DR8" s="6">
        <v>46081</v>
      </c>
      <c r="DS8" s="4">
        <v>412.5</v>
      </c>
      <c r="DT8" s="6">
        <v>46081</v>
      </c>
      <c r="DU8" s="4">
        <v>282.08</v>
      </c>
      <c r="DV8" s="6">
        <v>46112</v>
      </c>
      <c r="DW8" s="4">
        <v>390.07</v>
      </c>
      <c r="DZ8" s="4" t="s">
        <v>256</v>
      </c>
      <c r="EA8" s="4" t="s">
        <v>257</v>
      </c>
    </row>
    <row r="9" spans="1:131" x14ac:dyDescent="0.3">
      <c r="A9" s="5" t="s">
        <v>86</v>
      </c>
      <c r="C9" s="14" t="str">
        <f t="shared" si="4"/>
        <v>20261</v>
      </c>
      <c r="D9" s="6">
        <v>46053</v>
      </c>
      <c r="E9" s="4">
        <v>187.4</v>
      </c>
      <c r="F9" s="4">
        <v>258.27</v>
      </c>
      <c r="G9" s="4">
        <v>87.14</v>
      </c>
      <c r="H9" s="4">
        <v>290.91000000000003</v>
      </c>
      <c r="I9" s="4">
        <v>125.78</v>
      </c>
      <c r="J9" s="4">
        <v>157.13999999999999</v>
      </c>
      <c r="K9" s="4">
        <v>235</v>
      </c>
      <c r="L9" s="4">
        <v>186.15</v>
      </c>
      <c r="M9" s="4">
        <v>130.03</v>
      </c>
      <c r="N9" s="4">
        <v>145.08000000000001</v>
      </c>
      <c r="O9" s="4">
        <v>62.71</v>
      </c>
      <c r="P9" s="4">
        <v>205</v>
      </c>
      <c r="Q9" s="4">
        <v>365</v>
      </c>
      <c r="R9" s="4">
        <v>290.11</v>
      </c>
      <c r="S9" s="4">
        <v>74</v>
      </c>
      <c r="T9" s="4">
        <v>172.6</v>
      </c>
      <c r="U9" s="4">
        <v>360</v>
      </c>
      <c r="V9" s="4">
        <v>298.62</v>
      </c>
      <c r="W9" s="4">
        <v>201.5</v>
      </c>
      <c r="X9" s="4">
        <v>201.98</v>
      </c>
      <c r="Y9" s="4">
        <v>279</v>
      </c>
      <c r="Z9" s="4">
        <v>417</v>
      </c>
      <c r="AA9" s="4">
        <v>252.5</v>
      </c>
      <c r="AB9" s="4">
        <v>215</v>
      </c>
      <c r="AC9" s="4">
        <v>178</v>
      </c>
      <c r="AD9" s="4">
        <v>220</v>
      </c>
      <c r="AE9" s="4">
        <v>387.22</v>
      </c>
      <c r="AF9" s="4">
        <v>234.94</v>
      </c>
      <c r="AG9" s="4">
        <v>386.26</v>
      </c>
      <c r="AH9" s="4">
        <v>155</v>
      </c>
      <c r="AI9" s="4">
        <v>250</v>
      </c>
      <c r="AJ9" s="4">
        <v>333.27</v>
      </c>
      <c r="AK9" s="4">
        <v>215</v>
      </c>
      <c r="AL9" s="4">
        <v>148</v>
      </c>
      <c r="AM9" s="4">
        <v>220</v>
      </c>
      <c r="AN9" s="4">
        <v>229.73</v>
      </c>
      <c r="AO9" s="4">
        <v>561.22</v>
      </c>
      <c r="AP9" s="4">
        <v>401.45</v>
      </c>
      <c r="AQ9" s="4">
        <v>252.5</v>
      </c>
      <c r="AR9" s="4">
        <v>502.5</v>
      </c>
      <c r="AS9" s="4">
        <v>269.3</v>
      </c>
      <c r="AT9" s="4">
        <v>185.81</v>
      </c>
      <c r="AU9" s="4">
        <v>142.77000000000001</v>
      </c>
      <c r="AV9" s="4">
        <v>178.28</v>
      </c>
      <c r="AW9" s="4">
        <v>151.25</v>
      </c>
      <c r="AX9" s="4">
        <v>233.93</v>
      </c>
      <c r="AY9" s="4">
        <v>362.5</v>
      </c>
      <c r="AZ9" s="4">
        <v>258.51</v>
      </c>
      <c r="BA9" s="4">
        <v>135</v>
      </c>
      <c r="BB9" s="4">
        <v>206.07</v>
      </c>
      <c r="BC9" s="4">
        <v>221.9</v>
      </c>
      <c r="BD9" s="4">
        <v>365</v>
      </c>
      <c r="BE9" s="4">
        <v>390</v>
      </c>
      <c r="BF9" s="4">
        <v>188.32</v>
      </c>
      <c r="BG9" s="4">
        <v>160.19999999999999</v>
      </c>
      <c r="BH9" s="4">
        <v>150</v>
      </c>
      <c r="BI9" s="4">
        <v>160</v>
      </c>
      <c r="BJ9" s="4">
        <v>168.75</v>
      </c>
      <c r="BK9" s="4">
        <v>370</v>
      </c>
      <c r="BL9" s="4">
        <v>405.43</v>
      </c>
      <c r="BM9" s="4">
        <v>220</v>
      </c>
      <c r="BN9" s="4">
        <v>288</v>
      </c>
      <c r="BO9" s="4">
        <v>370.89</v>
      </c>
      <c r="BP9" s="4">
        <v>46081</v>
      </c>
      <c r="BQ9" s="4">
        <v>213.5</v>
      </c>
      <c r="BR9" s="4">
        <v>46081</v>
      </c>
      <c r="BS9" s="4">
        <v>167.75</v>
      </c>
      <c r="BT9" s="4">
        <v>46081</v>
      </c>
      <c r="BU9" s="4">
        <v>225</v>
      </c>
      <c r="BV9" s="4">
        <v>46081</v>
      </c>
      <c r="BW9" s="4">
        <v>475</v>
      </c>
      <c r="BX9" s="4">
        <v>46081</v>
      </c>
      <c r="BY9" s="4">
        <v>585.94000000000005</v>
      </c>
      <c r="BZ9" s="4">
        <v>46081</v>
      </c>
      <c r="CA9" s="4">
        <v>456</v>
      </c>
      <c r="CB9" s="4">
        <v>46081</v>
      </c>
      <c r="CC9" s="4">
        <v>323</v>
      </c>
      <c r="CD9" s="4">
        <v>46081</v>
      </c>
      <c r="CE9" s="4">
        <v>503.33</v>
      </c>
      <c r="CF9" s="4">
        <v>46081</v>
      </c>
      <c r="CG9" s="4">
        <v>290</v>
      </c>
      <c r="CH9" s="4">
        <v>46081</v>
      </c>
      <c r="CI9" s="4">
        <v>212.64</v>
      </c>
      <c r="CJ9" s="4">
        <v>46081</v>
      </c>
      <c r="CK9" s="4">
        <v>138.26</v>
      </c>
      <c r="CL9" s="4">
        <v>46081</v>
      </c>
      <c r="CM9" s="4">
        <v>179.57</v>
      </c>
      <c r="CN9" s="4">
        <v>46081</v>
      </c>
      <c r="CO9" s="4">
        <v>161.25</v>
      </c>
      <c r="CP9" s="4">
        <v>46081</v>
      </c>
      <c r="CQ9" s="4">
        <v>256.08999999999997</v>
      </c>
      <c r="CR9" s="4">
        <v>46081</v>
      </c>
      <c r="CS9" s="4">
        <v>472.5</v>
      </c>
      <c r="CT9" s="4">
        <v>46081</v>
      </c>
      <c r="CU9" s="4">
        <v>290</v>
      </c>
      <c r="CV9" s="4">
        <v>46081</v>
      </c>
      <c r="CW9" s="4">
        <v>137.5</v>
      </c>
      <c r="CX9" s="4">
        <v>46081</v>
      </c>
      <c r="CY9" s="4">
        <v>211.9</v>
      </c>
      <c r="CZ9" s="4">
        <v>46081</v>
      </c>
      <c r="DA9" s="4">
        <v>230.31</v>
      </c>
      <c r="DB9" s="4">
        <v>46081</v>
      </c>
      <c r="DC9" s="4">
        <v>436.67</v>
      </c>
      <c r="DD9" s="4">
        <v>46081</v>
      </c>
      <c r="DE9" s="4">
        <v>446.26</v>
      </c>
      <c r="DF9" s="4">
        <v>46081</v>
      </c>
      <c r="DG9" s="4">
        <v>190</v>
      </c>
      <c r="DH9" s="4">
        <v>46081</v>
      </c>
      <c r="DI9" s="4">
        <v>165.47</v>
      </c>
      <c r="DJ9" s="4">
        <v>46081</v>
      </c>
      <c r="DK9" s="4">
        <v>155</v>
      </c>
      <c r="DL9" s="4">
        <v>46081</v>
      </c>
      <c r="DM9" s="4">
        <v>159.66999999999999</v>
      </c>
      <c r="DN9" s="4">
        <v>46053</v>
      </c>
      <c r="DO9" s="4">
        <v>168.75</v>
      </c>
      <c r="DP9" s="4">
        <v>46081</v>
      </c>
      <c r="DQ9" s="4">
        <v>356</v>
      </c>
      <c r="DR9" s="4">
        <v>46053</v>
      </c>
      <c r="DS9" s="4">
        <v>405.43</v>
      </c>
      <c r="DT9" s="4">
        <v>46053</v>
      </c>
      <c r="DU9" s="4">
        <v>220</v>
      </c>
      <c r="DV9" s="4">
        <v>46081</v>
      </c>
      <c r="DW9" s="4">
        <v>390.07</v>
      </c>
      <c r="DZ9" s="4" t="s">
        <v>258</v>
      </c>
      <c r="EA9" s="4" t="s">
        <v>259</v>
      </c>
    </row>
    <row r="10" spans="1:131" x14ac:dyDescent="0.3">
      <c r="A10" s="5" t="s">
        <v>87</v>
      </c>
      <c r="C10" s="14" t="str">
        <f t="shared" si="4"/>
        <v>202512</v>
      </c>
      <c r="D10" s="6">
        <v>46022</v>
      </c>
      <c r="E10" s="4">
        <v>178.14</v>
      </c>
      <c r="F10" s="4">
        <v>245</v>
      </c>
      <c r="G10" s="4">
        <v>103.33</v>
      </c>
      <c r="H10" s="4">
        <v>255.36</v>
      </c>
      <c r="I10" s="4">
        <v>108.46</v>
      </c>
      <c r="J10" s="4">
        <v>153.66999999999999</v>
      </c>
      <c r="K10" s="4">
        <v>182.91</v>
      </c>
      <c r="L10" s="4">
        <v>168.75</v>
      </c>
      <c r="M10" s="4">
        <v>112.41</v>
      </c>
      <c r="N10" s="4">
        <v>126.4</v>
      </c>
      <c r="O10" s="4">
        <v>49.12</v>
      </c>
      <c r="P10" s="4">
        <v>179.86</v>
      </c>
      <c r="Q10" s="4">
        <v>340</v>
      </c>
      <c r="R10" s="4">
        <v>265</v>
      </c>
      <c r="S10" s="4">
        <v>91.5</v>
      </c>
      <c r="T10" s="4">
        <v>175</v>
      </c>
      <c r="U10" s="4">
        <v>269.79000000000002</v>
      </c>
      <c r="V10" s="4">
        <v>258.36</v>
      </c>
      <c r="W10" s="4">
        <v>180.5</v>
      </c>
      <c r="X10" s="4">
        <v>190.63</v>
      </c>
      <c r="Y10" s="4">
        <v>238.6</v>
      </c>
      <c r="Z10" s="4">
        <v>405</v>
      </c>
      <c r="AA10" s="4">
        <v>262.13</v>
      </c>
      <c r="AB10" s="4">
        <v>187.04</v>
      </c>
      <c r="AC10" s="4">
        <v>133.93</v>
      </c>
      <c r="AD10" s="4">
        <v>230</v>
      </c>
      <c r="AE10" s="4">
        <v>340</v>
      </c>
      <c r="AF10" s="4">
        <v>219.15</v>
      </c>
      <c r="AG10" s="4">
        <v>364.44</v>
      </c>
      <c r="AH10" s="4">
        <v>165.67</v>
      </c>
      <c r="AI10" s="4">
        <v>253.38</v>
      </c>
      <c r="AJ10" s="4">
        <v>286.29000000000002</v>
      </c>
      <c r="AK10" s="4">
        <v>156.9</v>
      </c>
      <c r="AL10" s="4">
        <v>162</v>
      </c>
      <c r="AM10" s="4">
        <v>230</v>
      </c>
      <c r="AN10" s="4">
        <v>230</v>
      </c>
      <c r="AO10" s="4">
        <v>557.36</v>
      </c>
      <c r="AP10" s="4">
        <v>422</v>
      </c>
      <c r="AQ10" s="4">
        <v>266.67</v>
      </c>
      <c r="AR10" s="4">
        <v>460</v>
      </c>
      <c r="AS10" s="4">
        <v>257.77</v>
      </c>
      <c r="AT10" s="4">
        <v>176.63</v>
      </c>
      <c r="AU10" s="4">
        <v>124.25</v>
      </c>
      <c r="AV10" s="4">
        <v>157.26</v>
      </c>
      <c r="AW10" s="4">
        <v>150</v>
      </c>
      <c r="AX10" s="4">
        <v>223.96</v>
      </c>
      <c r="AY10" s="4">
        <v>344.75</v>
      </c>
      <c r="AZ10" s="4">
        <v>226.03</v>
      </c>
      <c r="BA10" s="4">
        <v>154.66999999999999</v>
      </c>
      <c r="BB10" s="4">
        <v>183.09</v>
      </c>
      <c r="BC10" s="4">
        <v>197.8</v>
      </c>
      <c r="BD10" s="4">
        <v>330.67</v>
      </c>
      <c r="BE10" s="4">
        <v>386.88</v>
      </c>
      <c r="BF10" s="4">
        <v>166.59</v>
      </c>
      <c r="BG10" s="4">
        <v>165.98</v>
      </c>
      <c r="BH10" s="4">
        <v>149.25</v>
      </c>
      <c r="BI10" s="4">
        <v>157.5</v>
      </c>
      <c r="BJ10" s="4">
        <v>160</v>
      </c>
      <c r="BK10" s="4">
        <v>297.5</v>
      </c>
      <c r="BL10" s="4">
        <v>384.29</v>
      </c>
      <c r="BM10" s="4">
        <v>212.47</v>
      </c>
      <c r="BN10" s="4">
        <v>277.43</v>
      </c>
      <c r="BO10" s="4">
        <v>333.27</v>
      </c>
      <c r="BP10" s="4">
        <v>46053</v>
      </c>
      <c r="BQ10" s="4">
        <v>215</v>
      </c>
      <c r="BR10" s="4">
        <v>46053</v>
      </c>
      <c r="BS10" s="4">
        <v>148</v>
      </c>
      <c r="BT10" s="4">
        <v>46053</v>
      </c>
      <c r="BU10" s="4">
        <v>220</v>
      </c>
      <c r="BV10" s="4">
        <v>46053</v>
      </c>
      <c r="BW10" s="4">
        <v>229.73</v>
      </c>
      <c r="BX10" s="4">
        <v>46053</v>
      </c>
      <c r="BY10" s="4">
        <v>561.22</v>
      </c>
      <c r="BZ10" s="4">
        <v>46053</v>
      </c>
      <c r="CA10" s="4">
        <v>401.45</v>
      </c>
      <c r="CB10" s="4">
        <v>46053</v>
      </c>
      <c r="CC10" s="4">
        <v>252.5</v>
      </c>
      <c r="CD10" s="4">
        <v>46053</v>
      </c>
      <c r="CE10" s="4">
        <v>502.5</v>
      </c>
      <c r="CF10" s="4">
        <v>46053</v>
      </c>
      <c r="CG10" s="4">
        <v>269.3</v>
      </c>
      <c r="CH10" s="4">
        <v>46053</v>
      </c>
      <c r="CI10" s="4">
        <v>185.81</v>
      </c>
      <c r="CJ10" s="4">
        <v>46053</v>
      </c>
      <c r="CK10" s="4">
        <v>142.77000000000001</v>
      </c>
      <c r="CL10" s="4">
        <v>46053</v>
      </c>
      <c r="CM10" s="4">
        <v>178.28</v>
      </c>
      <c r="CN10" s="4">
        <v>46053</v>
      </c>
      <c r="CO10" s="4">
        <v>151.25</v>
      </c>
      <c r="CP10" s="4">
        <v>46053</v>
      </c>
      <c r="CQ10" s="4">
        <v>233.93</v>
      </c>
      <c r="CR10" s="4">
        <v>46053</v>
      </c>
      <c r="CS10" s="4">
        <v>362.5</v>
      </c>
      <c r="CT10" s="4">
        <v>46053</v>
      </c>
      <c r="CU10" s="4">
        <v>258.51</v>
      </c>
      <c r="CV10" s="4">
        <v>46053</v>
      </c>
      <c r="CW10" s="4">
        <v>135</v>
      </c>
      <c r="CX10" s="4">
        <v>46053</v>
      </c>
      <c r="CY10" s="4">
        <v>206.07</v>
      </c>
      <c r="CZ10" s="4">
        <v>46053</v>
      </c>
      <c r="DA10" s="4">
        <v>221.9</v>
      </c>
      <c r="DB10" s="4">
        <v>46053</v>
      </c>
      <c r="DC10" s="4">
        <v>365</v>
      </c>
      <c r="DD10" s="4">
        <v>46053</v>
      </c>
      <c r="DE10" s="4">
        <v>390</v>
      </c>
      <c r="DF10" s="4">
        <v>46053</v>
      </c>
      <c r="DG10" s="4">
        <v>188.32</v>
      </c>
      <c r="DH10" s="4">
        <v>46053</v>
      </c>
      <c r="DI10" s="4">
        <v>160.19999999999999</v>
      </c>
      <c r="DJ10" s="4">
        <v>46053</v>
      </c>
      <c r="DK10" s="4">
        <v>150</v>
      </c>
      <c r="DL10" s="4">
        <v>46053</v>
      </c>
      <c r="DM10" s="4">
        <v>160</v>
      </c>
      <c r="DN10" s="4">
        <v>46022</v>
      </c>
      <c r="DO10" s="4">
        <v>160</v>
      </c>
      <c r="DP10" s="4">
        <v>46053</v>
      </c>
      <c r="DQ10" s="4">
        <v>370</v>
      </c>
      <c r="DR10" s="4">
        <v>46022</v>
      </c>
      <c r="DS10" s="4">
        <v>384.29</v>
      </c>
      <c r="DT10" s="4">
        <v>46022</v>
      </c>
      <c r="DU10" s="4">
        <v>212.47</v>
      </c>
      <c r="DV10" s="4">
        <v>46053</v>
      </c>
      <c r="DW10" s="4">
        <v>288</v>
      </c>
      <c r="DZ10" s="4" t="s">
        <v>260</v>
      </c>
      <c r="EA10" s="4" t="s">
        <v>261</v>
      </c>
    </row>
    <row r="11" spans="1:131" x14ac:dyDescent="0.3">
      <c r="A11" s="5" t="s">
        <v>88</v>
      </c>
      <c r="C11" s="14" t="str">
        <f t="shared" si="4"/>
        <v>202510</v>
      </c>
      <c r="D11" s="6">
        <v>45961</v>
      </c>
      <c r="E11" s="4">
        <v>161.47999999999999</v>
      </c>
      <c r="F11" s="4">
        <v>239.27</v>
      </c>
      <c r="G11" s="4">
        <v>85</v>
      </c>
      <c r="H11" s="4">
        <v>256.25</v>
      </c>
      <c r="I11" s="4">
        <v>127.43</v>
      </c>
      <c r="J11" s="4">
        <v>143.9</v>
      </c>
      <c r="K11" s="4">
        <v>193.04</v>
      </c>
      <c r="L11" s="4">
        <v>157.66</v>
      </c>
      <c r="M11" s="4">
        <v>111.97</v>
      </c>
      <c r="N11" s="4">
        <v>155.68</v>
      </c>
      <c r="O11" s="4">
        <v>35.840000000000003</v>
      </c>
      <c r="P11" s="4">
        <v>162</v>
      </c>
      <c r="Q11" s="4">
        <v>386.44</v>
      </c>
      <c r="R11" s="4">
        <v>233</v>
      </c>
      <c r="S11" s="4">
        <v>79</v>
      </c>
      <c r="T11" s="4">
        <v>169.25</v>
      </c>
      <c r="U11" s="4">
        <v>251</v>
      </c>
      <c r="V11" s="4">
        <v>251.04</v>
      </c>
      <c r="W11" s="4">
        <v>173</v>
      </c>
      <c r="X11" s="4">
        <v>194.88</v>
      </c>
      <c r="Y11" s="4">
        <v>236.02</v>
      </c>
      <c r="Z11" s="4">
        <v>456.67</v>
      </c>
      <c r="AA11" s="4">
        <v>276.56</v>
      </c>
      <c r="AB11" s="4">
        <v>197.79</v>
      </c>
      <c r="AC11" s="4">
        <v>157.5</v>
      </c>
      <c r="AD11" s="4">
        <v>243</v>
      </c>
      <c r="AE11" s="4">
        <v>388.75</v>
      </c>
      <c r="AF11" s="4">
        <v>244.16</v>
      </c>
      <c r="AG11" s="4">
        <v>382.74</v>
      </c>
      <c r="AH11" s="4">
        <v>162</v>
      </c>
      <c r="AI11" s="4">
        <v>260.36</v>
      </c>
      <c r="AJ11" s="4">
        <v>269</v>
      </c>
      <c r="AK11" s="4">
        <v>165.76</v>
      </c>
      <c r="AL11" s="4">
        <v>163</v>
      </c>
      <c r="AM11" s="4">
        <v>235</v>
      </c>
      <c r="AN11" s="4">
        <v>250.33</v>
      </c>
      <c r="AO11" s="4">
        <v>576.37</v>
      </c>
      <c r="AP11" s="4">
        <v>408.2</v>
      </c>
      <c r="AQ11" s="4">
        <v>272.70999999999998</v>
      </c>
      <c r="AR11" s="4">
        <v>493.88</v>
      </c>
      <c r="AS11" s="4">
        <v>266.69</v>
      </c>
      <c r="AT11" s="4">
        <v>181.44</v>
      </c>
      <c r="AU11" s="4">
        <v>125.58</v>
      </c>
      <c r="AV11" s="4">
        <v>163.54</v>
      </c>
      <c r="AW11" s="4">
        <v>166</v>
      </c>
      <c r="AX11" s="4">
        <v>232.97</v>
      </c>
      <c r="AY11" s="4">
        <v>385.82</v>
      </c>
      <c r="AZ11" s="4">
        <v>226.47</v>
      </c>
      <c r="BA11" s="4">
        <v>143.08000000000001</v>
      </c>
      <c r="BB11" s="4">
        <v>193.25</v>
      </c>
      <c r="BC11" s="4">
        <v>210.17</v>
      </c>
      <c r="BD11" s="4">
        <v>360</v>
      </c>
      <c r="BE11" s="4">
        <v>416.64</v>
      </c>
      <c r="BF11" s="4">
        <v>174.27</v>
      </c>
      <c r="BG11" s="4">
        <v>140.75</v>
      </c>
      <c r="BH11" s="4">
        <v>155</v>
      </c>
      <c r="BI11" s="4">
        <v>160.78</v>
      </c>
      <c r="BJ11" s="4">
        <v>180</v>
      </c>
      <c r="BK11" s="4">
        <v>259.17</v>
      </c>
      <c r="BL11" s="4">
        <v>402.26</v>
      </c>
      <c r="BM11" s="4">
        <v>222</v>
      </c>
      <c r="BN11" s="4">
        <v>324.44</v>
      </c>
      <c r="BO11" s="4">
        <v>286.29000000000002</v>
      </c>
      <c r="BP11" s="4">
        <v>46022</v>
      </c>
      <c r="BQ11" s="4">
        <v>156.9</v>
      </c>
      <c r="BR11" s="4">
        <v>46022</v>
      </c>
      <c r="BS11" s="4">
        <v>162</v>
      </c>
      <c r="BT11" s="4">
        <v>46022</v>
      </c>
      <c r="BU11" s="4">
        <v>230</v>
      </c>
      <c r="BV11" s="4">
        <v>46022</v>
      </c>
      <c r="BW11" s="4">
        <v>230</v>
      </c>
      <c r="BX11" s="4">
        <v>46022</v>
      </c>
      <c r="BY11" s="4">
        <v>557.36</v>
      </c>
      <c r="BZ11" s="4">
        <v>46022</v>
      </c>
      <c r="CA11" s="4">
        <v>422</v>
      </c>
      <c r="CB11" s="4">
        <v>46022</v>
      </c>
      <c r="CC11" s="4">
        <v>266.67</v>
      </c>
      <c r="CD11" s="4">
        <v>46022</v>
      </c>
      <c r="CE11" s="4">
        <v>460</v>
      </c>
      <c r="CF11" s="4">
        <v>46022</v>
      </c>
      <c r="CG11" s="4">
        <v>257.77</v>
      </c>
      <c r="CH11" s="4">
        <v>46022</v>
      </c>
      <c r="CI11" s="4">
        <v>176.63</v>
      </c>
      <c r="CJ11" s="4">
        <v>46022</v>
      </c>
      <c r="CK11" s="4">
        <v>124.25</v>
      </c>
      <c r="CL11" s="4">
        <v>46022</v>
      </c>
      <c r="CM11" s="4">
        <v>157.26</v>
      </c>
      <c r="CN11" s="4">
        <v>46022</v>
      </c>
      <c r="CO11" s="4">
        <v>150</v>
      </c>
      <c r="CP11" s="4">
        <v>46022</v>
      </c>
      <c r="CQ11" s="4">
        <v>223.96</v>
      </c>
      <c r="CR11" s="4">
        <v>46022</v>
      </c>
      <c r="CS11" s="4">
        <v>344.75</v>
      </c>
      <c r="CT11" s="4">
        <v>46022</v>
      </c>
      <c r="CU11" s="4">
        <v>226.03</v>
      </c>
      <c r="CV11" s="4">
        <v>46022</v>
      </c>
      <c r="CW11" s="4">
        <v>154.66999999999999</v>
      </c>
      <c r="CX11" s="4">
        <v>46022</v>
      </c>
      <c r="CY11" s="4">
        <v>183.09</v>
      </c>
      <c r="CZ11" s="4">
        <v>46022</v>
      </c>
      <c r="DA11" s="4">
        <v>197.8</v>
      </c>
      <c r="DB11" s="4">
        <v>46022</v>
      </c>
      <c r="DC11" s="4">
        <v>330.67</v>
      </c>
      <c r="DD11" s="4">
        <v>46022</v>
      </c>
      <c r="DE11" s="4">
        <v>386.88</v>
      </c>
      <c r="DF11" s="4">
        <v>46022</v>
      </c>
      <c r="DG11" s="4">
        <v>166.59</v>
      </c>
      <c r="DH11" s="4">
        <v>46022</v>
      </c>
      <c r="DI11" s="4">
        <v>165.98</v>
      </c>
      <c r="DJ11" s="4">
        <v>46022</v>
      </c>
      <c r="DK11" s="4">
        <v>149.25</v>
      </c>
      <c r="DL11" s="4">
        <v>46022</v>
      </c>
      <c r="DM11" s="4">
        <v>157.5</v>
      </c>
      <c r="DN11" s="4">
        <v>45961</v>
      </c>
      <c r="DO11" s="4">
        <v>180</v>
      </c>
      <c r="DP11" s="4">
        <v>46022</v>
      </c>
      <c r="DQ11" s="4">
        <v>297.5</v>
      </c>
      <c r="DR11" s="4">
        <v>45961</v>
      </c>
      <c r="DS11" s="4">
        <v>402.26</v>
      </c>
      <c r="DT11" s="4">
        <v>45961</v>
      </c>
      <c r="DU11" s="4">
        <v>222</v>
      </c>
      <c r="DV11" s="4">
        <v>46022</v>
      </c>
      <c r="DW11" s="4">
        <v>277.43</v>
      </c>
      <c r="DZ11" s="4" t="s">
        <v>262</v>
      </c>
      <c r="EA11" s="4" t="s">
        <v>216</v>
      </c>
    </row>
    <row r="12" spans="1:131" x14ac:dyDescent="0.3">
      <c r="A12" s="5" t="s">
        <v>89</v>
      </c>
      <c r="C12" s="14" t="str">
        <f t="shared" si="4"/>
        <v>20259</v>
      </c>
      <c r="D12" s="6">
        <v>45930</v>
      </c>
      <c r="E12" s="4">
        <v>176.07</v>
      </c>
      <c r="F12" s="4">
        <v>277</v>
      </c>
      <c r="G12" s="4">
        <v>84</v>
      </c>
      <c r="H12" s="4">
        <v>295</v>
      </c>
      <c r="I12" s="4">
        <v>146.83000000000001</v>
      </c>
      <c r="J12" s="4">
        <v>157.5</v>
      </c>
      <c r="K12" s="4">
        <v>186.64</v>
      </c>
      <c r="L12" s="4">
        <v>171.33</v>
      </c>
      <c r="M12" s="4">
        <v>117.5</v>
      </c>
      <c r="N12" s="4">
        <v>142</v>
      </c>
      <c r="O12" s="4">
        <v>40</v>
      </c>
      <c r="P12" s="4">
        <v>181</v>
      </c>
      <c r="Q12" s="4">
        <v>347.5</v>
      </c>
      <c r="R12" s="4">
        <v>265</v>
      </c>
      <c r="S12" s="4">
        <v>88</v>
      </c>
      <c r="T12" s="4">
        <v>166</v>
      </c>
      <c r="U12" s="4">
        <v>289.82</v>
      </c>
      <c r="V12" s="4">
        <v>282.07</v>
      </c>
      <c r="W12" s="4">
        <v>186.58</v>
      </c>
      <c r="X12" s="4">
        <v>203.37</v>
      </c>
      <c r="Y12" s="4">
        <v>268.66000000000003</v>
      </c>
      <c r="Z12" s="4">
        <v>482.22</v>
      </c>
      <c r="AA12" s="4">
        <v>275</v>
      </c>
      <c r="AB12" s="4">
        <v>191.22</v>
      </c>
      <c r="AC12" s="4">
        <v>175.08</v>
      </c>
      <c r="AD12" s="4">
        <v>255</v>
      </c>
      <c r="AE12" s="4">
        <v>380</v>
      </c>
      <c r="AF12" s="4">
        <v>236.25</v>
      </c>
      <c r="AG12" s="4">
        <v>364.02</v>
      </c>
      <c r="AH12" s="4">
        <v>146.25</v>
      </c>
      <c r="AI12" s="4">
        <v>296.25</v>
      </c>
      <c r="AJ12" s="4">
        <v>301.01</v>
      </c>
      <c r="AK12" s="4">
        <v>172</v>
      </c>
      <c r="AL12" s="4">
        <v>165.43</v>
      </c>
      <c r="AM12" s="4">
        <v>257.70999999999998</v>
      </c>
      <c r="AN12" s="4">
        <v>263.8</v>
      </c>
      <c r="AO12" s="4">
        <v>488.04</v>
      </c>
      <c r="AP12" s="4">
        <v>422</v>
      </c>
      <c r="AQ12" s="4">
        <v>275.70999999999998</v>
      </c>
      <c r="AR12" s="4">
        <v>475</v>
      </c>
      <c r="AS12" s="4">
        <v>260.32</v>
      </c>
      <c r="AT12" s="4">
        <v>171.5</v>
      </c>
      <c r="AU12" s="4">
        <v>121.4</v>
      </c>
      <c r="AV12" s="4">
        <v>158.11000000000001</v>
      </c>
      <c r="AW12" s="4">
        <v>176</v>
      </c>
      <c r="AX12" s="4">
        <v>228.38</v>
      </c>
      <c r="AY12" s="4">
        <v>420</v>
      </c>
      <c r="AZ12" s="4">
        <v>260.13</v>
      </c>
      <c r="BA12" s="4">
        <v>130</v>
      </c>
      <c r="BB12" s="4">
        <v>186.84</v>
      </c>
      <c r="BC12" s="4">
        <v>203.19</v>
      </c>
      <c r="BD12" s="4">
        <v>399.69</v>
      </c>
      <c r="BE12" s="4">
        <v>382.78</v>
      </c>
      <c r="BF12" s="4">
        <v>168.48</v>
      </c>
      <c r="BG12" s="4">
        <v>146.59</v>
      </c>
      <c r="BH12" s="4">
        <v>139.16999999999999</v>
      </c>
      <c r="BI12" s="4">
        <v>160.63</v>
      </c>
      <c r="BJ12" s="4">
        <v>175</v>
      </c>
      <c r="BK12" s="4">
        <v>307.97000000000003</v>
      </c>
      <c r="BL12" s="4">
        <v>381.05</v>
      </c>
      <c r="BM12" s="4">
        <v>250.93</v>
      </c>
      <c r="BN12" s="4">
        <v>339.75</v>
      </c>
      <c r="BO12" s="4">
        <v>269</v>
      </c>
      <c r="BP12" s="4">
        <v>45961</v>
      </c>
      <c r="BQ12" s="4">
        <v>165.76</v>
      </c>
      <c r="BR12" s="4">
        <v>45961</v>
      </c>
      <c r="BS12" s="4">
        <v>163</v>
      </c>
      <c r="BT12" s="4">
        <v>45961</v>
      </c>
      <c r="BU12" s="4">
        <v>235</v>
      </c>
      <c r="BV12" s="4">
        <v>45961</v>
      </c>
      <c r="BW12" s="4">
        <v>250.33</v>
      </c>
      <c r="BX12" s="4">
        <v>45961</v>
      </c>
      <c r="BY12" s="4">
        <v>576.37</v>
      </c>
      <c r="BZ12" s="4">
        <v>45961</v>
      </c>
      <c r="CA12" s="4">
        <v>408.2</v>
      </c>
      <c r="CB12" s="4">
        <v>45961</v>
      </c>
      <c r="CC12" s="4">
        <v>272.70999999999998</v>
      </c>
      <c r="CD12" s="4">
        <v>45961</v>
      </c>
      <c r="CE12" s="4">
        <v>493.88</v>
      </c>
      <c r="CF12" s="4">
        <v>45961</v>
      </c>
      <c r="CG12" s="4">
        <v>266.69</v>
      </c>
      <c r="CH12" s="4">
        <v>45961</v>
      </c>
      <c r="CI12" s="4">
        <v>181.44</v>
      </c>
      <c r="CJ12" s="4">
        <v>45961</v>
      </c>
      <c r="CK12" s="4">
        <v>125.58</v>
      </c>
      <c r="CL12" s="4">
        <v>45961</v>
      </c>
      <c r="CM12" s="4">
        <v>163.54</v>
      </c>
      <c r="CN12" s="4">
        <v>45961</v>
      </c>
      <c r="CO12" s="4">
        <v>166</v>
      </c>
      <c r="CP12" s="4">
        <v>45961</v>
      </c>
      <c r="CQ12" s="4">
        <v>232.97</v>
      </c>
      <c r="CR12" s="4">
        <v>45961</v>
      </c>
      <c r="CS12" s="4">
        <v>385.82</v>
      </c>
      <c r="CT12" s="4">
        <v>45961</v>
      </c>
      <c r="CU12" s="4">
        <v>226.47</v>
      </c>
      <c r="CV12" s="4">
        <v>45961</v>
      </c>
      <c r="CW12" s="4">
        <v>143.08000000000001</v>
      </c>
      <c r="CX12" s="4">
        <v>45961</v>
      </c>
      <c r="CY12" s="4">
        <v>193.25</v>
      </c>
      <c r="CZ12" s="4">
        <v>45961</v>
      </c>
      <c r="DA12" s="4">
        <v>210.17</v>
      </c>
      <c r="DB12" s="4">
        <v>45961</v>
      </c>
      <c r="DC12" s="4">
        <v>360</v>
      </c>
      <c r="DD12" s="4">
        <v>45961</v>
      </c>
      <c r="DE12" s="4">
        <v>416.64</v>
      </c>
      <c r="DF12" s="4">
        <v>45961</v>
      </c>
      <c r="DG12" s="4">
        <v>174.27</v>
      </c>
      <c r="DH12" s="4">
        <v>45961</v>
      </c>
      <c r="DI12" s="4">
        <v>140.75</v>
      </c>
      <c r="DJ12" s="4">
        <v>45961</v>
      </c>
      <c r="DK12" s="4">
        <v>155</v>
      </c>
      <c r="DL12" s="4">
        <v>45961</v>
      </c>
      <c r="DM12" s="4">
        <v>160.78</v>
      </c>
      <c r="DN12" s="4">
        <v>45930</v>
      </c>
      <c r="DO12" s="4">
        <v>175</v>
      </c>
      <c r="DP12" s="4">
        <v>45961</v>
      </c>
      <c r="DQ12" s="4">
        <v>259.17</v>
      </c>
      <c r="DR12" s="4">
        <v>45930</v>
      </c>
      <c r="DS12" s="4">
        <v>381.05</v>
      </c>
      <c r="DT12" s="4">
        <v>45930</v>
      </c>
      <c r="DU12" s="4">
        <v>250.93</v>
      </c>
      <c r="DV12" s="4">
        <v>45961</v>
      </c>
      <c r="DW12" s="4">
        <v>324.44</v>
      </c>
      <c r="DZ12" s="4" t="s">
        <v>263</v>
      </c>
      <c r="EA12" s="4" t="s">
        <v>264</v>
      </c>
    </row>
    <row r="13" spans="1:131" x14ac:dyDescent="0.3">
      <c r="A13" s="5" t="s">
        <v>90</v>
      </c>
      <c r="C13" s="14" t="str">
        <f t="shared" si="4"/>
        <v>20258</v>
      </c>
      <c r="D13" s="6">
        <v>45900</v>
      </c>
      <c r="E13" s="4">
        <v>167.5</v>
      </c>
      <c r="F13" s="4">
        <v>297.5</v>
      </c>
      <c r="G13" s="4">
        <v>105.51</v>
      </c>
      <c r="H13" s="4">
        <v>312.5</v>
      </c>
      <c r="I13" s="4">
        <v>117.93</v>
      </c>
      <c r="J13" s="4">
        <v>147.5</v>
      </c>
      <c r="K13" s="4">
        <v>198.31</v>
      </c>
      <c r="L13" s="4">
        <v>162.5</v>
      </c>
      <c r="M13" s="4">
        <v>122.19</v>
      </c>
      <c r="N13" s="4">
        <v>137.30000000000001</v>
      </c>
      <c r="O13" s="4">
        <v>64.66</v>
      </c>
      <c r="P13" s="4">
        <v>195.02</v>
      </c>
      <c r="Q13" s="4">
        <v>382.95</v>
      </c>
      <c r="R13" s="4">
        <v>294.48</v>
      </c>
      <c r="S13" s="4">
        <v>81.510000000000005</v>
      </c>
      <c r="T13" s="4">
        <v>178.75</v>
      </c>
      <c r="U13" s="4">
        <v>311.35000000000002</v>
      </c>
      <c r="V13" s="4">
        <v>300.81</v>
      </c>
      <c r="W13" s="4">
        <v>177.5</v>
      </c>
      <c r="X13" s="4">
        <v>249.76</v>
      </c>
      <c r="Y13" s="4">
        <v>282.58999999999997</v>
      </c>
      <c r="Z13" s="4">
        <v>507.5</v>
      </c>
      <c r="AA13" s="4">
        <v>287.5</v>
      </c>
      <c r="AB13" s="4">
        <v>202.77</v>
      </c>
      <c r="AC13" s="4">
        <v>145.43</v>
      </c>
      <c r="AD13" s="4">
        <v>246</v>
      </c>
      <c r="AE13" s="4">
        <v>410</v>
      </c>
      <c r="AF13" s="4">
        <v>247.1</v>
      </c>
      <c r="AG13" s="4">
        <v>372.64</v>
      </c>
      <c r="AH13" s="4">
        <v>138.75</v>
      </c>
      <c r="AI13" s="4">
        <v>298.75</v>
      </c>
      <c r="AJ13" s="4">
        <v>326.56</v>
      </c>
      <c r="AK13" s="4">
        <v>170.22</v>
      </c>
      <c r="AL13" s="4">
        <v>173.91</v>
      </c>
      <c r="AM13" s="4">
        <v>247.5</v>
      </c>
      <c r="AN13" s="4">
        <v>270.66000000000003</v>
      </c>
      <c r="AO13" s="4">
        <v>538.91999999999996</v>
      </c>
      <c r="AP13" s="4">
        <v>384.69</v>
      </c>
      <c r="AQ13" s="4">
        <v>287.5</v>
      </c>
      <c r="AR13" s="4">
        <v>480</v>
      </c>
      <c r="AS13" s="4">
        <v>270.63</v>
      </c>
      <c r="AT13" s="4">
        <v>198.02</v>
      </c>
      <c r="AU13" s="4">
        <v>134.97</v>
      </c>
      <c r="AV13" s="4">
        <v>170.61</v>
      </c>
      <c r="AW13" s="4">
        <v>175</v>
      </c>
      <c r="AX13" s="4">
        <v>237.76</v>
      </c>
      <c r="AY13" s="4">
        <v>420</v>
      </c>
      <c r="AZ13" s="4">
        <v>270.99</v>
      </c>
      <c r="BA13" s="4">
        <v>131.66999999999999</v>
      </c>
      <c r="BB13" s="4">
        <v>198.5</v>
      </c>
      <c r="BC13" s="4">
        <v>214.39</v>
      </c>
      <c r="BD13" s="4">
        <v>437.5</v>
      </c>
      <c r="BE13" s="4">
        <v>452.62</v>
      </c>
      <c r="BF13" s="4">
        <v>180.68</v>
      </c>
      <c r="BG13" s="4">
        <v>141.13999999999999</v>
      </c>
      <c r="BH13" s="4">
        <v>140</v>
      </c>
      <c r="BI13" s="4">
        <v>169.17</v>
      </c>
      <c r="BJ13" s="4">
        <v>186.25</v>
      </c>
      <c r="BK13" s="4">
        <v>310.3</v>
      </c>
      <c r="BL13" s="4">
        <v>387.86</v>
      </c>
      <c r="BM13" s="4">
        <v>258.49</v>
      </c>
      <c r="BN13" s="4">
        <v>338.67</v>
      </c>
      <c r="BO13" s="4">
        <v>301.01</v>
      </c>
      <c r="BP13" s="4">
        <v>45930</v>
      </c>
      <c r="BQ13" s="4">
        <v>172</v>
      </c>
      <c r="BR13" s="4">
        <v>45930</v>
      </c>
      <c r="BS13" s="4">
        <v>165.43</v>
      </c>
      <c r="BT13" s="4">
        <v>45930</v>
      </c>
      <c r="BU13" s="4">
        <v>257.70999999999998</v>
      </c>
      <c r="BV13" s="4">
        <v>45930</v>
      </c>
      <c r="BW13" s="4">
        <v>263.8</v>
      </c>
      <c r="BX13" s="4">
        <v>45930</v>
      </c>
      <c r="BY13" s="4">
        <v>488.04</v>
      </c>
      <c r="BZ13" s="4">
        <v>45930</v>
      </c>
      <c r="CA13" s="4">
        <v>422</v>
      </c>
      <c r="CB13" s="4">
        <v>45930</v>
      </c>
      <c r="CC13" s="4">
        <v>275.70999999999998</v>
      </c>
      <c r="CD13" s="4">
        <v>45930</v>
      </c>
      <c r="CE13" s="4">
        <v>475</v>
      </c>
      <c r="CF13" s="4">
        <v>45930</v>
      </c>
      <c r="CG13" s="4">
        <v>260.32</v>
      </c>
      <c r="CH13" s="4">
        <v>45930</v>
      </c>
      <c r="CI13" s="4">
        <v>171.5</v>
      </c>
      <c r="CJ13" s="4">
        <v>45930</v>
      </c>
      <c r="CK13" s="4">
        <v>121.4</v>
      </c>
      <c r="CL13" s="4">
        <v>45930</v>
      </c>
      <c r="CM13" s="4">
        <v>158.11000000000001</v>
      </c>
      <c r="CN13" s="4">
        <v>45930</v>
      </c>
      <c r="CO13" s="4">
        <v>176</v>
      </c>
      <c r="CP13" s="4">
        <v>45930</v>
      </c>
      <c r="CQ13" s="4">
        <v>228.38</v>
      </c>
      <c r="CR13" s="4">
        <v>45930</v>
      </c>
      <c r="CS13" s="4">
        <v>420</v>
      </c>
      <c r="CT13" s="4">
        <v>45930</v>
      </c>
      <c r="CU13" s="4">
        <v>260.13</v>
      </c>
      <c r="CV13" s="4">
        <v>45930</v>
      </c>
      <c r="CW13" s="4">
        <v>130</v>
      </c>
      <c r="CX13" s="4">
        <v>45930</v>
      </c>
      <c r="CY13" s="4">
        <v>186.84</v>
      </c>
      <c r="CZ13" s="4">
        <v>45930</v>
      </c>
      <c r="DA13" s="4">
        <v>203.19</v>
      </c>
      <c r="DB13" s="4">
        <v>45930</v>
      </c>
      <c r="DC13" s="4">
        <v>399.69</v>
      </c>
      <c r="DD13" s="4">
        <v>45930</v>
      </c>
      <c r="DE13" s="4">
        <v>382.78</v>
      </c>
      <c r="DF13" s="4">
        <v>45930</v>
      </c>
      <c r="DG13" s="4">
        <v>168.48</v>
      </c>
      <c r="DH13" s="4">
        <v>45930</v>
      </c>
      <c r="DI13" s="4">
        <v>146.59</v>
      </c>
      <c r="DJ13" s="4">
        <v>45930</v>
      </c>
      <c r="DK13" s="4">
        <v>139.16999999999999</v>
      </c>
      <c r="DL13" s="4">
        <v>45930</v>
      </c>
      <c r="DM13" s="4">
        <v>160.63</v>
      </c>
      <c r="DN13" s="4">
        <v>45900</v>
      </c>
      <c r="DO13" s="4">
        <v>186.25</v>
      </c>
      <c r="DP13" s="4">
        <v>45930</v>
      </c>
      <c r="DQ13" s="4">
        <v>307.97000000000003</v>
      </c>
      <c r="DR13" s="4">
        <v>45900</v>
      </c>
      <c r="DS13" s="4">
        <v>387.86</v>
      </c>
      <c r="DT13" s="4">
        <v>45900</v>
      </c>
      <c r="DU13" s="4">
        <v>258.49</v>
      </c>
      <c r="DV13" s="4">
        <v>45930</v>
      </c>
      <c r="DW13" s="4">
        <v>339.75</v>
      </c>
      <c r="DZ13" s="4" t="s">
        <v>265</v>
      </c>
      <c r="EA13" s="4" t="s">
        <v>266</v>
      </c>
    </row>
    <row r="14" spans="1:131" x14ac:dyDescent="0.3">
      <c r="A14" s="5" t="s">
        <v>91</v>
      </c>
      <c r="C14" s="14" t="str">
        <f t="shared" si="4"/>
        <v>20257</v>
      </c>
      <c r="D14" s="6">
        <v>45869</v>
      </c>
      <c r="E14" s="4">
        <v>187</v>
      </c>
      <c r="F14" s="4">
        <v>301</v>
      </c>
      <c r="G14" s="4">
        <v>107.65</v>
      </c>
      <c r="H14" s="4">
        <v>316</v>
      </c>
      <c r="I14" s="4">
        <v>129.08000000000001</v>
      </c>
      <c r="J14" s="4">
        <v>167</v>
      </c>
      <c r="K14" s="4">
        <v>205.56</v>
      </c>
      <c r="L14" s="4">
        <v>182</v>
      </c>
      <c r="M14" s="4">
        <v>133.13</v>
      </c>
      <c r="N14" s="4">
        <v>147.51</v>
      </c>
      <c r="O14" s="4">
        <v>58.39</v>
      </c>
      <c r="P14" s="4">
        <v>202.43</v>
      </c>
      <c r="Q14" s="4">
        <v>386</v>
      </c>
      <c r="R14" s="4">
        <v>312.14</v>
      </c>
      <c r="S14" s="4">
        <v>112</v>
      </c>
      <c r="T14" s="4">
        <v>206.25</v>
      </c>
      <c r="U14" s="4">
        <v>335.76</v>
      </c>
      <c r="V14" s="4">
        <v>321</v>
      </c>
      <c r="W14" s="4">
        <v>197</v>
      </c>
      <c r="X14" s="4">
        <v>203.84</v>
      </c>
      <c r="Y14" s="4">
        <v>295.48</v>
      </c>
      <c r="Z14" s="4">
        <v>498</v>
      </c>
      <c r="AA14" s="4">
        <v>312</v>
      </c>
      <c r="AB14" s="4">
        <v>209.8</v>
      </c>
      <c r="AC14" s="4">
        <v>155.25</v>
      </c>
      <c r="AD14" s="4">
        <v>241</v>
      </c>
      <c r="AE14" s="4">
        <v>406</v>
      </c>
      <c r="AF14" s="4">
        <v>265.81</v>
      </c>
      <c r="AG14" s="4">
        <v>380.2</v>
      </c>
      <c r="AH14" s="4">
        <v>125</v>
      </c>
      <c r="AI14" s="4">
        <v>291</v>
      </c>
      <c r="AJ14" s="4">
        <v>357.06</v>
      </c>
      <c r="AK14" s="4">
        <v>178.84</v>
      </c>
      <c r="AL14" s="4">
        <v>208</v>
      </c>
      <c r="AM14" s="4">
        <v>241</v>
      </c>
      <c r="AN14" s="4">
        <v>265.83</v>
      </c>
      <c r="AO14" s="4">
        <v>561.91999999999996</v>
      </c>
      <c r="AP14" s="4">
        <v>478.24</v>
      </c>
      <c r="AQ14" s="4">
        <v>311.77</v>
      </c>
      <c r="AR14" s="4">
        <v>490</v>
      </c>
      <c r="AS14" s="4">
        <v>268.8</v>
      </c>
      <c r="AT14" s="4">
        <v>218.4</v>
      </c>
      <c r="AU14" s="4">
        <v>145.29</v>
      </c>
      <c r="AV14" s="4">
        <v>179.21</v>
      </c>
      <c r="AW14" s="4">
        <v>181.67</v>
      </c>
      <c r="AX14" s="4">
        <v>254.2</v>
      </c>
      <c r="AY14" s="4">
        <v>408</v>
      </c>
      <c r="AZ14" s="4">
        <v>279.24</v>
      </c>
      <c r="BA14" s="4">
        <v>115</v>
      </c>
      <c r="BB14" s="4">
        <v>205.74</v>
      </c>
      <c r="BC14" s="4">
        <v>220.86</v>
      </c>
      <c r="BD14" s="4">
        <v>429.72</v>
      </c>
      <c r="BE14" s="4">
        <v>470.4</v>
      </c>
      <c r="BF14" s="4">
        <v>188.79</v>
      </c>
      <c r="BG14" s="4">
        <v>140</v>
      </c>
      <c r="BH14" s="4">
        <v>123.75</v>
      </c>
      <c r="BI14" s="4">
        <v>182.5</v>
      </c>
      <c r="BJ14" s="4">
        <v>206.25</v>
      </c>
      <c r="BK14" s="4">
        <v>334.28</v>
      </c>
      <c r="BL14" s="4">
        <v>396.15</v>
      </c>
      <c r="BM14" s="4">
        <v>261.73</v>
      </c>
      <c r="BN14" s="4">
        <v>338</v>
      </c>
      <c r="BO14" s="4">
        <v>326.56</v>
      </c>
      <c r="BP14" s="4">
        <v>45900</v>
      </c>
      <c r="BQ14" s="4">
        <v>170.22</v>
      </c>
      <c r="BR14" s="4">
        <v>45900</v>
      </c>
      <c r="BS14" s="4">
        <v>173.91</v>
      </c>
      <c r="BT14" s="4">
        <v>45900</v>
      </c>
      <c r="BU14" s="4">
        <v>247.5</v>
      </c>
      <c r="BV14" s="4">
        <v>45900</v>
      </c>
      <c r="BW14" s="4">
        <v>270.66000000000003</v>
      </c>
      <c r="BX14" s="4">
        <v>45900</v>
      </c>
      <c r="BY14" s="4">
        <v>538.91999999999996</v>
      </c>
      <c r="BZ14" s="4">
        <v>45900</v>
      </c>
      <c r="CA14" s="4">
        <v>384.69</v>
      </c>
      <c r="CB14" s="4">
        <v>45900</v>
      </c>
      <c r="CC14" s="4">
        <v>287.5</v>
      </c>
      <c r="CD14" s="4">
        <v>45900</v>
      </c>
      <c r="CE14" s="4">
        <v>480</v>
      </c>
      <c r="CF14" s="4">
        <v>45900</v>
      </c>
      <c r="CG14" s="4">
        <v>270.63</v>
      </c>
      <c r="CH14" s="4">
        <v>45900</v>
      </c>
      <c r="CI14" s="4">
        <v>198.02</v>
      </c>
      <c r="CJ14" s="4">
        <v>45900</v>
      </c>
      <c r="CK14" s="4">
        <v>134.97</v>
      </c>
      <c r="CL14" s="4">
        <v>45900</v>
      </c>
      <c r="CM14" s="4">
        <v>170.61</v>
      </c>
      <c r="CN14" s="4">
        <v>45900</v>
      </c>
      <c r="CO14" s="4">
        <v>175</v>
      </c>
      <c r="CP14" s="4">
        <v>45900</v>
      </c>
      <c r="CQ14" s="4">
        <v>237.76</v>
      </c>
      <c r="CR14" s="4">
        <v>45900</v>
      </c>
      <c r="CS14" s="4">
        <v>420</v>
      </c>
      <c r="CT14" s="4">
        <v>45900</v>
      </c>
      <c r="CU14" s="4">
        <v>270.99</v>
      </c>
      <c r="CV14" s="4">
        <v>45900</v>
      </c>
      <c r="CW14" s="4">
        <v>131.66999999999999</v>
      </c>
      <c r="CX14" s="4">
        <v>45900</v>
      </c>
      <c r="CY14" s="4">
        <v>198.5</v>
      </c>
      <c r="CZ14" s="4">
        <v>45900</v>
      </c>
      <c r="DA14" s="4">
        <v>214.39</v>
      </c>
      <c r="DB14" s="4">
        <v>45900</v>
      </c>
      <c r="DC14" s="4">
        <v>437.5</v>
      </c>
      <c r="DD14" s="4">
        <v>45900</v>
      </c>
      <c r="DE14" s="4">
        <v>452.62</v>
      </c>
      <c r="DF14" s="4">
        <v>45900</v>
      </c>
      <c r="DG14" s="4">
        <v>180.68</v>
      </c>
      <c r="DH14" s="4">
        <v>45900</v>
      </c>
      <c r="DI14" s="4">
        <v>141.13999999999999</v>
      </c>
      <c r="DJ14" s="4">
        <v>45900</v>
      </c>
      <c r="DK14" s="4">
        <v>140</v>
      </c>
      <c r="DL14" s="4">
        <v>45900</v>
      </c>
      <c r="DM14" s="4">
        <v>169.17</v>
      </c>
      <c r="DN14" s="4">
        <v>45869</v>
      </c>
      <c r="DO14" s="4">
        <v>206.25</v>
      </c>
      <c r="DP14" s="4">
        <v>45900</v>
      </c>
      <c r="DQ14" s="4">
        <v>310.3</v>
      </c>
      <c r="DR14" s="4">
        <v>45869</v>
      </c>
      <c r="DS14" s="4">
        <v>396.15</v>
      </c>
      <c r="DT14" s="4">
        <v>45869</v>
      </c>
      <c r="DU14" s="4">
        <v>261.73</v>
      </c>
      <c r="DV14" s="4">
        <v>45900</v>
      </c>
      <c r="DW14" s="4">
        <v>338.67</v>
      </c>
      <c r="DZ14" s="4" t="s">
        <v>267</v>
      </c>
      <c r="EA14" s="4" t="s">
        <v>268</v>
      </c>
    </row>
    <row r="15" spans="1:131" x14ac:dyDescent="0.3">
      <c r="A15" s="5" t="s">
        <v>92</v>
      </c>
      <c r="C15" s="14" t="str">
        <f t="shared" si="4"/>
        <v>20256</v>
      </c>
      <c r="D15" s="6">
        <v>45838</v>
      </c>
      <c r="E15" s="4">
        <v>188.75</v>
      </c>
      <c r="F15" s="4">
        <v>280</v>
      </c>
      <c r="G15" s="4">
        <v>90.03</v>
      </c>
      <c r="H15" s="4">
        <v>305</v>
      </c>
      <c r="I15" s="4">
        <v>116.03</v>
      </c>
      <c r="J15" s="4">
        <v>168.75</v>
      </c>
      <c r="K15" s="4">
        <v>205.38</v>
      </c>
      <c r="L15" s="4">
        <v>183.75</v>
      </c>
      <c r="M15" s="4">
        <v>120.76</v>
      </c>
      <c r="N15" s="4">
        <v>137.56</v>
      </c>
      <c r="O15" s="4">
        <v>46.82</v>
      </c>
      <c r="P15" s="4">
        <v>201.72</v>
      </c>
      <c r="Q15" s="4">
        <v>354.49</v>
      </c>
      <c r="R15" s="4">
        <v>299.75</v>
      </c>
      <c r="S15" s="4">
        <v>90.72</v>
      </c>
      <c r="T15" s="4">
        <v>140.16999999999999</v>
      </c>
      <c r="U15" s="4">
        <v>323.16000000000003</v>
      </c>
      <c r="V15" s="4">
        <v>308.52999999999997</v>
      </c>
      <c r="W15" s="4">
        <v>198.75</v>
      </c>
      <c r="X15" s="4">
        <v>206.08</v>
      </c>
      <c r="Y15" s="4">
        <v>283.24</v>
      </c>
      <c r="Z15" s="4">
        <v>476.86</v>
      </c>
      <c r="AA15" s="4">
        <v>293.48</v>
      </c>
      <c r="AB15" s="4">
        <v>210.33</v>
      </c>
      <c r="AC15" s="4">
        <v>146.6</v>
      </c>
      <c r="AD15" s="4">
        <v>238.75</v>
      </c>
      <c r="AE15" s="4">
        <v>382.5</v>
      </c>
      <c r="AF15" s="4">
        <v>246.91</v>
      </c>
      <c r="AG15" s="4">
        <v>358.32</v>
      </c>
      <c r="AH15" s="4">
        <v>110</v>
      </c>
      <c r="AI15" s="4">
        <v>280</v>
      </c>
      <c r="AJ15" s="4">
        <v>344.27</v>
      </c>
      <c r="AK15" s="4">
        <v>174.16</v>
      </c>
      <c r="AL15" s="4">
        <v>155.13</v>
      </c>
      <c r="AM15" s="4">
        <v>236</v>
      </c>
      <c r="AN15" s="4">
        <v>259.57</v>
      </c>
      <c r="AO15" s="4">
        <v>519.09</v>
      </c>
      <c r="AP15" s="4">
        <v>371.52</v>
      </c>
      <c r="AQ15" s="4">
        <v>301.31</v>
      </c>
      <c r="AR15" s="4">
        <v>480</v>
      </c>
      <c r="AS15" s="4">
        <v>268.8</v>
      </c>
      <c r="AT15" s="4">
        <v>188.16</v>
      </c>
      <c r="AU15" s="4">
        <v>134.97</v>
      </c>
      <c r="AV15" s="4">
        <v>174.59</v>
      </c>
      <c r="AW15" s="4">
        <v>134.16999999999999</v>
      </c>
      <c r="AX15" s="4">
        <v>239.12</v>
      </c>
      <c r="AY15" s="4">
        <v>380</v>
      </c>
      <c r="AZ15" s="4">
        <v>267.14999999999998</v>
      </c>
      <c r="BA15" s="4">
        <v>99</v>
      </c>
      <c r="BB15" s="4">
        <v>205.59</v>
      </c>
      <c r="BC15" s="4">
        <v>223.25</v>
      </c>
      <c r="BD15" s="4">
        <v>427.28</v>
      </c>
      <c r="BE15" s="4">
        <v>451.36</v>
      </c>
      <c r="BF15" s="4">
        <v>185.78</v>
      </c>
      <c r="BG15" s="4">
        <v>124.4</v>
      </c>
      <c r="BH15" s="4">
        <v>111.25</v>
      </c>
      <c r="BI15" s="4">
        <v>131.25</v>
      </c>
      <c r="BJ15" s="4">
        <v>148.6</v>
      </c>
      <c r="BK15" s="4">
        <v>321.7</v>
      </c>
      <c r="BL15" s="4">
        <v>374.98</v>
      </c>
      <c r="BM15" s="4">
        <v>249.8</v>
      </c>
      <c r="BN15" s="4">
        <v>328.51</v>
      </c>
      <c r="BO15" s="4">
        <v>357.06</v>
      </c>
      <c r="BP15" s="4">
        <v>45869</v>
      </c>
      <c r="BQ15" s="4">
        <v>178.84</v>
      </c>
      <c r="BR15" s="4">
        <v>45869</v>
      </c>
      <c r="BS15" s="4">
        <v>208</v>
      </c>
      <c r="BT15" s="4">
        <v>45869</v>
      </c>
      <c r="BU15" s="4">
        <v>241</v>
      </c>
      <c r="BV15" s="4">
        <v>45869</v>
      </c>
      <c r="BW15" s="4">
        <v>265.83</v>
      </c>
      <c r="BX15" s="4">
        <v>45869</v>
      </c>
      <c r="BY15" s="4">
        <v>561.91999999999996</v>
      </c>
      <c r="BZ15" s="4">
        <v>45869</v>
      </c>
      <c r="CA15" s="4">
        <v>478.24</v>
      </c>
      <c r="CB15" s="4">
        <v>45869</v>
      </c>
      <c r="CC15" s="4">
        <v>311.77</v>
      </c>
      <c r="CD15" s="4">
        <v>45869</v>
      </c>
      <c r="CE15" s="4">
        <v>490</v>
      </c>
      <c r="CF15" s="4">
        <v>45869</v>
      </c>
      <c r="CG15" s="4">
        <v>268.8</v>
      </c>
      <c r="CH15" s="4">
        <v>45869</v>
      </c>
      <c r="CI15" s="4">
        <v>218.4</v>
      </c>
      <c r="CJ15" s="4">
        <v>45869</v>
      </c>
      <c r="CK15" s="4">
        <v>145.29</v>
      </c>
      <c r="CL15" s="4">
        <v>45869</v>
      </c>
      <c r="CM15" s="4">
        <v>179.21</v>
      </c>
      <c r="CN15" s="4">
        <v>45869</v>
      </c>
      <c r="CO15" s="4">
        <v>181.67</v>
      </c>
      <c r="CP15" s="4">
        <v>45869</v>
      </c>
      <c r="CQ15" s="4">
        <v>254.2</v>
      </c>
      <c r="CR15" s="4">
        <v>45869</v>
      </c>
      <c r="CS15" s="4">
        <v>408</v>
      </c>
      <c r="CT15" s="4">
        <v>45869</v>
      </c>
      <c r="CU15" s="4">
        <v>279.24</v>
      </c>
      <c r="CV15" s="4">
        <v>45869</v>
      </c>
      <c r="CW15" s="4">
        <v>115</v>
      </c>
      <c r="CX15" s="4">
        <v>45869</v>
      </c>
      <c r="CY15" s="4">
        <v>205.74</v>
      </c>
      <c r="CZ15" s="4">
        <v>45869</v>
      </c>
      <c r="DA15" s="4">
        <v>220.86</v>
      </c>
      <c r="DB15" s="4">
        <v>45869</v>
      </c>
      <c r="DC15" s="4">
        <v>429.72</v>
      </c>
      <c r="DD15" s="4">
        <v>45869</v>
      </c>
      <c r="DE15" s="4">
        <v>470.4</v>
      </c>
      <c r="DF15" s="4">
        <v>45869</v>
      </c>
      <c r="DG15" s="4">
        <v>188.79</v>
      </c>
      <c r="DH15" s="4">
        <v>45869</v>
      </c>
      <c r="DI15" s="4">
        <v>140</v>
      </c>
      <c r="DJ15" s="4">
        <v>45869</v>
      </c>
      <c r="DK15" s="4">
        <v>123.75</v>
      </c>
      <c r="DL15" s="4">
        <v>45869</v>
      </c>
      <c r="DM15" s="4">
        <v>182.5</v>
      </c>
      <c r="DN15" s="4">
        <v>45838</v>
      </c>
      <c r="DO15" s="4">
        <v>148.6</v>
      </c>
      <c r="DP15" s="4">
        <v>45869</v>
      </c>
      <c r="DQ15" s="4">
        <v>334.28</v>
      </c>
      <c r="DR15" s="4">
        <v>45838</v>
      </c>
      <c r="DS15" s="4">
        <v>374.98</v>
      </c>
      <c r="DT15" s="4">
        <v>45838</v>
      </c>
      <c r="DU15" s="4">
        <v>249.8</v>
      </c>
      <c r="DV15" s="4">
        <v>45869</v>
      </c>
      <c r="DW15" s="4">
        <v>338</v>
      </c>
      <c r="DZ15" s="4" t="s">
        <v>269</v>
      </c>
      <c r="EA15" s="4" t="s">
        <v>270</v>
      </c>
    </row>
    <row r="16" spans="1:131" x14ac:dyDescent="0.3">
      <c r="A16" s="5" t="s">
        <v>93</v>
      </c>
      <c r="C16" s="14" t="str">
        <f t="shared" si="4"/>
        <v>20255</v>
      </c>
      <c r="D16" s="6">
        <v>45808</v>
      </c>
      <c r="E16" s="4">
        <v>167.5</v>
      </c>
      <c r="F16" s="4">
        <v>271.25</v>
      </c>
      <c r="G16" s="4">
        <v>89.6</v>
      </c>
      <c r="H16" s="4">
        <v>286.25</v>
      </c>
      <c r="I16" s="4">
        <v>110.97</v>
      </c>
      <c r="J16" s="4">
        <v>147.5</v>
      </c>
      <c r="K16" s="4">
        <v>193.68</v>
      </c>
      <c r="L16" s="4">
        <v>161.11000000000001</v>
      </c>
      <c r="M16" s="4">
        <v>115.35</v>
      </c>
      <c r="N16" s="4">
        <v>130.9</v>
      </c>
      <c r="O16" s="4">
        <v>33.619999999999997</v>
      </c>
      <c r="P16" s="4">
        <v>190.29</v>
      </c>
      <c r="Q16" s="4">
        <v>352.12</v>
      </c>
      <c r="R16" s="4">
        <v>282.39</v>
      </c>
      <c r="S16" s="4">
        <v>87.35</v>
      </c>
      <c r="T16" s="4">
        <v>127.78</v>
      </c>
      <c r="U16" s="4">
        <v>306.01</v>
      </c>
      <c r="V16" s="4">
        <v>291.25</v>
      </c>
      <c r="W16" s="4">
        <v>177.5</v>
      </c>
      <c r="X16" s="4">
        <v>211.31</v>
      </c>
      <c r="Y16" s="4">
        <v>265.73</v>
      </c>
      <c r="Z16" s="4">
        <v>486.72</v>
      </c>
      <c r="AA16" s="4">
        <v>286.44</v>
      </c>
      <c r="AB16" s="4">
        <v>198.26</v>
      </c>
      <c r="AC16" s="4">
        <v>139.27000000000001</v>
      </c>
      <c r="AD16" s="4">
        <v>246</v>
      </c>
      <c r="AE16" s="4">
        <v>375</v>
      </c>
      <c r="AF16" s="4">
        <v>246.88</v>
      </c>
      <c r="AG16" s="4">
        <v>360.18</v>
      </c>
      <c r="AH16" s="4">
        <v>117</v>
      </c>
      <c r="AI16" s="4">
        <v>280</v>
      </c>
      <c r="AJ16" s="4">
        <v>327.31</v>
      </c>
      <c r="AK16" s="4">
        <v>164.78</v>
      </c>
      <c r="AL16" s="4">
        <v>121</v>
      </c>
      <c r="AM16" s="4">
        <v>238.33</v>
      </c>
      <c r="AN16" s="4">
        <v>264.18</v>
      </c>
      <c r="AO16" s="4">
        <v>510.87</v>
      </c>
      <c r="AP16" s="4">
        <v>373.6</v>
      </c>
      <c r="AQ16" s="4">
        <v>291.33999999999997</v>
      </c>
      <c r="AR16" s="4">
        <v>472.5</v>
      </c>
      <c r="AS16" s="4">
        <v>279.44</v>
      </c>
      <c r="AT16" s="4">
        <v>203.84</v>
      </c>
      <c r="AU16" s="4">
        <v>128.51</v>
      </c>
      <c r="AV16" s="4">
        <v>165.18</v>
      </c>
      <c r="AW16" s="4">
        <v>125.75</v>
      </c>
      <c r="AX16" s="4">
        <v>226.75</v>
      </c>
      <c r="AY16" s="4">
        <v>390</v>
      </c>
      <c r="AZ16" s="4">
        <v>249.49</v>
      </c>
      <c r="BA16" s="4">
        <v>110</v>
      </c>
      <c r="BB16" s="4">
        <v>193.88</v>
      </c>
      <c r="BC16" s="4">
        <v>210.22</v>
      </c>
      <c r="BD16" s="4">
        <v>440.08</v>
      </c>
      <c r="BE16" s="4">
        <v>430.08</v>
      </c>
      <c r="BF16" s="4">
        <v>175.54</v>
      </c>
      <c r="BG16" s="4">
        <v>119.2</v>
      </c>
      <c r="BH16" s="4">
        <v>117.5</v>
      </c>
      <c r="BI16" s="4">
        <v>125.83</v>
      </c>
      <c r="BJ16" s="4">
        <v>132</v>
      </c>
      <c r="BK16" s="4">
        <v>304.52999999999997</v>
      </c>
      <c r="BL16" s="4">
        <v>377.12</v>
      </c>
      <c r="BM16" s="4">
        <v>231.98</v>
      </c>
      <c r="BN16" s="4">
        <v>332.29</v>
      </c>
      <c r="BO16" s="4">
        <v>344.27</v>
      </c>
      <c r="BP16" s="4">
        <v>45838</v>
      </c>
      <c r="BQ16" s="4">
        <v>174.16</v>
      </c>
      <c r="BR16" s="4">
        <v>45838</v>
      </c>
      <c r="BS16" s="4">
        <v>155.13</v>
      </c>
      <c r="BT16" s="4">
        <v>45838</v>
      </c>
      <c r="BU16" s="4">
        <v>236</v>
      </c>
      <c r="BV16" s="4">
        <v>45838</v>
      </c>
      <c r="BW16" s="4">
        <v>259.57</v>
      </c>
      <c r="BX16" s="4">
        <v>45838</v>
      </c>
      <c r="BY16" s="4">
        <v>519.09</v>
      </c>
      <c r="BZ16" s="4">
        <v>45838</v>
      </c>
      <c r="CA16" s="4">
        <v>371.52</v>
      </c>
      <c r="CB16" s="4">
        <v>45838</v>
      </c>
      <c r="CC16" s="4">
        <v>301.31</v>
      </c>
      <c r="CD16" s="4">
        <v>45838</v>
      </c>
      <c r="CE16" s="4">
        <v>480</v>
      </c>
      <c r="CF16" s="4">
        <v>45838</v>
      </c>
      <c r="CG16" s="4">
        <v>268.8</v>
      </c>
      <c r="CH16" s="4">
        <v>45838</v>
      </c>
      <c r="CI16" s="4">
        <v>188.16</v>
      </c>
      <c r="CJ16" s="4">
        <v>45838</v>
      </c>
      <c r="CK16" s="4">
        <v>134.97</v>
      </c>
      <c r="CL16" s="4">
        <v>45838</v>
      </c>
      <c r="CM16" s="4">
        <v>174.59</v>
      </c>
      <c r="CN16" s="4">
        <v>45838</v>
      </c>
      <c r="CO16" s="4">
        <v>134.16999999999999</v>
      </c>
      <c r="CP16" s="4">
        <v>45838</v>
      </c>
      <c r="CQ16" s="4">
        <v>239.12</v>
      </c>
      <c r="CR16" s="4">
        <v>45838</v>
      </c>
      <c r="CS16" s="4">
        <v>380</v>
      </c>
      <c r="CT16" s="4">
        <v>45838</v>
      </c>
      <c r="CU16" s="4">
        <v>267.14999999999998</v>
      </c>
      <c r="CV16" s="4">
        <v>45838</v>
      </c>
      <c r="CW16" s="4">
        <v>99</v>
      </c>
      <c r="CX16" s="4">
        <v>45838</v>
      </c>
      <c r="CY16" s="4">
        <v>205.59</v>
      </c>
      <c r="CZ16" s="4">
        <v>45838</v>
      </c>
      <c r="DA16" s="4">
        <v>223.25</v>
      </c>
      <c r="DB16" s="4">
        <v>45838</v>
      </c>
      <c r="DC16" s="4">
        <v>427.28</v>
      </c>
      <c r="DD16" s="4">
        <v>45838</v>
      </c>
      <c r="DE16" s="4">
        <v>451.36</v>
      </c>
      <c r="DF16" s="4">
        <v>45838</v>
      </c>
      <c r="DG16" s="4">
        <v>185.78</v>
      </c>
      <c r="DH16" s="4">
        <v>45838</v>
      </c>
      <c r="DI16" s="4">
        <v>124.4</v>
      </c>
      <c r="DJ16" s="4">
        <v>45838</v>
      </c>
      <c r="DK16" s="4">
        <v>111.25</v>
      </c>
      <c r="DL16" s="4">
        <v>45838</v>
      </c>
      <c r="DM16" s="4">
        <v>131.25</v>
      </c>
      <c r="DN16" s="4">
        <v>45808</v>
      </c>
      <c r="DO16" s="4">
        <v>132</v>
      </c>
      <c r="DP16" s="4">
        <v>45838</v>
      </c>
      <c r="DQ16" s="4">
        <v>321.7</v>
      </c>
      <c r="DR16" s="4">
        <v>45808</v>
      </c>
      <c r="DS16" s="4">
        <v>377.12</v>
      </c>
      <c r="DT16" s="4">
        <v>45808</v>
      </c>
      <c r="DU16" s="4">
        <v>231.98</v>
      </c>
      <c r="DV16" s="4">
        <v>45838</v>
      </c>
      <c r="DW16" s="4">
        <v>328.51</v>
      </c>
      <c r="DZ16" s="4" t="s">
        <v>271</v>
      </c>
      <c r="EA16" s="4" t="s">
        <v>272</v>
      </c>
    </row>
    <row r="17" spans="1:131" x14ac:dyDescent="0.3">
      <c r="A17" s="5" t="s">
        <v>94</v>
      </c>
      <c r="C17" s="14" t="str">
        <f t="shared" si="4"/>
        <v>20254</v>
      </c>
      <c r="D17" s="6">
        <v>45777</v>
      </c>
      <c r="E17" s="4">
        <v>159.31</v>
      </c>
      <c r="F17" s="4">
        <v>273.64</v>
      </c>
      <c r="G17" s="4">
        <v>101.41</v>
      </c>
      <c r="H17" s="4">
        <v>287</v>
      </c>
      <c r="I17" s="4">
        <v>109.01</v>
      </c>
      <c r="J17" s="4">
        <v>139</v>
      </c>
      <c r="K17" s="4">
        <v>192.3</v>
      </c>
      <c r="L17" s="4">
        <v>154.66</v>
      </c>
      <c r="M17" s="4">
        <v>113.43</v>
      </c>
      <c r="N17" s="4">
        <v>129.08000000000001</v>
      </c>
      <c r="O17" s="4">
        <v>53.82</v>
      </c>
      <c r="P17" s="4">
        <v>188.89</v>
      </c>
      <c r="Q17" s="4">
        <v>338</v>
      </c>
      <c r="R17" s="4">
        <v>298.52</v>
      </c>
      <c r="S17" s="4">
        <v>81.2</v>
      </c>
      <c r="T17" s="4">
        <v>126</v>
      </c>
      <c r="U17" s="4">
        <v>318.51</v>
      </c>
      <c r="V17" s="4">
        <v>300</v>
      </c>
      <c r="W17" s="4">
        <v>169</v>
      </c>
      <c r="X17" s="4">
        <v>203.84</v>
      </c>
      <c r="Y17" s="4">
        <v>278.38</v>
      </c>
      <c r="Z17" s="4">
        <v>470.78</v>
      </c>
      <c r="AA17" s="4">
        <v>283.35000000000002</v>
      </c>
      <c r="AB17" s="4">
        <v>182.56</v>
      </c>
      <c r="AC17" s="4">
        <v>165.76</v>
      </c>
      <c r="AD17" s="4">
        <v>251.67</v>
      </c>
      <c r="AE17" s="4">
        <v>364</v>
      </c>
      <c r="AF17" s="4">
        <v>233.52</v>
      </c>
      <c r="AG17" s="4">
        <v>351.95</v>
      </c>
      <c r="AH17" s="4">
        <v>124</v>
      </c>
      <c r="AI17" s="4">
        <v>274.27999999999997</v>
      </c>
      <c r="AJ17" s="4">
        <v>339.73</v>
      </c>
      <c r="AK17" s="4">
        <v>190</v>
      </c>
      <c r="AL17" s="4">
        <v>155.11000000000001</v>
      </c>
      <c r="AM17" s="4">
        <v>254</v>
      </c>
      <c r="AN17" s="4">
        <v>264.60000000000002</v>
      </c>
      <c r="AO17" s="4">
        <v>502.27</v>
      </c>
      <c r="AP17" s="4">
        <v>365.32</v>
      </c>
      <c r="AQ17" s="4">
        <v>285.45999999999998</v>
      </c>
      <c r="AR17" s="4">
        <v>462</v>
      </c>
      <c r="AS17" s="4">
        <v>278.51</v>
      </c>
      <c r="AT17" s="4">
        <v>192.96</v>
      </c>
      <c r="AU17" s="4">
        <v>126.67</v>
      </c>
      <c r="AV17" s="4">
        <v>163.6</v>
      </c>
      <c r="AW17" s="4">
        <v>113.83</v>
      </c>
      <c r="AX17" s="4">
        <v>222.13</v>
      </c>
      <c r="AY17" s="4">
        <v>390</v>
      </c>
      <c r="AZ17" s="4">
        <v>262.2</v>
      </c>
      <c r="BA17" s="4">
        <v>113</v>
      </c>
      <c r="BB17" s="4">
        <v>192.5</v>
      </c>
      <c r="BC17" s="4">
        <v>208.96</v>
      </c>
      <c r="BD17" s="4">
        <v>410.72</v>
      </c>
      <c r="BE17" s="4">
        <v>411.41</v>
      </c>
      <c r="BF17" s="4">
        <v>174.04</v>
      </c>
      <c r="BG17" s="4">
        <v>135</v>
      </c>
      <c r="BH17" s="4">
        <v>122</v>
      </c>
      <c r="BI17" s="4">
        <v>123</v>
      </c>
      <c r="BJ17" s="4">
        <v>128</v>
      </c>
      <c r="BK17" s="4">
        <v>330.4</v>
      </c>
      <c r="BL17" s="4">
        <v>368.82</v>
      </c>
      <c r="BM17" s="4">
        <v>258.8</v>
      </c>
      <c r="BN17" s="4">
        <v>333.98</v>
      </c>
      <c r="BO17" s="4">
        <v>327.31</v>
      </c>
      <c r="BP17" s="4">
        <v>45808</v>
      </c>
      <c r="BQ17" s="4">
        <v>164.78</v>
      </c>
      <c r="BR17" s="4">
        <v>45808</v>
      </c>
      <c r="BS17" s="4">
        <v>121</v>
      </c>
      <c r="BT17" s="4">
        <v>45808</v>
      </c>
      <c r="BU17" s="4">
        <v>238.33</v>
      </c>
      <c r="BV17" s="4">
        <v>45808</v>
      </c>
      <c r="BW17" s="4">
        <v>264.18</v>
      </c>
      <c r="BX17" s="4">
        <v>45808</v>
      </c>
      <c r="BY17" s="4">
        <v>510.87</v>
      </c>
      <c r="BZ17" s="4">
        <v>45808</v>
      </c>
      <c r="CA17" s="4">
        <v>373.6</v>
      </c>
      <c r="CB17" s="4">
        <v>45808</v>
      </c>
      <c r="CC17" s="4">
        <v>291.33999999999997</v>
      </c>
      <c r="CD17" s="4">
        <v>45808</v>
      </c>
      <c r="CE17" s="4">
        <v>472.5</v>
      </c>
      <c r="CF17" s="4">
        <v>45808</v>
      </c>
      <c r="CG17" s="4">
        <v>279.44</v>
      </c>
      <c r="CH17" s="4">
        <v>45808</v>
      </c>
      <c r="CI17" s="4">
        <v>203.84</v>
      </c>
      <c r="CJ17" s="4">
        <v>45808</v>
      </c>
      <c r="CK17" s="4">
        <v>128.51</v>
      </c>
      <c r="CL17" s="4">
        <v>45808</v>
      </c>
      <c r="CM17" s="4">
        <v>165.18</v>
      </c>
      <c r="CN17" s="4">
        <v>45808</v>
      </c>
      <c r="CO17" s="4">
        <v>125.75</v>
      </c>
      <c r="CP17" s="4">
        <v>45808</v>
      </c>
      <c r="CQ17" s="4">
        <v>226.75</v>
      </c>
      <c r="CR17" s="4">
        <v>45808</v>
      </c>
      <c r="CS17" s="4">
        <v>390</v>
      </c>
      <c r="CT17" s="4">
        <v>45808</v>
      </c>
      <c r="CU17" s="4">
        <v>249.49</v>
      </c>
      <c r="CV17" s="4">
        <v>45808</v>
      </c>
      <c r="CW17" s="4">
        <v>110</v>
      </c>
      <c r="CX17" s="4">
        <v>45808</v>
      </c>
      <c r="CY17" s="4">
        <v>193.88</v>
      </c>
      <c r="CZ17" s="4">
        <v>45808</v>
      </c>
      <c r="DA17" s="4">
        <v>210.22</v>
      </c>
      <c r="DB17" s="4">
        <v>45808</v>
      </c>
      <c r="DC17" s="4">
        <v>440.08</v>
      </c>
      <c r="DD17" s="4">
        <v>45808</v>
      </c>
      <c r="DE17" s="4">
        <v>430.08</v>
      </c>
      <c r="DF17" s="4">
        <v>45808</v>
      </c>
      <c r="DG17" s="4">
        <v>175.54</v>
      </c>
      <c r="DH17" s="4">
        <v>45808</v>
      </c>
      <c r="DI17" s="4">
        <v>119.2</v>
      </c>
      <c r="DJ17" s="4">
        <v>45808</v>
      </c>
      <c r="DK17" s="4">
        <v>117.5</v>
      </c>
      <c r="DL17" s="4">
        <v>45808</v>
      </c>
      <c r="DM17" s="4">
        <v>125.83</v>
      </c>
      <c r="DN17" s="4">
        <v>45777</v>
      </c>
      <c r="DO17" s="4">
        <v>128</v>
      </c>
      <c r="DP17" s="4">
        <v>45808</v>
      </c>
      <c r="DQ17" s="4">
        <v>304.52999999999997</v>
      </c>
      <c r="DR17" s="4">
        <v>45777</v>
      </c>
      <c r="DS17" s="4">
        <v>368.82</v>
      </c>
      <c r="DT17" s="4">
        <v>45777</v>
      </c>
      <c r="DU17" s="4">
        <v>258.8</v>
      </c>
      <c r="DV17" s="4">
        <v>45808</v>
      </c>
      <c r="DW17" s="4">
        <v>332.29</v>
      </c>
      <c r="DZ17" s="4" t="s">
        <v>343</v>
      </c>
      <c r="EA17" s="4" t="s">
        <v>220</v>
      </c>
    </row>
    <row r="18" spans="1:131" x14ac:dyDescent="0.3">
      <c r="A18" s="5" t="s">
        <v>95</v>
      </c>
      <c r="C18" s="14" t="str">
        <f t="shared" si="4"/>
        <v>20253</v>
      </c>
      <c r="D18" s="6">
        <v>45747</v>
      </c>
      <c r="E18" s="4">
        <v>156.25</v>
      </c>
      <c r="F18" s="4">
        <v>272.5</v>
      </c>
      <c r="G18" s="4">
        <v>104.53</v>
      </c>
      <c r="H18" s="4">
        <v>287.5</v>
      </c>
      <c r="I18" s="4">
        <v>122.44</v>
      </c>
      <c r="J18" s="4">
        <v>136.25</v>
      </c>
      <c r="K18" s="4">
        <v>182.65</v>
      </c>
      <c r="L18" s="4">
        <v>151.25</v>
      </c>
      <c r="M18" s="4">
        <v>125.63</v>
      </c>
      <c r="N18" s="4">
        <v>136.94999999999999</v>
      </c>
      <c r="O18" s="4">
        <v>43.85</v>
      </c>
      <c r="P18" s="4">
        <v>180.19</v>
      </c>
      <c r="Q18" s="4">
        <v>396.62</v>
      </c>
      <c r="R18" s="4">
        <v>283.64</v>
      </c>
      <c r="S18" s="4">
        <v>62.37</v>
      </c>
      <c r="T18" s="4">
        <v>172.14</v>
      </c>
      <c r="U18" s="4">
        <v>307.26</v>
      </c>
      <c r="V18" s="4">
        <v>292.5</v>
      </c>
      <c r="W18" s="4">
        <v>166.25</v>
      </c>
      <c r="X18" s="4">
        <v>212.32</v>
      </c>
      <c r="Y18" s="4">
        <v>266.98</v>
      </c>
      <c r="Z18" s="4">
        <v>507.3</v>
      </c>
      <c r="AA18" s="4">
        <v>335.11</v>
      </c>
      <c r="AB18" s="4">
        <v>185.99</v>
      </c>
      <c r="AC18" s="4">
        <v>143.04</v>
      </c>
      <c r="AD18" s="4">
        <v>265.49</v>
      </c>
      <c r="AE18" s="4">
        <v>415</v>
      </c>
      <c r="AF18" s="4">
        <v>341.6</v>
      </c>
      <c r="AG18" s="4">
        <v>386.74</v>
      </c>
      <c r="AH18" s="4">
        <v>145</v>
      </c>
      <c r="AI18" s="4">
        <v>320</v>
      </c>
      <c r="AJ18" s="4">
        <v>328.56</v>
      </c>
      <c r="AK18" s="4">
        <v>161.62</v>
      </c>
      <c r="AL18" s="4">
        <v>174.1</v>
      </c>
      <c r="AM18" s="4">
        <v>272.5</v>
      </c>
      <c r="AN18" s="4">
        <v>291.68</v>
      </c>
      <c r="AO18" s="4">
        <v>591.89</v>
      </c>
      <c r="AP18" s="4">
        <v>400.49</v>
      </c>
      <c r="AQ18" s="4">
        <v>347.49</v>
      </c>
      <c r="AR18" s="4">
        <v>482.5</v>
      </c>
      <c r="AS18" s="4">
        <v>281.02</v>
      </c>
      <c r="AT18" s="4">
        <v>235.2</v>
      </c>
      <c r="AU18" s="4">
        <v>135.21</v>
      </c>
      <c r="AV18" s="4">
        <v>161.91</v>
      </c>
      <c r="AW18" s="4">
        <v>143.75</v>
      </c>
      <c r="AX18" s="4">
        <v>250.07</v>
      </c>
      <c r="AY18" s="4">
        <v>400</v>
      </c>
      <c r="AZ18" s="4">
        <v>250.74</v>
      </c>
      <c r="BA18" s="4">
        <v>139</v>
      </c>
      <c r="BB18" s="4">
        <v>182.8</v>
      </c>
      <c r="BC18" s="4">
        <v>194.7</v>
      </c>
      <c r="BD18" s="4">
        <v>437.28</v>
      </c>
      <c r="BE18" s="4">
        <v>429.12</v>
      </c>
      <c r="BF18" s="4">
        <v>169.45</v>
      </c>
      <c r="BG18" s="4">
        <v>149.85</v>
      </c>
      <c r="BH18" s="4">
        <v>155</v>
      </c>
      <c r="BI18" s="4">
        <v>138.63</v>
      </c>
      <c r="BJ18" s="4">
        <v>151.25</v>
      </c>
      <c r="BK18" s="4">
        <v>305.77999999999997</v>
      </c>
      <c r="BL18" s="4">
        <v>404.1</v>
      </c>
      <c r="BM18" s="4">
        <v>233.23</v>
      </c>
      <c r="BN18" s="4">
        <v>368.53</v>
      </c>
      <c r="BO18" s="4">
        <v>339.73</v>
      </c>
      <c r="BP18" s="4">
        <v>45777</v>
      </c>
      <c r="BQ18" s="4">
        <v>190</v>
      </c>
      <c r="BR18" s="4">
        <v>45777</v>
      </c>
      <c r="BS18" s="4">
        <v>155.11000000000001</v>
      </c>
      <c r="BT18" s="4">
        <v>45777</v>
      </c>
      <c r="BU18" s="4">
        <v>254</v>
      </c>
      <c r="BV18" s="4">
        <v>45777</v>
      </c>
      <c r="BW18" s="4">
        <v>264.60000000000002</v>
      </c>
      <c r="BX18" s="4">
        <v>45777</v>
      </c>
      <c r="BY18" s="4">
        <v>502.27</v>
      </c>
      <c r="BZ18" s="4">
        <v>45777</v>
      </c>
      <c r="CA18" s="4">
        <v>365.32</v>
      </c>
      <c r="CB18" s="4">
        <v>45777</v>
      </c>
      <c r="CC18" s="4">
        <v>285.45999999999998</v>
      </c>
      <c r="CD18" s="4">
        <v>45777</v>
      </c>
      <c r="CE18" s="4">
        <v>462</v>
      </c>
      <c r="CF18" s="4">
        <v>45777</v>
      </c>
      <c r="CG18" s="4">
        <v>278.51</v>
      </c>
      <c r="CH18" s="4">
        <v>45777</v>
      </c>
      <c r="CI18" s="4">
        <v>192.96</v>
      </c>
      <c r="CJ18" s="4">
        <v>45777</v>
      </c>
      <c r="CK18" s="4">
        <v>126.67</v>
      </c>
      <c r="CL18" s="4">
        <v>45777</v>
      </c>
      <c r="CM18" s="4">
        <v>163.6</v>
      </c>
      <c r="CN18" s="4">
        <v>45777</v>
      </c>
      <c r="CO18" s="4">
        <v>113.83</v>
      </c>
      <c r="CP18" s="4">
        <v>45777</v>
      </c>
      <c r="CQ18" s="4">
        <v>222.13</v>
      </c>
      <c r="CR18" s="4">
        <v>45777</v>
      </c>
      <c r="CS18" s="4">
        <v>390</v>
      </c>
      <c r="CT18" s="4">
        <v>45777</v>
      </c>
      <c r="CU18" s="4">
        <v>262.2</v>
      </c>
      <c r="CV18" s="4">
        <v>45777</v>
      </c>
      <c r="CW18" s="4">
        <v>113</v>
      </c>
      <c r="CX18" s="4">
        <v>45777</v>
      </c>
      <c r="CY18" s="4">
        <v>192.5</v>
      </c>
      <c r="CZ18" s="4">
        <v>45777</v>
      </c>
      <c r="DA18" s="4">
        <v>208.96</v>
      </c>
      <c r="DB18" s="4">
        <v>45777</v>
      </c>
      <c r="DC18" s="4">
        <v>410.72</v>
      </c>
      <c r="DD18" s="4">
        <v>45777</v>
      </c>
      <c r="DE18" s="4">
        <v>411.41</v>
      </c>
      <c r="DF18" s="4">
        <v>45777</v>
      </c>
      <c r="DG18" s="4">
        <v>174.04</v>
      </c>
      <c r="DH18" s="4">
        <v>45777</v>
      </c>
      <c r="DI18" s="4">
        <v>135</v>
      </c>
      <c r="DJ18" s="4">
        <v>45777</v>
      </c>
      <c r="DK18" s="4">
        <v>122</v>
      </c>
      <c r="DL18" s="4">
        <v>45777</v>
      </c>
      <c r="DM18" s="4">
        <v>123</v>
      </c>
      <c r="DN18" s="4">
        <v>45747</v>
      </c>
      <c r="DO18" s="4">
        <v>151.25</v>
      </c>
      <c r="DP18" s="4">
        <v>45777</v>
      </c>
      <c r="DQ18" s="4">
        <v>330.4</v>
      </c>
      <c r="DR18" s="4">
        <v>45747</v>
      </c>
      <c r="DS18" s="4">
        <v>404.1</v>
      </c>
      <c r="DT18" s="4">
        <v>45747</v>
      </c>
      <c r="DU18" s="4">
        <v>233.23</v>
      </c>
      <c r="DV18" s="4">
        <v>45777</v>
      </c>
      <c r="DW18" s="4">
        <v>333.98</v>
      </c>
      <c r="DZ18" s="4" t="s">
        <v>273</v>
      </c>
      <c r="EA18" s="4" t="s">
        <v>274</v>
      </c>
    </row>
    <row r="19" spans="1:131" x14ac:dyDescent="0.3">
      <c r="A19" s="5" t="s">
        <v>96</v>
      </c>
      <c r="C19" s="14" t="str">
        <f t="shared" si="4"/>
        <v>20252</v>
      </c>
      <c r="D19" s="6">
        <v>45716</v>
      </c>
      <c r="E19" s="4">
        <v>211.07</v>
      </c>
      <c r="F19" s="4">
        <v>312.39999999999998</v>
      </c>
      <c r="G19" s="4">
        <v>105</v>
      </c>
      <c r="H19" s="4">
        <v>327.47000000000003</v>
      </c>
      <c r="I19" s="4">
        <v>143.22999999999999</v>
      </c>
      <c r="J19" s="4">
        <v>172.5</v>
      </c>
      <c r="K19" s="4">
        <v>235.53</v>
      </c>
      <c r="L19" s="4">
        <v>203.75</v>
      </c>
      <c r="M19" s="4">
        <v>148.13</v>
      </c>
      <c r="N19" s="4">
        <v>185.92</v>
      </c>
      <c r="O19" s="4">
        <v>58.9</v>
      </c>
      <c r="P19" s="4">
        <v>224</v>
      </c>
      <c r="Q19" s="4">
        <v>407</v>
      </c>
      <c r="R19" s="4">
        <v>338.86</v>
      </c>
      <c r="S19" s="4">
        <v>89.6</v>
      </c>
      <c r="T19" s="4">
        <v>162.93</v>
      </c>
      <c r="U19" s="4">
        <v>375.2</v>
      </c>
      <c r="V19" s="4">
        <v>338.8</v>
      </c>
      <c r="W19" s="4">
        <v>218.75</v>
      </c>
      <c r="X19" s="4">
        <v>246.4</v>
      </c>
      <c r="Y19" s="4">
        <v>352.8</v>
      </c>
      <c r="Z19" s="4">
        <v>511.49</v>
      </c>
      <c r="AA19" s="4">
        <v>353.42</v>
      </c>
      <c r="AB19" s="4">
        <v>240.64</v>
      </c>
      <c r="AC19" s="4">
        <v>207.2</v>
      </c>
      <c r="AD19" s="4">
        <v>245.56</v>
      </c>
      <c r="AE19" s="4">
        <v>429.58</v>
      </c>
      <c r="AF19" s="4">
        <v>321.42</v>
      </c>
      <c r="AG19" s="4">
        <v>385.04</v>
      </c>
      <c r="AH19" s="4">
        <v>145</v>
      </c>
      <c r="AI19" s="4">
        <v>330</v>
      </c>
      <c r="AJ19" s="4">
        <v>387.59</v>
      </c>
      <c r="AK19" s="4">
        <v>203.28</v>
      </c>
      <c r="AL19" s="4">
        <v>155</v>
      </c>
      <c r="AM19" s="4">
        <v>246.21</v>
      </c>
      <c r="AN19" s="4">
        <v>399</v>
      </c>
      <c r="AO19" s="4">
        <v>591.24</v>
      </c>
      <c r="AP19" s="4">
        <v>478.24</v>
      </c>
      <c r="AQ19" s="4">
        <v>361.63</v>
      </c>
      <c r="AR19" s="4">
        <v>520</v>
      </c>
      <c r="AS19" s="4">
        <v>324.8</v>
      </c>
      <c r="AT19" s="4">
        <v>252</v>
      </c>
      <c r="AU19" s="4">
        <v>162.80000000000001</v>
      </c>
      <c r="AV19" s="4">
        <v>203.73</v>
      </c>
      <c r="AW19" s="4">
        <v>146.25</v>
      </c>
      <c r="AX19" s="4">
        <v>330.4</v>
      </c>
      <c r="AY19" s="4">
        <v>457.78</v>
      </c>
      <c r="AZ19" s="4">
        <v>303.16000000000003</v>
      </c>
      <c r="BA19" s="4">
        <v>140</v>
      </c>
      <c r="BB19" s="4">
        <v>235.75</v>
      </c>
      <c r="BC19" s="4">
        <v>253.99</v>
      </c>
      <c r="BD19" s="4">
        <v>429.55</v>
      </c>
      <c r="BE19" s="4">
        <v>492.8</v>
      </c>
      <c r="BF19" s="4">
        <v>215.29</v>
      </c>
      <c r="BG19" s="4">
        <v>152</v>
      </c>
      <c r="BH19" s="4">
        <v>148.75</v>
      </c>
      <c r="BI19" s="4">
        <v>146.88</v>
      </c>
      <c r="BJ19" s="4">
        <v>159.78</v>
      </c>
      <c r="BK19" s="4">
        <v>362.88</v>
      </c>
      <c r="BL19" s="4">
        <v>403.88</v>
      </c>
      <c r="BM19" s="4">
        <v>284.17</v>
      </c>
      <c r="BN19" s="4">
        <v>376.93</v>
      </c>
      <c r="BO19" s="4">
        <v>328.56</v>
      </c>
      <c r="BP19" s="4">
        <v>45747</v>
      </c>
      <c r="BQ19" s="4">
        <v>161.62</v>
      </c>
      <c r="BR19" s="4">
        <v>45747</v>
      </c>
      <c r="BS19" s="4">
        <v>174.1</v>
      </c>
      <c r="BT19" s="4">
        <v>45747</v>
      </c>
      <c r="BU19" s="4">
        <v>272.5</v>
      </c>
      <c r="BV19" s="4">
        <v>45747</v>
      </c>
      <c r="BW19" s="4">
        <v>291.68</v>
      </c>
      <c r="BX19" s="4">
        <v>45747</v>
      </c>
      <c r="BY19" s="4">
        <v>591.89</v>
      </c>
      <c r="BZ19" s="4">
        <v>45747</v>
      </c>
      <c r="CA19" s="4">
        <v>400.49</v>
      </c>
      <c r="CB19" s="4">
        <v>45747</v>
      </c>
      <c r="CC19" s="4">
        <v>347.49</v>
      </c>
      <c r="CD19" s="4">
        <v>45747</v>
      </c>
      <c r="CE19" s="4">
        <v>482.5</v>
      </c>
      <c r="CF19" s="4">
        <v>45747</v>
      </c>
      <c r="CG19" s="4">
        <v>281.02</v>
      </c>
      <c r="CH19" s="4">
        <v>45747</v>
      </c>
      <c r="CI19" s="4">
        <v>235.2</v>
      </c>
      <c r="CJ19" s="4">
        <v>45747</v>
      </c>
      <c r="CK19" s="4">
        <v>135.21</v>
      </c>
      <c r="CL19" s="4">
        <v>45747</v>
      </c>
      <c r="CM19" s="4">
        <v>161.91</v>
      </c>
      <c r="CN19" s="4">
        <v>45747</v>
      </c>
      <c r="CO19" s="4">
        <v>143.75</v>
      </c>
      <c r="CP19" s="4">
        <v>45747</v>
      </c>
      <c r="CQ19" s="4">
        <v>250.07</v>
      </c>
      <c r="CR19" s="4">
        <v>45747</v>
      </c>
      <c r="CS19" s="4">
        <v>400</v>
      </c>
      <c r="CT19" s="4">
        <v>45747</v>
      </c>
      <c r="CU19" s="4">
        <v>250.74</v>
      </c>
      <c r="CV19" s="4">
        <v>45747</v>
      </c>
      <c r="CW19" s="4">
        <v>139</v>
      </c>
      <c r="CX19" s="4">
        <v>45747</v>
      </c>
      <c r="CY19" s="4">
        <v>182.8</v>
      </c>
      <c r="CZ19" s="4">
        <v>45747</v>
      </c>
      <c r="DA19" s="4">
        <v>194.7</v>
      </c>
      <c r="DB19" s="4">
        <v>45747</v>
      </c>
      <c r="DC19" s="4">
        <v>437.28</v>
      </c>
      <c r="DD19" s="4">
        <v>45747</v>
      </c>
      <c r="DE19" s="4">
        <v>429.12</v>
      </c>
      <c r="DF19" s="4">
        <v>45747</v>
      </c>
      <c r="DG19" s="4">
        <v>169.45</v>
      </c>
      <c r="DH19" s="4">
        <v>45747</v>
      </c>
      <c r="DI19" s="4">
        <v>149.85</v>
      </c>
      <c r="DJ19" s="4">
        <v>45747</v>
      </c>
      <c r="DK19" s="4">
        <v>155</v>
      </c>
      <c r="DL19" s="4">
        <v>45747</v>
      </c>
      <c r="DM19" s="4">
        <v>138.63</v>
      </c>
      <c r="DN19" s="4">
        <v>45716</v>
      </c>
      <c r="DO19" s="4">
        <v>159.78</v>
      </c>
      <c r="DP19" s="4">
        <v>45747</v>
      </c>
      <c r="DQ19" s="4">
        <v>305.77999999999997</v>
      </c>
      <c r="DR19" s="4">
        <v>45716</v>
      </c>
      <c r="DS19" s="4">
        <v>403.88</v>
      </c>
      <c r="DT19" s="4">
        <v>45716</v>
      </c>
      <c r="DU19" s="4">
        <v>284.17</v>
      </c>
      <c r="DV19" s="4">
        <v>45747</v>
      </c>
      <c r="DW19" s="4">
        <v>368.53</v>
      </c>
      <c r="DZ19" s="4" t="s">
        <v>275</v>
      </c>
      <c r="EA19" s="4" t="s">
        <v>217</v>
      </c>
    </row>
    <row r="20" spans="1:131" x14ac:dyDescent="0.3">
      <c r="A20" s="5" t="s">
        <v>97</v>
      </c>
      <c r="C20" s="14" t="str">
        <f t="shared" si="4"/>
        <v>20251</v>
      </c>
      <c r="D20" s="6">
        <v>45688</v>
      </c>
      <c r="E20" s="4">
        <v>138</v>
      </c>
      <c r="F20" s="4">
        <v>185</v>
      </c>
      <c r="G20" s="4">
        <v>57.1</v>
      </c>
      <c r="H20" s="4">
        <v>200</v>
      </c>
      <c r="I20" s="4">
        <v>82.83</v>
      </c>
      <c r="J20" s="4">
        <v>105</v>
      </c>
      <c r="K20" s="4">
        <v>145.58000000000001</v>
      </c>
      <c r="L20" s="4">
        <v>119.4</v>
      </c>
      <c r="M20" s="4">
        <v>86.16</v>
      </c>
      <c r="N20" s="4">
        <v>85</v>
      </c>
      <c r="O20" s="4">
        <v>38.5</v>
      </c>
      <c r="P20" s="4">
        <v>143.01</v>
      </c>
      <c r="Q20" s="4">
        <v>260.39</v>
      </c>
      <c r="R20" s="4">
        <v>238.86</v>
      </c>
      <c r="S20" s="4">
        <v>55</v>
      </c>
      <c r="T20" s="4">
        <v>147.22</v>
      </c>
      <c r="U20" s="4">
        <v>262.48</v>
      </c>
      <c r="V20" s="4">
        <v>247.72</v>
      </c>
      <c r="W20" s="4">
        <v>142</v>
      </c>
      <c r="X20" s="4">
        <v>167.2</v>
      </c>
      <c r="Y20" s="4">
        <v>222.2</v>
      </c>
      <c r="Z20" s="4">
        <v>325</v>
      </c>
      <c r="AA20" s="4">
        <v>197.14</v>
      </c>
      <c r="AB20" s="4">
        <v>133</v>
      </c>
      <c r="AC20" s="4">
        <v>125</v>
      </c>
      <c r="AD20" s="4">
        <v>212.18</v>
      </c>
      <c r="AE20" s="4">
        <v>270</v>
      </c>
      <c r="AF20" s="4">
        <v>193.37</v>
      </c>
      <c r="AG20" s="4">
        <v>302.29000000000002</v>
      </c>
      <c r="AH20" s="4">
        <v>132.5</v>
      </c>
      <c r="AI20" s="4">
        <v>193</v>
      </c>
      <c r="AJ20" s="4">
        <v>283.77999999999997</v>
      </c>
      <c r="AK20" s="4">
        <v>123.66</v>
      </c>
      <c r="AL20" s="4">
        <v>146</v>
      </c>
      <c r="AM20" s="4">
        <v>212.5</v>
      </c>
      <c r="AN20" s="4">
        <v>204.94</v>
      </c>
      <c r="AO20" s="4">
        <v>421.49</v>
      </c>
      <c r="AP20" s="4">
        <v>313.41000000000003</v>
      </c>
      <c r="AQ20" s="4">
        <v>211.68</v>
      </c>
      <c r="AR20" s="4">
        <v>340</v>
      </c>
      <c r="AS20" s="4">
        <v>270.60000000000002</v>
      </c>
      <c r="AT20" s="4">
        <v>198</v>
      </c>
      <c r="AU20" s="4">
        <v>96.14</v>
      </c>
      <c r="AV20" s="4">
        <v>123.96</v>
      </c>
      <c r="AW20" s="4">
        <v>113.33</v>
      </c>
      <c r="AX20" s="4">
        <v>186.86</v>
      </c>
      <c r="AY20" s="4">
        <v>290</v>
      </c>
      <c r="AZ20" s="4">
        <v>205.96</v>
      </c>
      <c r="BA20" s="4">
        <v>127.5</v>
      </c>
      <c r="BB20" s="4">
        <v>145.72999999999999</v>
      </c>
      <c r="BC20" s="4">
        <v>158.13</v>
      </c>
      <c r="BD20" s="4">
        <v>275</v>
      </c>
      <c r="BE20" s="4">
        <v>347.97</v>
      </c>
      <c r="BF20" s="4">
        <v>131.82</v>
      </c>
      <c r="BG20" s="4">
        <v>138.76</v>
      </c>
      <c r="BH20" s="4">
        <v>136.66999999999999</v>
      </c>
      <c r="BI20" s="4">
        <v>124.67</v>
      </c>
      <c r="BJ20" s="4">
        <v>152</v>
      </c>
      <c r="BK20" s="4">
        <v>261.01</v>
      </c>
      <c r="BL20" s="4">
        <v>316.33</v>
      </c>
      <c r="BM20" s="4">
        <v>188.46</v>
      </c>
      <c r="BN20" s="4">
        <v>243</v>
      </c>
      <c r="BO20" s="4">
        <v>387.59</v>
      </c>
      <c r="BP20" s="4">
        <v>45716</v>
      </c>
      <c r="BQ20" s="4">
        <v>203.28</v>
      </c>
      <c r="BR20" s="4">
        <v>45716</v>
      </c>
      <c r="BS20" s="4">
        <v>155</v>
      </c>
      <c r="BT20" s="4">
        <v>45716</v>
      </c>
      <c r="BU20" s="4">
        <v>246.21</v>
      </c>
      <c r="BV20" s="4">
        <v>45716</v>
      </c>
      <c r="BW20" s="4">
        <v>399</v>
      </c>
      <c r="BX20" s="4">
        <v>45716</v>
      </c>
      <c r="BY20" s="4">
        <v>591.24</v>
      </c>
      <c r="BZ20" s="4">
        <v>45716</v>
      </c>
      <c r="CA20" s="4">
        <v>478.24</v>
      </c>
      <c r="CB20" s="4">
        <v>45716</v>
      </c>
      <c r="CC20" s="4">
        <v>361.63</v>
      </c>
      <c r="CD20" s="4">
        <v>45716</v>
      </c>
      <c r="CE20" s="4">
        <v>520</v>
      </c>
      <c r="CF20" s="4">
        <v>45716</v>
      </c>
      <c r="CG20" s="4">
        <v>324.8</v>
      </c>
      <c r="CH20" s="4">
        <v>45716</v>
      </c>
      <c r="CI20" s="4">
        <v>252</v>
      </c>
      <c r="CJ20" s="4">
        <v>45716</v>
      </c>
      <c r="CK20" s="4">
        <v>162.80000000000001</v>
      </c>
      <c r="CL20" s="4">
        <v>45716</v>
      </c>
      <c r="CM20" s="4">
        <v>203.73</v>
      </c>
      <c r="CN20" s="4">
        <v>45716</v>
      </c>
      <c r="CO20" s="4">
        <v>146.25</v>
      </c>
      <c r="CP20" s="4">
        <v>45716</v>
      </c>
      <c r="CQ20" s="4">
        <v>330.4</v>
      </c>
      <c r="CR20" s="4">
        <v>45716</v>
      </c>
      <c r="CS20" s="4">
        <v>457.78</v>
      </c>
      <c r="CT20" s="4">
        <v>45716</v>
      </c>
      <c r="CU20" s="4">
        <v>303.16000000000003</v>
      </c>
      <c r="CV20" s="4">
        <v>45716</v>
      </c>
      <c r="CW20" s="4">
        <v>140</v>
      </c>
      <c r="CX20" s="4">
        <v>45716</v>
      </c>
      <c r="CY20" s="4">
        <v>235.75</v>
      </c>
      <c r="CZ20" s="4">
        <v>45716</v>
      </c>
      <c r="DA20" s="4">
        <v>253.99</v>
      </c>
      <c r="DB20" s="4">
        <v>45716</v>
      </c>
      <c r="DC20" s="4">
        <v>429.55</v>
      </c>
      <c r="DD20" s="4">
        <v>45716</v>
      </c>
      <c r="DE20" s="4">
        <v>492.8</v>
      </c>
      <c r="DF20" s="4">
        <v>45716</v>
      </c>
      <c r="DG20" s="4">
        <v>215.29</v>
      </c>
      <c r="DH20" s="4">
        <v>45716</v>
      </c>
      <c r="DI20" s="4">
        <v>152</v>
      </c>
      <c r="DJ20" s="4">
        <v>45716</v>
      </c>
      <c r="DK20" s="4">
        <v>148.75</v>
      </c>
      <c r="DL20" s="4">
        <v>45716</v>
      </c>
      <c r="DM20" s="4">
        <v>146.88</v>
      </c>
      <c r="DN20" s="4">
        <v>45688</v>
      </c>
      <c r="DO20" s="4">
        <v>152</v>
      </c>
      <c r="DP20" s="4">
        <v>45716</v>
      </c>
      <c r="DQ20" s="4">
        <v>362.88</v>
      </c>
      <c r="DR20" s="4">
        <v>45688</v>
      </c>
      <c r="DS20" s="4">
        <v>316.33</v>
      </c>
      <c r="DT20" s="4">
        <v>45688</v>
      </c>
      <c r="DU20" s="4">
        <v>188.46</v>
      </c>
      <c r="DV20" s="4">
        <v>45716</v>
      </c>
      <c r="DW20" s="4">
        <v>376.93</v>
      </c>
      <c r="DZ20" s="4" t="s">
        <v>276</v>
      </c>
      <c r="EA20" s="4" t="s">
        <v>277</v>
      </c>
    </row>
    <row r="21" spans="1:131" x14ac:dyDescent="0.3">
      <c r="A21" s="5" t="s">
        <v>98</v>
      </c>
      <c r="C21" s="14" t="str">
        <f t="shared" si="4"/>
        <v>202412</v>
      </c>
      <c r="D21" s="6">
        <v>45657</v>
      </c>
      <c r="E21" s="4">
        <v>127.5</v>
      </c>
      <c r="F21" s="4">
        <v>180</v>
      </c>
      <c r="G21" s="4">
        <v>58</v>
      </c>
      <c r="H21" s="4">
        <v>195</v>
      </c>
      <c r="I21" s="4">
        <v>80.37</v>
      </c>
      <c r="J21" s="4">
        <v>107.5</v>
      </c>
      <c r="K21" s="4">
        <v>146.02000000000001</v>
      </c>
      <c r="L21" s="4">
        <v>122.5</v>
      </c>
      <c r="M21" s="4">
        <v>83.85</v>
      </c>
      <c r="N21" s="4">
        <v>96.19</v>
      </c>
      <c r="O21" s="4">
        <v>41.64</v>
      </c>
      <c r="P21" s="4">
        <v>143.33000000000001</v>
      </c>
      <c r="Q21" s="4">
        <v>235</v>
      </c>
      <c r="R21" s="4">
        <v>223.12</v>
      </c>
      <c r="S21" s="4">
        <v>50.63</v>
      </c>
      <c r="T21" s="4">
        <v>100</v>
      </c>
      <c r="U21" s="4">
        <v>244.05</v>
      </c>
      <c r="V21" s="4">
        <v>230.97</v>
      </c>
      <c r="W21" s="4">
        <v>137.5</v>
      </c>
      <c r="X21" s="4">
        <v>165.17</v>
      </c>
      <c r="Y21" s="4">
        <v>208.37</v>
      </c>
      <c r="Z21" s="4">
        <v>305</v>
      </c>
      <c r="AA21" s="4">
        <v>200</v>
      </c>
      <c r="AB21" s="4">
        <v>149.66</v>
      </c>
      <c r="AC21" s="4">
        <v>102.83</v>
      </c>
      <c r="AD21" s="4">
        <v>222.01</v>
      </c>
      <c r="AE21" s="4">
        <v>260</v>
      </c>
      <c r="AF21" s="4">
        <v>192.56</v>
      </c>
      <c r="AG21" s="4">
        <v>325.04000000000002</v>
      </c>
      <c r="AH21" s="4">
        <v>130</v>
      </c>
      <c r="AI21" s="4">
        <v>180</v>
      </c>
      <c r="AJ21" s="4">
        <v>262.91000000000003</v>
      </c>
      <c r="AK21" s="4">
        <v>123.08</v>
      </c>
      <c r="AL21" s="4">
        <v>122.55</v>
      </c>
      <c r="AM21" s="4">
        <v>214.4</v>
      </c>
      <c r="AN21" s="4">
        <v>203.41</v>
      </c>
      <c r="AO21" s="4">
        <v>497.09</v>
      </c>
      <c r="AP21" s="4">
        <v>339.48</v>
      </c>
      <c r="AQ21" s="4">
        <v>195</v>
      </c>
      <c r="AR21" s="4">
        <v>355</v>
      </c>
      <c r="AS21" s="4">
        <v>201.39</v>
      </c>
      <c r="AT21" s="4">
        <v>151.72999999999999</v>
      </c>
      <c r="AU21" s="4">
        <v>94.29</v>
      </c>
      <c r="AV21" s="4">
        <v>123.4</v>
      </c>
      <c r="AW21" s="4">
        <v>102.5</v>
      </c>
      <c r="AX21" s="4">
        <v>175.93</v>
      </c>
      <c r="AY21" s="4">
        <v>280</v>
      </c>
      <c r="AZ21" s="4">
        <v>193.98</v>
      </c>
      <c r="BA21" s="4">
        <v>120</v>
      </c>
      <c r="BB21" s="4">
        <v>146.18</v>
      </c>
      <c r="BC21" s="4">
        <v>159.15</v>
      </c>
      <c r="BD21" s="4">
        <v>265</v>
      </c>
      <c r="BE21" s="4">
        <v>299.25</v>
      </c>
      <c r="BF21" s="4">
        <v>131.63</v>
      </c>
      <c r="BG21" s="4">
        <v>127.74</v>
      </c>
      <c r="BH21" s="4">
        <v>130</v>
      </c>
      <c r="BI21" s="4">
        <v>99</v>
      </c>
      <c r="BJ21" s="4">
        <v>110</v>
      </c>
      <c r="BK21" s="4">
        <v>242.74</v>
      </c>
      <c r="BL21" s="4">
        <v>343.28</v>
      </c>
      <c r="BM21" s="4">
        <v>178.48</v>
      </c>
      <c r="BN21" s="4">
        <v>240</v>
      </c>
      <c r="BO21" s="4">
        <v>283.77999999999997</v>
      </c>
      <c r="BP21" s="4">
        <v>45688</v>
      </c>
      <c r="BQ21" s="4">
        <v>123.66</v>
      </c>
      <c r="BR21" s="4">
        <v>45688</v>
      </c>
      <c r="BS21" s="4">
        <v>146</v>
      </c>
      <c r="BT21" s="4">
        <v>45688</v>
      </c>
      <c r="BU21" s="4">
        <v>212.5</v>
      </c>
      <c r="BV21" s="4">
        <v>45688</v>
      </c>
      <c r="BW21" s="4">
        <v>204.94</v>
      </c>
      <c r="BX21" s="4">
        <v>45688</v>
      </c>
      <c r="BY21" s="4">
        <v>421.49</v>
      </c>
      <c r="BZ21" s="4">
        <v>45688</v>
      </c>
      <c r="CA21" s="4">
        <v>313.41000000000003</v>
      </c>
      <c r="CB21" s="4">
        <v>45688</v>
      </c>
      <c r="CC21" s="4">
        <v>211.68</v>
      </c>
      <c r="CD21" s="4">
        <v>45688</v>
      </c>
      <c r="CE21" s="4">
        <v>340</v>
      </c>
      <c r="CF21" s="4">
        <v>45688</v>
      </c>
      <c r="CG21" s="4">
        <v>270.60000000000002</v>
      </c>
      <c r="CH21" s="4">
        <v>45688</v>
      </c>
      <c r="CI21" s="4">
        <v>198</v>
      </c>
      <c r="CJ21" s="4">
        <v>45688</v>
      </c>
      <c r="CK21" s="4">
        <v>96.14</v>
      </c>
      <c r="CL21" s="4">
        <v>45688</v>
      </c>
      <c r="CM21" s="4">
        <v>123.96</v>
      </c>
      <c r="CN21" s="4">
        <v>45688</v>
      </c>
      <c r="CO21" s="4">
        <v>113.33</v>
      </c>
      <c r="CP21" s="4">
        <v>45688</v>
      </c>
      <c r="CQ21" s="4">
        <v>186.86</v>
      </c>
      <c r="CR21" s="4">
        <v>45688</v>
      </c>
      <c r="CS21" s="4">
        <v>290</v>
      </c>
      <c r="CT21" s="4">
        <v>45688</v>
      </c>
      <c r="CU21" s="4">
        <v>205.96</v>
      </c>
      <c r="CV21" s="4">
        <v>45688</v>
      </c>
      <c r="CW21" s="4">
        <v>127.5</v>
      </c>
      <c r="CX21" s="4">
        <v>45688</v>
      </c>
      <c r="CY21" s="4">
        <v>145.72999999999999</v>
      </c>
      <c r="CZ21" s="4">
        <v>45688</v>
      </c>
      <c r="DA21" s="4">
        <v>158.13</v>
      </c>
      <c r="DB21" s="4">
        <v>45688</v>
      </c>
      <c r="DC21" s="4">
        <v>275</v>
      </c>
      <c r="DD21" s="4">
        <v>45688</v>
      </c>
      <c r="DE21" s="4">
        <v>347.97</v>
      </c>
      <c r="DF21" s="4">
        <v>45688</v>
      </c>
      <c r="DG21" s="4">
        <v>131.82</v>
      </c>
      <c r="DH21" s="4">
        <v>45688</v>
      </c>
      <c r="DI21" s="4">
        <v>138.76</v>
      </c>
      <c r="DJ21" s="4">
        <v>45688</v>
      </c>
      <c r="DK21" s="4">
        <v>136.66999999999999</v>
      </c>
      <c r="DL21" s="4">
        <v>45688</v>
      </c>
      <c r="DM21" s="4">
        <v>124.67</v>
      </c>
      <c r="DN21" s="4">
        <v>45657</v>
      </c>
      <c r="DO21" s="4">
        <v>110</v>
      </c>
      <c r="DP21" s="4">
        <v>45688</v>
      </c>
      <c r="DQ21" s="4">
        <v>261.01</v>
      </c>
      <c r="DR21" s="4">
        <v>45657</v>
      </c>
      <c r="DS21" s="4">
        <v>343.28</v>
      </c>
      <c r="DT21" s="4">
        <v>45657</v>
      </c>
      <c r="DU21" s="4">
        <v>178.48</v>
      </c>
      <c r="DV21" s="4">
        <v>45688</v>
      </c>
      <c r="DW21" s="4">
        <v>243</v>
      </c>
      <c r="DZ21" s="4" t="s">
        <v>278</v>
      </c>
      <c r="EA21" s="4" t="s">
        <v>279</v>
      </c>
    </row>
    <row r="22" spans="1:131" x14ac:dyDescent="0.3">
      <c r="A22" s="5" t="s">
        <v>99</v>
      </c>
      <c r="C22" s="14" t="str">
        <f t="shared" si="4"/>
        <v>202411</v>
      </c>
      <c r="D22" s="6">
        <v>45626</v>
      </c>
      <c r="E22" s="4">
        <v>148.16999999999999</v>
      </c>
      <c r="F22" s="4">
        <v>200</v>
      </c>
      <c r="G22" s="4">
        <v>65</v>
      </c>
      <c r="H22" s="4">
        <v>227.5</v>
      </c>
      <c r="I22" s="4">
        <v>88.54</v>
      </c>
      <c r="J22" s="4">
        <v>132.5</v>
      </c>
      <c r="K22" s="4">
        <v>163.24</v>
      </c>
      <c r="L22" s="4">
        <v>140</v>
      </c>
      <c r="M22" s="4">
        <v>92.5</v>
      </c>
      <c r="N22" s="4">
        <v>106.54</v>
      </c>
      <c r="O22" s="4">
        <v>25.45</v>
      </c>
      <c r="P22" s="4">
        <v>160.18</v>
      </c>
      <c r="Q22" s="4">
        <v>327.5</v>
      </c>
      <c r="R22" s="4">
        <v>236.58</v>
      </c>
      <c r="S22" s="4">
        <v>63.84</v>
      </c>
      <c r="T22" s="4">
        <v>104</v>
      </c>
      <c r="U22" s="4">
        <v>255.69</v>
      </c>
      <c r="V22" s="4">
        <v>243.75</v>
      </c>
      <c r="W22" s="4">
        <v>137.5</v>
      </c>
      <c r="X22" s="4">
        <v>181.26</v>
      </c>
      <c r="Y22" s="4">
        <v>223.11</v>
      </c>
      <c r="Z22" s="4">
        <v>365</v>
      </c>
      <c r="AA22" s="4">
        <v>217.4</v>
      </c>
      <c r="AB22" s="4">
        <v>167.38</v>
      </c>
      <c r="AC22" s="4">
        <v>114.1</v>
      </c>
      <c r="AD22" s="4">
        <v>212.25</v>
      </c>
      <c r="AE22" s="4">
        <v>315</v>
      </c>
      <c r="AF22" s="4">
        <v>209.72</v>
      </c>
      <c r="AG22" s="4">
        <v>331.16</v>
      </c>
      <c r="AH22" s="4">
        <v>137.5</v>
      </c>
      <c r="AI22" s="4">
        <v>230</v>
      </c>
      <c r="AJ22" s="4">
        <v>272.92</v>
      </c>
      <c r="AK22" s="4">
        <v>137.13999999999999</v>
      </c>
      <c r="AL22" s="4">
        <v>137.66</v>
      </c>
      <c r="AM22" s="4">
        <v>204.16</v>
      </c>
      <c r="AN22" s="4">
        <v>260</v>
      </c>
      <c r="AO22" s="4">
        <v>429.29</v>
      </c>
      <c r="AP22" s="4">
        <v>344.91</v>
      </c>
      <c r="AQ22" s="4">
        <v>220</v>
      </c>
      <c r="AR22" s="4">
        <v>420</v>
      </c>
      <c r="AS22" s="4">
        <v>225.42</v>
      </c>
      <c r="AT22" s="4">
        <v>167.3</v>
      </c>
      <c r="AU22" s="4">
        <v>104.38</v>
      </c>
      <c r="AV22" s="4">
        <v>137.5</v>
      </c>
      <c r="AW22" s="4">
        <v>106.67</v>
      </c>
      <c r="AX22" s="4">
        <v>196.4</v>
      </c>
      <c r="AY22" s="4">
        <v>280</v>
      </c>
      <c r="AZ22" s="4">
        <v>209.97</v>
      </c>
      <c r="BA22" s="4">
        <v>127.5</v>
      </c>
      <c r="BB22" s="4">
        <v>163.41999999999999</v>
      </c>
      <c r="BC22" s="4">
        <v>178.18</v>
      </c>
      <c r="BD22" s="4">
        <v>327.5</v>
      </c>
      <c r="BE22" s="4">
        <v>335.43</v>
      </c>
      <c r="BF22" s="4">
        <v>146.86000000000001</v>
      </c>
      <c r="BG22" s="4">
        <v>142.56</v>
      </c>
      <c r="BH22" s="4">
        <v>135</v>
      </c>
      <c r="BI22" s="4">
        <v>101.6</v>
      </c>
      <c r="BJ22" s="4">
        <v>110</v>
      </c>
      <c r="BK22" s="4">
        <v>254.5</v>
      </c>
      <c r="BL22" s="4">
        <v>348.52</v>
      </c>
      <c r="BM22" s="4">
        <v>195.81</v>
      </c>
      <c r="BN22" s="4">
        <v>250</v>
      </c>
      <c r="BO22" s="4">
        <v>262.91000000000003</v>
      </c>
      <c r="BP22" s="4">
        <v>45657</v>
      </c>
      <c r="BQ22" s="4">
        <v>123.08</v>
      </c>
      <c r="BR22" s="4">
        <v>45657</v>
      </c>
      <c r="BS22" s="4">
        <v>122.55</v>
      </c>
      <c r="BT22" s="4">
        <v>45657</v>
      </c>
      <c r="BU22" s="4">
        <v>214.4</v>
      </c>
      <c r="BV22" s="4">
        <v>45657</v>
      </c>
      <c r="BW22" s="4">
        <v>203.41</v>
      </c>
      <c r="BX22" s="4">
        <v>45657</v>
      </c>
      <c r="BY22" s="4">
        <v>497.09</v>
      </c>
      <c r="BZ22" s="4">
        <v>45657</v>
      </c>
      <c r="CA22" s="4">
        <v>339.48</v>
      </c>
      <c r="CB22" s="4">
        <v>45657</v>
      </c>
      <c r="CC22" s="4">
        <v>195</v>
      </c>
      <c r="CD22" s="4">
        <v>45657</v>
      </c>
      <c r="CE22" s="4">
        <v>355</v>
      </c>
      <c r="CF22" s="4">
        <v>45657</v>
      </c>
      <c r="CG22" s="4">
        <v>201.39</v>
      </c>
      <c r="CH22" s="4">
        <v>45657</v>
      </c>
      <c r="CI22" s="4">
        <v>151.72999999999999</v>
      </c>
      <c r="CJ22" s="4">
        <v>45657</v>
      </c>
      <c r="CK22" s="4">
        <v>94.29</v>
      </c>
      <c r="CL22" s="4">
        <v>45657</v>
      </c>
      <c r="CM22" s="4">
        <v>123.4</v>
      </c>
      <c r="CN22" s="4">
        <v>45657</v>
      </c>
      <c r="CO22" s="4">
        <v>102.5</v>
      </c>
      <c r="CP22" s="4">
        <v>45657</v>
      </c>
      <c r="CQ22" s="4">
        <v>175.93</v>
      </c>
      <c r="CR22" s="4">
        <v>45657</v>
      </c>
      <c r="CS22" s="4">
        <v>280</v>
      </c>
      <c r="CT22" s="4">
        <v>45657</v>
      </c>
      <c r="CU22" s="4">
        <v>193.98</v>
      </c>
      <c r="CV22" s="4">
        <v>45657</v>
      </c>
      <c r="CW22" s="4">
        <v>120</v>
      </c>
      <c r="CX22" s="4">
        <v>45657</v>
      </c>
      <c r="CY22" s="4">
        <v>146.18</v>
      </c>
      <c r="CZ22" s="4">
        <v>45657</v>
      </c>
      <c r="DA22" s="4">
        <v>159.15</v>
      </c>
      <c r="DB22" s="4">
        <v>45657</v>
      </c>
      <c r="DC22" s="4">
        <v>265</v>
      </c>
      <c r="DD22" s="4">
        <v>45657</v>
      </c>
      <c r="DE22" s="4">
        <v>299.25</v>
      </c>
      <c r="DF22" s="4">
        <v>45657</v>
      </c>
      <c r="DG22" s="4">
        <v>131.63</v>
      </c>
      <c r="DH22" s="4">
        <v>45657</v>
      </c>
      <c r="DI22" s="4">
        <v>127.74</v>
      </c>
      <c r="DJ22" s="4">
        <v>45657</v>
      </c>
      <c r="DK22" s="4">
        <v>130</v>
      </c>
      <c r="DL22" s="4">
        <v>45657</v>
      </c>
      <c r="DM22" s="4">
        <v>99</v>
      </c>
      <c r="DN22" s="4">
        <v>45626</v>
      </c>
      <c r="DO22" s="4">
        <v>110</v>
      </c>
      <c r="DP22" s="4">
        <v>45657</v>
      </c>
      <c r="DQ22" s="4">
        <v>242.74</v>
      </c>
      <c r="DR22" s="4">
        <v>45626</v>
      </c>
      <c r="DS22" s="4">
        <v>348.52</v>
      </c>
      <c r="DT22" s="4">
        <v>45626</v>
      </c>
      <c r="DU22" s="4">
        <v>195.81</v>
      </c>
      <c r="DV22" s="4">
        <v>45657</v>
      </c>
      <c r="DW22" s="4">
        <v>240</v>
      </c>
      <c r="DZ22" s="4" t="s">
        <v>280</v>
      </c>
      <c r="EA22" s="4" t="s">
        <v>281</v>
      </c>
    </row>
    <row r="23" spans="1:131" x14ac:dyDescent="0.3">
      <c r="A23" s="5" t="s">
        <v>100</v>
      </c>
      <c r="C23" s="14" t="str">
        <f t="shared" si="4"/>
        <v>202410</v>
      </c>
      <c r="D23" s="6">
        <v>45596</v>
      </c>
      <c r="E23" s="4">
        <v>149</v>
      </c>
      <c r="F23" s="4">
        <v>220</v>
      </c>
      <c r="G23" s="4">
        <v>74</v>
      </c>
      <c r="H23" s="4">
        <v>225</v>
      </c>
      <c r="I23" s="4">
        <v>87.41</v>
      </c>
      <c r="J23" s="4">
        <v>134</v>
      </c>
      <c r="K23" s="4">
        <v>160.61000000000001</v>
      </c>
      <c r="L23" s="4">
        <v>144</v>
      </c>
      <c r="M23" s="4">
        <v>91.29</v>
      </c>
      <c r="N23" s="4">
        <v>105.05</v>
      </c>
      <c r="O23" s="4">
        <v>31.19</v>
      </c>
      <c r="P23" s="4">
        <v>157.62</v>
      </c>
      <c r="Q23" s="4">
        <v>312</v>
      </c>
      <c r="R23" s="4">
        <v>230.47</v>
      </c>
      <c r="S23" s="4">
        <v>67.2</v>
      </c>
      <c r="T23" s="4">
        <v>119.24</v>
      </c>
      <c r="U23" s="4">
        <v>242.56</v>
      </c>
      <c r="V23" s="4">
        <v>235.01</v>
      </c>
      <c r="W23" s="4">
        <v>160.87</v>
      </c>
      <c r="X23" s="4">
        <v>180.35</v>
      </c>
      <c r="Y23" s="4">
        <v>221.95</v>
      </c>
      <c r="Z23" s="4">
        <v>384</v>
      </c>
      <c r="AA23" s="4">
        <v>219.97</v>
      </c>
      <c r="AB23" s="4">
        <v>164.67</v>
      </c>
      <c r="AC23" s="4">
        <v>112.46</v>
      </c>
      <c r="AD23" s="4">
        <v>250.11</v>
      </c>
      <c r="AE23" s="4">
        <v>340</v>
      </c>
      <c r="AF23" s="4">
        <v>205.17</v>
      </c>
      <c r="AG23" s="4">
        <v>347.09</v>
      </c>
      <c r="AH23" s="4">
        <v>143</v>
      </c>
      <c r="AI23" s="4">
        <v>243.5</v>
      </c>
      <c r="AJ23" s="4">
        <v>253.46</v>
      </c>
      <c r="AK23" s="4">
        <v>135.04</v>
      </c>
      <c r="AL23" s="4">
        <v>137.07</v>
      </c>
      <c r="AM23" s="4">
        <v>242.93</v>
      </c>
      <c r="AN23" s="4">
        <v>299</v>
      </c>
      <c r="AO23" s="4">
        <v>447.91</v>
      </c>
      <c r="AP23" s="4">
        <v>359.97</v>
      </c>
      <c r="AQ23" s="4">
        <v>234</v>
      </c>
      <c r="AR23" s="4">
        <v>442</v>
      </c>
      <c r="AS23" s="4">
        <v>227.69</v>
      </c>
      <c r="AT23" s="4">
        <v>166.3</v>
      </c>
      <c r="AU23" s="4">
        <v>102.93</v>
      </c>
      <c r="AV23" s="4">
        <v>135.38999999999999</v>
      </c>
      <c r="AW23" s="4">
        <v>113.57</v>
      </c>
      <c r="AX23" s="4">
        <v>199.75</v>
      </c>
      <c r="AY23" s="4">
        <v>340</v>
      </c>
      <c r="AZ23" s="4">
        <v>213.64</v>
      </c>
      <c r="BA23" s="4">
        <v>143.91999999999999</v>
      </c>
      <c r="BB23" s="4">
        <v>160.79</v>
      </c>
      <c r="BC23" s="4">
        <v>175.26</v>
      </c>
      <c r="BD23" s="4">
        <v>314</v>
      </c>
      <c r="BE23" s="4">
        <v>341.2</v>
      </c>
      <c r="BF23" s="4">
        <v>144.56</v>
      </c>
      <c r="BG23" s="4">
        <v>140.11000000000001</v>
      </c>
      <c r="BH23" s="4">
        <v>140</v>
      </c>
      <c r="BI23" s="4">
        <v>108.88</v>
      </c>
      <c r="BJ23" s="4">
        <v>125</v>
      </c>
      <c r="BK23" s="4">
        <v>241.8</v>
      </c>
      <c r="BL23" s="4">
        <v>363.35</v>
      </c>
      <c r="BM23" s="4">
        <v>204.69</v>
      </c>
      <c r="BN23" s="4">
        <v>285</v>
      </c>
      <c r="BO23" s="4">
        <v>272.92</v>
      </c>
      <c r="BP23" s="4">
        <v>45626</v>
      </c>
      <c r="BQ23" s="4">
        <v>137.13999999999999</v>
      </c>
      <c r="BR23" s="4">
        <v>45626</v>
      </c>
      <c r="BS23" s="4">
        <v>137.66</v>
      </c>
      <c r="BT23" s="4">
        <v>45626</v>
      </c>
      <c r="BU23" s="4">
        <v>204.16</v>
      </c>
      <c r="BV23" s="4">
        <v>45626</v>
      </c>
      <c r="BW23" s="4">
        <v>260</v>
      </c>
      <c r="BX23" s="4">
        <v>45626</v>
      </c>
      <c r="BY23" s="4">
        <v>429.29</v>
      </c>
      <c r="BZ23" s="4">
        <v>45626</v>
      </c>
      <c r="CA23" s="4">
        <v>344.91</v>
      </c>
      <c r="CB23" s="4">
        <v>45626</v>
      </c>
      <c r="CC23" s="4">
        <v>220</v>
      </c>
      <c r="CD23" s="4">
        <v>45626</v>
      </c>
      <c r="CE23" s="4">
        <v>420</v>
      </c>
      <c r="CF23" s="4">
        <v>45626</v>
      </c>
      <c r="CG23" s="4">
        <v>225.42</v>
      </c>
      <c r="CH23" s="4">
        <v>45626</v>
      </c>
      <c r="CI23" s="4">
        <v>167.3</v>
      </c>
      <c r="CJ23" s="4">
        <v>45626</v>
      </c>
      <c r="CK23" s="4">
        <v>104.38</v>
      </c>
      <c r="CL23" s="4">
        <v>45626</v>
      </c>
      <c r="CM23" s="4">
        <v>137.5</v>
      </c>
      <c r="CN23" s="4">
        <v>45626</v>
      </c>
      <c r="CO23" s="4">
        <v>106.67</v>
      </c>
      <c r="CP23" s="4">
        <v>45626</v>
      </c>
      <c r="CQ23" s="4">
        <v>196.4</v>
      </c>
      <c r="CR23" s="4">
        <v>45626</v>
      </c>
      <c r="CS23" s="4">
        <v>280</v>
      </c>
      <c r="CT23" s="4">
        <v>45626</v>
      </c>
      <c r="CU23" s="4">
        <v>209.97</v>
      </c>
      <c r="CV23" s="4">
        <v>45626</v>
      </c>
      <c r="CW23" s="4">
        <v>127.5</v>
      </c>
      <c r="CX23" s="4">
        <v>45626</v>
      </c>
      <c r="CY23" s="4">
        <v>163.41999999999999</v>
      </c>
      <c r="CZ23" s="4">
        <v>45626</v>
      </c>
      <c r="DA23" s="4">
        <v>178.18</v>
      </c>
      <c r="DB23" s="4">
        <v>45626</v>
      </c>
      <c r="DC23" s="4">
        <v>327.5</v>
      </c>
      <c r="DD23" s="4">
        <v>45626</v>
      </c>
      <c r="DE23" s="4">
        <v>335.43</v>
      </c>
      <c r="DF23" s="4">
        <v>45626</v>
      </c>
      <c r="DG23" s="4">
        <v>146.86000000000001</v>
      </c>
      <c r="DH23" s="4">
        <v>45626</v>
      </c>
      <c r="DI23" s="4">
        <v>142.56</v>
      </c>
      <c r="DJ23" s="4">
        <v>45626</v>
      </c>
      <c r="DK23" s="4">
        <v>135</v>
      </c>
      <c r="DL23" s="4">
        <v>45626</v>
      </c>
      <c r="DM23" s="4">
        <v>101.6</v>
      </c>
      <c r="DN23" s="4">
        <v>45596</v>
      </c>
      <c r="DO23" s="4">
        <v>125</v>
      </c>
      <c r="DP23" s="4">
        <v>45626</v>
      </c>
      <c r="DQ23" s="4">
        <v>254.5</v>
      </c>
      <c r="DR23" s="4">
        <v>45596</v>
      </c>
      <c r="DS23" s="4">
        <v>363.35</v>
      </c>
      <c r="DT23" s="4">
        <v>45596</v>
      </c>
      <c r="DU23" s="4">
        <v>204.69</v>
      </c>
      <c r="DV23" s="4">
        <v>45626</v>
      </c>
      <c r="DW23" s="4">
        <v>250</v>
      </c>
      <c r="DZ23" s="4" t="s">
        <v>282</v>
      </c>
      <c r="EA23" s="4" t="s">
        <v>283</v>
      </c>
    </row>
    <row r="24" spans="1:131" x14ac:dyDescent="0.3">
      <c r="A24" s="5" t="s">
        <v>101</v>
      </c>
      <c r="C24" s="14" t="str">
        <f t="shared" si="4"/>
        <v>20249</v>
      </c>
      <c r="D24" s="6">
        <v>45565</v>
      </c>
      <c r="E24" s="4">
        <v>151</v>
      </c>
      <c r="F24" s="4">
        <v>234.29</v>
      </c>
      <c r="G24" s="4">
        <v>75</v>
      </c>
      <c r="H24" s="4">
        <v>251</v>
      </c>
      <c r="I24" s="4">
        <v>91.1</v>
      </c>
      <c r="J24" s="4">
        <v>132</v>
      </c>
      <c r="K24" s="4">
        <v>180</v>
      </c>
      <c r="L24" s="4">
        <v>142</v>
      </c>
      <c r="M24" s="4">
        <v>94.92</v>
      </c>
      <c r="N24" s="4">
        <v>125.75</v>
      </c>
      <c r="O24" s="4">
        <v>45.48</v>
      </c>
      <c r="P24" s="4">
        <v>160.08000000000001</v>
      </c>
      <c r="Q24" s="4">
        <v>309.75</v>
      </c>
      <c r="R24" s="4">
        <v>242.71</v>
      </c>
      <c r="S24" s="4">
        <v>58.52</v>
      </c>
      <c r="T24" s="4">
        <v>134.08000000000001</v>
      </c>
      <c r="U24" s="4">
        <v>265.01</v>
      </c>
      <c r="V24" s="4">
        <v>250</v>
      </c>
      <c r="W24" s="4">
        <v>163</v>
      </c>
      <c r="X24" s="4">
        <v>183.97</v>
      </c>
      <c r="Y24" s="4">
        <v>226.98</v>
      </c>
      <c r="Z24" s="4">
        <v>420</v>
      </c>
      <c r="AA24" s="4">
        <v>215</v>
      </c>
      <c r="AB24" s="4">
        <v>167.01</v>
      </c>
      <c r="AC24" s="4">
        <v>115.71</v>
      </c>
      <c r="AD24" s="4">
        <v>254.91</v>
      </c>
      <c r="AE24" s="4">
        <v>345</v>
      </c>
      <c r="AF24" s="4">
        <v>218</v>
      </c>
      <c r="AG24" s="4">
        <v>322.70999999999998</v>
      </c>
      <c r="AH24" s="4">
        <v>129.59</v>
      </c>
      <c r="AI24" s="4">
        <v>254.88</v>
      </c>
      <c r="AJ24" s="4">
        <v>285.12</v>
      </c>
      <c r="AK24" s="4">
        <v>137.88999999999999</v>
      </c>
      <c r="AL24" s="4">
        <v>144.30000000000001</v>
      </c>
      <c r="AM24" s="4">
        <v>247.79</v>
      </c>
      <c r="AN24" s="4">
        <v>215.09</v>
      </c>
      <c r="AO24" s="4">
        <v>478.15</v>
      </c>
      <c r="AP24" s="4">
        <v>334.7</v>
      </c>
      <c r="AQ24" s="4">
        <v>233</v>
      </c>
      <c r="AR24" s="4">
        <v>435</v>
      </c>
      <c r="AS24" s="4">
        <v>218.68</v>
      </c>
      <c r="AT24" s="4">
        <v>168.85</v>
      </c>
      <c r="AU24" s="4">
        <v>106.35</v>
      </c>
      <c r="AV24" s="4">
        <v>138.24</v>
      </c>
      <c r="AW24" s="4">
        <v>125.44</v>
      </c>
      <c r="AX24" s="4">
        <v>193.23</v>
      </c>
      <c r="AY24" s="4">
        <v>339</v>
      </c>
      <c r="AZ24" s="4">
        <v>211.65</v>
      </c>
      <c r="BA24" s="4">
        <v>127.34</v>
      </c>
      <c r="BB24" s="4">
        <v>163.19999999999999</v>
      </c>
      <c r="BC24" s="4">
        <v>177.41</v>
      </c>
      <c r="BD24" s="4">
        <v>350</v>
      </c>
      <c r="BE24" s="4">
        <v>337.96</v>
      </c>
      <c r="BF24" s="4">
        <v>156</v>
      </c>
      <c r="BG24" s="4">
        <v>135</v>
      </c>
      <c r="BH24" s="4">
        <v>141.55000000000001</v>
      </c>
      <c r="BI24" s="4">
        <v>124.5</v>
      </c>
      <c r="BJ24" s="4">
        <v>144.09</v>
      </c>
      <c r="BK24" s="4">
        <v>263.62</v>
      </c>
      <c r="BL24" s="4">
        <v>337.85</v>
      </c>
      <c r="BM24" s="4">
        <v>215</v>
      </c>
      <c r="BN24" s="4">
        <v>300</v>
      </c>
      <c r="BO24" s="4">
        <v>253.46</v>
      </c>
      <c r="BP24" s="4">
        <v>45596</v>
      </c>
      <c r="BQ24" s="4">
        <v>135.04</v>
      </c>
      <c r="BR24" s="4">
        <v>45596</v>
      </c>
      <c r="BS24" s="4">
        <v>137.07</v>
      </c>
      <c r="BT24" s="4">
        <v>45596</v>
      </c>
      <c r="BU24" s="4">
        <v>242.93</v>
      </c>
      <c r="BV24" s="4">
        <v>45596</v>
      </c>
      <c r="BW24" s="4">
        <v>299</v>
      </c>
      <c r="BX24" s="4">
        <v>45596</v>
      </c>
      <c r="BY24" s="4">
        <v>447.91</v>
      </c>
      <c r="BZ24" s="4">
        <v>45596</v>
      </c>
      <c r="CA24" s="4">
        <v>359.97</v>
      </c>
      <c r="CB24" s="4">
        <v>45596</v>
      </c>
      <c r="CC24" s="4">
        <v>234</v>
      </c>
      <c r="CD24" s="4">
        <v>45596</v>
      </c>
      <c r="CE24" s="4">
        <v>442</v>
      </c>
      <c r="CF24" s="4">
        <v>45596</v>
      </c>
      <c r="CG24" s="4">
        <v>227.69</v>
      </c>
      <c r="CH24" s="4">
        <v>45596</v>
      </c>
      <c r="CI24" s="4">
        <v>166.3</v>
      </c>
      <c r="CJ24" s="4">
        <v>45596</v>
      </c>
      <c r="CK24" s="4">
        <v>102.93</v>
      </c>
      <c r="CL24" s="4">
        <v>45596</v>
      </c>
      <c r="CM24" s="4">
        <v>135.38999999999999</v>
      </c>
      <c r="CN24" s="4">
        <v>45596</v>
      </c>
      <c r="CO24" s="4">
        <v>113.57</v>
      </c>
      <c r="CP24" s="4">
        <v>45596</v>
      </c>
      <c r="CQ24" s="4">
        <v>199.75</v>
      </c>
      <c r="CR24" s="4">
        <v>45596</v>
      </c>
      <c r="CS24" s="4">
        <v>340</v>
      </c>
      <c r="CT24" s="4">
        <v>45596</v>
      </c>
      <c r="CU24" s="4">
        <v>213.64</v>
      </c>
      <c r="CV24" s="4">
        <v>45596</v>
      </c>
      <c r="CW24" s="4">
        <v>143.91999999999999</v>
      </c>
      <c r="CX24" s="4">
        <v>45596</v>
      </c>
      <c r="CY24" s="4">
        <v>160.79</v>
      </c>
      <c r="CZ24" s="4">
        <v>45596</v>
      </c>
      <c r="DA24" s="4">
        <v>175.26</v>
      </c>
      <c r="DB24" s="4">
        <v>45596</v>
      </c>
      <c r="DC24" s="4">
        <v>314</v>
      </c>
      <c r="DD24" s="4">
        <v>45596</v>
      </c>
      <c r="DE24" s="4">
        <v>341.2</v>
      </c>
      <c r="DF24" s="4">
        <v>45596</v>
      </c>
      <c r="DG24" s="4">
        <v>144.56</v>
      </c>
      <c r="DH24" s="4">
        <v>45596</v>
      </c>
      <c r="DI24" s="4">
        <v>140.11000000000001</v>
      </c>
      <c r="DJ24" s="4">
        <v>45596</v>
      </c>
      <c r="DK24" s="4">
        <v>140</v>
      </c>
      <c r="DL24" s="4">
        <v>45596</v>
      </c>
      <c r="DM24" s="4">
        <v>108.88</v>
      </c>
      <c r="DN24" s="4">
        <v>45565</v>
      </c>
      <c r="DO24" s="4">
        <v>144.09</v>
      </c>
      <c r="DP24" s="4">
        <v>45596</v>
      </c>
      <c r="DQ24" s="4">
        <v>241.8</v>
      </c>
      <c r="DR24" s="4">
        <v>45565</v>
      </c>
      <c r="DS24" s="4">
        <v>337.85</v>
      </c>
      <c r="DT24" s="4">
        <v>45565</v>
      </c>
      <c r="DU24" s="4">
        <v>215</v>
      </c>
      <c r="DV24" s="4">
        <v>45596</v>
      </c>
      <c r="DW24" s="4">
        <v>285</v>
      </c>
      <c r="DZ24" s="4" t="s">
        <v>284</v>
      </c>
      <c r="EA24" s="4" t="s">
        <v>285</v>
      </c>
    </row>
    <row r="25" spans="1:131" x14ac:dyDescent="0.3">
      <c r="A25" s="5" t="s">
        <v>102</v>
      </c>
      <c r="C25" s="14" t="str">
        <f t="shared" si="4"/>
        <v>20248</v>
      </c>
      <c r="D25" s="6">
        <v>45535</v>
      </c>
      <c r="E25" s="4">
        <v>150</v>
      </c>
      <c r="F25" s="4">
        <v>232.8</v>
      </c>
      <c r="G25" s="4">
        <v>81.25</v>
      </c>
      <c r="H25" s="4">
        <v>248.5</v>
      </c>
      <c r="I25" s="4">
        <v>100.66</v>
      </c>
      <c r="J25" s="4">
        <v>133</v>
      </c>
      <c r="K25" s="4">
        <v>161.29</v>
      </c>
      <c r="L25" s="4">
        <v>144</v>
      </c>
      <c r="M25" s="4">
        <v>103.87</v>
      </c>
      <c r="N25" s="4">
        <v>120</v>
      </c>
      <c r="O25" s="4">
        <v>30</v>
      </c>
      <c r="P25" s="4">
        <v>158.80000000000001</v>
      </c>
      <c r="Q25" s="4">
        <v>311.43</v>
      </c>
      <c r="R25" s="4">
        <v>240.06</v>
      </c>
      <c r="S25" s="4">
        <v>73.33</v>
      </c>
      <c r="T25" s="4">
        <v>126.73</v>
      </c>
      <c r="U25" s="4">
        <v>252.33</v>
      </c>
      <c r="V25" s="4">
        <v>235</v>
      </c>
      <c r="W25" s="4">
        <v>161.25</v>
      </c>
      <c r="X25" s="4">
        <v>173.83</v>
      </c>
      <c r="Y25" s="4">
        <v>231.4</v>
      </c>
      <c r="Z25" s="4">
        <v>423.75</v>
      </c>
      <c r="AA25" s="4">
        <v>234.38</v>
      </c>
      <c r="AB25" s="4">
        <v>164.65</v>
      </c>
      <c r="AC25" s="4">
        <v>121.4</v>
      </c>
      <c r="AD25" s="4">
        <v>226.07</v>
      </c>
      <c r="AE25" s="4">
        <v>335</v>
      </c>
      <c r="AF25" s="4">
        <v>202.45</v>
      </c>
      <c r="AG25" s="4">
        <v>327.99</v>
      </c>
      <c r="AH25" s="4">
        <v>130.75</v>
      </c>
      <c r="AI25" s="4">
        <v>250</v>
      </c>
      <c r="AJ25" s="4">
        <v>263.39999999999998</v>
      </c>
      <c r="AK25" s="4">
        <v>140.1</v>
      </c>
      <c r="AL25" s="4">
        <v>151.75</v>
      </c>
      <c r="AM25" s="4">
        <v>214.97</v>
      </c>
      <c r="AN25" s="4">
        <v>301.97000000000003</v>
      </c>
      <c r="AO25" s="4">
        <v>463.61</v>
      </c>
      <c r="AP25" s="4">
        <v>339.91</v>
      </c>
      <c r="AQ25" s="4">
        <v>234.38</v>
      </c>
      <c r="AR25" s="4">
        <v>401.43</v>
      </c>
      <c r="AS25" s="4">
        <v>231.37</v>
      </c>
      <c r="AT25" s="4">
        <v>159.79</v>
      </c>
      <c r="AU25" s="4">
        <v>113.51</v>
      </c>
      <c r="AV25" s="4">
        <v>140.4</v>
      </c>
      <c r="AW25" s="4">
        <v>124.29</v>
      </c>
      <c r="AX25" s="4">
        <v>206.03</v>
      </c>
      <c r="AY25" s="4">
        <v>373.33</v>
      </c>
      <c r="AZ25" s="4">
        <v>222.96</v>
      </c>
      <c r="BA25" s="4">
        <v>122.1</v>
      </c>
      <c r="BB25" s="4">
        <v>161.43</v>
      </c>
      <c r="BC25" s="4">
        <v>173.41</v>
      </c>
      <c r="BD25" s="4">
        <v>353.75</v>
      </c>
      <c r="BE25" s="4">
        <v>339.05</v>
      </c>
      <c r="BF25" s="4">
        <v>147.99</v>
      </c>
      <c r="BG25" s="4">
        <v>129.46</v>
      </c>
      <c r="BH25" s="4">
        <v>119.35</v>
      </c>
      <c r="BI25" s="4">
        <v>125.25</v>
      </c>
      <c r="BJ25" s="4">
        <v>145</v>
      </c>
      <c r="BK25" s="4">
        <v>251.57</v>
      </c>
      <c r="BL25" s="4">
        <v>343.04</v>
      </c>
      <c r="BM25" s="4">
        <v>215</v>
      </c>
      <c r="BN25" s="4">
        <v>303.75</v>
      </c>
      <c r="BO25" s="4">
        <v>285.12</v>
      </c>
      <c r="BP25" s="4">
        <v>45565</v>
      </c>
      <c r="BQ25" s="4">
        <v>137.88999999999999</v>
      </c>
      <c r="BR25" s="4">
        <v>45565</v>
      </c>
      <c r="BS25" s="4">
        <v>144.30000000000001</v>
      </c>
      <c r="BT25" s="4">
        <v>45565</v>
      </c>
      <c r="BU25" s="4">
        <v>247.79</v>
      </c>
      <c r="BV25" s="4">
        <v>45565</v>
      </c>
      <c r="BW25" s="4">
        <v>215.09</v>
      </c>
      <c r="BX25" s="4">
        <v>45565</v>
      </c>
      <c r="BY25" s="4">
        <v>478.15</v>
      </c>
      <c r="BZ25" s="4">
        <v>45565</v>
      </c>
      <c r="CA25" s="4">
        <v>334.7</v>
      </c>
      <c r="CB25" s="4">
        <v>45565</v>
      </c>
      <c r="CC25" s="4">
        <v>233</v>
      </c>
      <c r="CD25" s="4">
        <v>45565</v>
      </c>
      <c r="CE25" s="4">
        <v>435</v>
      </c>
      <c r="CF25" s="4">
        <v>45565</v>
      </c>
      <c r="CG25" s="4">
        <v>218.68</v>
      </c>
      <c r="CH25" s="4">
        <v>45565</v>
      </c>
      <c r="CI25" s="4">
        <v>168.85</v>
      </c>
      <c r="CJ25" s="4">
        <v>45565</v>
      </c>
      <c r="CK25" s="4">
        <v>106.35</v>
      </c>
      <c r="CL25" s="4">
        <v>45565</v>
      </c>
      <c r="CM25" s="4">
        <v>138.24</v>
      </c>
      <c r="CN25" s="4">
        <v>45565</v>
      </c>
      <c r="CO25" s="4">
        <v>125.44</v>
      </c>
      <c r="CP25" s="4">
        <v>45565</v>
      </c>
      <c r="CQ25" s="4">
        <v>193.23</v>
      </c>
      <c r="CR25" s="4">
        <v>45565</v>
      </c>
      <c r="CS25" s="4">
        <v>339</v>
      </c>
      <c r="CT25" s="4">
        <v>45565</v>
      </c>
      <c r="CU25" s="4">
        <v>211.65</v>
      </c>
      <c r="CV25" s="4">
        <v>45565</v>
      </c>
      <c r="CW25" s="4">
        <v>127.34</v>
      </c>
      <c r="CX25" s="4">
        <v>45565</v>
      </c>
      <c r="CY25" s="4">
        <v>163.19999999999999</v>
      </c>
      <c r="CZ25" s="4">
        <v>45565</v>
      </c>
      <c r="DA25" s="4">
        <v>177.41</v>
      </c>
      <c r="DB25" s="4">
        <v>45565</v>
      </c>
      <c r="DC25" s="4">
        <v>350</v>
      </c>
      <c r="DD25" s="4">
        <v>45565</v>
      </c>
      <c r="DE25" s="4">
        <v>337.96</v>
      </c>
      <c r="DF25" s="4">
        <v>45565</v>
      </c>
      <c r="DG25" s="4">
        <v>156</v>
      </c>
      <c r="DH25" s="4">
        <v>45565</v>
      </c>
      <c r="DI25" s="4">
        <v>135</v>
      </c>
      <c r="DJ25" s="4">
        <v>45565</v>
      </c>
      <c r="DK25" s="4">
        <v>141.55000000000001</v>
      </c>
      <c r="DL25" s="4">
        <v>45565</v>
      </c>
      <c r="DM25" s="4">
        <v>124.5</v>
      </c>
      <c r="DN25" s="4">
        <v>45535</v>
      </c>
      <c r="DO25" s="4">
        <v>145</v>
      </c>
      <c r="DP25" s="4">
        <v>45565</v>
      </c>
      <c r="DQ25" s="4">
        <v>263.62</v>
      </c>
      <c r="DR25" s="4">
        <v>45535</v>
      </c>
      <c r="DS25" s="4">
        <v>343.04</v>
      </c>
      <c r="DT25" s="4">
        <v>45535</v>
      </c>
      <c r="DU25" s="4">
        <v>215</v>
      </c>
      <c r="DV25" s="4">
        <v>45565</v>
      </c>
      <c r="DW25" s="4">
        <v>300</v>
      </c>
      <c r="DZ25" s="4" t="s">
        <v>346</v>
      </c>
      <c r="EA25" s="4" t="s">
        <v>236</v>
      </c>
    </row>
    <row r="26" spans="1:131" x14ac:dyDescent="0.3">
      <c r="A26" s="5" t="s">
        <v>103</v>
      </c>
      <c r="C26" s="14" t="str">
        <f t="shared" si="4"/>
        <v>20247</v>
      </c>
      <c r="D26" s="6">
        <v>45504</v>
      </c>
      <c r="E26" s="4">
        <v>169</v>
      </c>
      <c r="F26" s="4">
        <v>263.3</v>
      </c>
      <c r="G26" s="4">
        <v>87.19</v>
      </c>
      <c r="H26" s="4">
        <v>282.89999999999998</v>
      </c>
      <c r="I26" s="4">
        <v>102.74</v>
      </c>
      <c r="J26" s="4">
        <v>152</v>
      </c>
      <c r="K26" s="4">
        <v>183.38</v>
      </c>
      <c r="L26" s="4">
        <v>163.5</v>
      </c>
      <c r="M26" s="4">
        <v>107.02</v>
      </c>
      <c r="N26" s="4">
        <v>139</v>
      </c>
      <c r="O26" s="4">
        <v>32.5</v>
      </c>
      <c r="P26" s="4">
        <v>163.5</v>
      </c>
      <c r="Q26" s="4">
        <v>360</v>
      </c>
      <c r="R26" s="4">
        <v>269.75</v>
      </c>
      <c r="S26" s="4">
        <v>84.56</v>
      </c>
      <c r="T26" s="4">
        <v>144.83000000000001</v>
      </c>
      <c r="U26" s="4">
        <v>286.54000000000002</v>
      </c>
      <c r="V26" s="4">
        <v>276.05</v>
      </c>
      <c r="W26" s="4">
        <v>180</v>
      </c>
      <c r="X26" s="4">
        <v>185.87</v>
      </c>
      <c r="Y26" s="4">
        <v>257.91000000000003</v>
      </c>
      <c r="Z26" s="4">
        <v>455</v>
      </c>
      <c r="AA26" s="4">
        <v>249</v>
      </c>
      <c r="AB26" s="4">
        <v>187.85</v>
      </c>
      <c r="AC26" s="4">
        <v>130.33000000000001</v>
      </c>
      <c r="AD26" s="4">
        <v>287.33999999999997</v>
      </c>
      <c r="AE26" s="4">
        <v>362.5</v>
      </c>
      <c r="AF26" s="4">
        <v>212.05</v>
      </c>
      <c r="AG26" s="4">
        <v>351.33</v>
      </c>
      <c r="AH26" s="4">
        <v>120.83</v>
      </c>
      <c r="AI26" s="4">
        <v>261.83999999999997</v>
      </c>
      <c r="AJ26" s="4">
        <v>301.68</v>
      </c>
      <c r="AK26" s="4">
        <v>155.19999999999999</v>
      </c>
      <c r="AL26" s="4">
        <v>177</v>
      </c>
      <c r="AM26" s="4">
        <v>287.33999999999997</v>
      </c>
      <c r="AN26" s="4">
        <v>360</v>
      </c>
      <c r="AO26" s="4">
        <v>532.53</v>
      </c>
      <c r="AP26" s="4">
        <v>363.14</v>
      </c>
      <c r="AQ26" s="4">
        <v>247.69</v>
      </c>
      <c r="AR26" s="4">
        <v>448</v>
      </c>
      <c r="AS26" s="4">
        <v>247.14</v>
      </c>
      <c r="AT26" s="4">
        <v>173.02</v>
      </c>
      <c r="AU26" s="4">
        <v>119.84</v>
      </c>
      <c r="AV26" s="4">
        <v>155.59</v>
      </c>
      <c r="AW26" s="4">
        <v>142.22</v>
      </c>
      <c r="AX26" s="4">
        <v>218.09</v>
      </c>
      <c r="AY26" s="4">
        <v>385</v>
      </c>
      <c r="AZ26" s="4">
        <v>246.37</v>
      </c>
      <c r="BA26" s="4">
        <v>121.01</v>
      </c>
      <c r="BB26" s="4">
        <v>183.57</v>
      </c>
      <c r="BC26" s="4">
        <v>199.51</v>
      </c>
      <c r="BD26" s="4">
        <v>385</v>
      </c>
      <c r="BE26" s="4">
        <v>395.03</v>
      </c>
      <c r="BF26" s="4">
        <v>165.7</v>
      </c>
      <c r="BG26" s="4">
        <v>145.94</v>
      </c>
      <c r="BH26" s="4">
        <v>123</v>
      </c>
      <c r="BI26" s="4">
        <v>140.30000000000001</v>
      </c>
      <c r="BJ26" s="4">
        <v>156.91999999999999</v>
      </c>
      <c r="BK26" s="4">
        <v>285.49</v>
      </c>
      <c r="BL26" s="4">
        <v>366.24</v>
      </c>
      <c r="BM26" s="4">
        <v>230</v>
      </c>
      <c r="BN26" s="4">
        <v>328.75</v>
      </c>
      <c r="BO26" s="4">
        <v>263.39999999999998</v>
      </c>
      <c r="BP26" s="4">
        <v>45535</v>
      </c>
      <c r="BQ26" s="4">
        <v>140.1</v>
      </c>
      <c r="BR26" s="4">
        <v>45535</v>
      </c>
      <c r="BS26" s="4">
        <v>151.75</v>
      </c>
      <c r="BT26" s="4">
        <v>45535</v>
      </c>
      <c r="BU26" s="4">
        <v>214.97</v>
      </c>
      <c r="BV26" s="4">
        <v>45535</v>
      </c>
      <c r="BW26" s="4">
        <v>301.97000000000003</v>
      </c>
      <c r="BX26" s="4">
        <v>45535</v>
      </c>
      <c r="BY26" s="4">
        <v>463.61</v>
      </c>
      <c r="BZ26" s="4">
        <v>45535</v>
      </c>
      <c r="CA26" s="4">
        <v>339.91</v>
      </c>
      <c r="CB26" s="4">
        <v>45535</v>
      </c>
      <c r="CC26" s="4">
        <v>234.38</v>
      </c>
      <c r="CD26" s="4">
        <v>45535</v>
      </c>
      <c r="CE26" s="4">
        <v>401.43</v>
      </c>
      <c r="CF26" s="4">
        <v>45535</v>
      </c>
      <c r="CG26" s="4">
        <v>231.37</v>
      </c>
      <c r="CH26" s="4">
        <v>45535</v>
      </c>
      <c r="CI26" s="4">
        <v>159.79</v>
      </c>
      <c r="CJ26" s="4">
        <v>45535</v>
      </c>
      <c r="CK26" s="4">
        <v>113.51</v>
      </c>
      <c r="CL26" s="4">
        <v>45535</v>
      </c>
      <c r="CM26" s="4">
        <v>140.4</v>
      </c>
      <c r="CN26" s="4">
        <v>45535</v>
      </c>
      <c r="CO26" s="4">
        <v>124.29</v>
      </c>
      <c r="CP26" s="4">
        <v>45535</v>
      </c>
      <c r="CQ26" s="4">
        <v>206.03</v>
      </c>
      <c r="CR26" s="4">
        <v>45535</v>
      </c>
      <c r="CS26" s="4">
        <v>373.33</v>
      </c>
      <c r="CT26" s="4">
        <v>45535</v>
      </c>
      <c r="CU26" s="4">
        <v>222.96</v>
      </c>
      <c r="CV26" s="4">
        <v>45535</v>
      </c>
      <c r="CW26" s="4">
        <v>122.1</v>
      </c>
      <c r="CX26" s="4">
        <v>45535</v>
      </c>
      <c r="CY26" s="4">
        <v>161.43</v>
      </c>
      <c r="CZ26" s="4">
        <v>45535</v>
      </c>
      <c r="DA26" s="4">
        <v>173.41</v>
      </c>
      <c r="DB26" s="4">
        <v>45535</v>
      </c>
      <c r="DC26" s="4">
        <v>353.75</v>
      </c>
      <c r="DD26" s="4">
        <v>45535</v>
      </c>
      <c r="DE26" s="4">
        <v>339.05</v>
      </c>
      <c r="DF26" s="4">
        <v>45535</v>
      </c>
      <c r="DG26" s="4">
        <v>147.99</v>
      </c>
      <c r="DH26" s="4">
        <v>45535</v>
      </c>
      <c r="DI26" s="4">
        <v>129.46</v>
      </c>
      <c r="DJ26" s="4">
        <v>45535</v>
      </c>
      <c r="DK26" s="4">
        <v>119.35</v>
      </c>
      <c r="DL26" s="4">
        <v>45535</v>
      </c>
      <c r="DM26" s="4">
        <v>125.25</v>
      </c>
      <c r="DN26" s="4">
        <v>45504</v>
      </c>
      <c r="DO26" s="4">
        <v>156.91999999999999</v>
      </c>
      <c r="DP26" s="4">
        <v>45535</v>
      </c>
      <c r="DQ26" s="4">
        <v>251.57</v>
      </c>
      <c r="DR26" s="4">
        <v>45504</v>
      </c>
      <c r="DS26" s="4">
        <v>366.24</v>
      </c>
      <c r="DT26" s="4">
        <v>45504</v>
      </c>
      <c r="DU26" s="4">
        <v>230</v>
      </c>
      <c r="DV26" s="4">
        <v>45535</v>
      </c>
      <c r="DW26" s="4">
        <v>303.75</v>
      </c>
      <c r="DZ26" s="4" t="s">
        <v>344</v>
      </c>
      <c r="EA26" s="4" t="s">
        <v>286</v>
      </c>
    </row>
    <row r="27" spans="1:131" x14ac:dyDescent="0.3">
      <c r="A27" s="5" t="s">
        <v>104</v>
      </c>
      <c r="C27" s="14" t="str">
        <f t="shared" si="4"/>
        <v>20246</v>
      </c>
      <c r="D27" s="6">
        <v>45473</v>
      </c>
      <c r="E27" s="4">
        <v>167.5</v>
      </c>
      <c r="F27" s="4">
        <v>247.78</v>
      </c>
      <c r="G27" s="4">
        <v>83.59</v>
      </c>
      <c r="H27" s="4">
        <v>271</v>
      </c>
      <c r="I27" s="4">
        <v>102.36</v>
      </c>
      <c r="J27" s="4">
        <v>149.57</v>
      </c>
      <c r="K27" s="4">
        <v>189.42</v>
      </c>
      <c r="L27" s="4">
        <v>161.72999999999999</v>
      </c>
      <c r="M27" s="4">
        <v>106.97</v>
      </c>
      <c r="N27" s="4">
        <v>131.83000000000001</v>
      </c>
      <c r="O27" s="4">
        <v>27.5</v>
      </c>
      <c r="P27" s="4">
        <v>185.86</v>
      </c>
      <c r="Q27" s="4">
        <v>391</v>
      </c>
      <c r="R27" s="4">
        <v>274.57</v>
      </c>
      <c r="S27" s="4">
        <v>80.44</v>
      </c>
      <c r="T27" s="4">
        <v>165.95</v>
      </c>
      <c r="U27" s="4">
        <v>290.57</v>
      </c>
      <c r="V27" s="4">
        <v>280.57</v>
      </c>
      <c r="W27" s="4">
        <v>185.36</v>
      </c>
      <c r="X27" s="4">
        <v>201.09</v>
      </c>
      <c r="Y27" s="4">
        <v>263.27999999999997</v>
      </c>
      <c r="Z27" s="4">
        <v>419.64</v>
      </c>
      <c r="AA27" s="4">
        <v>262</v>
      </c>
      <c r="AB27" s="4">
        <v>194.25</v>
      </c>
      <c r="AC27" s="4">
        <v>132.15</v>
      </c>
      <c r="AD27" s="4">
        <v>250.7</v>
      </c>
      <c r="AE27" s="4">
        <v>402.86</v>
      </c>
      <c r="AF27" s="4">
        <v>234.03</v>
      </c>
      <c r="AG27" s="4">
        <v>348.09</v>
      </c>
      <c r="AH27" s="4">
        <v>124.17</v>
      </c>
      <c r="AI27" s="4">
        <v>236.04</v>
      </c>
      <c r="AJ27" s="4">
        <v>305.01</v>
      </c>
      <c r="AK27" s="4">
        <v>193.33</v>
      </c>
      <c r="AL27" s="4">
        <v>168.77</v>
      </c>
      <c r="AM27" s="4">
        <v>250.7</v>
      </c>
      <c r="AN27" s="4">
        <v>338</v>
      </c>
      <c r="AO27" s="4">
        <v>544.87</v>
      </c>
      <c r="AP27" s="4">
        <v>362.33</v>
      </c>
      <c r="AQ27" s="4">
        <v>262</v>
      </c>
      <c r="AR27" s="4">
        <v>490.5</v>
      </c>
      <c r="AS27" s="4">
        <v>263.18</v>
      </c>
      <c r="AT27" s="4">
        <v>184.93</v>
      </c>
      <c r="AU27" s="4">
        <v>120.82</v>
      </c>
      <c r="AV27" s="4">
        <v>159.41999999999999</v>
      </c>
      <c r="AW27" s="4">
        <v>138.86000000000001</v>
      </c>
      <c r="AX27" s="4">
        <v>230.45</v>
      </c>
      <c r="AY27" s="4">
        <v>375</v>
      </c>
      <c r="AZ27" s="4">
        <v>252.28</v>
      </c>
      <c r="BA27" s="4">
        <v>108.07</v>
      </c>
      <c r="BB27" s="4">
        <v>189.63</v>
      </c>
      <c r="BC27" s="4">
        <v>206.84</v>
      </c>
      <c r="BD27" s="4">
        <v>355</v>
      </c>
      <c r="BE27" s="4">
        <v>395.5</v>
      </c>
      <c r="BF27" s="4">
        <v>170.33</v>
      </c>
      <c r="BG27" s="4">
        <v>131.01</v>
      </c>
      <c r="BH27" s="4">
        <v>123.23</v>
      </c>
      <c r="BI27" s="4">
        <v>144.16999999999999</v>
      </c>
      <c r="BJ27" s="4">
        <v>162.36000000000001</v>
      </c>
      <c r="BK27" s="4">
        <v>280</v>
      </c>
      <c r="BL27" s="4">
        <v>366.07</v>
      </c>
      <c r="BM27" s="4">
        <v>200</v>
      </c>
      <c r="BN27" s="4">
        <v>304.92</v>
      </c>
      <c r="BO27" s="4">
        <v>301.68</v>
      </c>
      <c r="BP27" s="4">
        <v>45504</v>
      </c>
      <c r="BQ27" s="4">
        <v>155.19999999999999</v>
      </c>
      <c r="BR27" s="4">
        <v>45504</v>
      </c>
      <c r="BS27" s="4">
        <v>177</v>
      </c>
      <c r="BT27" s="4">
        <v>45504</v>
      </c>
      <c r="BU27" s="4">
        <v>287.33999999999997</v>
      </c>
      <c r="BV27" s="4">
        <v>45504</v>
      </c>
      <c r="BW27" s="4">
        <v>360</v>
      </c>
      <c r="BX27" s="4">
        <v>45504</v>
      </c>
      <c r="BY27" s="4">
        <v>532.53</v>
      </c>
      <c r="BZ27" s="4">
        <v>45504</v>
      </c>
      <c r="CA27" s="4">
        <v>363.14</v>
      </c>
      <c r="CB27" s="4">
        <v>45504</v>
      </c>
      <c r="CC27" s="4">
        <v>247.69</v>
      </c>
      <c r="CD27" s="4">
        <v>45504</v>
      </c>
      <c r="CE27" s="4">
        <v>448</v>
      </c>
      <c r="CF27" s="4">
        <v>45504</v>
      </c>
      <c r="CG27" s="4">
        <v>247.14</v>
      </c>
      <c r="CH27" s="4">
        <v>45504</v>
      </c>
      <c r="CI27" s="4">
        <v>173.02</v>
      </c>
      <c r="CJ27" s="4">
        <v>45504</v>
      </c>
      <c r="CK27" s="4">
        <v>119.84</v>
      </c>
      <c r="CL27" s="4">
        <v>45504</v>
      </c>
      <c r="CM27" s="4">
        <v>155.59</v>
      </c>
      <c r="CN27" s="4">
        <v>45504</v>
      </c>
      <c r="CO27" s="4">
        <v>142.22</v>
      </c>
      <c r="CP27" s="4">
        <v>45504</v>
      </c>
      <c r="CQ27" s="4">
        <v>218.09</v>
      </c>
      <c r="CR27" s="4">
        <v>45504</v>
      </c>
      <c r="CS27" s="4">
        <v>385</v>
      </c>
      <c r="CT27" s="4">
        <v>45504</v>
      </c>
      <c r="CU27" s="4">
        <v>246.37</v>
      </c>
      <c r="CV27" s="4">
        <v>45504</v>
      </c>
      <c r="CW27" s="4">
        <v>121.01</v>
      </c>
      <c r="CX27" s="4">
        <v>45504</v>
      </c>
      <c r="CY27" s="4">
        <v>183.57</v>
      </c>
      <c r="CZ27" s="4">
        <v>45504</v>
      </c>
      <c r="DA27" s="4">
        <v>199.51</v>
      </c>
      <c r="DB27" s="4">
        <v>45504</v>
      </c>
      <c r="DC27" s="4">
        <v>385</v>
      </c>
      <c r="DD27" s="4">
        <v>45504</v>
      </c>
      <c r="DE27" s="4">
        <v>395.03</v>
      </c>
      <c r="DF27" s="4">
        <v>45504</v>
      </c>
      <c r="DG27" s="4">
        <v>165.7</v>
      </c>
      <c r="DH27" s="4">
        <v>45504</v>
      </c>
      <c r="DI27" s="4">
        <v>145.94</v>
      </c>
      <c r="DJ27" s="4">
        <v>45504</v>
      </c>
      <c r="DK27" s="4">
        <v>123</v>
      </c>
      <c r="DL27" s="4">
        <v>45504</v>
      </c>
      <c r="DM27" s="4">
        <v>140.30000000000001</v>
      </c>
      <c r="DN27" s="4">
        <v>45473</v>
      </c>
      <c r="DO27" s="4">
        <v>162.36000000000001</v>
      </c>
      <c r="DP27" s="4">
        <v>45504</v>
      </c>
      <c r="DQ27" s="4">
        <v>285.49</v>
      </c>
      <c r="DR27" s="4">
        <v>45473</v>
      </c>
      <c r="DS27" s="4">
        <v>366.07</v>
      </c>
      <c r="DT27" s="4">
        <v>45473</v>
      </c>
      <c r="DU27" s="4">
        <v>200</v>
      </c>
      <c r="DV27" s="4">
        <v>45504</v>
      </c>
      <c r="DW27" s="4">
        <v>328.75</v>
      </c>
      <c r="DZ27" s="4" t="s">
        <v>287</v>
      </c>
      <c r="EA27" s="4" t="s">
        <v>288</v>
      </c>
    </row>
    <row r="28" spans="1:131" x14ac:dyDescent="0.3">
      <c r="A28" s="5" t="s">
        <v>105</v>
      </c>
      <c r="C28" s="14" t="str">
        <f t="shared" si="4"/>
        <v>20244</v>
      </c>
      <c r="D28" s="6">
        <v>45412</v>
      </c>
      <c r="E28" s="4">
        <v>147.33000000000001</v>
      </c>
      <c r="F28" s="4">
        <v>224</v>
      </c>
      <c r="G28" s="4">
        <v>77.5</v>
      </c>
      <c r="H28" s="4">
        <v>239.71</v>
      </c>
      <c r="I28" s="4">
        <v>93.7</v>
      </c>
      <c r="J28" s="4">
        <v>129.65</v>
      </c>
      <c r="K28" s="4">
        <v>164.54</v>
      </c>
      <c r="L28" s="4">
        <v>140.77000000000001</v>
      </c>
      <c r="M28" s="4">
        <v>97.45</v>
      </c>
      <c r="N28" s="4">
        <v>122.33</v>
      </c>
      <c r="O28" s="4">
        <v>34</v>
      </c>
      <c r="P28" s="4">
        <v>148.33000000000001</v>
      </c>
      <c r="Q28" s="4">
        <v>337.14</v>
      </c>
      <c r="R28" s="4">
        <v>226.86</v>
      </c>
      <c r="S28" s="4">
        <v>72.25</v>
      </c>
      <c r="T28" s="4">
        <v>119.91</v>
      </c>
      <c r="U28" s="4">
        <v>231.08</v>
      </c>
      <c r="V28" s="4">
        <v>211</v>
      </c>
      <c r="W28" s="4">
        <v>158.91999999999999</v>
      </c>
      <c r="X28" s="4">
        <v>173</v>
      </c>
      <c r="Y28" s="4">
        <v>212.22</v>
      </c>
      <c r="Z28" s="4">
        <v>439.38</v>
      </c>
      <c r="AA28" s="4">
        <v>258.57</v>
      </c>
      <c r="AB28" s="4">
        <v>161.13</v>
      </c>
      <c r="AC28" s="4">
        <v>156.5</v>
      </c>
      <c r="AD28" s="4">
        <v>260</v>
      </c>
      <c r="AE28" s="4">
        <v>341.43</v>
      </c>
      <c r="AF28" s="4">
        <v>205</v>
      </c>
      <c r="AG28" s="4">
        <v>337.85</v>
      </c>
      <c r="AH28" s="4">
        <v>136.5</v>
      </c>
      <c r="AI28" s="4">
        <v>270</v>
      </c>
      <c r="AJ28" s="4">
        <v>266.33</v>
      </c>
      <c r="AK28" s="4">
        <v>157.5</v>
      </c>
      <c r="AL28" s="4">
        <v>122.5</v>
      </c>
      <c r="AM28" s="4">
        <v>260</v>
      </c>
      <c r="AN28" s="4">
        <v>280</v>
      </c>
      <c r="AO28" s="4">
        <v>460.67</v>
      </c>
      <c r="AP28" s="4">
        <v>351.36</v>
      </c>
      <c r="AQ28" s="4">
        <v>265</v>
      </c>
      <c r="AR28" s="4">
        <v>425.71</v>
      </c>
      <c r="AS28" s="4">
        <v>240.08</v>
      </c>
      <c r="AT28" s="4">
        <v>145.03</v>
      </c>
      <c r="AU28" s="4">
        <v>108.72</v>
      </c>
      <c r="AV28" s="4">
        <v>140.13</v>
      </c>
      <c r="AW28" s="4">
        <v>117.45</v>
      </c>
      <c r="AX28" s="4">
        <v>208.25</v>
      </c>
      <c r="AY28" s="4">
        <v>264.43</v>
      </c>
      <c r="AZ28" s="4">
        <v>197.96</v>
      </c>
      <c r="BA28" s="4">
        <v>119.3</v>
      </c>
      <c r="BB28" s="4">
        <v>164.71</v>
      </c>
      <c r="BC28" s="4">
        <v>178.71</v>
      </c>
      <c r="BD28" s="4">
        <v>363.13</v>
      </c>
      <c r="BE28" s="4">
        <v>350.82</v>
      </c>
      <c r="BF28" s="4">
        <v>149.01</v>
      </c>
      <c r="BG28" s="4">
        <v>130</v>
      </c>
      <c r="BH28" s="4">
        <v>124.29</v>
      </c>
      <c r="BI28" s="4">
        <v>119.17</v>
      </c>
      <c r="BJ28" s="4">
        <v>131.54</v>
      </c>
      <c r="BK28" s="4">
        <v>246.32</v>
      </c>
      <c r="BL28" s="4">
        <v>354.9</v>
      </c>
      <c r="BM28" s="4">
        <v>179.6</v>
      </c>
      <c r="BN28" s="4">
        <v>283.8</v>
      </c>
      <c r="BO28" s="4">
        <v>305.01</v>
      </c>
      <c r="BP28" s="4">
        <v>45473</v>
      </c>
      <c r="BQ28" s="4">
        <v>193.33</v>
      </c>
      <c r="BR28" s="4">
        <v>45473</v>
      </c>
      <c r="BS28" s="4">
        <v>168.77</v>
      </c>
      <c r="BT28" s="4">
        <v>45473</v>
      </c>
      <c r="BU28" s="4">
        <v>250.7</v>
      </c>
      <c r="BV28" s="4">
        <v>45473</v>
      </c>
      <c r="BW28" s="4">
        <v>338</v>
      </c>
      <c r="BX28" s="4">
        <v>45473</v>
      </c>
      <c r="BY28" s="4">
        <v>544.87</v>
      </c>
      <c r="BZ28" s="4">
        <v>45473</v>
      </c>
      <c r="CA28" s="4">
        <v>362.33</v>
      </c>
      <c r="CB28" s="4">
        <v>45473</v>
      </c>
      <c r="CC28" s="4">
        <v>262</v>
      </c>
      <c r="CD28" s="4">
        <v>45473</v>
      </c>
      <c r="CE28" s="4">
        <v>490.5</v>
      </c>
      <c r="CF28" s="4">
        <v>45473</v>
      </c>
      <c r="CG28" s="4">
        <v>263.18</v>
      </c>
      <c r="CH28" s="4">
        <v>45473</v>
      </c>
      <c r="CI28" s="4">
        <v>184.93</v>
      </c>
      <c r="CJ28" s="4">
        <v>45473</v>
      </c>
      <c r="CK28" s="4">
        <v>120.82</v>
      </c>
      <c r="CL28" s="4">
        <v>45473</v>
      </c>
      <c r="CM28" s="4">
        <v>159.41999999999999</v>
      </c>
      <c r="CN28" s="4">
        <v>45473</v>
      </c>
      <c r="CO28" s="4">
        <v>138.86000000000001</v>
      </c>
      <c r="CP28" s="4">
        <v>45473</v>
      </c>
      <c r="CQ28" s="4">
        <v>230.45</v>
      </c>
      <c r="CR28" s="4">
        <v>45473</v>
      </c>
      <c r="CS28" s="4">
        <v>375</v>
      </c>
      <c r="CT28" s="4">
        <v>45473</v>
      </c>
      <c r="CU28" s="4">
        <v>252.28</v>
      </c>
      <c r="CV28" s="4">
        <v>45473</v>
      </c>
      <c r="CW28" s="4">
        <v>108.07</v>
      </c>
      <c r="CX28" s="4">
        <v>45473</v>
      </c>
      <c r="CY28" s="4">
        <v>189.63</v>
      </c>
      <c r="CZ28" s="4">
        <v>45473</v>
      </c>
      <c r="DA28" s="4">
        <v>206.84</v>
      </c>
      <c r="DB28" s="4">
        <v>45473</v>
      </c>
      <c r="DC28" s="4">
        <v>355</v>
      </c>
      <c r="DD28" s="4">
        <v>45473</v>
      </c>
      <c r="DE28" s="4">
        <v>395.5</v>
      </c>
      <c r="DF28" s="4">
        <v>45473</v>
      </c>
      <c r="DG28" s="4">
        <v>170.33</v>
      </c>
      <c r="DH28" s="4">
        <v>45473</v>
      </c>
      <c r="DI28" s="4">
        <v>131.01</v>
      </c>
      <c r="DJ28" s="4">
        <v>45473</v>
      </c>
      <c r="DK28" s="4">
        <v>123.23</v>
      </c>
      <c r="DL28" s="4">
        <v>45473</v>
      </c>
      <c r="DM28" s="4">
        <v>144.16999999999999</v>
      </c>
      <c r="DN28" s="4">
        <v>45412</v>
      </c>
      <c r="DO28" s="4">
        <v>131.54</v>
      </c>
      <c r="DP28" s="4">
        <v>45473</v>
      </c>
      <c r="DQ28" s="4">
        <v>280</v>
      </c>
      <c r="DR28" s="4">
        <v>45412</v>
      </c>
      <c r="DS28" s="4">
        <v>354.9</v>
      </c>
      <c r="DT28" s="4">
        <v>45412</v>
      </c>
      <c r="DU28" s="4">
        <v>179.6</v>
      </c>
      <c r="DV28" s="4">
        <v>45473</v>
      </c>
      <c r="DW28" s="4">
        <v>304.92</v>
      </c>
      <c r="DZ28" s="4" t="s">
        <v>289</v>
      </c>
      <c r="EA28" s="4" t="s">
        <v>290</v>
      </c>
    </row>
    <row r="29" spans="1:131" x14ac:dyDescent="0.3">
      <c r="A29" s="5" t="s">
        <v>106</v>
      </c>
      <c r="C29" s="14" t="str">
        <f t="shared" si="4"/>
        <v>20243</v>
      </c>
      <c r="D29" s="6">
        <v>45382</v>
      </c>
      <c r="E29" s="4">
        <v>143.12</v>
      </c>
      <c r="F29" s="4">
        <v>235.92</v>
      </c>
      <c r="G29" s="4">
        <v>84.67</v>
      </c>
      <c r="H29" s="4">
        <v>252.91</v>
      </c>
      <c r="I29" s="4">
        <v>105.39</v>
      </c>
      <c r="J29" s="4">
        <v>134.15</v>
      </c>
      <c r="K29" s="4">
        <v>182.29</v>
      </c>
      <c r="L29" s="4">
        <v>145.97999999999999</v>
      </c>
      <c r="M29" s="4">
        <v>109.46</v>
      </c>
      <c r="N29" s="4">
        <v>127.47</v>
      </c>
      <c r="O29" s="4">
        <v>35.67</v>
      </c>
      <c r="P29" s="4">
        <v>164.64</v>
      </c>
      <c r="Q29" s="4">
        <v>354.71</v>
      </c>
      <c r="R29" s="4">
        <v>234.57</v>
      </c>
      <c r="S29" s="4">
        <v>80</v>
      </c>
      <c r="T29" s="4">
        <v>131.24</v>
      </c>
      <c r="U29" s="4">
        <v>247.48</v>
      </c>
      <c r="V29" s="4">
        <v>225.54</v>
      </c>
      <c r="W29" s="4">
        <v>155.6</v>
      </c>
      <c r="X29" s="4">
        <v>188.26</v>
      </c>
      <c r="Y29" s="4">
        <v>248.05</v>
      </c>
      <c r="Z29" s="4">
        <v>445.51</v>
      </c>
      <c r="AA29" s="4">
        <v>263.29000000000002</v>
      </c>
      <c r="AB29" s="4">
        <v>186.55</v>
      </c>
      <c r="AC29" s="4">
        <v>176.46</v>
      </c>
      <c r="AD29" s="4">
        <v>225</v>
      </c>
      <c r="AE29" s="4">
        <v>368.91</v>
      </c>
      <c r="AF29" s="4">
        <v>195.1</v>
      </c>
      <c r="AG29" s="4">
        <v>351.08</v>
      </c>
      <c r="AH29" s="4">
        <v>140.63</v>
      </c>
      <c r="AI29" s="4">
        <v>289.38</v>
      </c>
      <c r="AJ29" s="4">
        <v>274.13</v>
      </c>
      <c r="AK29" s="4">
        <v>155.82</v>
      </c>
      <c r="AL29" s="4">
        <v>145.56</v>
      </c>
      <c r="AM29" s="4">
        <v>225</v>
      </c>
      <c r="AN29" s="4">
        <v>267.52</v>
      </c>
      <c r="AO29" s="4">
        <v>526.89</v>
      </c>
      <c r="AP29" s="4">
        <v>365.14</v>
      </c>
      <c r="AQ29" s="4">
        <v>267.06</v>
      </c>
      <c r="AR29" s="4">
        <v>456.3</v>
      </c>
      <c r="AS29" s="4">
        <v>267.74</v>
      </c>
      <c r="AT29" s="4">
        <v>160.22999999999999</v>
      </c>
      <c r="AU29" s="4">
        <v>121.69</v>
      </c>
      <c r="AV29" s="4">
        <v>155.79</v>
      </c>
      <c r="AW29" s="4">
        <v>132.24</v>
      </c>
      <c r="AX29" s="4">
        <v>228.14</v>
      </c>
      <c r="AY29" s="4">
        <v>353.66</v>
      </c>
      <c r="AZ29" s="4">
        <v>201.76</v>
      </c>
      <c r="BA29" s="4">
        <v>117.22</v>
      </c>
      <c r="BB29" s="4">
        <v>182.47</v>
      </c>
      <c r="BC29" s="4">
        <v>197.67</v>
      </c>
      <c r="BD29" s="4">
        <v>365</v>
      </c>
      <c r="BE29" s="4">
        <v>355.93</v>
      </c>
      <c r="BF29" s="4">
        <v>165.42</v>
      </c>
      <c r="BG29" s="4">
        <v>142.38999999999999</v>
      </c>
      <c r="BH29" s="4">
        <v>122.68</v>
      </c>
      <c r="BI29" s="4">
        <v>134.33000000000001</v>
      </c>
      <c r="BJ29" s="4">
        <v>150.61000000000001</v>
      </c>
      <c r="BK29" s="4">
        <v>291.5</v>
      </c>
      <c r="BL29" s="4">
        <v>368.83</v>
      </c>
      <c r="BM29" s="4">
        <v>187.57</v>
      </c>
      <c r="BN29" s="4">
        <v>310.37</v>
      </c>
      <c r="BO29" s="4">
        <v>266.33</v>
      </c>
      <c r="BP29" s="4">
        <v>45412</v>
      </c>
      <c r="BQ29" s="4">
        <v>157.5</v>
      </c>
      <c r="BR29" s="4">
        <v>45412</v>
      </c>
      <c r="BS29" s="4">
        <v>122.5</v>
      </c>
      <c r="BT29" s="4">
        <v>45412</v>
      </c>
      <c r="BU29" s="4">
        <v>260</v>
      </c>
      <c r="BV29" s="4">
        <v>45412</v>
      </c>
      <c r="BW29" s="4">
        <v>280</v>
      </c>
      <c r="BX29" s="4">
        <v>45412</v>
      </c>
      <c r="BY29" s="4">
        <v>460.67</v>
      </c>
      <c r="BZ29" s="4">
        <v>45412</v>
      </c>
      <c r="CA29" s="4">
        <v>351.36</v>
      </c>
      <c r="CB29" s="4">
        <v>45412</v>
      </c>
      <c r="CC29" s="4">
        <v>265</v>
      </c>
      <c r="CD29" s="4">
        <v>45412</v>
      </c>
      <c r="CE29" s="4">
        <v>425.71</v>
      </c>
      <c r="CF29" s="4">
        <v>45412</v>
      </c>
      <c r="CG29" s="4">
        <v>240.08</v>
      </c>
      <c r="CH29" s="4">
        <v>45412</v>
      </c>
      <c r="CI29" s="4">
        <v>145.03</v>
      </c>
      <c r="CJ29" s="4">
        <v>45412</v>
      </c>
      <c r="CK29" s="4">
        <v>108.72</v>
      </c>
      <c r="CL29" s="4">
        <v>45412</v>
      </c>
      <c r="CM29" s="4">
        <v>140.13</v>
      </c>
      <c r="CN29" s="4">
        <v>45412</v>
      </c>
      <c r="CO29" s="4">
        <v>117.45</v>
      </c>
      <c r="CP29" s="4">
        <v>45412</v>
      </c>
      <c r="CQ29" s="4">
        <v>208.25</v>
      </c>
      <c r="CR29" s="4">
        <v>45412</v>
      </c>
      <c r="CS29" s="4">
        <v>264.43</v>
      </c>
      <c r="CT29" s="4">
        <v>45412</v>
      </c>
      <c r="CU29" s="4">
        <v>197.96</v>
      </c>
      <c r="CV29" s="4">
        <v>45412</v>
      </c>
      <c r="CW29" s="4">
        <v>119.3</v>
      </c>
      <c r="CX29" s="4">
        <v>45412</v>
      </c>
      <c r="CY29" s="4">
        <v>164.71</v>
      </c>
      <c r="CZ29" s="4">
        <v>45412</v>
      </c>
      <c r="DA29" s="4">
        <v>178.71</v>
      </c>
      <c r="DB29" s="4">
        <v>45412</v>
      </c>
      <c r="DC29" s="4">
        <v>363.13</v>
      </c>
      <c r="DD29" s="4">
        <v>45412</v>
      </c>
      <c r="DE29" s="4">
        <v>350.82</v>
      </c>
      <c r="DF29" s="4">
        <v>45412</v>
      </c>
      <c r="DG29" s="4">
        <v>149.01</v>
      </c>
      <c r="DH29" s="4">
        <v>45412</v>
      </c>
      <c r="DI29" s="4">
        <v>130</v>
      </c>
      <c r="DJ29" s="4">
        <v>45412</v>
      </c>
      <c r="DK29" s="4">
        <v>124.29</v>
      </c>
      <c r="DL29" s="4">
        <v>45412</v>
      </c>
      <c r="DM29" s="4">
        <v>119.17</v>
      </c>
      <c r="DN29" s="4">
        <v>45382</v>
      </c>
      <c r="DO29" s="4">
        <v>150.61000000000001</v>
      </c>
      <c r="DP29" s="4">
        <v>45412</v>
      </c>
      <c r="DQ29" s="4">
        <v>246.32</v>
      </c>
      <c r="DR29" s="4">
        <v>45382</v>
      </c>
      <c r="DS29" s="4">
        <v>368.83</v>
      </c>
      <c r="DT29" s="4">
        <v>45382</v>
      </c>
      <c r="DU29" s="4">
        <v>187.57</v>
      </c>
      <c r="DV29" s="4">
        <v>45412</v>
      </c>
      <c r="DW29" s="4">
        <v>283.8</v>
      </c>
      <c r="DZ29" s="4" t="s">
        <v>291</v>
      </c>
      <c r="EA29" s="4" t="s">
        <v>292</v>
      </c>
    </row>
    <row r="30" spans="1:131" x14ac:dyDescent="0.3">
      <c r="A30" s="5" t="s">
        <v>107</v>
      </c>
      <c r="C30" s="14" t="str">
        <f t="shared" si="4"/>
        <v>20242</v>
      </c>
      <c r="D30" s="6">
        <v>45351</v>
      </c>
      <c r="E30" s="4">
        <v>172.65</v>
      </c>
      <c r="F30" s="4">
        <v>248.62</v>
      </c>
      <c r="G30" s="4">
        <v>83.73</v>
      </c>
      <c r="H30" s="4">
        <v>265.47000000000003</v>
      </c>
      <c r="I30" s="4">
        <v>108</v>
      </c>
      <c r="J30" s="4">
        <v>153.08000000000001</v>
      </c>
      <c r="K30" s="4">
        <v>187.56</v>
      </c>
      <c r="L30" s="4">
        <v>168</v>
      </c>
      <c r="M30" s="4">
        <v>113.28</v>
      </c>
      <c r="N30" s="4">
        <v>129</v>
      </c>
      <c r="O30" s="4">
        <v>37.4</v>
      </c>
      <c r="P30" s="4">
        <v>184.35</v>
      </c>
      <c r="Q30" s="4">
        <v>269.64</v>
      </c>
      <c r="R30" s="4">
        <v>265</v>
      </c>
      <c r="S30" s="4">
        <v>78.13</v>
      </c>
      <c r="T30" s="4">
        <v>140.56</v>
      </c>
      <c r="U30" s="4">
        <v>259.5</v>
      </c>
      <c r="V30" s="4">
        <v>257.97000000000003</v>
      </c>
      <c r="W30" s="4">
        <v>183.47</v>
      </c>
      <c r="X30" s="4">
        <v>180</v>
      </c>
      <c r="Y30" s="4">
        <v>251</v>
      </c>
      <c r="Z30" s="4">
        <v>406.25</v>
      </c>
      <c r="AA30" s="4">
        <v>240.62</v>
      </c>
      <c r="AB30" s="4">
        <v>191.91</v>
      </c>
      <c r="AC30" s="4">
        <v>135.96</v>
      </c>
      <c r="AD30" s="4">
        <v>242.73</v>
      </c>
      <c r="AE30" s="4">
        <v>396.45</v>
      </c>
      <c r="AF30" s="4">
        <v>215.8</v>
      </c>
      <c r="AG30" s="4">
        <v>337.03</v>
      </c>
      <c r="AH30" s="4">
        <v>141.66999999999999</v>
      </c>
      <c r="AI30" s="4">
        <v>229.16</v>
      </c>
      <c r="AJ30" s="4">
        <v>272</v>
      </c>
      <c r="AK30" s="4">
        <v>173.25</v>
      </c>
      <c r="AL30" s="4">
        <v>149.99</v>
      </c>
      <c r="AM30" s="4">
        <v>242.73</v>
      </c>
      <c r="AN30" s="4">
        <v>239</v>
      </c>
      <c r="AO30" s="4">
        <v>505.64</v>
      </c>
      <c r="AP30" s="4">
        <v>384.3</v>
      </c>
      <c r="AQ30" s="4">
        <v>249</v>
      </c>
      <c r="AR30" s="4">
        <v>476.5</v>
      </c>
      <c r="AS30" s="4">
        <v>250</v>
      </c>
      <c r="AT30" s="4">
        <v>162</v>
      </c>
      <c r="AU30" s="4">
        <v>125.76</v>
      </c>
      <c r="AV30" s="4">
        <v>160.53</v>
      </c>
      <c r="AW30" s="4">
        <v>133.5</v>
      </c>
      <c r="AX30" s="4">
        <v>228.91</v>
      </c>
      <c r="AY30" s="4">
        <v>345.66</v>
      </c>
      <c r="AZ30" s="4">
        <v>219.94</v>
      </c>
      <c r="BA30" s="4">
        <v>131.66999999999999</v>
      </c>
      <c r="BB30" s="4">
        <v>187.75</v>
      </c>
      <c r="BC30" s="4">
        <v>203.25</v>
      </c>
      <c r="BD30" s="4">
        <v>337.5</v>
      </c>
      <c r="BE30" s="4">
        <v>365</v>
      </c>
      <c r="BF30" s="4">
        <v>170.36</v>
      </c>
      <c r="BG30" s="4">
        <v>141.69999999999999</v>
      </c>
      <c r="BH30" s="4">
        <v>141.66999999999999</v>
      </c>
      <c r="BI30" s="4">
        <v>147.22999999999999</v>
      </c>
      <c r="BJ30" s="4">
        <v>146.66999999999999</v>
      </c>
      <c r="BK30" s="4">
        <v>250.95</v>
      </c>
      <c r="BL30" s="4">
        <v>354.54</v>
      </c>
      <c r="BM30" s="4">
        <v>206.18</v>
      </c>
      <c r="BN30" s="4">
        <v>281.7</v>
      </c>
      <c r="BO30" s="4">
        <v>274.13</v>
      </c>
      <c r="BP30" s="4">
        <v>45382</v>
      </c>
      <c r="BQ30" s="4">
        <v>155.82</v>
      </c>
      <c r="BR30" s="4">
        <v>45382</v>
      </c>
      <c r="BS30" s="4">
        <v>145.56</v>
      </c>
      <c r="BT30" s="4">
        <v>45382</v>
      </c>
      <c r="BU30" s="4">
        <v>225</v>
      </c>
      <c r="BV30" s="4">
        <v>45382</v>
      </c>
      <c r="BW30" s="4">
        <v>267.52</v>
      </c>
      <c r="BX30" s="4">
        <v>45382</v>
      </c>
      <c r="BY30" s="4">
        <v>526.89</v>
      </c>
      <c r="BZ30" s="4">
        <v>45382</v>
      </c>
      <c r="CA30" s="4">
        <v>365.14</v>
      </c>
      <c r="CB30" s="4">
        <v>45382</v>
      </c>
      <c r="CC30" s="4">
        <v>267.06</v>
      </c>
      <c r="CD30" s="4">
        <v>45382</v>
      </c>
      <c r="CE30" s="4">
        <v>456.3</v>
      </c>
      <c r="CF30" s="4">
        <v>45382</v>
      </c>
      <c r="CG30" s="4">
        <v>267.74</v>
      </c>
      <c r="CH30" s="4">
        <v>45382</v>
      </c>
      <c r="CI30" s="4">
        <v>160.22999999999999</v>
      </c>
      <c r="CJ30" s="4">
        <v>45382</v>
      </c>
      <c r="CK30" s="4">
        <v>121.69</v>
      </c>
      <c r="CL30" s="4">
        <v>45382</v>
      </c>
      <c r="CM30" s="4">
        <v>155.79</v>
      </c>
      <c r="CN30" s="4">
        <v>45382</v>
      </c>
      <c r="CO30" s="4">
        <v>132.24</v>
      </c>
      <c r="CP30" s="4">
        <v>45382</v>
      </c>
      <c r="CQ30" s="4">
        <v>228.14</v>
      </c>
      <c r="CR30" s="4">
        <v>45382</v>
      </c>
      <c r="CS30" s="4">
        <v>353.66</v>
      </c>
      <c r="CT30" s="4">
        <v>45382</v>
      </c>
      <c r="CU30" s="4">
        <v>201.76</v>
      </c>
      <c r="CV30" s="4">
        <v>45382</v>
      </c>
      <c r="CW30" s="4">
        <v>117.22</v>
      </c>
      <c r="CX30" s="4">
        <v>45382</v>
      </c>
      <c r="CY30" s="4">
        <v>182.47</v>
      </c>
      <c r="CZ30" s="4">
        <v>45382</v>
      </c>
      <c r="DA30" s="4">
        <v>197.67</v>
      </c>
      <c r="DB30" s="4">
        <v>45382</v>
      </c>
      <c r="DC30" s="4">
        <v>365</v>
      </c>
      <c r="DD30" s="4">
        <v>45382</v>
      </c>
      <c r="DE30" s="4">
        <v>355.93</v>
      </c>
      <c r="DF30" s="4">
        <v>45382</v>
      </c>
      <c r="DG30" s="4">
        <v>165.42</v>
      </c>
      <c r="DH30" s="4">
        <v>45382</v>
      </c>
      <c r="DI30" s="4">
        <v>142.38999999999999</v>
      </c>
      <c r="DJ30" s="4">
        <v>45382</v>
      </c>
      <c r="DK30" s="4">
        <v>122.68</v>
      </c>
      <c r="DL30" s="4">
        <v>45382</v>
      </c>
      <c r="DM30" s="4">
        <v>134.33000000000001</v>
      </c>
      <c r="DN30" s="4">
        <v>45351</v>
      </c>
      <c r="DO30" s="4">
        <v>146.66999999999999</v>
      </c>
      <c r="DP30" s="4">
        <v>45382</v>
      </c>
      <c r="DQ30" s="4">
        <v>291.5</v>
      </c>
      <c r="DR30" s="4">
        <v>45351</v>
      </c>
      <c r="DS30" s="4">
        <v>354.54</v>
      </c>
      <c r="DT30" s="4">
        <v>45351</v>
      </c>
      <c r="DU30" s="4">
        <v>206.18</v>
      </c>
      <c r="DV30" s="4">
        <v>45382</v>
      </c>
      <c r="DW30" s="4">
        <v>310.37</v>
      </c>
      <c r="DZ30" s="4" t="s">
        <v>293</v>
      </c>
      <c r="EA30" s="4" t="s">
        <v>294</v>
      </c>
    </row>
    <row r="31" spans="1:131" x14ac:dyDescent="0.3">
      <c r="A31" s="5" t="s">
        <v>108</v>
      </c>
      <c r="C31" s="14" t="str">
        <f t="shared" si="4"/>
        <v>20241</v>
      </c>
      <c r="D31" s="6">
        <v>45322</v>
      </c>
      <c r="E31" s="4">
        <v>167.53</v>
      </c>
      <c r="F31" s="4">
        <v>245.48</v>
      </c>
      <c r="G31" s="4">
        <v>88.5</v>
      </c>
      <c r="H31" s="4">
        <v>256.88</v>
      </c>
      <c r="I31" s="4">
        <v>104.04</v>
      </c>
      <c r="J31" s="4">
        <v>150.36000000000001</v>
      </c>
      <c r="K31" s="4">
        <v>182.02</v>
      </c>
      <c r="L31" s="4">
        <v>165.64</v>
      </c>
      <c r="M31" s="4">
        <v>108.17</v>
      </c>
      <c r="N31" s="4">
        <v>132</v>
      </c>
      <c r="O31" s="4">
        <v>36.76</v>
      </c>
      <c r="P31" s="4">
        <v>167</v>
      </c>
      <c r="Q31" s="4">
        <v>342.22</v>
      </c>
      <c r="R31" s="4">
        <v>249.46</v>
      </c>
      <c r="S31" s="4">
        <v>76.88</v>
      </c>
      <c r="T31" s="4">
        <v>169.1</v>
      </c>
      <c r="U31" s="4">
        <v>266.38</v>
      </c>
      <c r="V31" s="4">
        <v>256.76</v>
      </c>
      <c r="W31" s="4">
        <v>180.27</v>
      </c>
      <c r="X31" s="4">
        <v>214.5</v>
      </c>
      <c r="Y31" s="4">
        <v>235.73</v>
      </c>
      <c r="Z31" s="4">
        <v>370</v>
      </c>
      <c r="AA31" s="4">
        <v>230</v>
      </c>
      <c r="AB31" s="4">
        <v>186.34</v>
      </c>
      <c r="AC31" s="4">
        <v>172</v>
      </c>
      <c r="AD31" s="4">
        <v>211</v>
      </c>
      <c r="AE31" s="4">
        <v>383.33</v>
      </c>
      <c r="AF31" s="4">
        <v>251.04</v>
      </c>
      <c r="AG31" s="4">
        <v>353.69</v>
      </c>
      <c r="AH31" s="4">
        <v>151.38999999999999</v>
      </c>
      <c r="AI31" s="4">
        <v>220</v>
      </c>
      <c r="AJ31" s="4">
        <v>286.48</v>
      </c>
      <c r="AK31" s="4">
        <v>180.6</v>
      </c>
      <c r="AL31" s="4">
        <v>180.2</v>
      </c>
      <c r="AM31" s="4">
        <v>211</v>
      </c>
      <c r="AN31" s="4">
        <v>285.2</v>
      </c>
      <c r="AO31" s="4">
        <v>524.85</v>
      </c>
      <c r="AP31" s="4">
        <v>366.55</v>
      </c>
      <c r="AQ31" s="4">
        <v>288.01</v>
      </c>
      <c r="AR31" s="4">
        <v>470</v>
      </c>
      <c r="AS31" s="4">
        <v>263.70999999999998</v>
      </c>
      <c r="AT31" s="4">
        <v>196.58</v>
      </c>
      <c r="AU31" s="4">
        <v>120.58</v>
      </c>
      <c r="AV31" s="4">
        <v>155.15</v>
      </c>
      <c r="AW31" s="4">
        <v>160</v>
      </c>
      <c r="AX31" s="4">
        <v>227.06</v>
      </c>
      <c r="AY31" s="4">
        <v>343.33</v>
      </c>
      <c r="AZ31" s="4">
        <v>195</v>
      </c>
      <c r="BA31" s="4">
        <v>144.22999999999999</v>
      </c>
      <c r="BB31" s="4">
        <v>190</v>
      </c>
      <c r="BC31" s="4">
        <v>197.61</v>
      </c>
      <c r="BD31" s="4">
        <v>305</v>
      </c>
      <c r="BE31" s="4">
        <v>364.82</v>
      </c>
      <c r="BF31" s="4">
        <v>164.92</v>
      </c>
      <c r="BG31" s="4">
        <v>145</v>
      </c>
      <c r="BH31" s="4">
        <v>155</v>
      </c>
      <c r="BI31" s="4">
        <v>155.02000000000001</v>
      </c>
      <c r="BJ31" s="4">
        <v>185</v>
      </c>
      <c r="BK31" s="4">
        <v>267.70999999999998</v>
      </c>
      <c r="BL31" s="4">
        <v>369.93</v>
      </c>
      <c r="BM31" s="4">
        <v>190</v>
      </c>
      <c r="BN31" s="4">
        <v>254.44</v>
      </c>
      <c r="BO31" s="4">
        <v>272</v>
      </c>
      <c r="BP31" s="4">
        <v>45351</v>
      </c>
      <c r="BQ31" s="4">
        <v>173.25</v>
      </c>
      <c r="BR31" s="4">
        <v>45351</v>
      </c>
      <c r="BS31" s="4">
        <v>149.99</v>
      </c>
      <c r="BT31" s="4">
        <v>45351</v>
      </c>
      <c r="BU31" s="4">
        <v>242.73</v>
      </c>
      <c r="BV31" s="4">
        <v>45351</v>
      </c>
      <c r="BW31" s="4">
        <v>239</v>
      </c>
      <c r="BX31" s="4">
        <v>45351</v>
      </c>
      <c r="BY31" s="4">
        <v>505.64</v>
      </c>
      <c r="BZ31" s="4">
        <v>45351</v>
      </c>
      <c r="CA31" s="4">
        <v>384.3</v>
      </c>
      <c r="CB31" s="4">
        <v>45351</v>
      </c>
      <c r="CC31" s="4">
        <v>249</v>
      </c>
      <c r="CD31" s="4">
        <v>45351</v>
      </c>
      <c r="CE31" s="4">
        <v>476.5</v>
      </c>
      <c r="CF31" s="4">
        <v>45351</v>
      </c>
      <c r="CG31" s="4">
        <v>250</v>
      </c>
      <c r="CH31" s="4">
        <v>45351</v>
      </c>
      <c r="CI31" s="4">
        <v>162</v>
      </c>
      <c r="CJ31" s="4">
        <v>45351</v>
      </c>
      <c r="CK31" s="4">
        <v>125.76</v>
      </c>
      <c r="CL31" s="4">
        <v>45351</v>
      </c>
      <c r="CM31" s="4">
        <v>160.53</v>
      </c>
      <c r="CN31" s="4">
        <v>45351</v>
      </c>
      <c r="CO31" s="4">
        <v>133.5</v>
      </c>
      <c r="CP31" s="4">
        <v>45351</v>
      </c>
      <c r="CQ31" s="4">
        <v>228.91</v>
      </c>
      <c r="CR31" s="4">
        <v>45351</v>
      </c>
      <c r="CS31" s="4">
        <v>345.66</v>
      </c>
      <c r="CT31" s="4">
        <v>45351</v>
      </c>
      <c r="CU31" s="4">
        <v>219.94</v>
      </c>
      <c r="CV31" s="4">
        <v>45351</v>
      </c>
      <c r="CW31" s="4">
        <v>131.66999999999999</v>
      </c>
      <c r="CX31" s="4">
        <v>45351</v>
      </c>
      <c r="CY31" s="4">
        <v>187.75</v>
      </c>
      <c r="CZ31" s="4">
        <v>45351</v>
      </c>
      <c r="DA31" s="4">
        <v>203.25</v>
      </c>
      <c r="DB31" s="4">
        <v>45351</v>
      </c>
      <c r="DC31" s="4">
        <v>337.5</v>
      </c>
      <c r="DD31" s="4">
        <v>45351</v>
      </c>
      <c r="DE31" s="4">
        <v>365</v>
      </c>
      <c r="DF31" s="4">
        <v>45351</v>
      </c>
      <c r="DG31" s="4">
        <v>170.36</v>
      </c>
      <c r="DH31" s="4">
        <v>45351</v>
      </c>
      <c r="DI31" s="4">
        <v>141.69999999999999</v>
      </c>
      <c r="DJ31" s="4">
        <v>45351</v>
      </c>
      <c r="DK31" s="4">
        <v>141.66999999999999</v>
      </c>
      <c r="DL31" s="4">
        <v>45351</v>
      </c>
      <c r="DM31" s="4">
        <v>147.22999999999999</v>
      </c>
      <c r="DN31" s="4">
        <v>45322</v>
      </c>
      <c r="DO31" s="4">
        <v>185</v>
      </c>
      <c r="DP31" s="4">
        <v>45351</v>
      </c>
      <c r="DQ31" s="4">
        <v>250.95</v>
      </c>
      <c r="DR31" s="4">
        <v>45322</v>
      </c>
      <c r="DS31" s="4">
        <v>369.93</v>
      </c>
      <c r="DT31" s="4">
        <v>45322</v>
      </c>
      <c r="DU31" s="4">
        <v>190</v>
      </c>
      <c r="DV31" s="4">
        <v>45351</v>
      </c>
      <c r="DW31" s="4">
        <v>281.7</v>
      </c>
      <c r="DZ31" s="4" t="s">
        <v>295</v>
      </c>
      <c r="EA31" s="4" t="s">
        <v>296</v>
      </c>
    </row>
    <row r="32" spans="1:131" x14ac:dyDescent="0.3">
      <c r="A32" s="5" t="s">
        <v>109</v>
      </c>
      <c r="C32" s="14" t="str">
        <f t="shared" si="4"/>
        <v>202312</v>
      </c>
      <c r="D32" s="6">
        <v>45291</v>
      </c>
      <c r="E32" s="4">
        <v>183.53</v>
      </c>
      <c r="F32" s="4">
        <v>260</v>
      </c>
      <c r="G32" s="4">
        <v>92.2</v>
      </c>
      <c r="H32" s="4">
        <v>278.33</v>
      </c>
      <c r="I32" s="4">
        <v>114.66</v>
      </c>
      <c r="J32" s="4">
        <v>173.64</v>
      </c>
      <c r="K32" s="4">
        <v>203.47</v>
      </c>
      <c r="L32" s="4">
        <v>183.3</v>
      </c>
      <c r="M32" s="4">
        <v>119.37</v>
      </c>
      <c r="N32" s="4">
        <v>136.06</v>
      </c>
      <c r="O32" s="4">
        <v>55.81</v>
      </c>
      <c r="P32" s="4">
        <v>199.84</v>
      </c>
      <c r="Q32" s="4">
        <v>384.8</v>
      </c>
      <c r="R32" s="4">
        <v>273.33</v>
      </c>
      <c r="S32" s="4">
        <v>74.430000000000007</v>
      </c>
      <c r="T32" s="4">
        <v>154.5</v>
      </c>
      <c r="U32" s="4">
        <v>292.08</v>
      </c>
      <c r="V32" s="4">
        <v>280.36</v>
      </c>
      <c r="W32" s="4">
        <v>200.8</v>
      </c>
      <c r="X32" s="4">
        <v>236.47</v>
      </c>
      <c r="Y32" s="4">
        <v>260.10000000000002</v>
      </c>
      <c r="Z32" s="4">
        <v>425</v>
      </c>
      <c r="AA32" s="4">
        <v>260</v>
      </c>
      <c r="AB32" s="4">
        <v>208.4</v>
      </c>
      <c r="AC32" s="4">
        <v>145.05000000000001</v>
      </c>
      <c r="AD32" s="4">
        <v>240.75</v>
      </c>
      <c r="AE32" s="4">
        <v>450.6</v>
      </c>
      <c r="AF32" s="4">
        <v>269.55</v>
      </c>
      <c r="AG32" s="4">
        <v>410.18</v>
      </c>
      <c r="AH32" s="4">
        <v>140</v>
      </c>
      <c r="AI32" s="4">
        <v>270</v>
      </c>
      <c r="AJ32" s="4">
        <v>308.98</v>
      </c>
      <c r="AK32" s="4">
        <v>172.44</v>
      </c>
      <c r="AL32" s="4">
        <v>165</v>
      </c>
      <c r="AM32" s="4">
        <v>240.75</v>
      </c>
      <c r="AN32" s="4">
        <v>270.64999999999998</v>
      </c>
      <c r="AO32" s="4">
        <v>509.92</v>
      </c>
      <c r="AP32" s="4">
        <v>428.29</v>
      </c>
      <c r="AQ32" s="4">
        <v>320.19</v>
      </c>
      <c r="AR32" s="4">
        <v>570</v>
      </c>
      <c r="AS32" s="4">
        <v>291.64999999999998</v>
      </c>
      <c r="AT32" s="4">
        <v>220.25</v>
      </c>
      <c r="AU32" s="4">
        <v>234.3</v>
      </c>
      <c r="AV32" s="4">
        <v>172.87</v>
      </c>
      <c r="AW32" s="4">
        <v>155</v>
      </c>
      <c r="AX32" s="4">
        <v>248.61</v>
      </c>
      <c r="AY32" s="4">
        <v>383.33</v>
      </c>
      <c r="AZ32" s="4">
        <v>247.21</v>
      </c>
      <c r="BA32" s="4">
        <v>132.5</v>
      </c>
      <c r="BB32" s="4">
        <v>203.69</v>
      </c>
      <c r="BC32" s="4">
        <v>221.24</v>
      </c>
      <c r="BD32" s="4">
        <v>355</v>
      </c>
      <c r="BE32" s="4">
        <v>410.85</v>
      </c>
      <c r="BF32" s="4">
        <v>184</v>
      </c>
      <c r="BG32" s="4">
        <v>130</v>
      </c>
      <c r="BH32" s="4">
        <v>145</v>
      </c>
      <c r="BI32" s="4">
        <v>151.25</v>
      </c>
      <c r="BJ32" s="4">
        <v>162.5</v>
      </c>
      <c r="BK32" s="4">
        <v>355.3</v>
      </c>
      <c r="BL32" s="4">
        <v>433.05</v>
      </c>
      <c r="BM32" s="4">
        <v>233.32</v>
      </c>
      <c r="BN32" s="4">
        <v>305</v>
      </c>
      <c r="BO32" s="4">
        <v>286.48</v>
      </c>
      <c r="BP32" s="4">
        <v>45322</v>
      </c>
      <c r="BQ32" s="4">
        <v>180.6</v>
      </c>
      <c r="BR32" s="4">
        <v>45322</v>
      </c>
      <c r="BS32" s="4">
        <v>180.2</v>
      </c>
      <c r="BT32" s="4">
        <v>45322</v>
      </c>
      <c r="BU32" s="4">
        <v>211</v>
      </c>
      <c r="BV32" s="4">
        <v>45322</v>
      </c>
      <c r="BW32" s="4">
        <v>285.2</v>
      </c>
      <c r="BX32" s="4">
        <v>45322</v>
      </c>
      <c r="BY32" s="4">
        <v>524.85</v>
      </c>
      <c r="BZ32" s="4">
        <v>45322</v>
      </c>
      <c r="CA32" s="4">
        <v>366.55</v>
      </c>
      <c r="CB32" s="4">
        <v>45322</v>
      </c>
      <c r="CC32" s="4">
        <v>288.01</v>
      </c>
      <c r="CD32" s="4">
        <v>45322</v>
      </c>
      <c r="CE32" s="4">
        <v>470</v>
      </c>
      <c r="CF32" s="4">
        <v>45322</v>
      </c>
      <c r="CG32" s="4">
        <v>263.70999999999998</v>
      </c>
      <c r="CH32" s="4">
        <v>45322</v>
      </c>
      <c r="CI32" s="4">
        <v>196.58</v>
      </c>
      <c r="CJ32" s="4">
        <v>45322</v>
      </c>
      <c r="CK32" s="4">
        <v>120.58</v>
      </c>
      <c r="CL32" s="4">
        <v>45322</v>
      </c>
      <c r="CM32" s="4">
        <v>155.15</v>
      </c>
      <c r="CN32" s="4">
        <v>45322</v>
      </c>
      <c r="CO32" s="4">
        <v>160</v>
      </c>
      <c r="CP32" s="4">
        <v>45322</v>
      </c>
      <c r="CQ32" s="4">
        <v>227.06</v>
      </c>
      <c r="CR32" s="4">
        <v>45322</v>
      </c>
      <c r="CS32" s="4">
        <v>343.33</v>
      </c>
      <c r="CT32" s="4">
        <v>45322</v>
      </c>
      <c r="CU32" s="4">
        <v>195</v>
      </c>
      <c r="CV32" s="4">
        <v>45322</v>
      </c>
      <c r="CW32" s="4">
        <v>144.22999999999999</v>
      </c>
      <c r="CX32" s="4">
        <v>45322</v>
      </c>
      <c r="CY32" s="4">
        <v>190</v>
      </c>
      <c r="CZ32" s="4">
        <v>45322</v>
      </c>
      <c r="DA32" s="4">
        <v>197.61</v>
      </c>
      <c r="DB32" s="4">
        <v>45322</v>
      </c>
      <c r="DC32" s="4">
        <v>305</v>
      </c>
      <c r="DD32" s="4">
        <v>45322</v>
      </c>
      <c r="DE32" s="4">
        <v>364.82</v>
      </c>
      <c r="DF32" s="4">
        <v>45322</v>
      </c>
      <c r="DG32" s="4">
        <v>164.92</v>
      </c>
      <c r="DH32" s="4">
        <v>45322</v>
      </c>
      <c r="DI32" s="4">
        <v>145</v>
      </c>
      <c r="DJ32" s="4">
        <v>45322</v>
      </c>
      <c r="DK32" s="4">
        <v>155</v>
      </c>
      <c r="DL32" s="4">
        <v>45322</v>
      </c>
      <c r="DM32" s="4">
        <v>155.02000000000001</v>
      </c>
      <c r="DN32" s="4">
        <v>45291</v>
      </c>
      <c r="DO32" s="4">
        <v>162.5</v>
      </c>
      <c r="DP32" s="4">
        <v>45322</v>
      </c>
      <c r="DQ32" s="4">
        <v>267.70999999999998</v>
      </c>
      <c r="DR32" s="4">
        <v>45291</v>
      </c>
      <c r="DS32" s="4">
        <v>433.05</v>
      </c>
      <c r="DT32" s="4">
        <v>45291</v>
      </c>
      <c r="DU32" s="4">
        <v>233.32</v>
      </c>
      <c r="DV32" s="4">
        <v>45322</v>
      </c>
      <c r="DW32" s="4">
        <v>254.44</v>
      </c>
      <c r="DZ32" s="4" t="s">
        <v>297</v>
      </c>
      <c r="EA32" s="4" t="s">
        <v>298</v>
      </c>
    </row>
    <row r="33" spans="1:131" x14ac:dyDescent="0.3">
      <c r="A33" s="5" t="s">
        <v>110</v>
      </c>
      <c r="C33" s="14" t="str">
        <f t="shared" si="4"/>
        <v>202310</v>
      </c>
      <c r="D33" s="6">
        <v>45230</v>
      </c>
      <c r="E33" s="4">
        <v>178.36</v>
      </c>
      <c r="F33" s="4">
        <v>265</v>
      </c>
      <c r="G33" s="4">
        <v>91</v>
      </c>
      <c r="H33" s="4">
        <v>275</v>
      </c>
      <c r="I33" s="4">
        <v>120.43</v>
      </c>
      <c r="J33" s="4">
        <v>137.5</v>
      </c>
      <c r="K33" s="4">
        <v>202.15</v>
      </c>
      <c r="L33" s="4">
        <v>162.5</v>
      </c>
      <c r="M33" s="4">
        <v>124.77</v>
      </c>
      <c r="N33" s="4">
        <v>140.12</v>
      </c>
      <c r="O33" s="4">
        <v>66.290000000000006</v>
      </c>
      <c r="P33" s="4">
        <v>198.8</v>
      </c>
      <c r="Q33" s="4">
        <v>403.17</v>
      </c>
      <c r="R33" s="4">
        <v>260.45</v>
      </c>
      <c r="S33" s="4">
        <v>79</v>
      </c>
      <c r="T33" s="4">
        <v>120</v>
      </c>
      <c r="U33" s="4">
        <v>264.20999999999998</v>
      </c>
      <c r="V33" s="4">
        <v>261.86</v>
      </c>
      <c r="W33" s="4">
        <v>160</v>
      </c>
      <c r="X33" s="4">
        <v>233.35</v>
      </c>
      <c r="Y33" s="4">
        <v>257.79000000000002</v>
      </c>
      <c r="Z33" s="4">
        <v>455.5</v>
      </c>
      <c r="AA33" s="4">
        <v>322.60000000000002</v>
      </c>
      <c r="AB33" s="4">
        <v>206.68</v>
      </c>
      <c r="AC33" s="4">
        <v>203</v>
      </c>
      <c r="AD33" s="4">
        <v>271.83</v>
      </c>
      <c r="AE33" s="4">
        <v>430</v>
      </c>
      <c r="AF33" s="4">
        <v>263.42</v>
      </c>
      <c r="AG33" s="4">
        <v>419.53</v>
      </c>
      <c r="AH33" s="4">
        <v>186.85</v>
      </c>
      <c r="AI33" s="4">
        <v>220</v>
      </c>
      <c r="AJ33" s="4">
        <v>267.60000000000002</v>
      </c>
      <c r="AK33" s="4">
        <v>173.6</v>
      </c>
      <c r="AL33" s="4">
        <v>167.75</v>
      </c>
      <c r="AM33" s="4">
        <v>253</v>
      </c>
      <c r="AN33" s="4">
        <v>292.91000000000003</v>
      </c>
      <c r="AO33" s="4">
        <v>571.83000000000004</v>
      </c>
      <c r="AP33" s="4">
        <v>435.37</v>
      </c>
      <c r="AQ33" s="4">
        <v>318.45</v>
      </c>
      <c r="AR33" s="4">
        <v>540.64</v>
      </c>
      <c r="AS33" s="4">
        <v>294.88</v>
      </c>
      <c r="AT33" s="4">
        <v>218.6</v>
      </c>
      <c r="AU33" s="4">
        <v>137.76</v>
      </c>
      <c r="AV33" s="4">
        <v>173.99</v>
      </c>
      <c r="AW33" s="4">
        <v>150</v>
      </c>
      <c r="AX33" s="4">
        <v>261.45</v>
      </c>
      <c r="AY33" s="4">
        <v>377.33</v>
      </c>
      <c r="AZ33" s="4">
        <v>255.21</v>
      </c>
      <c r="BA33" s="4">
        <v>157.29</v>
      </c>
      <c r="BB33" s="4">
        <v>202.34</v>
      </c>
      <c r="BC33" s="4">
        <v>218.49</v>
      </c>
      <c r="BD33" s="4">
        <v>470</v>
      </c>
      <c r="BE33" s="4">
        <v>409</v>
      </c>
      <c r="BF33" s="4">
        <v>184.23</v>
      </c>
      <c r="BG33" s="4">
        <v>125</v>
      </c>
      <c r="BH33" s="4">
        <v>120</v>
      </c>
      <c r="BI33" s="4">
        <v>145</v>
      </c>
      <c r="BJ33" s="4">
        <v>135</v>
      </c>
      <c r="BK33" s="4">
        <v>263.98</v>
      </c>
      <c r="BL33" s="4">
        <v>439.53</v>
      </c>
      <c r="BM33" s="4">
        <v>252.42</v>
      </c>
      <c r="BN33" s="4">
        <v>349.6</v>
      </c>
      <c r="BO33" s="4">
        <v>308.98</v>
      </c>
      <c r="BP33" s="4">
        <v>45291</v>
      </c>
      <c r="BQ33" s="4">
        <v>172.44</v>
      </c>
      <c r="BR33" s="4">
        <v>45291</v>
      </c>
      <c r="BS33" s="4">
        <v>165</v>
      </c>
      <c r="BT33" s="4">
        <v>45291</v>
      </c>
      <c r="BU33" s="4">
        <v>240.75</v>
      </c>
      <c r="BV33" s="4">
        <v>45291</v>
      </c>
      <c r="BW33" s="4">
        <v>270.64999999999998</v>
      </c>
      <c r="BX33" s="4">
        <v>45291</v>
      </c>
      <c r="BY33" s="4">
        <v>509.92</v>
      </c>
      <c r="BZ33" s="4">
        <v>45291</v>
      </c>
      <c r="CA33" s="4">
        <v>428.29</v>
      </c>
      <c r="CB33" s="4">
        <v>45291</v>
      </c>
      <c r="CC33" s="4">
        <v>320.19</v>
      </c>
      <c r="CD33" s="4">
        <v>45291</v>
      </c>
      <c r="CE33" s="4">
        <v>570</v>
      </c>
      <c r="CF33" s="4">
        <v>45291</v>
      </c>
      <c r="CG33" s="4">
        <v>291.64999999999998</v>
      </c>
      <c r="CH33" s="4">
        <v>45291</v>
      </c>
      <c r="CI33" s="4">
        <v>220.25</v>
      </c>
      <c r="CJ33" s="4">
        <v>45291</v>
      </c>
      <c r="CK33" s="4">
        <v>234.3</v>
      </c>
      <c r="CL33" s="4">
        <v>45291</v>
      </c>
      <c r="CM33" s="4">
        <v>172.87</v>
      </c>
      <c r="CN33" s="4">
        <v>45291</v>
      </c>
      <c r="CO33" s="4">
        <v>155</v>
      </c>
      <c r="CP33" s="4">
        <v>45291</v>
      </c>
      <c r="CQ33" s="4">
        <v>248.61</v>
      </c>
      <c r="CR33" s="4">
        <v>45291</v>
      </c>
      <c r="CS33" s="4">
        <v>383.33</v>
      </c>
      <c r="CT33" s="4">
        <v>45291</v>
      </c>
      <c r="CU33" s="4">
        <v>247.21</v>
      </c>
      <c r="CV33" s="4">
        <v>45291</v>
      </c>
      <c r="CW33" s="4">
        <v>132.5</v>
      </c>
      <c r="CX33" s="4">
        <v>45291</v>
      </c>
      <c r="CY33" s="4">
        <v>203.69</v>
      </c>
      <c r="CZ33" s="4">
        <v>45291</v>
      </c>
      <c r="DA33" s="4">
        <v>221.24</v>
      </c>
      <c r="DB33" s="4">
        <v>45291</v>
      </c>
      <c r="DC33" s="4">
        <v>355</v>
      </c>
      <c r="DD33" s="4">
        <v>45291</v>
      </c>
      <c r="DE33" s="4">
        <v>410.85</v>
      </c>
      <c r="DF33" s="4">
        <v>45291</v>
      </c>
      <c r="DG33" s="4">
        <v>184</v>
      </c>
      <c r="DH33" s="4">
        <v>45291</v>
      </c>
      <c r="DI33" s="4">
        <v>130</v>
      </c>
      <c r="DJ33" s="4">
        <v>45291</v>
      </c>
      <c r="DK33" s="4">
        <v>145</v>
      </c>
      <c r="DL33" s="4">
        <v>45291</v>
      </c>
      <c r="DM33" s="4">
        <v>151.25</v>
      </c>
      <c r="DN33" s="4">
        <v>45230</v>
      </c>
      <c r="DO33" s="4">
        <v>135</v>
      </c>
      <c r="DP33" s="4">
        <v>45291</v>
      </c>
      <c r="DQ33" s="4">
        <v>355.3</v>
      </c>
      <c r="DR33" s="4">
        <v>45230</v>
      </c>
      <c r="DS33" s="4">
        <v>439.53</v>
      </c>
      <c r="DT33" s="4">
        <v>45230</v>
      </c>
      <c r="DU33" s="4">
        <v>252.42</v>
      </c>
      <c r="DV33" s="4">
        <v>45291</v>
      </c>
      <c r="DW33" s="4">
        <v>305</v>
      </c>
      <c r="DZ33" s="4" t="s">
        <v>299</v>
      </c>
      <c r="EA33" s="4" t="s">
        <v>300</v>
      </c>
    </row>
    <row r="34" spans="1:131" x14ac:dyDescent="0.3">
      <c r="A34" s="5" t="s">
        <v>111</v>
      </c>
      <c r="C34" s="14" t="str">
        <f t="shared" si="4"/>
        <v>20239</v>
      </c>
      <c r="D34" s="6">
        <v>45199</v>
      </c>
      <c r="E34" s="4">
        <v>195</v>
      </c>
      <c r="F34" s="4">
        <v>284.89</v>
      </c>
      <c r="G34" s="4">
        <v>96.67</v>
      </c>
      <c r="H34" s="4">
        <v>301</v>
      </c>
      <c r="I34" s="4">
        <v>138.35</v>
      </c>
      <c r="J34" s="4">
        <v>168.75</v>
      </c>
      <c r="K34" s="4">
        <v>212.67</v>
      </c>
      <c r="L34" s="4">
        <v>180.62</v>
      </c>
      <c r="M34" s="4">
        <v>142.29</v>
      </c>
      <c r="N34" s="4">
        <v>156.26</v>
      </c>
      <c r="O34" s="4">
        <v>53.57</v>
      </c>
      <c r="P34" s="4">
        <v>209.63</v>
      </c>
      <c r="Q34" s="4">
        <v>393</v>
      </c>
      <c r="R34" s="4">
        <v>290.87</v>
      </c>
      <c r="S34" s="4">
        <v>78.5</v>
      </c>
      <c r="T34" s="4">
        <v>188.9</v>
      </c>
      <c r="U34" s="4">
        <v>310.49</v>
      </c>
      <c r="V34" s="4">
        <v>298.22000000000003</v>
      </c>
      <c r="W34" s="4">
        <v>205</v>
      </c>
      <c r="X34" s="4">
        <v>241.79</v>
      </c>
      <c r="Y34" s="4">
        <v>277.02999999999997</v>
      </c>
      <c r="Z34" s="4">
        <v>525</v>
      </c>
      <c r="AA34" s="4">
        <v>309.93</v>
      </c>
      <c r="AB34" s="4">
        <v>216.79</v>
      </c>
      <c r="AC34" s="4">
        <v>163.78</v>
      </c>
      <c r="AD34" s="4">
        <v>253.7</v>
      </c>
      <c r="AE34" s="4">
        <v>463.33</v>
      </c>
      <c r="AF34" s="4">
        <v>264.55</v>
      </c>
      <c r="AG34" s="4">
        <v>401.53</v>
      </c>
      <c r="AH34" s="4">
        <v>155.91</v>
      </c>
      <c r="AI34" s="4">
        <v>302.5</v>
      </c>
      <c r="AJ34" s="4">
        <v>328.18</v>
      </c>
      <c r="AK34" s="4">
        <v>186.71</v>
      </c>
      <c r="AL34" s="4">
        <v>182.6</v>
      </c>
      <c r="AM34" s="4">
        <v>253.7</v>
      </c>
      <c r="AN34" s="4">
        <v>304.62</v>
      </c>
      <c r="AO34" s="4">
        <v>550</v>
      </c>
      <c r="AP34" s="4">
        <v>550</v>
      </c>
      <c r="AQ34" s="4">
        <v>332.57</v>
      </c>
      <c r="AR34" s="4">
        <v>557.14</v>
      </c>
      <c r="AS34" s="4">
        <v>303.48</v>
      </c>
      <c r="AT34" s="4">
        <v>224.13</v>
      </c>
      <c r="AU34" s="4">
        <v>154.11000000000001</v>
      </c>
      <c r="AV34" s="4">
        <v>187.06</v>
      </c>
      <c r="AW34" s="4">
        <v>197.5</v>
      </c>
      <c r="AX34" s="4">
        <v>260</v>
      </c>
      <c r="AY34" s="4">
        <v>452</v>
      </c>
      <c r="AZ34" s="4">
        <v>263.52999999999997</v>
      </c>
      <c r="BA34" s="4">
        <v>145.24</v>
      </c>
      <c r="BB34" s="4">
        <v>212.85</v>
      </c>
      <c r="BC34" s="4">
        <v>227.54</v>
      </c>
      <c r="BD34" s="4">
        <v>453.33</v>
      </c>
      <c r="BE34" s="4">
        <v>470</v>
      </c>
      <c r="BF34" s="4">
        <v>196.38</v>
      </c>
      <c r="BG34" s="4">
        <v>142.9</v>
      </c>
      <c r="BH34" s="4">
        <v>153.75</v>
      </c>
      <c r="BI34" s="4">
        <v>179.64</v>
      </c>
      <c r="BJ34" s="4">
        <v>203</v>
      </c>
      <c r="BK34" s="4">
        <v>309.26</v>
      </c>
      <c r="BL34" s="4">
        <v>421.01</v>
      </c>
      <c r="BM34" s="4">
        <v>248.99</v>
      </c>
      <c r="BN34" s="4">
        <v>383.33</v>
      </c>
      <c r="BO34" s="4">
        <v>267.60000000000002</v>
      </c>
      <c r="BP34" s="4">
        <v>45230</v>
      </c>
      <c r="BQ34" s="4">
        <v>173.6</v>
      </c>
      <c r="BR34" s="4">
        <v>45230</v>
      </c>
      <c r="BS34" s="4">
        <v>167.75</v>
      </c>
      <c r="BT34" s="4">
        <v>45230</v>
      </c>
      <c r="BU34" s="4">
        <v>253</v>
      </c>
      <c r="BV34" s="4">
        <v>45230</v>
      </c>
      <c r="BW34" s="4">
        <v>292.91000000000003</v>
      </c>
      <c r="BX34" s="4">
        <v>45230</v>
      </c>
      <c r="BY34" s="4">
        <v>571.83000000000004</v>
      </c>
      <c r="BZ34" s="4">
        <v>45230</v>
      </c>
      <c r="CA34" s="4">
        <v>435.37</v>
      </c>
      <c r="CB34" s="4">
        <v>45230</v>
      </c>
      <c r="CC34" s="4">
        <v>318.45</v>
      </c>
      <c r="CD34" s="4">
        <v>45230</v>
      </c>
      <c r="CE34" s="4">
        <v>540.64</v>
      </c>
      <c r="CF34" s="4">
        <v>45230</v>
      </c>
      <c r="CG34" s="4">
        <v>294.88</v>
      </c>
      <c r="CH34" s="4">
        <v>45230</v>
      </c>
      <c r="CI34" s="4">
        <v>218.6</v>
      </c>
      <c r="CJ34" s="4">
        <v>45230</v>
      </c>
      <c r="CK34" s="4">
        <v>137.76</v>
      </c>
      <c r="CL34" s="4">
        <v>45230</v>
      </c>
      <c r="CM34" s="4">
        <v>173.99</v>
      </c>
      <c r="CN34" s="4">
        <v>45230</v>
      </c>
      <c r="CO34" s="4">
        <v>150</v>
      </c>
      <c r="CP34" s="4">
        <v>45230</v>
      </c>
      <c r="CQ34" s="4">
        <v>261.45</v>
      </c>
      <c r="CR34" s="4">
        <v>45230</v>
      </c>
      <c r="CS34" s="4">
        <v>377.33</v>
      </c>
      <c r="CT34" s="4">
        <v>45230</v>
      </c>
      <c r="CU34" s="4">
        <v>255.21</v>
      </c>
      <c r="CV34" s="4">
        <v>45230</v>
      </c>
      <c r="CW34" s="4">
        <v>157.29</v>
      </c>
      <c r="CX34" s="4">
        <v>45230</v>
      </c>
      <c r="CY34" s="4">
        <v>202.34</v>
      </c>
      <c r="CZ34" s="4">
        <v>45230</v>
      </c>
      <c r="DA34" s="4">
        <v>218.49</v>
      </c>
      <c r="DB34" s="4">
        <v>45230</v>
      </c>
      <c r="DC34" s="4">
        <v>470</v>
      </c>
      <c r="DD34" s="4">
        <v>45230</v>
      </c>
      <c r="DE34" s="4">
        <v>409</v>
      </c>
      <c r="DF34" s="4">
        <v>45230</v>
      </c>
      <c r="DG34" s="4">
        <v>184.23</v>
      </c>
      <c r="DH34" s="4">
        <v>45230</v>
      </c>
      <c r="DI34" s="4">
        <v>125</v>
      </c>
      <c r="DJ34" s="4">
        <v>45230</v>
      </c>
      <c r="DK34" s="4">
        <v>120</v>
      </c>
      <c r="DL34" s="4">
        <v>45230</v>
      </c>
      <c r="DM34" s="4">
        <v>145</v>
      </c>
      <c r="DN34" s="4">
        <v>45199</v>
      </c>
      <c r="DO34" s="4">
        <v>203</v>
      </c>
      <c r="DP34" s="4">
        <v>45230</v>
      </c>
      <c r="DQ34" s="4">
        <v>263.98</v>
      </c>
      <c r="DR34" s="4">
        <v>45199</v>
      </c>
      <c r="DS34" s="4">
        <v>421.01</v>
      </c>
      <c r="DT34" s="4">
        <v>45199</v>
      </c>
      <c r="DU34" s="4">
        <v>248.99</v>
      </c>
      <c r="DV34" s="4">
        <v>45230</v>
      </c>
      <c r="DW34" s="4">
        <v>349.6</v>
      </c>
      <c r="DZ34" s="4" t="s">
        <v>248</v>
      </c>
      <c r="EA34" s="4" t="s">
        <v>301</v>
      </c>
    </row>
    <row r="35" spans="1:131" x14ac:dyDescent="0.3">
      <c r="A35" s="5" t="s">
        <v>112</v>
      </c>
      <c r="C35" s="14" t="str">
        <f t="shared" si="4"/>
        <v>20238</v>
      </c>
      <c r="D35" s="6">
        <v>45169</v>
      </c>
      <c r="E35" s="4">
        <v>187.26</v>
      </c>
      <c r="F35" s="4">
        <v>289.89999999999998</v>
      </c>
      <c r="G35" s="4">
        <v>95.5</v>
      </c>
      <c r="H35" s="4">
        <v>304.10000000000002</v>
      </c>
      <c r="I35" s="4">
        <v>116.9</v>
      </c>
      <c r="J35" s="4">
        <v>160.88999999999999</v>
      </c>
      <c r="K35" s="4">
        <v>213</v>
      </c>
      <c r="L35" s="4">
        <v>175.63</v>
      </c>
      <c r="M35" s="4">
        <v>121.98</v>
      </c>
      <c r="N35" s="4">
        <v>155</v>
      </c>
      <c r="O35" s="4">
        <v>49</v>
      </c>
      <c r="P35" s="4">
        <v>190</v>
      </c>
      <c r="Q35" s="4">
        <v>422.86</v>
      </c>
      <c r="R35" s="4">
        <v>286.83</v>
      </c>
      <c r="S35" s="4">
        <v>73.489999999999995</v>
      </c>
      <c r="T35" s="4">
        <v>189.73</v>
      </c>
      <c r="U35" s="4">
        <v>306.42</v>
      </c>
      <c r="V35" s="4">
        <v>294.18</v>
      </c>
      <c r="W35" s="4">
        <v>194</v>
      </c>
      <c r="X35" s="4">
        <v>209</v>
      </c>
      <c r="Y35" s="4">
        <v>278.5</v>
      </c>
      <c r="Z35" s="4">
        <v>490.84</v>
      </c>
      <c r="AA35" s="4">
        <v>300.29000000000002</v>
      </c>
      <c r="AB35" s="4">
        <v>204</v>
      </c>
      <c r="AC35" s="4">
        <v>149.69</v>
      </c>
      <c r="AD35" s="4">
        <v>246.03</v>
      </c>
      <c r="AE35" s="4">
        <v>438.33</v>
      </c>
      <c r="AF35" s="4">
        <v>241.25</v>
      </c>
      <c r="AG35" s="4">
        <v>441.17</v>
      </c>
      <c r="AH35" s="4">
        <v>130.16999999999999</v>
      </c>
      <c r="AI35" s="4">
        <v>291</v>
      </c>
      <c r="AJ35" s="4">
        <v>324.08</v>
      </c>
      <c r="AK35" s="4">
        <v>219.67</v>
      </c>
      <c r="AL35" s="4">
        <v>193.11</v>
      </c>
      <c r="AM35" s="4">
        <v>240.03</v>
      </c>
      <c r="AN35" s="4">
        <v>293.27999999999997</v>
      </c>
      <c r="AO35" s="4">
        <v>564.47</v>
      </c>
      <c r="AP35" s="4">
        <v>502</v>
      </c>
      <c r="AQ35" s="4">
        <v>280</v>
      </c>
      <c r="AR35" s="4">
        <v>521.55999999999995</v>
      </c>
      <c r="AS35" s="4">
        <v>293.18</v>
      </c>
      <c r="AT35" s="4">
        <v>197.5</v>
      </c>
      <c r="AU35" s="4">
        <v>137.22</v>
      </c>
      <c r="AV35" s="4">
        <v>179.71</v>
      </c>
      <c r="AW35" s="4">
        <v>172.58</v>
      </c>
      <c r="AX35" s="4">
        <v>259.02999999999997</v>
      </c>
      <c r="AY35" s="4">
        <v>443.33</v>
      </c>
      <c r="AZ35" s="4">
        <v>259.55</v>
      </c>
      <c r="BA35" s="4">
        <v>124.38</v>
      </c>
      <c r="BB35" s="4">
        <v>212.96</v>
      </c>
      <c r="BC35" s="4">
        <v>231.89</v>
      </c>
      <c r="BD35" s="4">
        <v>446.93</v>
      </c>
      <c r="BE35" s="4">
        <v>455</v>
      </c>
      <c r="BF35" s="4">
        <v>191.71</v>
      </c>
      <c r="BG35" s="4">
        <v>128</v>
      </c>
      <c r="BH35" s="4">
        <v>127.5</v>
      </c>
      <c r="BI35" s="4">
        <v>174</v>
      </c>
      <c r="BJ35" s="4">
        <v>199</v>
      </c>
      <c r="BK35" s="4">
        <v>305.19</v>
      </c>
      <c r="BL35" s="4">
        <v>451.32</v>
      </c>
      <c r="BM35" s="4">
        <v>245.03</v>
      </c>
      <c r="BN35" s="4">
        <v>372.77</v>
      </c>
      <c r="BO35" s="4">
        <v>328.18</v>
      </c>
      <c r="BP35" s="4">
        <v>45199</v>
      </c>
      <c r="BQ35" s="4">
        <v>186.71</v>
      </c>
      <c r="BR35" s="4">
        <v>45199</v>
      </c>
      <c r="BS35" s="4">
        <v>182.6</v>
      </c>
      <c r="BT35" s="4">
        <v>45199</v>
      </c>
      <c r="BU35" s="4">
        <v>253.7</v>
      </c>
      <c r="BV35" s="4">
        <v>45199</v>
      </c>
      <c r="BW35" s="4">
        <v>304.62</v>
      </c>
      <c r="BX35" s="4">
        <v>45199</v>
      </c>
      <c r="BY35" s="4">
        <v>550</v>
      </c>
      <c r="BZ35" s="4">
        <v>45199</v>
      </c>
      <c r="CA35" s="4">
        <v>550</v>
      </c>
      <c r="CB35" s="4">
        <v>45199</v>
      </c>
      <c r="CC35" s="4">
        <v>332.57</v>
      </c>
      <c r="CD35" s="4">
        <v>45199</v>
      </c>
      <c r="CE35" s="4">
        <v>557.14</v>
      </c>
      <c r="CF35" s="4">
        <v>45199</v>
      </c>
      <c r="CG35" s="4">
        <v>303.48</v>
      </c>
      <c r="CH35" s="4">
        <v>45199</v>
      </c>
      <c r="CI35" s="4">
        <v>224.13</v>
      </c>
      <c r="CJ35" s="4">
        <v>45199</v>
      </c>
      <c r="CK35" s="4">
        <v>154.11000000000001</v>
      </c>
      <c r="CL35" s="4">
        <v>45199</v>
      </c>
      <c r="CM35" s="4">
        <v>187.06</v>
      </c>
      <c r="CN35" s="4">
        <v>45199</v>
      </c>
      <c r="CO35" s="4">
        <v>197.5</v>
      </c>
      <c r="CP35" s="4">
        <v>45199</v>
      </c>
      <c r="CQ35" s="4">
        <v>260</v>
      </c>
      <c r="CR35" s="4">
        <v>45199</v>
      </c>
      <c r="CS35" s="4">
        <v>452</v>
      </c>
      <c r="CT35" s="4">
        <v>45199</v>
      </c>
      <c r="CU35" s="4">
        <v>263.52999999999997</v>
      </c>
      <c r="CV35" s="4">
        <v>45199</v>
      </c>
      <c r="CW35" s="4">
        <v>145.24</v>
      </c>
      <c r="CX35" s="4">
        <v>45199</v>
      </c>
      <c r="CY35" s="4">
        <v>212.85</v>
      </c>
      <c r="CZ35" s="4">
        <v>45199</v>
      </c>
      <c r="DA35" s="4">
        <v>227.54</v>
      </c>
      <c r="DB35" s="4">
        <v>45199</v>
      </c>
      <c r="DC35" s="4">
        <v>453.33</v>
      </c>
      <c r="DD35" s="4">
        <v>45199</v>
      </c>
      <c r="DE35" s="4">
        <v>470</v>
      </c>
      <c r="DF35" s="4">
        <v>45199</v>
      </c>
      <c r="DG35" s="4">
        <v>196.38</v>
      </c>
      <c r="DH35" s="4">
        <v>45199</v>
      </c>
      <c r="DI35" s="4">
        <v>142.9</v>
      </c>
      <c r="DJ35" s="4">
        <v>45199</v>
      </c>
      <c r="DK35" s="4">
        <v>153.75</v>
      </c>
      <c r="DL35" s="4">
        <v>45199</v>
      </c>
      <c r="DM35" s="4">
        <v>179.64</v>
      </c>
      <c r="DN35" s="4">
        <v>45169</v>
      </c>
      <c r="DO35" s="4">
        <v>199</v>
      </c>
      <c r="DP35" s="4">
        <v>45199</v>
      </c>
      <c r="DQ35" s="4">
        <v>309.26</v>
      </c>
      <c r="DR35" s="4">
        <v>45169</v>
      </c>
      <c r="DS35" s="4">
        <v>451.32</v>
      </c>
      <c r="DT35" s="4">
        <v>45169</v>
      </c>
      <c r="DU35" s="4">
        <v>245.03</v>
      </c>
      <c r="DV35" s="4">
        <v>45199</v>
      </c>
      <c r="DW35" s="4">
        <v>383.33</v>
      </c>
      <c r="DZ35" s="4" t="s">
        <v>302</v>
      </c>
      <c r="EA35" s="4" t="s">
        <v>303</v>
      </c>
    </row>
    <row r="36" spans="1:131" x14ac:dyDescent="0.3">
      <c r="A36" s="5" t="s">
        <v>113</v>
      </c>
      <c r="C36" s="14" t="str">
        <f t="shared" si="4"/>
        <v>20237</v>
      </c>
      <c r="D36" s="6">
        <v>45138</v>
      </c>
      <c r="E36" s="4">
        <v>186.58</v>
      </c>
      <c r="F36" s="4">
        <v>280.14999999999998</v>
      </c>
      <c r="G36" s="4">
        <v>87.69</v>
      </c>
      <c r="H36" s="4">
        <v>297.11</v>
      </c>
      <c r="I36" s="4">
        <v>124.7</v>
      </c>
      <c r="J36" s="4">
        <v>168.92</v>
      </c>
      <c r="K36" s="4">
        <v>202.72</v>
      </c>
      <c r="L36" s="4">
        <v>180.31</v>
      </c>
      <c r="M36" s="4">
        <v>128.83000000000001</v>
      </c>
      <c r="N36" s="4">
        <v>155</v>
      </c>
      <c r="O36" s="4">
        <v>73</v>
      </c>
      <c r="P36" s="4">
        <v>199.52</v>
      </c>
      <c r="Q36" s="4">
        <v>389.09</v>
      </c>
      <c r="R36" s="4">
        <v>297.61</v>
      </c>
      <c r="S36" s="4">
        <v>94.33</v>
      </c>
      <c r="T36" s="4">
        <v>157.38</v>
      </c>
      <c r="U36" s="4">
        <v>321.8</v>
      </c>
      <c r="V36" s="4">
        <v>304.63</v>
      </c>
      <c r="W36" s="4">
        <v>195</v>
      </c>
      <c r="X36" s="4">
        <v>228.31</v>
      </c>
      <c r="Y36" s="4">
        <v>313.33</v>
      </c>
      <c r="Z36" s="4">
        <v>440.05</v>
      </c>
      <c r="AA36" s="4">
        <v>289.08999999999997</v>
      </c>
      <c r="AB36" s="4">
        <v>185</v>
      </c>
      <c r="AC36" s="4">
        <v>208.45</v>
      </c>
      <c r="AD36" s="4">
        <v>238.71</v>
      </c>
      <c r="AE36" s="4">
        <v>406.67</v>
      </c>
      <c r="AF36" s="4">
        <v>213.4</v>
      </c>
      <c r="AG36" s="4">
        <v>374.57</v>
      </c>
      <c r="AH36" s="4">
        <v>120</v>
      </c>
      <c r="AI36" s="4">
        <v>285</v>
      </c>
      <c r="AJ36" s="4">
        <v>329.6</v>
      </c>
      <c r="AK36" s="4">
        <v>195</v>
      </c>
      <c r="AL36" s="4">
        <v>159.71</v>
      </c>
      <c r="AM36" s="4">
        <v>231.13</v>
      </c>
      <c r="AN36" s="4">
        <v>248.47</v>
      </c>
      <c r="AO36" s="4">
        <v>532.29999999999995</v>
      </c>
      <c r="AP36" s="4">
        <v>491.73</v>
      </c>
      <c r="AQ36" s="4">
        <v>287.14</v>
      </c>
      <c r="AR36" s="4">
        <v>507.38</v>
      </c>
      <c r="AS36" s="4">
        <v>272.93</v>
      </c>
      <c r="AT36" s="4">
        <v>209.01</v>
      </c>
      <c r="AU36" s="4">
        <v>141.24</v>
      </c>
      <c r="AV36" s="4">
        <v>175.83</v>
      </c>
      <c r="AW36" s="4">
        <v>146.66999999999999</v>
      </c>
      <c r="AX36" s="4">
        <v>236.13</v>
      </c>
      <c r="AY36" s="4">
        <v>424.17</v>
      </c>
      <c r="AZ36" s="4">
        <v>271</v>
      </c>
      <c r="BA36" s="4">
        <v>102.5</v>
      </c>
      <c r="BB36" s="4">
        <v>202.9</v>
      </c>
      <c r="BC36" s="4">
        <v>218.32</v>
      </c>
      <c r="BD36" s="4">
        <v>372.68</v>
      </c>
      <c r="BE36" s="4">
        <v>399</v>
      </c>
      <c r="BF36" s="4">
        <v>185.61</v>
      </c>
      <c r="BG36" s="4">
        <v>120</v>
      </c>
      <c r="BH36" s="4">
        <v>113.33</v>
      </c>
      <c r="BI36" s="4">
        <v>149.13999999999999</v>
      </c>
      <c r="BJ36" s="4">
        <v>164.38</v>
      </c>
      <c r="BK36" s="4">
        <v>313.79000000000002</v>
      </c>
      <c r="BL36" s="4">
        <v>393.14</v>
      </c>
      <c r="BM36" s="4">
        <v>255</v>
      </c>
      <c r="BN36" s="4">
        <v>300</v>
      </c>
      <c r="BO36" s="4">
        <v>324.08</v>
      </c>
      <c r="BP36" s="4">
        <v>45169</v>
      </c>
      <c r="BQ36" s="4">
        <v>219.67</v>
      </c>
      <c r="BR36" s="4">
        <v>45169</v>
      </c>
      <c r="BS36" s="4">
        <v>193.11</v>
      </c>
      <c r="BT36" s="4">
        <v>45169</v>
      </c>
      <c r="BU36" s="4">
        <v>240.03</v>
      </c>
      <c r="BV36" s="4">
        <v>45169</v>
      </c>
      <c r="BW36" s="4">
        <v>293.27999999999997</v>
      </c>
      <c r="BX36" s="4">
        <v>45169</v>
      </c>
      <c r="BY36" s="4">
        <v>564.47</v>
      </c>
      <c r="BZ36" s="4">
        <v>45169</v>
      </c>
      <c r="CA36" s="4">
        <v>502</v>
      </c>
      <c r="CB36" s="4">
        <v>45169</v>
      </c>
      <c r="CC36" s="4">
        <v>280</v>
      </c>
      <c r="CD36" s="4">
        <v>45169</v>
      </c>
      <c r="CE36" s="4">
        <v>521.55999999999995</v>
      </c>
      <c r="CF36" s="4">
        <v>45169</v>
      </c>
      <c r="CG36" s="4">
        <v>293.18</v>
      </c>
      <c r="CH36" s="4">
        <v>45169</v>
      </c>
      <c r="CI36" s="4">
        <v>197.5</v>
      </c>
      <c r="CJ36" s="4">
        <v>45169</v>
      </c>
      <c r="CK36" s="4">
        <v>137.22</v>
      </c>
      <c r="CL36" s="4">
        <v>45169</v>
      </c>
      <c r="CM36" s="4">
        <v>179.71</v>
      </c>
      <c r="CN36" s="4">
        <v>45169</v>
      </c>
      <c r="CO36" s="4">
        <v>172.58</v>
      </c>
      <c r="CP36" s="4">
        <v>45169</v>
      </c>
      <c r="CQ36" s="4">
        <v>259.02999999999997</v>
      </c>
      <c r="CR36" s="4">
        <v>45169</v>
      </c>
      <c r="CS36" s="4">
        <v>443.33</v>
      </c>
      <c r="CT36" s="4">
        <v>45169</v>
      </c>
      <c r="CU36" s="4">
        <v>259.55</v>
      </c>
      <c r="CV36" s="4">
        <v>45169</v>
      </c>
      <c r="CW36" s="4">
        <v>124.38</v>
      </c>
      <c r="CX36" s="4">
        <v>45169</v>
      </c>
      <c r="CY36" s="4">
        <v>212.96</v>
      </c>
      <c r="CZ36" s="4">
        <v>45169</v>
      </c>
      <c r="DA36" s="4">
        <v>231.89</v>
      </c>
      <c r="DB36" s="4">
        <v>45169</v>
      </c>
      <c r="DC36" s="4">
        <v>446.93</v>
      </c>
      <c r="DD36" s="4">
        <v>45169</v>
      </c>
      <c r="DE36" s="4">
        <v>455</v>
      </c>
      <c r="DF36" s="4">
        <v>45169</v>
      </c>
      <c r="DG36" s="4">
        <v>191.71</v>
      </c>
      <c r="DH36" s="4">
        <v>45169</v>
      </c>
      <c r="DI36" s="4">
        <v>128</v>
      </c>
      <c r="DJ36" s="4">
        <v>45169</v>
      </c>
      <c r="DK36" s="4">
        <v>127.5</v>
      </c>
      <c r="DL36" s="4">
        <v>45169</v>
      </c>
      <c r="DM36" s="4">
        <v>174</v>
      </c>
      <c r="DN36" s="4">
        <v>45138</v>
      </c>
      <c r="DO36" s="4">
        <v>164.38</v>
      </c>
      <c r="DP36" s="4">
        <v>45169</v>
      </c>
      <c r="DQ36" s="4">
        <v>305.19</v>
      </c>
      <c r="DR36" s="4">
        <v>45138</v>
      </c>
      <c r="DS36" s="4">
        <v>393.14</v>
      </c>
      <c r="DT36" s="4">
        <v>45138</v>
      </c>
      <c r="DU36" s="4">
        <v>255</v>
      </c>
      <c r="DV36" s="4">
        <v>45169</v>
      </c>
      <c r="DW36" s="4">
        <v>372.77</v>
      </c>
      <c r="DZ36" s="4" t="s">
        <v>304</v>
      </c>
      <c r="EA36" s="4" t="s">
        <v>305</v>
      </c>
    </row>
    <row r="37" spans="1:131" x14ac:dyDescent="0.3">
      <c r="A37" s="5" t="s">
        <v>114</v>
      </c>
      <c r="C37" s="14" t="str">
        <f t="shared" si="4"/>
        <v>20236</v>
      </c>
      <c r="D37" s="6">
        <v>45107</v>
      </c>
      <c r="E37" s="4">
        <v>186.58</v>
      </c>
      <c r="F37" s="4">
        <v>280.14999999999998</v>
      </c>
      <c r="G37" s="4">
        <v>87.69</v>
      </c>
      <c r="H37" s="4">
        <v>297.11</v>
      </c>
      <c r="I37" s="4">
        <v>124.7</v>
      </c>
      <c r="J37" s="4">
        <v>168.92</v>
      </c>
      <c r="K37" s="4">
        <v>202.72</v>
      </c>
      <c r="L37" s="4">
        <v>180.31</v>
      </c>
      <c r="M37" s="4">
        <v>128.83000000000001</v>
      </c>
      <c r="N37" s="4">
        <v>155</v>
      </c>
      <c r="O37" s="4">
        <v>73</v>
      </c>
      <c r="P37" s="4">
        <v>199.52</v>
      </c>
      <c r="Q37" s="4">
        <v>389.09</v>
      </c>
      <c r="R37" s="4">
        <v>297.61</v>
      </c>
      <c r="S37" s="4">
        <v>94.33</v>
      </c>
      <c r="T37" s="4">
        <v>157.38</v>
      </c>
      <c r="U37" s="4">
        <v>321.8</v>
      </c>
      <c r="V37" s="4">
        <v>304.63</v>
      </c>
      <c r="W37" s="4">
        <v>195</v>
      </c>
      <c r="X37" s="4">
        <v>228.31</v>
      </c>
      <c r="Y37" s="4">
        <v>313.33</v>
      </c>
      <c r="Z37" s="4">
        <v>440.05</v>
      </c>
      <c r="AA37" s="4">
        <v>289.08999999999997</v>
      </c>
      <c r="AB37" s="4">
        <v>185</v>
      </c>
      <c r="AC37" s="4">
        <v>208.45</v>
      </c>
      <c r="AD37" s="4">
        <v>238.71</v>
      </c>
      <c r="AE37" s="4">
        <v>406.67</v>
      </c>
      <c r="AF37" s="4">
        <v>213.4</v>
      </c>
      <c r="AG37" s="4">
        <v>374.57</v>
      </c>
      <c r="AH37" s="4">
        <v>120</v>
      </c>
      <c r="AI37" s="4">
        <v>285</v>
      </c>
      <c r="AJ37" s="4">
        <v>329.6</v>
      </c>
      <c r="AK37" s="4">
        <v>195</v>
      </c>
      <c r="AL37" s="4">
        <v>159.71</v>
      </c>
      <c r="AM37" s="4">
        <v>231.13</v>
      </c>
      <c r="AN37" s="4">
        <v>248.47</v>
      </c>
      <c r="AO37" s="4">
        <v>532.29999999999995</v>
      </c>
      <c r="AP37" s="4">
        <v>491.73</v>
      </c>
      <c r="AQ37" s="4">
        <v>287.14</v>
      </c>
      <c r="AR37" s="4">
        <v>507.38</v>
      </c>
      <c r="AS37" s="4">
        <v>272.93</v>
      </c>
      <c r="AT37" s="4">
        <v>209.01</v>
      </c>
      <c r="AU37" s="4">
        <v>141.24</v>
      </c>
      <c r="AV37" s="4">
        <v>175.83</v>
      </c>
      <c r="AW37" s="4">
        <v>146.66999999999999</v>
      </c>
      <c r="AX37" s="4">
        <v>236.13</v>
      </c>
      <c r="AY37" s="4">
        <v>424.17</v>
      </c>
      <c r="AZ37" s="4">
        <v>271</v>
      </c>
      <c r="BA37" s="4">
        <v>102.5</v>
      </c>
      <c r="BB37" s="4">
        <v>202.9</v>
      </c>
      <c r="BC37" s="4">
        <v>218.32</v>
      </c>
      <c r="BD37" s="4">
        <v>372.68</v>
      </c>
      <c r="BE37" s="4">
        <v>399</v>
      </c>
      <c r="BF37" s="4">
        <v>185.61</v>
      </c>
      <c r="BG37" s="4">
        <v>120</v>
      </c>
      <c r="BH37" s="4">
        <v>113.33</v>
      </c>
      <c r="BI37" s="4">
        <v>149.13999999999999</v>
      </c>
      <c r="BJ37" s="4">
        <v>164.38</v>
      </c>
      <c r="BK37" s="4">
        <v>313.79000000000002</v>
      </c>
      <c r="BL37" s="4">
        <v>393.14</v>
      </c>
      <c r="BM37" s="4">
        <v>255</v>
      </c>
      <c r="BN37" s="4">
        <v>300</v>
      </c>
      <c r="BO37" s="4">
        <v>329.6</v>
      </c>
      <c r="BP37" s="4">
        <v>45138</v>
      </c>
      <c r="BQ37" s="4">
        <v>195</v>
      </c>
      <c r="BR37" s="4">
        <v>45138</v>
      </c>
      <c r="BS37" s="4">
        <v>159.71</v>
      </c>
      <c r="BT37" s="4">
        <v>45138</v>
      </c>
      <c r="BU37" s="4">
        <v>231.13</v>
      </c>
      <c r="BV37" s="4">
        <v>45138</v>
      </c>
      <c r="BW37" s="4">
        <v>248.47</v>
      </c>
      <c r="BX37" s="4">
        <v>45138</v>
      </c>
      <c r="BY37" s="4">
        <v>532.29999999999995</v>
      </c>
      <c r="BZ37" s="4">
        <v>45138</v>
      </c>
      <c r="CA37" s="4">
        <v>491.73</v>
      </c>
      <c r="CB37" s="4">
        <v>45138</v>
      </c>
      <c r="CC37" s="4">
        <v>287.14</v>
      </c>
      <c r="CD37" s="4">
        <v>45138</v>
      </c>
      <c r="CE37" s="4">
        <v>507.38</v>
      </c>
      <c r="CF37" s="4">
        <v>45138</v>
      </c>
      <c r="CG37" s="4">
        <v>272.93</v>
      </c>
      <c r="CH37" s="4">
        <v>45138</v>
      </c>
      <c r="CI37" s="4">
        <v>209.01</v>
      </c>
      <c r="CJ37" s="4">
        <v>45138</v>
      </c>
      <c r="CK37" s="4">
        <v>141.24</v>
      </c>
      <c r="CL37" s="4">
        <v>45138</v>
      </c>
      <c r="CM37" s="4">
        <v>175.83</v>
      </c>
      <c r="CN37" s="4">
        <v>45138</v>
      </c>
      <c r="CO37" s="4">
        <v>146.66999999999999</v>
      </c>
      <c r="CP37" s="4">
        <v>45138</v>
      </c>
      <c r="CQ37" s="4">
        <v>236.13</v>
      </c>
      <c r="CR37" s="4">
        <v>45138</v>
      </c>
      <c r="CS37" s="4">
        <v>424.17</v>
      </c>
      <c r="CT37" s="4">
        <v>45138</v>
      </c>
      <c r="CU37" s="4">
        <v>271</v>
      </c>
      <c r="CV37" s="4">
        <v>45138</v>
      </c>
      <c r="CW37" s="4">
        <v>102.5</v>
      </c>
      <c r="CX37" s="4">
        <v>45138</v>
      </c>
      <c r="CY37" s="4">
        <v>202.9</v>
      </c>
      <c r="CZ37" s="4">
        <v>45138</v>
      </c>
      <c r="DA37" s="4">
        <v>218.32</v>
      </c>
      <c r="DB37" s="4">
        <v>45138</v>
      </c>
      <c r="DC37" s="4">
        <v>372.68</v>
      </c>
      <c r="DD37" s="4">
        <v>45138</v>
      </c>
      <c r="DE37" s="4">
        <v>399</v>
      </c>
      <c r="DF37" s="4">
        <v>45138</v>
      </c>
      <c r="DG37" s="4">
        <v>185.61</v>
      </c>
      <c r="DH37" s="4">
        <v>45138</v>
      </c>
      <c r="DI37" s="4">
        <v>120</v>
      </c>
      <c r="DJ37" s="4">
        <v>45138</v>
      </c>
      <c r="DK37" s="4">
        <v>113.33</v>
      </c>
      <c r="DL37" s="4">
        <v>45138</v>
      </c>
      <c r="DM37" s="4">
        <v>149.13999999999999</v>
      </c>
      <c r="DN37" s="4">
        <v>45107</v>
      </c>
      <c r="DO37" s="4">
        <v>164.38</v>
      </c>
      <c r="DP37" s="4">
        <v>45138</v>
      </c>
      <c r="DQ37" s="4">
        <v>313.79000000000002</v>
      </c>
      <c r="DR37" s="4">
        <v>45107</v>
      </c>
      <c r="DS37" s="4">
        <v>393.14</v>
      </c>
      <c r="DT37" s="4">
        <v>45107</v>
      </c>
      <c r="DU37" s="4">
        <v>255</v>
      </c>
      <c r="DV37" s="4">
        <v>45138</v>
      </c>
      <c r="DW37" s="4">
        <v>300</v>
      </c>
      <c r="DZ37" s="4" t="s">
        <v>306</v>
      </c>
      <c r="EA37" s="4" t="s">
        <v>307</v>
      </c>
    </row>
    <row r="38" spans="1:131" x14ac:dyDescent="0.3">
      <c r="A38" s="5" t="s">
        <v>115</v>
      </c>
      <c r="C38" s="14" t="str">
        <f t="shared" si="4"/>
        <v>20234</v>
      </c>
      <c r="D38" s="6">
        <v>45046</v>
      </c>
      <c r="E38" s="4">
        <v>173.39</v>
      </c>
      <c r="F38" s="4">
        <v>278.57</v>
      </c>
      <c r="G38" s="4">
        <v>86.67</v>
      </c>
      <c r="H38" s="4">
        <v>305.86</v>
      </c>
      <c r="I38" s="4">
        <v>134.31</v>
      </c>
      <c r="J38" s="4">
        <v>153</v>
      </c>
      <c r="K38" s="4">
        <v>225</v>
      </c>
      <c r="L38" s="4">
        <v>161</v>
      </c>
      <c r="M38" s="4">
        <v>138.96</v>
      </c>
      <c r="N38" s="4">
        <v>140.99</v>
      </c>
      <c r="O38" s="4">
        <v>76.17</v>
      </c>
      <c r="P38" s="4">
        <v>218.45</v>
      </c>
      <c r="Q38" s="4">
        <v>360</v>
      </c>
      <c r="R38" s="4">
        <v>300.23</v>
      </c>
      <c r="S38" s="4">
        <v>88</v>
      </c>
      <c r="T38" s="4">
        <v>156.16999999999999</v>
      </c>
      <c r="U38" s="4">
        <v>308.44</v>
      </c>
      <c r="V38" s="4">
        <v>300.23</v>
      </c>
      <c r="W38" s="4">
        <v>256.3</v>
      </c>
      <c r="X38" s="4">
        <v>277.2</v>
      </c>
      <c r="Y38" s="4">
        <v>340.71</v>
      </c>
      <c r="Z38" s="4">
        <v>469.54</v>
      </c>
      <c r="AA38" s="4">
        <v>295</v>
      </c>
      <c r="AB38" s="4">
        <v>226.9</v>
      </c>
      <c r="AC38" s="4">
        <v>200.75</v>
      </c>
      <c r="AD38" s="4">
        <v>242.5</v>
      </c>
      <c r="AE38" s="4">
        <v>395.67</v>
      </c>
      <c r="AF38" s="4">
        <v>273.88</v>
      </c>
      <c r="AG38" s="4">
        <v>394.91</v>
      </c>
      <c r="AH38" s="4">
        <v>130</v>
      </c>
      <c r="AI38" s="4">
        <v>258.75</v>
      </c>
      <c r="AJ38" s="4">
        <v>325</v>
      </c>
      <c r="AK38" s="4">
        <v>229.9</v>
      </c>
      <c r="AL38" s="4">
        <v>193.29</v>
      </c>
      <c r="AM38" s="4">
        <v>248</v>
      </c>
      <c r="AN38" s="4">
        <v>283.33</v>
      </c>
      <c r="AO38" s="4">
        <v>481.73</v>
      </c>
      <c r="AP38" s="4">
        <v>410.69</v>
      </c>
      <c r="AQ38" s="4">
        <v>295</v>
      </c>
      <c r="AR38" s="4">
        <v>490</v>
      </c>
      <c r="AS38" s="4">
        <v>272.22000000000003</v>
      </c>
      <c r="AT38" s="4">
        <v>201.93</v>
      </c>
      <c r="AU38" s="4">
        <v>152.91</v>
      </c>
      <c r="AV38" s="4">
        <v>191.81</v>
      </c>
      <c r="AW38" s="4">
        <v>162.6</v>
      </c>
      <c r="AX38" s="4">
        <v>239.02</v>
      </c>
      <c r="AY38" s="4">
        <v>431.33</v>
      </c>
      <c r="AZ38" s="4">
        <v>270.14999999999998</v>
      </c>
      <c r="BA38" s="4">
        <v>125</v>
      </c>
      <c r="BB38" s="4">
        <v>198</v>
      </c>
      <c r="BC38" s="4">
        <v>239.59</v>
      </c>
      <c r="BD38" s="4">
        <v>420</v>
      </c>
      <c r="BE38" s="4">
        <v>413.39</v>
      </c>
      <c r="BF38" s="4">
        <v>193</v>
      </c>
      <c r="BG38" s="4">
        <v>114</v>
      </c>
      <c r="BH38" s="4">
        <v>132.5</v>
      </c>
      <c r="BI38" s="4">
        <v>142.5</v>
      </c>
      <c r="BJ38" s="4">
        <v>158.33000000000001</v>
      </c>
      <c r="BK38" s="4">
        <v>316.68</v>
      </c>
      <c r="BL38" s="4">
        <v>414.84</v>
      </c>
      <c r="BM38" s="4">
        <v>254.09</v>
      </c>
      <c r="BN38" s="4">
        <v>334.11</v>
      </c>
      <c r="BO38" s="4">
        <v>329.6</v>
      </c>
      <c r="BP38" s="4">
        <v>45107</v>
      </c>
      <c r="BQ38" s="4">
        <v>195</v>
      </c>
      <c r="BR38" s="4">
        <v>45107</v>
      </c>
      <c r="BS38" s="4">
        <v>159.71</v>
      </c>
      <c r="BT38" s="4">
        <v>45107</v>
      </c>
      <c r="BU38" s="4">
        <v>231.13</v>
      </c>
      <c r="BV38" s="4">
        <v>45107</v>
      </c>
      <c r="BW38" s="4">
        <v>248.47</v>
      </c>
      <c r="BX38" s="4">
        <v>45107</v>
      </c>
      <c r="BY38" s="4">
        <v>532.29999999999995</v>
      </c>
      <c r="BZ38" s="4">
        <v>45107</v>
      </c>
      <c r="CA38" s="4">
        <v>491.73</v>
      </c>
      <c r="CB38" s="4">
        <v>45107</v>
      </c>
      <c r="CC38" s="4">
        <v>287.14</v>
      </c>
      <c r="CD38" s="4">
        <v>45107</v>
      </c>
      <c r="CE38" s="4">
        <v>507.38</v>
      </c>
      <c r="CF38" s="4">
        <v>45107</v>
      </c>
      <c r="CG38" s="4">
        <v>272.93</v>
      </c>
      <c r="CH38" s="4">
        <v>45107</v>
      </c>
      <c r="CI38" s="4">
        <v>209.01</v>
      </c>
      <c r="CJ38" s="4">
        <v>45107</v>
      </c>
      <c r="CK38" s="4">
        <v>141.24</v>
      </c>
      <c r="CL38" s="4">
        <v>45107</v>
      </c>
      <c r="CM38" s="4">
        <v>175.83</v>
      </c>
      <c r="CN38" s="4">
        <v>45107</v>
      </c>
      <c r="CO38" s="4">
        <v>146.66999999999999</v>
      </c>
      <c r="CP38" s="4">
        <v>45107</v>
      </c>
      <c r="CQ38" s="4">
        <v>236.13</v>
      </c>
      <c r="CR38" s="4">
        <v>45107</v>
      </c>
      <c r="CS38" s="4">
        <v>424.17</v>
      </c>
      <c r="CT38" s="4">
        <v>45107</v>
      </c>
      <c r="CU38" s="4">
        <v>271</v>
      </c>
      <c r="CV38" s="4">
        <v>45107</v>
      </c>
      <c r="CW38" s="4">
        <v>102.5</v>
      </c>
      <c r="CX38" s="4">
        <v>45107</v>
      </c>
      <c r="CY38" s="4">
        <v>202.9</v>
      </c>
      <c r="CZ38" s="4">
        <v>45107</v>
      </c>
      <c r="DA38" s="4">
        <v>218.32</v>
      </c>
      <c r="DB38" s="4">
        <v>45107</v>
      </c>
      <c r="DC38" s="4">
        <v>372.68</v>
      </c>
      <c r="DD38" s="4">
        <v>45107</v>
      </c>
      <c r="DE38" s="4">
        <v>399</v>
      </c>
      <c r="DF38" s="4">
        <v>45107</v>
      </c>
      <c r="DG38" s="4">
        <v>185.61</v>
      </c>
      <c r="DH38" s="4">
        <v>45107</v>
      </c>
      <c r="DI38" s="4">
        <v>120</v>
      </c>
      <c r="DJ38" s="4">
        <v>45107</v>
      </c>
      <c r="DK38" s="4">
        <v>113.33</v>
      </c>
      <c r="DL38" s="4">
        <v>45107</v>
      </c>
      <c r="DM38" s="4">
        <v>149.13999999999999</v>
      </c>
      <c r="DN38" s="4">
        <v>45046</v>
      </c>
      <c r="DO38" s="4">
        <v>158.33000000000001</v>
      </c>
      <c r="DP38" s="4">
        <v>45107</v>
      </c>
      <c r="DQ38" s="4">
        <v>313.79000000000002</v>
      </c>
      <c r="DR38" s="4">
        <v>45046</v>
      </c>
      <c r="DS38" s="4">
        <v>414.84</v>
      </c>
      <c r="DT38" s="4">
        <v>45046</v>
      </c>
      <c r="DU38" s="4">
        <v>254.09</v>
      </c>
      <c r="DV38" s="4">
        <v>45107</v>
      </c>
      <c r="DW38" s="4">
        <v>300</v>
      </c>
      <c r="DZ38" s="4" t="s">
        <v>308</v>
      </c>
      <c r="EA38" s="4" t="s">
        <v>309</v>
      </c>
    </row>
    <row r="39" spans="1:131" x14ac:dyDescent="0.3">
      <c r="A39" s="5" t="s">
        <v>116</v>
      </c>
      <c r="C39" s="14" t="str">
        <f t="shared" si="4"/>
        <v>20233</v>
      </c>
      <c r="D39" s="6">
        <v>45016</v>
      </c>
      <c r="E39" s="4">
        <v>168.38</v>
      </c>
      <c r="F39" s="4">
        <v>274.08999999999997</v>
      </c>
      <c r="G39" s="4">
        <v>98.29</v>
      </c>
      <c r="H39" s="4">
        <v>290.17</v>
      </c>
      <c r="I39" s="4">
        <v>120.2</v>
      </c>
      <c r="J39" s="4">
        <v>155.63999999999999</v>
      </c>
      <c r="K39" s="4">
        <v>201.04</v>
      </c>
      <c r="L39" s="4">
        <v>179.03</v>
      </c>
      <c r="M39" s="4">
        <v>124.49</v>
      </c>
      <c r="N39" s="4">
        <v>160.44</v>
      </c>
      <c r="O39" s="4">
        <v>66.63</v>
      </c>
      <c r="P39" s="4">
        <v>193</v>
      </c>
      <c r="Q39" s="4">
        <v>356</v>
      </c>
      <c r="R39" s="4">
        <v>284</v>
      </c>
      <c r="S39" s="4">
        <v>94.81</v>
      </c>
      <c r="T39" s="4">
        <v>174.79</v>
      </c>
      <c r="U39" s="4">
        <v>328.96</v>
      </c>
      <c r="V39" s="4">
        <v>275.08</v>
      </c>
      <c r="W39" s="4">
        <v>183.5</v>
      </c>
      <c r="X39" s="4">
        <v>207.7</v>
      </c>
      <c r="Y39" s="4">
        <v>307.29000000000002</v>
      </c>
      <c r="Z39" s="4">
        <v>503.33</v>
      </c>
      <c r="AA39" s="4">
        <v>306.67</v>
      </c>
      <c r="AB39" s="4">
        <v>205.53</v>
      </c>
      <c r="AC39" s="4">
        <v>192.5</v>
      </c>
      <c r="AD39" s="4">
        <v>225</v>
      </c>
      <c r="AE39" s="4">
        <v>366.67</v>
      </c>
      <c r="AF39" s="4">
        <v>235</v>
      </c>
      <c r="AG39" s="4">
        <v>385.47</v>
      </c>
      <c r="AH39" s="4">
        <v>134.22</v>
      </c>
      <c r="AI39" s="4">
        <v>313.33</v>
      </c>
      <c r="AJ39" s="4">
        <v>313.05</v>
      </c>
      <c r="AK39" s="4">
        <v>195.75</v>
      </c>
      <c r="AL39" s="4">
        <v>181.34</v>
      </c>
      <c r="AM39" s="4">
        <v>270</v>
      </c>
      <c r="AN39" s="4">
        <v>288.60000000000002</v>
      </c>
      <c r="AO39" s="4">
        <v>565.12</v>
      </c>
      <c r="AP39" s="4">
        <v>520</v>
      </c>
      <c r="AQ39" s="4">
        <v>303.12</v>
      </c>
      <c r="AR39" s="4">
        <v>461.67</v>
      </c>
      <c r="AS39" s="4">
        <v>281.11</v>
      </c>
      <c r="AT39" s="4">
        <v>205</v>
      </c>
      <c r="AU39" s="4">
        <v>137.35</v>
      </c>
      <c r="AV39" s="4">
        <v>165.57</v>
      </c>
      <c r="AW39" s="4">
        <v>184.33</v>
      </c>
      <c r="AX39" s="4">
        <v>247.92</v>
      </c>
      <c r="AY39" s="4">
        <v>453.21</v>
      </c>
      <c r="AZ39" s="4">
        <v>281</v>
      </c>
      <c r="BA39" s="4">
        <v>116.6</v>
      </c>
      <c r="BB39" s="4">
        <v>178.96</v>
      </c>
      <c r="BC39" s="4">
        <v>217.21</v>
      </c>
      <c r="BD39" s="4">
        <v>413.33</v>
      </c>
      <c r="BE39" s="4">
        <v>409.48</v>
      </c>
      <c r="BF39" s="4">
        <v>171.05</v>
      </c>
      <c r="BG39" s="4">
        <v>141.5</v>
      </c>
      <c r="BH39" s="4">
        <v>124.85</v>
      </c>
      <c r="BI39" s="4">
        <v>176</v>
      </c>
      <c r="BJ39" s="4">
        <v>165.88</v>
      </c>
      <c r="BK39" s="4">
        <v>324.37</v>
      </c>
      <c r="BL39" s="4">
        <v>404.04</v>
      </c>
      <c r="BM39" s="4">
        <v>236.96</v>
      </c>
      <c r="BN39" s="4">
        <v>370.11</v>
      </c>
      <c r="BO39" s="4">
        <v>325</v>
      </c>
      <c r="BP39" s="4">
        <v>45046</v>
      </c>
      <c r="BQ39" s="4">
        <v>229.9</v>
      </c>
      <c r="BR39" s="4">
        <v>45046</v>
      </c>
      <c r="BS39" s="4">
        <v>193.29</v>
      </c>
      <c r="BT39" s="4">
        <v>45046</v>
      </c>
      <c r="BU39" s="4">
        <v>248</v>
      </c>
      <c r="BV39" s="4">
        <v>45046</v>
      </c>
      <c r="BW39" s="4">
        <v>283.33</v>
      </c>
      <c r="BX39" s="4">
        <v>45046</v>
      </c>
      <c r="BY39" s="4">
        <v>481.73</v>
      </c>
      <c r="BZ39" s="4">
        <v>45046</v>
      </c>
      <c r="CA39" s="4">
        <v>410.69</v>
      </c>
      <c r="CB39" s="4">
        <v>45046</v>
      </c>
      <c r="CC39" s="4">
        <v>295</v>
      </c>
      <c r="CD39" s="4">
        <v>45046</v>
      </c>
      <c r="CE39" s="4">
        <v>490</v>
      </c>
      <c r="CF39" s="4">
        <v>45046</v>
      </c>
      <c r="CG39" s="4">
        <v>272.22000000000003</v>
      </c>
      <c r="CH39" s="4">
        <v>45046</v>
      </c>
      <c r="CI39" s="4">
        <v>201.93</v>
      </c>
      <c r="CJ39" s="4">
        <v>45046</v>
      </c>
      <c r="CK39" s="4">
        <v>152.91</v>
      </c>
      <c r="CL39" s="4">
        <v>45046</v>
      </c>
      <c r="CM39" s="4">
        <v>191.81</v>
      </c>
      <c r="CN39" s="4">
        <v>45046</v>
      </c>
      <c r="CO39" s="4">
        <v>162.6</v>
      </c>
      <c r="CP39" s="4">
        <v>45046</v>
      </c>
      <c r="CQ39" s="4">
        <v>239.02</v>
      </c>
      <c r="CR39" s="4">
        <v>45046</v>
      </c>
      <c r="CS39" s="4">
        <v>431.33</v>
      </c>
      <c r="CT39" s="4">
        <v>45046</v>
      </c>
      <c r="CU39" s="4">
        <v>270.14999999999998</v>
      </c>
      <c r="CV39" s="4">
        <v>45046</v>
      </c>
      <c r="CW39" s="4">
        <v>125</v>
      </c>
      <c r="CX39" s="4">
        <v>45046</v>
      </c>
      <c r="CY39" s="4">
        <v>198</v>
      </c>
      <c r="CZ39" s="4">
        <v>45046</v>
      </c>
      <c r="DA39" s="4">
        <v>239.59</v>
      </c>
      <c r="DB39" s="4">
        <v>45046</v>
      </c>
      <c r="DC39" s="4">
        <v>420</v>
      </c>
      <c r="DD39" s="4">
        <v>45046</v>
      </c>
      <c r="DE39" s="4">
        <v>413.39</v>
      </c>
      <c r="DF39" s="4">
        <v>45046</v>
      </c>
      <c r="DG39" s="4">
        <v>193</v>
      </c>
      <c r="DH39" s="4">
        <v>45046</v>
      </c>
      <c r="DI39" s="4">
        <v>114</v>
      </c>
      <c r="DJ39" s="4">
        <v>45046</v>
      </c>
      <c r="DK39" s="4">
        <v>132.5</v>
      </c>
      <c r="DL39" s="4">
        <v>45046</v>
      </c>
      <c r="DM39" s="4">
        <v>142.5</v>
      </c>
      <c r="DN39" s="4">
        <v>45016</v>
      </c>
      <c r="DO39" s="4">
        <v>165.88</v>
      </c>
      <c r="DP39" s="4">
        <v>45046</v>
      </c>
      <c r="DQ39" s="4">
        <v>316.68</v>
      </c>
      <c r="DR39" s="4">
        <v>45016</v>
      </c>
      <c r="DS39" s="4">
        <v>404.04</v>
      </c>
      <c r="DT39" s="4">
        <v>45016</v>
      </c>
      <c r="DU39" s="4">
        <v>236.96</v>
      </c>
      <c r="DV39" s="4">
        <v>45046</v>
      </c>
      <c r="DW39" s="4">
        <v>334.11</v>
      </c>
      <c r="DZ39" s="4" t="s">
        <v>310</v>
      </c>
      <c r="EA39" s="4" t="s">
        <v>311</v>
      </c>
    </row>
    <row r="40" spans="1:131" x14ac:dyDescent="0.3">
      <c r="A40" s="5" t="s">
        <v>117</v>
      </c>
      <c r="C40" s="14" t="str">
        <f t="shared" si="4"/>
        <v>20232</v>
      </c>
      <c r="D40" s="6">
        <v>44985</v>
      </c>
      <c r="E40" s="4">
        <v>206.75</v>
      </c>
      <c r="F40" s="4">
        <v>298.18</v>
      </c>
      <c r="G40" s="4">
        <v>92.57</v>
      </c>
      <c r="H40" s="4">
        <v>315.45</v>
      </c>
      <c r="I40" s="4">
        <v>129.13</v>
      </c>
      <c r="J40" s="4">
        <v>186.5</v>
      </c>
      <c r="K40" s="4">
        <v>232.1</v>
      </c>
      <c r="L40" s="4">
        <v>197.22</v>
      </c>
      <c r="M40" s="4">
        <v>134.59</v>
      </c>
      <c r="N40" s="4">
        <v>171.06</v>
      </c>
      <c r="O40" s="4">
        <v>60.91</v>
      </c>
      <c r="P40" s="4">
        <v>227.88</v>
      </c>
      <c r="Q40" s="4">
        <v>432.5</v>
      </c>
      <c r="R40" s="4">
        <v>329.71</v>
      </c>
      <c r="S40" s="4">
        <v>73</v>
      </c>
      <c r="T40" s="4">
        <v>149.27000000000001</v>
      </c>
      <c r="U40" s="4">
        <v>337.46</v>
      </c>
      <c r="V40" s="4">
        <v>332.61</v>
      </c>
      <c r="W40" s="4">
        <v>224.29</v>
      </c>
      <c r="X40" s="4">
        <v>242.39</v>
      </c>
      <c r="Y40" s="4">
        <v>310</v>
      </c>
      <c r="Z40" s="4">
        <v>520</v>
      </c>
      <c r="AA40" s="4">
        <v>332.5</v>
      </c>
      <c r="AB40" s="4">
        <v>237.8</v>
      </c>
      <c r="AC40" s="4">
        <v>164.36</v>
      </c>
      <c r="AD40" s="4">
        <v>233.33</v>
      </c>
      <c r="AE40" s="4">
        <v>426.67</v>
      </c>
      <c r="AF40" s="4">
        <v>235</v>
      </c>
      <c r="AG40" s="4">
        <v>400.63</v>
      </c>
      <c r="AH40" s="4">
        <v>144.74</v>
      </c>
      <c r="AI40" s="4">
        <v>330</v>
      </c>
      <c r="AJ40" s="4">
        <v>344.45</v>
      </c>
      <c r="AK40" s="4">
        <v>200.29</v>
      </c>
      <c r="AL40" s="4">
        <v>154.91999999999999</v>
      </c>
      <c r="AM40" s="4">
        <v>233.33</v>
      </c>
      <c r="AN40" s="4">
        <v>268.89999999999998</v>
      </c>
      <c r="AO40" s="4">
        <v>571.76</v>
      </c>
      <c r="AP40" s="4">
        <v>418.64</v>
      </c>
      <c r="AQ40" s="4">
        <v>359.35</v>
      </c>
      <c r="AR40" s="4">
        <v>542.5</v>
      </c>
      <c r="AS40" s="4">
        <v>329.13</v>
      </c>
      <c r="AT40" s="4">
        <v>221.07</v>
      </c>
      <c r="AU40" s="4">
        <v>150.97</v>
      </c>
      <c r="AV40" s="4">
        <v>196.62</v>
      </c>
      <c r="AW40" s="4">
        <v>140</v>
      </c>
      <c r="AX40" s="4">
        <v>283.56</v>
      </c>
      <c r="AY40" s="4">
        <v>425.71</v>
      </c>
      <c r="AZ40" s="4">
        <v>318.91000000000003</v>
      </c>
      <c r="BA40" s="4">
        <v>124.55</v>
      </c>
      <c r="BB40" s="4">
        <v>232.34</v>
      </c>
      <c r="BC40" s="4">
        <v>252.69</v>
      </c>
      <c r="BD40" s="4">
        <v>427.5</v>
      </c>
      <c r="BE40" s="4">
        <v>448.05</v>
      </c>
      <c r="BF40" s="4">
        <v>209.52</v>
      </c>
      <c r="BG40" s="4">
        <v>142.81</v>
      </c>
      <c r="BH40" s="4">
        <v>134</v>
      </c>
      <c r="BI40" s="4">
        <v>176</v>
      </c>
      <c r="BJ40" s="4">
        <v>144.27000000000001</v>
      </c>
      <c r="BK40" s="4">
        <v>336.97</v>
      </c>
      <c r="BL40" s="4">
        <v>423.36</v>
      </c>
      <c r="BM40" s="4">
        <v>255</v>
      </c>
      <c r="BN40" s="4">
        <v>380</v>
      </c>
      <c r="BO40" s="4">
        <v>313.05</v>
      </c>
      <c r="BP40" s="4">
        <v>45016</v>
      </c>
      <c r="BQ40" s="4">
        <v>195.75</v>
      </c>
      <c r="BR40" s="4">
        <v>45016</v>
      </c>
      <c r="BS40" s="4">
        <v>181.34</v>
      </c>
      <c r="BT40" s="4">
        <v>45016</v>
      </c>
      <c r="BU40" s="4">
        <v>270</v>
      </c>
      <c r="BV40" s="4">
        <v>45016</v>
      </c>
      <c r="BW40" s="4">
        <v>288.60000000000002</v>
      </c>
      <c r="BX40" s="4">
        <v>45016</v>
      </c>
      <c r="BY40" s="4">
        <v>565.12</v>
      </c>
      <c r="BZ40" s="4">
        <v>45016</v>
      </c>
      <c r="CA40" s="4">
        <v>520</v>
      </c>
      <c r="CB40" s="4">
        <v>45016</v>
      </c>
      <c r="CC40" s="4">
        <v>303.12</v>
      </c>
      <c r="CD40" s="4">
        <v>45016</v>
      </c>
      <c r="CE40" s="4">
        <v>461.67</v>
      </c>
      <c r="CF40" s="4">
        <v>45016</v>
      </c>
      <c r="CG40" s="4">
        <v>281.11</v>
      </c>
      <c r="CH40" s="4">
        <v>45016</v>
      </c>
      <c r="CI40" s="4">
        <v>205</v>
      </c>
      <c r="CJ40" s="4">
        <v>45016</v>
      </c>
      <c r="CK40" s="4">
        <v>137.35</v>
      </c>
      <c r="CL40" s="4">
        <v>45016</v>
      </c>
      <c r="CM40" s="4">
        <v>165.57</v>
      </c>
      <c r="CN40" s="4">
        <v>45016</v>
      </c>
      <c r="CO40" s="4">
        <v>184.33</v>
      </c>
      <c r="CP40" s="4">
        <v>45016</v>
      </c>
      <c r="CQ40" s="4">
        <v>247.92</v>
      </c>
      <c r="CR40" s="4">
        <v>45016</v>
      </c>
      <c r="CS40" s="4">
        <v>453.21</v>
      </c>
      <c r="CT40" s="4">
        <v>45016</v>
      </c>
      <c r="CU40" s="4">
        <v>281</v>
      </c>
      <c r="CV40" s="4">
        <v>45016</v>
      </c>
      <c r="CW40" s="4">
        <v>116.6</v>
      </c>
      <c r="CX40" s="4">
        <v>45016</v>
      </c>
      <c r="CY40" s="4">
        <v>178.96</v>
      </c>
      <c r="CZ40" s="4">
        <v>45016</v>
      </c>
      <c r="DA40" s="4">
        <v>217.21</v>
      </c>
      <c r="DB40" s="4">
        <v>45016</v>
      </c>
      <c r="DC40" s="4">
        <v>413.33</v>
      </c>
      <c r="DD40" s="4">
        <v>45016</v>
      </c>
      <c r="DE40" s="4">
        <v>409.48</v>
      </c>
      <c r="DF40" s="4">
        <v>45016</v>
      </c>
      <c r="DG40" s="4">
        <v>171.05</v>
      </c>
      <c r="DH40" s="4">
        <v>45016</v>
      </c>
      <c r="DI40" s="4">
        <v>141.5</v>
      </c>
      <c r="DJ40" s="4">
        <v>45016</v>
      </c>
      <c r="DK40" s="4">
        <v>124.85</v>
      </c>
      <c r="DL40" s="4">
        <v>45016</v>
      </c>
      <c r="DM40" s="4">
        <v>176</v>
      </c>
      <c r="DN40" s="4">
        <v>44985</v>
      </c>
      <c r="DO40" s="4">
        <v>144.27000000000001</v>
      </c>
      <c r="DP40" s="4">
        <v>45016</v>
      </c>
      <c r="DQ40" s="4">
        <v>324.37</v>
      </c>
      <c r="DR40" s="4">
        <v>44985</v>
      </c>
      <c r="DS40" s="4">
        <v>423.36</v>
      </c>
      <c r="DT40" s="4">
        <v>44985</v>
      </c>
      <c r="DU40" s="4">
        <v>255</v>
      </c>
      <c r="DV40" s="4">
        <v>45016</v>
      </c>
      <c r="DW40" s="4">
        <v>370.11</v>
      </c>
      <c r="DZ40" s="4" t="s">
        <v>312</v>
      </c>
      <c r="EA40" s="4" t="s">
        <v>313</v>
      </c>
    </row>
    <row r="41" spans="1:131" x14ac:dyDescent="0.3">
      <c r="A41" s="5" t="s">
        <v>118</v>
      </c>
      <c r="C41" s="14" t="str">
        <f t="shared" si="4"/>
        <v>202211</v>
      </c>
      <c r="D41" s="6">
        <v>44895</v>
      </c>
      <c r="E41" s="4">
        <v>160</v>
      </c>
      <c r="F41" s="4">
        <v>239.25</v>
      </c>
      <c r="G41" s="4">
        <v>70</v>
      </c>
      <c r="H41" s="4">
        <v>275</v>
      </c>
      <c r="I41" s="4">
        <v>105.65</v>
      </c>
      <c r="J41" s="4">
        <v>144</v>
      </c>
      <c r="K41" s="4">
        <v>193.36</v>
      </c>
      <c r="L41" s="4">
        <v>154.5</v>
      </c>
      <c r="M41" s="4">
        <v>110.23</v>
      </c>
      <c r="N41" s="4">
        <v>126.49</v>
      </c>
      <c r="O41" s="4">
        <v>48.34</v>
      </c>
      <c r="P41" s="4">
        <v>188.59</v>
      </c>
      <c r="Q41" s="4">
        <v>310</v>
      </c>
      <c r="R41" s="4">
        <v>264.41000000000003</v>
      </c>
      <c r="S41" s="4">
        <v>64</v>
      </c>
      <c r="T41" s="4">
        <v>98.33</v>
      </c>
      <c r="U41" s="4">
        <v>277.27</v>
      </c>
      <c r="V41" s="4">
        <v>269.24</v>
      </c>
      <c r="W41" s="4">
        <v>178.5</v>
      </c>
      <c r="X41" s="4">
        <v>205.54</v>
      </c>
      <c r="Y41" s="4">
        <v>255.34</v>
      </c>
      <c r="Z41" s="4">
        <v>460</v>
      </c>
      <c r="AA41" s="4">
        <v>310</v>
      </c>
      <c r="AB41" s="4">
        <v>196.93</v>
      </c>
      <c r="AC41" s="4">
        <v>135.24</v>
      </c>
      <c r="AD41" s="4">
        <v>266</v>
      </c>
      <c r="AE41" s="4">
        <v>340</v>
      </c>
      <c r="AF41" s="4">
        <v>238.5</v>
      </c>
      <c r="AG41" s="4">
        <v>342.02</v>
      </c>
      <c r="AH41" s="4">
        <v>133</v>
      </c>
      <c r="AI41" s="4">
        <v>290</v>
      </c>
      <c r="AJ41" s="4">
        <v>288.87</v>
      </c>
      <c r="AK41" s="4">
        <v>161.91999999999999</v>
      </c>
      <c r="AL41" s="4">
        <v>120</v>
      </c>
      <c r="AM41" s="4">
        <v>255</v>
      </c>
      <c r="AN41" s="4">
        <v>255.73</v>
      </c>
      <c r="AO41" s="4">
        <v>498.61</v>
      </c>
      <c r="AP41" s="4">
        <v>354.94</v>
      </c>
      <c r="AQ41" s="4">
        <v>278.75</v>
      </c>
      <c r="AR41" s="4">
        <v>440</v>
      </c>
      <c r="AS41" s="4">
        <v>257.58</v>
      </c>
      <c r="AT41" s="4">
        <v>189.37</v>
      </c>
      <c r="AU41" s="4">
        <v>123.99</v>
      </c>
      <c r="AV41" s="4">
        <v>162.33000000000001</v>
      </c>
      <c r="AW41" s="4">
        <v>97.5</v>
      </c>
      <c r="AX41" s="4">
        <v>225.65</v>
      </c>
      <c r="AY41" s="4">
        <v>405</v>
      </c>
      <c r="AZ41" s="4">
        <v>246.51</v>
      </c>
      <c r="BA41" s="4">
        <v>122.52</v>
      </c>
      <c r="BB41" s="4">
        <v>205.66</v>
      </c>
      <c r="BC41" s="4">
        <v>209.43</v>
      </c>
      <c r="BD41" s="4">
        <v>380</v>
      </c>
      <c r="BE41" s="4">
        <v>363.43</v>
      </c>
      <c r="BF41" s="4">
        <v>173.17</v>
      </c>
      <c r="BG41" s="4">
        <v>133.54</v>
      </c>
      <c r="BH41" s="4">
        <v>137</v>
      </c>
      <c r="BI41" s="4">
        <v>99</v>
      </c>
      <c r="BJ41" s="4">
        <v>112</v>
      </c>
      <c r="BK41" s="4">
        <v>276.47000000000003</v>
      </c>
      <c r="BL41" s="4">
        <v>358.33</v>
      </c>
      <c r="BM41" s="4">
        <v>236.5</v>
      </c>
      <c r="BN41" s="4">
        <v>325</v>
      </c>
      <c r="BO41" s="4">
        <v>344.45</v>
      </c>
      <c r="BP41" s="4">
        <v>44985</v>
      </c>
      <c r="BQ41" s="4">
        <v>200.29</v>
      </c>
      <c r="BR41" s="4">
        <v>44985</v>
      </c>
      <c r="BS41" s="4">
        <v>154.91999999999999</v>
      </c>
      <c r="BT41" s="4">
        <v>44985</v>
      </c>
      <c r="BU41" s="4">
        <v>233.33</v>
      </c>
      <c r="BV41" s="4">
        <v>44985</v>
      </c>
      <c r="BW41" s="4">
        <v>268.89999999999998</v>
      </c>
      <c r="BX41" s="4">
        <v>44985</v>
      </c>
      <c r="BY41" s="4">
        <v>571.76</v>
      </c>
      <c r="BZ41" s="4">
        <v>44985</v>
      </c>
      <c r="CA41" s="4">
        <v>418.64</v>
      </c>
      <c r="CB41" s="4">
        <v>44985</v>
      </c>
      <c r="CC41" s="4">
        <v>359.35</v>
      </c>
      <c r="CD41" s="4">
        <v>44985</v>
      </c>
      <c r="CE41" s="4">
        <v>542.5</v>
      </c>
      <c r="CF41" s="4">
        <v>44985</v>
      </c>
      <c r="CG41" s="4">
        <v>329.13</v>
      </c>
      <c r="CH41" s="4">
        <v>44985</v>
      </c>
      <c r="CI41" s="4">
        <v>221.07</v>
      </c>
      <c r="CJ41" s="4">
        <v>44985</v>
      </c>
      <c r="CK41" s="4">
        <v>150.97</v>
      </c>
      <c r="CL41" s="4">
        <v>44985</v>
      </c>
      <c r="CM41" s="4">
        <v>196.62</v>
      </c>
      <c r="CN41" s="4">
        <v>44985</v>
      </c>
      <c r="CO41" s="4">
        <v>140</v>
      </c>
      <c r="CP41" s="4">
        <v>44985</v>
      </c>
      <c r="CQ41" s="4">
        <v>283.56</v>
      </c>
      <c r="CR41" s="4">
        <v>44985</v>
      </c>
      <c r="CS41" s="4">
        <v>425.71</v>
      </c>
      <c r="CT41" s="4">
        <v>44985</v>
      </c>
      <c r="CU41" s="4">
        <v>318.91000000000003</v>
      </c>
      <c r="CV41" s="4">
        <v>44985</v>
      </c>
      <c r="CW41" s="4">
        <v>124.55</v>
      </c>
      <c r="CX41" s="4">
        <v>44985</v>
      </c>
      <c r="CY41" s="4">
        <v>232.34</v>
      </c>
      <c r="CZ41" s="4">
        <v>44985</v>
      </c>
      <c r="DA41" s="4">
        <v>252.69</v>
      </c>
      <c r="DB41" s="4">
        <v>44985</v>
      </c>
      <c r="DC41" s="4">
        <v>427.5</v>
      </c>
      <c r="DD41" s="4">
        <v>44985</v>
      </c>
      <c r="DE41" s="4">
        <v>448.05</v>
      </c>
      <c r="DF41" s="4">
        <v>44985</v>
      </c>
      <c r="DG41" s="4">
        <v>209.52</v>
      </c>
      <c r="DH41" s="4">
        <v>44985</v>
      </c>
      <c r="DI41" s="4">
        <v>142.81</v>
      </c>
      <c r="DJ41" s="4">
        <v>44985</v>
      </c>
      <c r="DK41" s="4">
        <v>134</v>
      </c>
      <c r="DL41" s="4">
        <v>44985</v>
      </c>
      <c r="DM41" s="4">
        <v>176</v>
      </c>
      <c r="DN41" s="4">
        <v>44895</v>
      </c>
      <c r="DO41" s="4">
        <v>112</v>
      </c>
      <c r="DP41" s="4">
        <v>44985</v>
      </c>
      <c r="DQ41" s="4">
        <v>336.97</v>
      </c>
      <c r="DR41" s="4">
        <v>44895</v>
      </c>
      <c r="DS41" s="4">
        <v>358.33</v>
      </c>
      <c r="DT41" s="4">
        <v>44895</v>
      </c>
      <c r="DU41" s="4">
        <v>236.5</v>
      </c>
      <c r="DV41" s="4">
        <v>44985</v>
      </c>
      <c r="DW41" s="4">
        <v>380</v>
      </c>
      <c r="DZ41" s="4" t="s">
        <v>314</v>
      </c>
      <c r="EA41" s="4" t="s">
        <v>315</v>
      </c>
    </row>
    <row r="42" spans="1:131" x14ac:dyDescent="0.3">
      <c r="A42" s="5" t="s">
        <v>119</v>
      </c>
      <c r="C42" s="14" t="str">
        <f t="shared" si="4"/>
        <v>202210</v>
      </c>
      <c r="D42" s="6">
        <v>44865</v>
      </c>
      <c r="E42" s="4">
        <v>165</v>
      </c>
      <c r="F42" s="4">
        <v>238.75</v>
      </c>
      <c r="G42" s="4">
        <v>71.67</v>
      </c>
      <c r="H42" s="4">
        <v>262.5</v>
      </c>
      <c r="I42" s="4">
        <v>104.17</v>
      </c>
      <c r="J42" s="4">
        <v>150</v>
      </c>
      <c r="K42" s="4">
        <v>196.5</v>
      </c>
      <c r="L42" s="4">
        <v>155</v>
      </c>
      <c r="M42" s="4">
        <v>108.73</v>
      </c>
      <c r="N42" s="4">
        <v>124.92</v>
      </c>
      <c r="O42" s="4">
        <v>47.1</v>
      </c>
      <c r="P42" s="4">
        <v>186.75</v>
      </c>
      <c r="Q42" s="4">
        <v>310</v>
      </c>
      <c r="R42" s="4">
        <v>266.94</v>
      </c>
      <c r="S42" s="4">
        <v>70</v>
      </c>
      <c r="T42" s="4">
        <v>93.4</v>
      </c>
      <c r="U42" s="4">
        <v>285</v>
      </c>
      <c r="V42" s="4">
        <v>272.99</v>
      </c>
      <c r="W42" s="4">
        <v>175</v>
      </c>
      <c r="X42" s="4">
        <v>202.91</v>
      </c>
      <c r="Y42" s="4">
        <v>255.55</v>
      </c>
      <c r="Z42" s="4">
        <v>480</v>
      </c>
      <c r="AA42" s="4">
        <v>293.33</v>
      </c>
      <c r="AB42" s="4">
        <v>195.05</v>
      </c>
      <c r="AC42" s="4">
        <v>133.63</v>
      </c>
      <c r="AD42" s="4">
        <v>253</v>
      </c>
      <c r="AE42" s="4">
        <v>330</v>
      </c>
      <c r="AF42" s="4">
        <v>237.89</v>
      </c>
      <c r="AG42" s="4">
        <v>327.19</v>
      </c>
      <c r="AH42" s="4">
        <v>122.47</v>
      </c>
      <c r="AI42" s="4">
        <v>275</v>
      </c>
      <c r="AJ42" s="4">
        <v>297.63</v>
      </c>
      <c r="AK42" s="4">
        <v>160.19</v>
      </c>
      <c r="AL42" s="4">
        <v>135.41999999999999</v>
      </c>
      <c r="AM42" s="4">
        <v>260</v>
      </c>
      <c r="AN42" s="4">
        <v>255.26</v>
      </c>
      <c r="AO42" s="4">
        <v>484.32</v>
      </c>
      <c r="AP42" s="4">
        <v>337.44</v>
      </c>
      <c r="AQ42" s="4">
        <v>276.79000000000002</v>
      </c>
      <c r="AR42" s="4">
        <v>420</v>
      </c>
      <c r="AS42" s="4">
        <v>256.37</v>
      </c>
      <c r="AT42" s="4">
        <v>185.75</v>
      </c>
      <c r="AU42" s="4">
        <v>122.43</v>
      </c>
      <c r="AV42" s="4">
        <v>160.61000000000001</v>
      </c>
      <c r="AW42" s="4">
        <v>96</v>
      </c>
      <c r="AX42" s="4">
        <v>225.59</v>
      </c>
      <c r="AY42" s="4">
        <v>395</v>
      </c>
      <c r="AZ42" s="4">
        <v>244.46</v>
      </c>
      <c r="BA42" s="4">
        <v>114.49</v>
      </c>
      <c r="BB42" s="4">
        <v>185</v>
      </c>
      <c r="BC42" s="4">
        <v>207.5</v>
      </c>
      <c r="BD42" s="4">
        <v>380</v>
      </c>
      <c r="BE42" s="4">
        <v>361.13</v>
      </c>
      <c r="BF42" s="4">
        <v>171.4</v>
      </c>
      <c r="BG42" s="4">
        <v>121.7</v>
      </c>
      <c r="BH42" s="4">
        <v>118.22</v>
      </c>
      <c r="BI42" s="4">
        <v>104.75</v>
      </c>
      <c r="BJ42" s="4">
        <v>107.75</v>
      </c>
      <c r="BK42" s="4">
        <v>282.07</v>
      </c>
      <c r="BL42" s="4">
        <v>340.13</v>
      </c>
      <c r="BM42" s="4">
        <v>232.5</v>
      </c>
      <c r="BN42" s="4">
        <v>320</v>
      </c>
      <c r="BO42" s="4">
        <v>288.87</v>
      </c>
      <c r="BP42" s="4">
        <v>44895</v>
      </c>
      <c r="BQ42" s="4">
        <v>161.91999999999999</v>
      </c>
      <c r="BR42" s="4">
        <v>44895</v>
      </c>
      <c r="BS42" s="4">
        <v>120</v>
      </c>
      <c r="BT42" s="4">
        <v>44895</v>
      </c>
      <c r="BU42" s="4">
        <v>255</v>
      </c>
      <c r="BV42" s="4">
        <v>44895</v>
      </c>
      <c r="BW42" s="4">
        <v>255.73</v>
      </c>
      <c r="BX42" s="4">
        <v>44895</v>
      </c>
      <c r="BY42" s="4">
        <v>498.61</v>
      </c>
      <c r="BZ42" s="4">
        <v>44895</v>
      </c>
      <c r="CA42" s="4">
        <v>354.94</v>
      </c>
      <c r="CB42" s="4">
        <v>44895</v>
      </c>
      <c r="CC42" s="4">
        <v>278.75</v>
      </c>
      <c r="CD42" s="4">
        <v>44895</v>
      </c>
      <c r="CE42" s="4">
        <v>440</v>
      </c>
      <c r="CF42" s="4">
        <v>44895</v>
      </c>
      <c r="CG42" s="4">
        <v>257.58</v>
      </c>
      <c r="CH42" s="4">
        <v>44895</v>
      </c>
      <c r="CI42" s="4">
        <v>189.37</v>
      </c>
      <c r="CJ42" s="4">
        <v>44895</v>
      </c>
      <c r="CK42" s="4">
        <v>123.99</v>
      </c>
      <c r="CL42" s="4">
        <v>44895</v>
      </c>
      <c r="CM42" s="4">
        <v>162.33000000000001</v>
      </c>
      <c r="CN42" s="4">
        <v>44895</v>
      </c>
      <c r="CO42" s="4">
        <v>97.5</v>
      </c>
      <c r="CP42" s="4">
        <v>44895</v>
      </c>
      <c r="CQ42" s="4">
        <v>225.65</v>
      </c>
      <c r="CR42" s="4">
        <v>44895</v>
      </c>
      <c r="CS42" s="4">
        <v>405</v>
      </c>
      <c r="CT42" s="4">
        <v>44895</v>
      </c>
      <c r="CU42" s="4">
        <v>246.51</v>
      </c>
      <c r="CV42" s="4">
        <v>44895</v>
      </c>
      <c r="CW42" s="4">
        <v>122.52</v>
      </c>
      <c r="CX42" s="4">
        <v>44895</v>
      </c>
      <c r="CY42" s="4">
        <v>205.66</v>
      </c>
      <c r="CZ42" s="4">
        <v>44895</v>
      </c>
      <c r="DA42" s="4">
        <v>209.43</v>
      </c>
      <c r="DB42" s="4">
        <v>44895</v>
      </c>
      <c r="DC42" s="4">
        <v>380</v>
      </c>
      <c r="DD42" s="4">
        <v>44895</v>
      </c>
      <c r="DE42" s="4">
        <v>363.43</v>
      </c>
      <c r="DF42" s="4">
        <v>44895</v>
      </c>
      <c r="DG42" s="4">
        <v>173.17</v>
      </c>
      <c r="DH42" s="4">
        <v>44895</v>
      </c>
      <c r="DI42" s="4">
        <v>133.54</v>
      </c>
      <c r="DJ42" s="4">
        <v>44895</v>
      </c>
      <c r="DK42" s="4">
        <v>137</v>
      </c>
      <c r="DL42" s="4">
        <v>44895</v>
      </c>
      <c r="DM42" s="4">
        <v>99</v>
      </c>
      <c r="DN42" s="4">
        <v>44865</v>
      </c>
      <c r="DO42" s="4">
        <v>107.75</v>
      </c>
      <c r="DP42" s="4">
        <v>44895</v>
      </c>
      <c r="DQ42" s="4">
        <v>276.47000000000003</v>
      </c>
      <c r="DR42" s="4">
        <v>44865</v>
      </c>
      <c r="DS42" s="4">
        <v>340.13</v>
      </c>
      <c r="DT42" s="4">
        <v>44865</v>
      </c>
      <c r="DU42" s="4">
        <v>232.5</v>
      </c>
      <c r="DV42" s="4">
        <v>44895</v>
      </c>
      <c r="DW42" s="4">
        <v>325</v>
      </c>
      <c r="DZ42" s="4" t="s">
        <v>316</v>
      </c>
      <c r="EA42" s="4" t="s">
        <v>317</v>
      </c>
    </row>
    <row r="43" spans="1:131" x14ac:dyDescent="0.3">
      <c r="A43" s="5" t="s">
        <v>120</v>
      </c>
      <c r="C43" s="14" t="str">
        <f t="shared" si="4"/>
        <v>20228</v>
      </c>
      <c r="D43" s="6">
        <v>44804</v>
      </c>
      <c r="E43" s="4">
        <v>161</v>
      </c>
      <c r="F43" s="4">
        <v>271.27999999999997</v>
      </c>
      <c r="G43" s="4">
        <v>82.25</v>
      </c>
      <c r="H43" s="4">
        <v>305</v>
      </c>
      <c r="I43" s="4">
        <v>111.84</v>
      </c>
      <c r="J43" s="4">
        <v>145.66999999999999</v>
      </c>
      <c r="K43" s="4">
        <v>192.5</v>
      </c>
      <c r="L43" s="4">
        <v>151.66999999999999</v>
      </c>
      <c r="M43" s="4">
        <v>116.07</v>
      </c>
      <c r="N43" s="4">
        <v>159.19999999999999</v>
      </c>
      <c r="O43" s="4">
        <v>58.96</v>
      </c>
      <c r="P43" s="4">
        <v>188.37</v>
      </c>
      <c r="Q43" s="4">
        <v>362.5</v>
      </c>
      <c r="R43" s="4">
        <v>289.31</v>
      </c>
      <c r="S43" s="4">
        <v>75.5</v>
      </c>
      <c r="T43" s="4">
        <v>128.33000000000001</v>
      </c>
      <c r="U43" s="4">
        <v>304.45</v>
      </c>
      <c r="V43" s="4">
        <v>294.98</v>
      </c>
      <c r="W43" s="4">
        <v>167.5</v>
      </c>
      <c r="X43" s="4">
        <v>200.24</v>
      </c>
      <c r="Y43" s="4">
        <v>278.63</v>
      </c>
      <c r="Z43" s="4">
        <v>537.5</v>
      </c>
      <c r="AA43" s="4">
        <v>347.5</v>
      </c>
      <c r="AB43" s="4">
        <v>196.07</v>
      </c>
      <c r="AC43" s="4">
        <v>139.13999999999999</v>
      </c>
      <c r="AD43" s="4">
        <v>270</v>
      </c>
      <c r="AE43" s="4">
        <v>380</v>
      </c>
      <c r="AF43" s="4">
        <v>245</v>
      </c>
      <c r="AG43" s="4">
        <v>386.38</v>
      </c>
      <c r="AH43" s="4">
        <v>116.89</v>
      </c>
      <c r="AI43" s="4">
        <v>315</v>
      </c>
      <c r="AJ43" s="4">
        <v>318.10000000000002</v>
      </c>
      <c r="AK43" s="4">
        <v>163.76</v>
      </c>
      <c r="AL43" s="4">
        <v>140.82</v>
      </c>
      <c r="AM43" s="4">
        <v>270</v>
      </c>
      <c r="AN43" s="4">
        <v>264.89</v>
      </c>
      <c r="AO43" s="4">
        <v>483.08</v>
      </c>
      <c r="AP43" s="4">
        <v>399.09</v>
      </c>
      <c r="AQ43" s="4">
        <v>257.83999999999997</v>
      </c>
      <c r="AR43" s="4">
        <v>470</v>
      </c>
      <c r="AS43" s="4">
        <v>272.11</v>
      </c>
      <c r="AT43" s="4">
        <v>205</v>
      </c>
      <c r="AU43" s="4">
        <v>128.76</v>
      </c>
      <c r="AV43" s="4">
        <v>164.14</v>
      </c>
      <c r="AW43" s="4">
        <v>126.75</v>
      </c>
      <c r="AX43" s="4">
        <v>252.82</v>
      </c>
      <c r="AY43" s="4">
        <v>434.3</v>
      </c>
      <c r="AZ43" s="4">
        <v>268.20999999999998</v>
      </c>
      <c r="BA43" s="4">
        <v>106.91</v>
      </c>
      <c r="BB43" s="4">
        <v>191.83</v>
      </c>
      <c r="BC43" s="4">
        <v>207.6</v>
      </c>
      <c r="BD43" s="4">
        <v>400.94</v>
      </c>
      <c r="BE43" s="4">
        <v>410.47</v>
      </c>
      <c r="BF43" s="4">
        <v>174.14</v>
      </c>
      <c r="BG43" s="4">
        <v>106</v>
      </c>
      <c r="BH43" s="4">
        <v>111.58</v>
      </c>
      <c r="BI43" s="4">
        <v>118.5</v>
      </c>
      <c r="BJ43" s="4">
        <v>132</v>
      </c>
      <c r="BK43" s="4">
        <v>303.5</v>
      </c>
      <c r="BL43" s="4">
        <v>402.43</v>
      </c>
      <c r="BM43" s="4">
        <v>256.99</v>
      </c>
      <c r="BN43" s="4">
        <v>358.53</v>
      </c>
      <c r="BO43" s="4">
        <v>297.63</v>
      </c>
      <c r="BP43" s="4">
        <v>44865</v>
      </c>
      <c r="BQ43" s="4">
        <v>160.19</v>
      </c>
      <c r="BR43" s="4">
        <v>44865</v>
      </c>
      <c r="BS43" s="4">
        <v>135.41999999999999</v>
      </c>
      <c r="BT43" s="4">
        <v>44865</v>
      </c>
      <c r="BU43" s="4">
        <v>260</v>
      </c>
      <c r="BV43" s="4">
        <v>44865</v>
      </c>
      <c r="BW43" s="4">
        <v>255.26</v>
      </c>
      <c r="BX43" s="4">
        <v>44865</v>
      </c>
      <c r="BY43" s="4">
        <v>484.32</v>
      </c>
      <c r="BZ43" s="4">
        <v>44865</v>
      </c>
      <c r="CA43" s="4">
        <v>337.44</v>
      </c>
      <c r="CB43" s="4">
        <v>44865</v>
      </c>
      <c r="CC43" s="4">
        <v>276.79000000000002</v>
      </c>
      <c r="CD43" s="4">
        <v>44865</v>
      </c>
      <c r="CE43" s="4">
        <v>420</v>
      </c>
      <c r="CF43" s="4">
        <v>44865</v>
      </c>
      <c r="CG43" s="4">
        <v>256.37</v>
      </c>
      <c r="CH43" s="4">
        <v>44865</v>
      </c>
      <c r="CI43" s="4">
        <v>185.75</v>
      </c>
      <c r="CJ43" s="4">
        <v>44865</v>
      </c>
      <c r="CK43" s="4">
        <v>122.43</v>
      </c>
      <c r="CL43" s="4">
        <v>44865</v>
      </c>
      <c r="CM43" s="4">
        <v>160.61000000000001</v>
      </c>
      <c r="CN43" s="4">
        <v>44865</v>
      </c>
      <c r="CO43" s="4">
        <v>96</v>
      </c>
      <c r="CP43" s="4">
        <v>44865</v>
      </c>
      <c r="CQ43" s="4">
        <v>225.59</v>
      </c>
      <c r="CR43" s="4">
        <v>44865</v>
      </c>
      <c r="CS43" s="4">
        <v>395</v>
      </c>
      <c r="CT43" s="4">
        <v>44865</v>
      </c>
      <c r="CU43" s="4">
        <v>244.46</v>
      </c>
      <c r="CV43" s="4">
        <v>44865</v>
      </c>
      <c r="CW43" s="4">
        <v>114.49</v>
      </c>
      <c r="CX43" s="4">
        <v>44865</v>
      </c>
      <c r="CY43" s="4">
        <v>185</v>
      </c>
      <c r="CZ43" s="4">
        <v>44865</v>
      </c>
      <c r="DA43" s="4">
        <v>207.5</v>
      </c>
      <c r="DB43" s="4">
        <v>44865</v>
      </c>
      <c r="DC43" s="4">
        <v>380</v>
      </c>
      <c r="DD43" s="4">
        <v>44865</v>
      </c>
      <c r="DE43" s="4">
        <v>361.13</v>
      </c>
      <c r="DF43" s="4">
        <v>44865</v>
      </c>
      <c r="DG43" s="4">
        <v>171.4</v>
      </c>
      <c r="DH43" s="4">
        <v>44865</v>
      </c>
      <c r="DI43" s="4">
        <v>121.7</v>
      </c>
      <c r="DJ43" s="4">
        <v>44865</v>
      </c>
      <c r="DK43" s="4">
        <v>118.22</v>
      </c>
      <c r="DL43" s="4">
        <v>44865</v>
      </c>
      <c r="DM43" s="4">
        <v>104.75</v>
      </c>
      <c r="DN43" s="4">
        <v>44804</v>
      </c>
      <c r="DO43" s="4">
        <v>132</v>
      </c>
      <c r="DP43" s="4">
        <v>44865</v>
      </c>
      <c r="DQ43" s="4">
        <v>282.07</v>
      </c>
      <c r="DR43" s="4">
        <v>44804</v>
      </c>
      <c r="DS43" s="4">
        <v>402.43</v>
      </c>
      <c r="DT43" s="4">
        <v>44804</v>
      </c>
      <c r="DU43" s="4">
        <v>256.99</v>
      </c>
      <c r="DV43" s="4">
        <v>44865</v>
      </c>
      <c r="DW43" s="4">
        <v>320</v>
      </c>
      <c r="DZ43" s="4" t="s">
        <v>318</v>
      </c>
      <c r="EA43" s="4" t="s">
        <v>319</v>
      </c>
    </row>
    <row r="44" spans="1:131" x14ac:dyDescent="0.3">
      <c r="A44" s="5" t="s">
        <v>121</v>
      </c>
      <c r="C44" s="14" t="str">
        <f t="shared" si="4"/>
        <v>20227</v>
      </c>
      <c r="D44" s="6">
        <v>44773</v>
      </c>
      <c r="E44" s="4">
        <v>190</v>
      </c>
      <c r="F44" s="4">
        <v>301.67</v>
      </c>
      <c r="G44" s="4">
        <v>83</v>
      </c>
      <c r="H44" s="4">
        <v>330</v>
      </c>
      <c r="I44" s="4">
        <v>120.27</v>
      </c>
      <c r="J44" s="4">
        <v>165</v>
      </c>
      <c r="K44" s="4">
        <v>218.37</v>
      </c>
      <c r="L44" s="4">
        <v>179</v>
      </c>
      <c r="M44" s="4">
        <v>125.47</v>
      </c>
      <c r="N44" s="4">
        <v>159.19999999999999</v>
      </c>
      <c r="O44" s="4">
        <v>55.26</v>
      </c>
      <c r="P44" s="4">
        <v>214.36</v>
      </c>
      <c r="Q44" s="4">
        <v>440</v>
      </c>
      <c r="R44" s="4">
        <v>325.92</v>
      </c>
      <c r="S44" s="4">
        <v>92</v>
      </c>
      <c r="T44" s="4">
        <v>143.33000000000001</v>
      </c>
      <c r="U44" s="4">
        <v>342.02</v>
      </c>
      <c r="V44" s="4">
        <v>331.96</v>
      </c>
      <c r="W44" s="4">
        <v>200</v>
      </c>
      <c r="X44" s="4">
        <v>234.58</v>
      </c>
      <c r="Y44" s="4">
        <v>314.56</v>
      </c>
      <c r="Z44" s="4">
        <v>575</v>
      </c>
      <c r="AA44" s="4">
        <v>353.75</v>
      </c>
      <c r="AB44" s="4">
        <v>199</v>
      </c>
      <c r="AC44" s="4">
        <v>153.84</v>
      </c>
      <c r="AD44" s="4">
        <v>274</v>
      </c>
      <c r="AE44" s="4">
        <v>450</v>
      </c>
      <c r="AF44" s="4">
        <v>282.5</v>
      </c>
      <c r="AG44" s="4">
        <v>421.45</v>
      </c>
      <c r="AH44" s="4">
        <v>100</v>
      </c>
      <c r="AI44" s="4">
        <v>358.75</v>
      </c>
      <c r="AJ44" s="4">
        <v>356.55</v>
      </c>
      <c r="AK44" s="4">
        <v>184.1</v>
      </c>
      <c r="AL44" s="4">
        <v>147.75</v>
      </c>
      <c r="AM44" s="4">
        <v>267</v>
      </c>
      <c r="AN44" s="4">
        <v>386.75</v>
      </c>
      <c r="AO44" s="4">
        <v>573.24</v>
      </c>
      <c r="AP44" s="4">
        <v>440.87</v>
      </c>
      <c r="AQ44" s="4">
        <v>339.5</v>
      </c>
      <c r="AR44" s="4">
        <v>563.33000000000004</v>
      </c>
      <c r="AS44" s="4">
        <v>320</v>
      </c>
      <c r="AT44" s="4">
        <v>250</v>
      </c>
      <c r="AU44" s="4">
        <v>141.07</v>
      </c>
      <c r="AV44" s="4">
        <v>184.57</v>
      </c>
      <c r="AW44" s="4">
        <v>125</v>
      </c>
      <c r="AX44" s="4">
        <v>277.47000000000003</v>
      </c>
      <c r="AY44" s="4">
        <v>495</v>
      </c>
      <c r="AZ44" s="4">
        <v>303.49</v>
      </c>
      <c r="BA44" s="4">
        <v>98.67</v>
      </c>
      <c r="BB44" s="4">
        <v>220</v>
      </c>
      <c r="BC44" s="4">
        <v>238</v>
      </c>
      <c r="BD44" s="4">
        <v>495</v>
      </c>
      <c r="BE44" s="4">
        <v>460.83</v>
      </c>
      <c r="BF44" s="4">
        <v>204</v>
      </c>
      <c r="BG44" s="4">
        <v>100.34</v>
      </c>
      <c r="BH44" s="4">
        <v>121</v>
      </c>
      <c r="BI44" s="4">
        <v>127.29</v>
      </c>
      <c r="BJ44" s="4">
        <v>152.66999999999999</v>
      </c>
      <c r="BK44" s="4">
        <v>341.02</v>
      </c>
      <c r="BL44" s="4">
        <v>445.96</v>
      </c>
      <c r="BM44" s="4">
        <v>291.55</v>
      </c>
      <c r="BN44" s="4">
        <v>420</v>
      </c>
      <c r="BO44" s="4">
        <v>318.10000000000002</v>
      </c>
      <c r="BP44" s="4">
        <v>44804</v>
      </c>
      <c r="BQ44" s="4">
        <v>163.76</v>
      </c>
      <c r="BR44" s="4">
        <v>44804</v>
      </c>
      <c r="BS44" s="4">
        <v>140.82</v>
      </c>
      <c r="BT44" s="4">
        <v>44804</v>
      </c>
      <c r="BU44" s="4">
        <v>270</v>
      </c>
      <c r="BV44" s="4">
        <v>44804</v>
      </c>
      <c r="BW44" s="4">
        <v>264.89</v>
      </c>
      <c r="BX44" s="4">
        <v>44804</v>
      </c>
      <c r="BY44" s="4">
        <v>483.08</v>
      </c>
      <c r="BZ44" s="4">
        <v>44804</v>
      </c>
      <c r="CA44" s="4">
        <v>399.09</v>
      </c>
      <c r="CB44" s="4">
        <v>44804</v>
      </c>
      <c r="CC44" s="4">
        <v>257.83999999999997</v>
      </c>
      <c r="CD44" s="4">
        <v>44804</v>
      </c>
      <c r="CE44" s="4">
        <v>470</v>
      </c>
      <c r="CF44" s="4">
        <v>44804</v>
      </c>
      <c r="CG44" s="4">
        <v>272.11</v>
      </c>
      <c r="CH44" s="4">
        <v>44804</v>
      </c>
      <c r="CI44" s="4">
        <v>205</v>
      </c>
      <c r="CJ44" s="4">
        <v>44804</v>
      </c>
      <c r="CK44" s="4">
        <v>128.76</v>
      </c>
      <c r="CL44" s="4">
        <v>44804</v>
      </c>
      <c r="CM44" s="4">
        <v>164.14</v>
      </c>
      <c r="CN44" s="4">
        <v>44804</v>
      </c>
      <c r="CO44" s="4">
        <v>126.75</v>
      </c>
      <c r="CP44" s="4">
        <v>44804</v>
      </c>
      <c r="CQ44" s="4">
        <v>252.82</v>
      </c>
      <c r="CR44" s="4">
        <v>44804</v>
      </c>
      <c r="CS44" s="4">
        <v>434.3</v>
      </c>
      <c r="CT44" s="4">
        <v>44804</v>
      </c>
      <c r="CU44" s="4">
        <v>268.20999999999998</v>
      </c>
      <c r="CV44" s="4">
        <v>44804</v>
      </c>
      <c r="CW44" s="4">
        <v>106.91</v>
      </c>
      <c r="CX44" s="4">
        <v>44804</v>
      </c>
      <c r="CY44" s="4">
        <v>191.83</v>
      </c>
      <c r="CZ44" s="4">
        <v>44804</v>
      </c>
      <c r="DA44" s="4">
        <v>207.6</v>
      </c>
      <c r="DB44" s="4">
        <v>44804</v>
      </c>
      <c r="DC44" s="4">
        <v>400.94</v>
      </c>
      <c r="DD44" s="4">
        <v>44804</v>
      </c>
      <c r="DE44" s="4">
        <v>410.47</v>
      </c>
      <c r="DF44" s="4">
        <v>44804</v>
      </c>
      <c r="DG44" s="4">
        <v>174.14</v>
      </c>
      <c r="DH44" s="4">
        <v>44804</v>
      </c>
      <c r="DI44" s="4">
        <v>106</v>
      </c>
      <c r="DJ44" s="4">
        <v>44804</v>
      </c>
      <c r="DK44" s="4">
        <v>111.58</v>
      </c>
      <c r="DL44" s="4">
        <v>44804</v>
      </c>
      <c r="DM44" s="4">
        <v>118.5</v>
      </c>
      <c r="DN44" s="4">
        <v>44773</v>
      </c>
      <c r="DO44" s="4">
        <v>152.66999999999999</v>
      </c>
      <c r="DP44" s="4">
        <v>44804</v>
      </c>
      <c r="DQ44" s="4">
        <v>303.5</v>
      </c>
      <c r="DR44" s="4">
        <v>44773</v>
      </c>
      <c r="DS44" s="4">
        <v>445.96</v>
      </c>
      <c r="DT44" s="4">
        <v>44773</v>
      </c>
      <c r="DU44" s="4">
        <v>291.55</v>
      </c>
      <c r="DV44" s="4">
        <v>44804</v>
      </c>
      <c r="DW44" s="4">
        <v>358.53</v>
      </c>
      <c r="DZ44" s="4" t="s">
        <v>267</v>
      </c>
      <c r="EA44" s="4" t="s">
        <v>268</v>
      </c>
    </row>
    <row r="45" spans="1:131" x14ac:dyDescent="0.3">
      <c r="A45" s="5" t="s">
        <v>122</v>
      </c>
      <c r="C45" s="14" t="str">
        <f t="shared" si="4"/>
        <v>20226</v>
      </c>
      <c r="D45" s="6">
        <v>44742</v>
      </c>
      <c r="E45" s="4">
        <v>172.33</v>
      </c>
      <c r="F45" s="4">
        <v>258.13</v>
      </c>
      <c r="G45" s="4">
        <v>81.25</v>
      </c>
      <c r="H45" s="4">
        <v>290</v>
      </c>
      <c r="I45" s="4">
        <v>125</v>
      </c>
      <c r="J45" s="4">
        <v>156.66999999999999</v>
      </c>
      <c r="K45" s="4">
        <v>206.89</v>
      </c>
      <c r="L45" s="4">
        <v>171.88</v>
      </c>
      <c r="M45" s="4">
        <v>120.67</v>
      </c>
      <c r="N45" s="4">
        <v>152.15</v>
      </c>
      <c r="O45" s="4">
        <v>55.5</v>
      </c>
      <c r="P45" s="4">
        <v>203.16</v>
      </c>
      <c r="Q45" s="4">
        <v>363</v>
      </c>
      <c r="R45" s="4">
        <v>289.86</v>
      </c>
      <c r="S45" s="4">
        <v>81.63</v>
      </c>
      <c r="T45" s="4">
        <v>113.8</v>
      </c>
      <c r="U45" s="4">
        <v>307.24</v>
      </c>
      <c r="V45" s="4">
        <v>296.37</v>
      </c>
      <c r="W45" s="4">
        <v>182.5</v>
      </c>
      <c r="X45" s="4">
        <v>207.99</v>
      </c>
      <c r="Y45" s="4">
        <v>345</v>
      </c>
      <c r="Z45" s="4">
        <v>500</v>
      </c>
      <c r="AA45" s="4">
        <v>357.5</v>
      </c>
      <c r="AB45" s="4">
        <v>195</v>
      </c>
      <c r="AC45" s="4">
        <v>170</v>
      </c>
      <c r="AD45" s="4">
        <v>210</v>
      </c>
      <c r="AE45" s="4">
        <v>415</v>
      </c>
      <c r="AF45" s="4">
        <v>270</v>
      </c>
      <c r="AG45" s="4">
        <v>401.56</v>
      </c>
      <c r="AH45" s="4">
        <v>101.66</v>
      </c>
      <c r="AI45" s="4">
        <v>343.33</v>
      </c>
      <c r="AJ45" s="4">
        <v>322.91000000000003</v>
      </c>
      <c r="AK45" s="4">
        <v>175.08</v>
      </c>
      <c r="AL45" s="4">
        <v>110</v>
      </c>
      <c r="AM45" s="4">
        <v>200</v>
      </c>
      <c r="AN45" s="4">
        <v>450</v>
      </c>
      <c r="AO45" s="4">
        <v>560.66999999999996</v>
      </c>
      <c r="AP45" s="4">
        <v>416.52</v>
      </c>
      <c r="AQ45" s="4">
        <v>314.86</v>
      </c>
      <c r="AR45" s="4">
        <v>530</v>
      </c>
      <c r="AS45" s="4">
        <v>320</v>
      </c>
      <c r="AT45" s="4">
        <v>242.5</v>
      </c>
      <c r="AU45" s="4">
        <v>135.15</v>
      </c>
      <c r="AV45" s="4">
        <v>175</v>
      </c>
      <c r="AW45" s="4">
        <v>115.3</v>
      </c>
      <c r="AX45" s="4">
        <v>248.91</v>
      </c>
      <c r="AY45" s="4">
        <v>461.67</v>
      </c>
      <c r="AZ45" s="4">
        <v>265.64</v>
      </c>
      <c r="BA45" s="4">
        <v>84.36</v>
      </c>
      <c r="BB45" s="4">
        <v>215</v>
      </c>
      <c r="BC45" s="4">
        <v>225.1</v>
      </c>
      <c r="BD45" s="4">
        <v>400</v>
      </c>
      <c r="BE45" s="4">
        <v>421.76</v>
      </c>
      <c r="BF45" s="4">
        <v>210</v>
      </c>
      <c r="BG45" s="4">
        <v>99.67</v>
      </c>
      <c r="BH45" s="4">
        <v>92.46</v>
      </c>
      <c r="BI45" s="4">
        <v>118.1</v>
      </c>
      <c r="BJ45" s="4">
        <v>115.57</v>
      </c>
      <c r="BK45" s="4">
        <v>306.14999999999998</v>
      </c>
      <c r="BL45" s="4">
        <v>420.45</v>
      </c>
      <c r="BM45" s="4">
        <v>230</v>
      </c>
      <c r="BN45" s="4">
        <v>345</v>
      </c>
      <c r="BO45" s="4">
        <v>356.55</v>
      </c>
      <c r="BP45" s="4">
        <v>44773</v>
      </c>
      <c r="BQ45" s="4">
        <v>184.1</v>
      </c>
      <c r="BR45" s="4">
        <v>44773</v>
      </c>
      <c r="BS45" s="4">
        <v>147.75</v>
      </c>
      <c r="BT45" s="4">
        <v>44773</v>
      </c>
      <c r="BU45" s="4">
        <v>267</v>
      </c>
      <c r="BV45" s="4">
        <v>44773</v>
      </c>
      <c r="BW45" s="4">
        <v>386.75</v>
      </c>
      <c r="BX45" s="4">
        <v>44773</v>
      </c>
      <c r="BY45" s="4">
        <v>573.24</v>
      </c>
      <c r="BZ45" s="4">
        <v>44773</v>
      </c>
      <c r="CA45" s="4">
        <v>440.87</v>
      </c>
      <c r="CB45" s="4">
        <v>44773</v>
      </c>
      <c r="CC45" s="4">
        <v>339.5</v>
      </c>
      <c r="CD45" s="4">
        <v>44773</v>
      </c>
      <c r="CE45" s="4">
        <v>563.33000000000004</v>
      </c>
      <c r="CF45" s="4">
        <v>44773</v>
      </c>
      <c r="CG45" s="4">
        <v>320</v>
      </c>
      <c r="CH45" s="4">
        <v>44773</v>
      </c>
      <c r="CI45" s="4">
        <v>250</v>
      </c>
      <c r="CJ45" s="4">
        <v>44773</v>
      </c>
      <c r="CK45" s="4">
        <v>141.07</v>
      </c>
      <c r="CL45" s="4">
        <v>44773</v>
      </c>
      <c r="CM45" s="4">
        <v>184.57</v>
      </c>
      <c r="CN45" s="4">
        <v>44773</v>
      </c>
      <c r="CO45" s="4">
        <v>125</v>
      </c>
      <c r="CP45" s="4">
        <v>44773</v>
      </c>
      <c r="CQ45" s="4">
        <v>277.47000000000003</v>
      </c>
      <c r="CR45" s="4">
        <v>44773</v>
      </c>
      <c r="CS45" s="4">
        <v>495</v>
      </c>
      <c r="CT45" s="4">
        <v>44773</v>
      </c>
      <c r="CU45" s="4">
        <v>303.49</v>
      </c>
      <c r="CV45" s="4">
        <v>44773</v>
      </c>
      <c r="CW45" s="4">
        <v>98.67</v>
      </c>
      <c r="CX45" s="4">
        <v>44773</v>
      </c>
      <c r="CY45" s="4">
        <v>220</v>
      </c>
      <c r="CZ45" s="4">
        <v>44773</v>
      </c>
      <c r="DA45" s="4">
        <v>238</v>
      </c>
      <c r="DB45" s="4">
        <v>44773</v>
      </c>
      <c r="DC45" s="4">
        <v>495</v>
      </c>
      <c r="DD45" s="4">
        <v>44773</v>
      </c>
      <c r="DE45" s="4">
        <v>460.83</v>
      </c>
      <c r="DF45" s="4">
        <v>44773</v>
      </c>
      <c r="DG45" s="4">
        <v>204</v>
      </c>
      <c r="DH45" s="4">
        <v>44773</v>
      </c>
      <c r="DI45" s="4">
        <v>100.34</v>
      </c>
      <c r="DJ45" s="4">
        <v>44773</v>
      </c>
      <c r="DK45" s="4">
        <v>121</v>
      </c>
      <c r="DL45" s="4">
        <v>44773</v>
      </c>
      <c r="DM45" s="4">
        <v>127.29</v>
      </c>
      <c r="DN45" s="4">
        <v>44742</v>
      </c>
      <c r="DO45" s="4">
        <v>115.57</v>
      </c>
      <c r="DP45" s="4">
        <v>44773</v>
      </c>
      <c r="DQ45" s="4">
        <v>341.02</v>
      </c>
      <c r="DR45" s="4">
        <v>44742</v>
      </c>
      <c r="DS45" s="4">
        <v>420.45</v>
      </c>
      <c r="DT45" s="4">
        <v>44742</v>
      </c>
      <c r="DU45" s="4">
        <v>230</v>
      </c>
      <c r="DV45" s="4">
        <v>44773</v>
      </c>
      <c r="DW45" s="4">
        <v>420</v>
      </c>
      <c r="DZ45" s="4" t="s">
        <v>295</v>
      </c>
      <c r="EA45" s="4" t="s">
        <v>296</v>
      </c>
    </row>
    <row r="46" spans="1:131" x14ac:dyDescent="0.3">
      <c r="A46" s="5" t="s">
        <v>123</v>
      </c>
      <c r="C46" s="14" t="str">
        <f t="shared" si="4"/>
        <v>20225</v>
      </c>
      <c r="D46" s="6">
        <v>44712</v>
      </c>
      <c r="E46" s="4">
        <v>163.27000000000001</v>
      </c>
      <c r="F46" s="4">
        <v>244.53</v>
      </c>
      <c r="G46" s="4">
        <v>77.17</v>
      </c>
      <c r="H46" s="4">
        <v>274.64999999999998</v>
      </c>
      <c r="I46" s="4">
        <v>104.34</v>
      </c>
      <c r="J46" s="4">
        <v>141.22</v>
      </c>
      <c r="K46" s="4">
        <v>190</v>
      </c>
      <c r="L46" s="4">
        <v>149.33000000000001</v>
      </c>
      <c r="M46" s="4">
        <v>108.48</v>
      </c>
      <c r="N46" s="4">
        <v>148.6</v>
      </c>
      <c r="O46" s="4">
        <v>52.53</v>
      </c>
      <c r="P46" s="4">
        <v>169.5</v>
      </c>
      <c r="Q46" s="4">
        <v>370</v>
      </c>
      <c r="R46" s="4">
        <v>274.37</v>
      </c>
      <c r="S46" s="4">
        <v>71.33</v>
      </c>
      <c r="T46" s="4">
        <v>100</v>
      </c>
      <c r="U46" s="4">
        <v>290.33</v>
      </c>
      <c r="V46" s="4">
        <v>279.67</v>
      </c>
      <c r="W46" s="4">
        <v>167.4</v>
      </c>
      <c r="X46" s="4">
        <v>227</v>
      </c>
      <c r="Y46" s="4">
        <v>292</v>
      </c>
      <c r="Z46" s="4">
        <v>515</v>
      </c>
      <c r="AA46" s="4">
        <v>315</v>
      </c>
      <c r="AB46" s="4">
        <v>186.86</v>
      </c>
      <c r="AC46" s="4">
        <v>131.09</v>
      </c>
      <c r="AD46" s="4">
        <v>242.5</v>
      </c>
      <c r="AE46" s="4">
        <v>380</v>
      </c>
      <c r="AF46" s="4">
        <v>250</v>
      </c>
      <c r="AG46" s="4">
        <v>389.65</v>
      </c>
      <c r="AH46" s="4">
        <v>130.56</v>
      </c>
      <c r="AI46" s="4">
        <v>239.66</v>
      </c>
      <c r="AJ46" s="4">
        <v>301.27</v>
      </c>
      <c r="AK46" s="4">
        <v>155.19999999999999</v>
      </c>
      <c r="AL46" s="4">
        <v>127.5</v>
      </c>
      <c r="AM46" s="4">
        <v>195</v>
      </c>
      <c r="AN46" s="4">
        <v>344.45</v>
      </c>
      <c r="AO46" s="4">
        <v>499.22</v>
      </c>
      <c r="AP46" s="4">
        <v>406.45</v>
      </c>
      <c r="AQ46" s="4">
        <v>300</v>
      </c>
      <c r="AR46" s="4">
        <v>490</v>
      </c>
      <c r="AS46" s="4">
        <v>305</v>
      </c>
      <c r="AT46" s="4">
        <v>215</v>
      </c>
      <c r="AU46" s="4">
        <v>120.92</v>
      </c>
      <c r="AV46" s="4">
        <v>155.58000000000001</v>
      </c>
      <c r="AW46" s="4">
        <v>109.2</v>
      </c>
      <c r="AX46" s="4">
        <v>235.79</v>
      </c>
      <c r="AY46" s="4">
        <v>410</v>
      </c>
      <c r="AZ46" s="4">
        <v>260</v>
      </c>
      <c r="BA46" s="4">
        <v>115.21</v>
      </c>
      <c r="BB46" s="4">
        <v>153</v>
      </c>
      <c r="BC46" s="4">
        <v>198.16</v>
      </c>
      <c r="BD46" s="4">
        <v>395</v>
      </c>
      <c r="BE46" s="4">
        <v>396.1</v>
      </c>
      <c r="BF46" s="4">
        <v>165.38</v>
      </c>
      <c r="BG46" s="4">
        <v>129.1</v>
      </c>
      <c r="BH46" s="4">
        <v>122.4</v>
      </c>
      <c r="BI46" s="4">
        <v>104.83</v>
      </c>
      <c r="BJ46" s="4">
        <v>108</v>
      </c>
      <c r="BK46" s="4">
        <v>297</v>
      </c>
      <c r="BL46" s="4">
        <v>420</v>
      </c>
      <c r="BM46" s="4">
        <v>217.38</v>
      </c>
      <c r="BN46" s="4">
        <v>300</v>
      </c>
      <c r="BO46" s="4">
        <v>322.91000000000003</v>
      </c>
      <c r="BP46" s="4">
        <v>44742</v>
      </c>
      <c r="BQ46" s="4">
        <v>175.08</v>
      </c>
      <c r="BR46" s="4">
        <v>44742</v>
      </c>
      <c r="BS46" s="4">
        <v>110</v>
      </c>
      <c r="BT46" s="4">
        <v>44742</v>
      </c>
      <c r="BU46" s="4">
        <v>200</v>
      </c>
      <c r="BV46" s="4">
        <v>44742</v>
      </c>
      <c r="BW46" s="4">
        <v>450</v>
      </c>
      <c r="BX46" s="4">
        <v>44742</v>
      </c>
      <c r="BY46" s="4">
        <v>560.66999999999996</v>
      </c>
      <c r="BZ46" s="4">
        <v>44742</v>
      </c>
      <c r="CA46" s="4">
        <v>416.52</v>
      </c>
      <c r="CB46" s="4">
        <v>44742</v>
      </c>
      <c r="CC46" s="4">
        <v>314.86</v>
      </c>
      <c r="CD46" s="4">
        <v>44742</v>
      </c>
      <c r="CE46" s="4">
        <v>530</v>
      </c>
      <c r="CF46" s="4">
        <v>44742</v>
      </c>
      <c r="CG46" s="4">
        <v>320</v>
      </c>
      <c r="CH46" s="4">
        <v>44742</v>
      </c>
      <c r="CI46" s="4">
        <v>242.5</v>
      </c>
      <c r="CJ46" s="4">
        <v>44742</v>
      </c>
      <c r="CK46" s="4">
        <v>135.15</v>
      </c>
      <c r="CL46" s="4">
        <v>44742</v>
      </c>
      <c r="CM46" s="4">
        <v>175</v>
      </c>
      <c r="CN46" s="4">
        <v>44742</v>
      </c>
      <c r="CO46" s="4">
        <v>115.3</v>
      </c>
      <c r="CP46" s="4">
        <v>44742</v>
      </c>
      <c r="CQ46" s="4">
        <v>248.91</v>
      </c>
      <c r="CR46" s="4">
        <v>44742</v>
      </c>
      <c r="CS46" s="4">
        <v>461.67</v>
      </c>
      <c r="CT46" s="4">
        <v>44742</v>
      </c>
      <c r="CU46" s="4">
        <v>265.64</v>
      </c>
      <c r="CV46" s="4">
        <v>44742</v>
      </c>
      <c r="CW46" s="4">
        <v>84.36</v>
      </c>
      <c r="CX46" s="4">
        <v>44742</v>
      </c>
      <c r="CY46" s="4">
        <v>215</v>
      </c>
      <c r="CZ46" s="4">
        <v>44742</v>
      </c>
      <c r="DA46" s="4">
        <v>225.1</v>
      </c>
      <c r="DB46" s="4">
        <v>44742</v>
      </c>
      <c r="DC46" s="4">
        <v>400</v>
      </c>
      <c r="DD46" s="4">
        <v>44742</v>
      </c>
      <c r="DE46" s="4">
        <v>421.76</v>
      </c>
      <c r="DF46" s="4">
        <v>44742</v>
      </c>
      <c r="DG46" s="4">
        <v>210</v>
      </c>
      <c r="DH46" s="4">
        <v>44742</v>
      </c>
      <c r="DI46" s="4">
        <v>99.67</v>
      </c>
      <c r="DJ46" s="4">
        <v>44742</v>
      </c>
      <c r="DK46" s="4">
        <v>92.46</v>
      </c>
      <c r="DL46" s="4">
        <v>44742</v>
      </c>
      <c r="DM46" s="4">
        <v>118.1</v>
      </c>
      <c r="DN46" s="4">
        <v>44712</v>
      </c>
      <c r="DO46" s="4">
        <v>108</v>
      </c>
      <c r="DP46" s="4">
        <v>44742</v>
      </c>
      <c r="DQ46" s="4">
        <v>306.14999999999998</v>
      </c>
      <c r="DR46" s="4">
        <v>44712</v>
      </c>
      <c r="DS46" s="4">
        <v>420</v>
      </c>
      <c r="DT46" s="4">
        <v>44712</v>
      </c>
      <c r="DU46" s="4">
        <v>217.38</v>
      </c>
      <c r="DV46" s="4">
        <v>44742</v>
      </c>
      <c r="DW46" s="4">
        <v>345</v>
      </c>
      <c r="DZ46" s="4" t="s">
        <v>320</v>
      </c>
      <c r="EA46" s="4" t="s">
        <v>321</v>
      </c>
    </row>
    <row r="47" spans="1:131" x14ac:dyDescent="0.3">
      <c r="A47" s="5" t="s">
        <v>124</v>
      </c>
      <c r="C47" s="14" t="str">
        <f t="shared" si="4"/>
        <v>20224</v>
      </c>
      <c r="D47" s="6">
        <v>44681</v>
      </c>
      <c r="E47" s="4">
        <v>174.6</v>
      </c>
      <c r="F47" s="4">
        <v>235.25</v>
      </c>
      <c r="G47" s="4">
        <v>77.25</v>
      </c>
      <c r="H47" s="4">
        <v>277.39999999999998</v>
      </c>
      <c r="I47" s="4">
        <v>118</v>
      </c>
      <c r="J47" s="4">
        <v>141</v>
      </c>
      <c r="K47" s="4">
        <v>204.63</v>
      </c>
      <c r="L47" s="4">
        <v>149.44</v>
      </c>
      <c r="M47" s="4">
        <v>122.03</v>
      </c>
      <c r="N47" s="4">
        <v>149.06</v>
      </c>
      <c r="O47" s="4">
        <v>50.58</v>
      </c>
      <c r="P47" s="4">
        <v>179.33</v>
      </c>
      <c r="Q47" s="4">
        <v>357.6</v>
      </c>
      <c r="R47" s="4">
        <v>265</v>
      </c>
      <c r="S47" s="4">
        <v>66</v>
      </c>
      <c r="T47" s="4">
        <v>97.25</v>
      </c>
      <c r="U47" s="4">
        <v>280</v>
      </c>
      <c r="V47" s="4">
        <v>266</v>
      </c>
      <c r="W47" s="4">
        <v>164.2</v>
      </c>
      <c r="X47" s="4">
        <v>206.61</v>
      </c>
      <c r="Y47" s="4">
        <v>282</v>
      </c>
      <c r="Z47" s="4">
        <v>482.5</v>
      </c>
      <c r="AA47" s="4">
        <v>323.75</v>
      </c>
      <c r="AB47" s="4">
        <v>193.46</v>
      </c>
      <c r="AC47" s="4">
        <v>142.63999999999999</v>
      </c>
      <c r="AD47" s="4">
        <v>246.88</v>
      </c>
      <c r="AE47" s="4">
        <v>430</v>
      </c>
      <c r="AF47" s="4">
        <v>247.5</v>
      </c>
      <c r="AG47" s="4">
        <v>372.75</v>
      </c>
      <c r="AH47" s="4">
        <v>107.48</v>
      </c>
      <c r="AI47" s="4">
        <v>332.5</v>
      </c>
      <c r="AJ47" s="4">
        <v>322.99</v>
      </c>
      <c r="AK47" s="4">
        <v>164.61</v>
      </c>
      <c r="AL47" s="4">
        <v>127.59</v>
      </c>
      <c r="AM47" s="4">
        <v>197.5</v>
      </c>
      <c r="AN47" s="4">
        <v>259.13</v>
      </c>
      <c r="AO47" s="4">
        <v>553.76</v>
      </c>
      <c r="AP47" s="4">
        <v>389.18</v>
      </c>
      <c r="AQ47" s="4">
        <v>267.45</v>
      </c>
      <c r="AR47" s="4">
        <v>510</v>
      </c>
      <c r="AS47" s="4">
        <v>270</v>
      </c>
      <c r="AT47" s="4">
        <v>221.25</v>
      </c>
      <c r="AU47" s="4">
        <v>133.37</v>
      </c>
      <c r="AV47" s="4">
        <v>164.96</v>
      </c>
      <c r="AW47" s="4">
        <v>105.25</v>
      </c>
      <c r="AX47" s="4">
        <v>230.61</v>
      </c>
      <c r="AY47" s="4">
        <v>435</v>
      </c>
      <c r="AZ47" s="4">
        <v>242.84</v>
      </c>
      <c r="BA47" s="4">
        <v>94</v>
      </c>
      <c r="BB47" s="4">
        <v>153</v>
      </c>
      <c r="BC47" s="4">
        <v>203.76</v>
      </c>
      <c r="BD47" s="4">
        <v>371</v>
      </c>
      <c r="BE47" s="4">
        <v>371.63</v>
      </c>
      <c r="BF47" s="4">
        <v>170</v>
      </c>
      <c r="BG47" s="4">
        <v>106.06</v>
      </c>
      <c r="BH47" s="4">
        <v>99.55</v>
      </c>
      <c r="BI47" s="4">
        <v>109.5</v>
      </c>
      <c r="BJ47" s="4">
        <v>101.75</v>
      </c>
      <c r="BK47" s="4">
        <v>300</v>
      </c>
      <c r="BL47" s="4">
        <v>410</v>
      </c>
      <c r="BM47" s="4">
        <v>225</v>
      </c>
      <c r="BN47" s="4">
        <v>280.91000000000003</v>
      </c>
      <c r="BO47" s="4">
        <v>301.27</v>
      </c>
      <c r="BP47" s="4">
        <v>44712</v>
      </c>
      <c r="BQ47" s="4">
        <v>155.19999999999999</v>
      </c>
      <c r="BR47" s="4">
        <v>44712</v>
      </c>
      <c r="BS47" s="4">
        <v>127.5</v>
      </c>
      <c r="BT47" s="4">
        <v>44712</v>
      </c>
      <c r="BU47" s="4">
        <v>195</v>
      </c>
      <c r="BV47" s="4">
        <v>44712</v>
      </c>
      <c r="BW47" s="4">
        <v>344.45</v>
      </c>
      <c r="BX47" s="4">
        <v>44712</v>
      </c>
      <c r="BY47" s="4">
        <v>499.22</v>
      </c>
      <c r="BZ47" s="4">
        <v>44712</v>
      </c>
      <c r="CA47" s="4">
        <v>406.45</v>
      </c>
      <c r="CB47" s="4">
        <v>44712</v>
      </c>
      <c r="CC47" s="4">
        <v>300</v>
      </c>
      <c r="CD47" s="4">
        <v>44712</v>
      </c>
      <c r="CE47" s="4">
        <v>490</v>
      </c>
      <c r="CF47" s="4">
        <v>44712</v>
      </c>
      <c r="CG47" s="4">
        <v>305</v>
      </c>
      <c r="CH47" s="4">
        <v>44712</v>
      </c>
      <c r="CI47" s="4">
        <v>215</v>
      </c>
      <c r="CJ47" s="4">
        <v>44712</v>
      </c>
      <c r="CK47" s="4">
        <v>120.92</v>
      </c>
      <c r="CL47" s="4">
        <v>44712</v>
      </c>
      <c r="CM47" s="4">
        <v>155.58000000000001</v>
      </c>
      <c r="CN47" s="4">
        <v>44712</v>
      </c>
      <c r="CO47" s="4">
        <v>109.2</v>
      </c>
      <c r="CP47" s="4">
        <v>44712</v>
      </c>
      <c r="CQ47" s="4">
        <v>235.79</v>
      </c>
      <c r="CR47" s="4">
        <v>44712</v>
      </c>
      <c r="CS47" s="4">
        <v>410</v>
      </c>
      <c r="CT47" s="4">
        <v>44712</v>
      </c>
      <c r="CU47" s="4">
        <v>260</v>
      </c>
      <c r="CV47" s="4">
        <v>44712</v>
      </c>
      <c r="CW47" s="4">
        <v>115.21</v>
      </c>
      <c r="CX47" s="4">
        <v>44712</v>
      </c>
      <c r="CY47" s="4">
        <v>153</v>
      </c>
      <c r="CZ47" s="4">
        <v>44712</v>
      </c>
      <c r="DA47" s="4">
        <v>198.16</v>
      </c>
      <c r="DB47" s="4">
        <v>44712</v>
      </c>
      <c r="DC47" s="4">
        <v>395</v>
      </c>
      <c r="DD47" s="4">
        <v>44712</v>
      </c>
      <c r="DE47" s="4">
        <v>396.1</v>
      </c>
      <c r="DF47" s="4">
        <v>44712</v>
      </c>
      <c r="DG47" s="4">
        <v>165.38</v>
      </c>
      <c r="DH47" s="4">
        <v>44712</v>
      </c>
      <c r="DI47" s="4">
        <v>129.1</v>
      </c>
      <c r="DJ47" s="4">
        <v>44712</v>
      </c>
      <c r="DK47" s="4">
        <v>122.4</v>
      </c>
      <c r="DL47" s="4">
        <v>44712</v>
      </c>
      <c r="DM47" s="4">
        <v>104.83</v>
      </c>
      <c r="DN47" s="4">
        <v>44681</v>
      </c>
      <c r="DO47" s="4">
        <v>101.75</v>
      </c>
      <c r="DP47" s="4">
        <v>44712</v>
      </c>
      <c r="DQ47" s="4">
        <v>297</v>
      </c>
      <c r="DR47" s="4">
        <v>44681</v>
      </c>
      <c r="DS47" s="4">
        <v>410</v>
      </c>
      <c r="DT47" s="4">
        <v>44681</v>
      </c>
      <c r="DU47" s="4">
        <v>225</v>
      </c>
      <c r="DV47" s="4">
        <v>44712</v>
      </c>
      <c r="DW47" s="4">
        <v>300</v>
      </c>
      <c r="DZ47" s="4" t="s">
        <v>322</v>
      </c>
      <c r="EA47" s="4" t="s">
        <v>323</v>
      </c>
    </row>
    <row r="48" spans="1:131" x14ac:dyDescent="0.3">
      <c r="A48" s="5" t="s">
        <v>125</v>
      </c>
      <c r="C48" s="14" t="str">
        <f t="shared" si="4"/>
        <v>20223</v>
      </c>
      <c r="D48" s="6">
        <v>44651</v>
      </c>
      <c r="E48" s="4">
        <v>161.94</v>
      </c>
      <c r="F48" s="4">
        <v>253.6</v>
      </c>
      <c r="G48" s="4">
        <v>79.7</v>
      </c>
      <c r="H48" s="4">
        <v>276.58999999999997</v>
      </c>
      <c r="I48" s="4">
        <v>111.19</v>
      </c>
      <c r="J48" s="4">
        <v>139.25</v>
      </c>
      <c r="K48" s="4">
        <v>193.75</v>
      </c>
      <c r="L48" s="4">
        <v>150.26</v>
      </c>
      <c r="M48" s="4">
        <v>115.37</v>
      </c>
      <c r="N48" s="4">
        <v>146</v>
      </c>
      <c r="O48" s="4">
        <v>35</v>
      </c>
      <c r="P48" s="4">
        <v>175</v>
      </c>
      <c r="Q48" s="4">
        <v>332.13</v>
      </c>
      <c r="R48" s="4">
        <v>262</v>
      </c>
      <c r="S48" s="4">
        <v>64</v>
      </c>
      <c r="T48" s="4">
        <v>121.29</v>
      </c>
      <c r="U48" s="4">
        <v>285.19</v>
      </c>
      <c r="V48" s="4">
        <v>264.33</v>
      </c>
      <c r="W48" s="4">
        <v>166.82</v>
      </c>
      <c r="X48" s="4">
        <v>202.86</v>
      </c>
      <c r="Y48" s="4">
        <v>288.33</v>
      </c>
      <c r="Z48" s="4">
        <v>466.25</v>
      </c>
      <c r="AA48" s="4">
        <v>310</v>
      </c>
      <c r="AB48" s="4">
        <v>194.36</v>
      </c>
      <c r="AC48" s="4">
        <v>180.55</v>
      </c>
      <c r="AD48" s="4">
        <v>242.86</v>
      </c>
      <c r="AE48" s="4">
        <v>375</v>
      </c>
      <c r="AF48" s="4">
        <v>246.25</v>
      </c>
      <c r="AG48" s="4">
        <v>361.19</v>
      </c>
      <c r="AH48" s="4">
        <v>110.96</v>
      </c>
      <c r="AI48" s="4">
        <v>336.25</v>
      </c>
      <c r="AJ48" s="4">
        <v>310</v>
      </c>
      <c r="AK48" s="4">
        <v>162.46</v>
      </c>
      <c r="AL48" s="4">
        <v>146.59</v>
      </c>
      <c r="AM48" s="4">
        <v>195</v>
      </c>
      <c r="AN48" s="4">
        <v>256.02999999999997</v>
      </c>
      <c r="AO48" s="4">
        <v>481.66</v>
      </c>
      <c r="AP48" s="4">
        <v>376.03</v>
      </c>
      <c r="AQ48" s="4">
        <v>307</v>
      </c>
      <c r="AR48" s="4">
        <v>442.5</v>
      </c>
      <c r="AS48" s="4">
        <v>285</v>
      </c>
      <c r="AT48" s="4">
        <v>218.75</v>
      </c>
      <c r="AU48" s="4">
        <v>127.9</v>
      </c>
      <c r="AV48" s="4">
        <v>200</v>
      </c>
      <c r="AW48" s="4">
        <v>118.4</v>
      </c>
      <c r="AX48" s="4">
        <v>300</v>
      </c>
      <c r="AY48" s="4">
        <v>432</v>
      </c>
      <c r="AZ48" s="4">
        <v>264</v>
      </c>
      <c r="BA48" s="4">
        <v>94.5</v>
      </c>
      <c r="BB48" s="4">
        <v>153</v>
      </c>
      <c r="BC48" s="4">
        <v>205.76</v>
      </c>
      <c r="BD48" s="4">
        <v>363.75</v>
      </c>
      <c r="BE48" s="4">
        <v>398.75</v>
      </c>
      <c r="BF48" s="4">
        <v>172.72</v>
      </c>
      <c r="BG48" s="4">
        <v>109.46</v>
      </c>
      <c r="BH48" s="4">
        <v>102.63</v>
      </c>
      <c r="BI48" s="4">
        <v>112.43</v>
      </c>
      <c r="BJ48" s="4">
        <v>123</v>
      </c>
      <c r="BK48" s="4">
        <v>258</v>
      </c>
      <c r="BL48" s="4">
        <v>400</v>
      </c>
      <c r="BM48" s="4">
        <v>232.5</v>
      </c>
      <c r="BN48" s="4">
        <v>315</v>
      </c>
      <c r="BO48" s="4">
        <v>322.99</v>
      </c>
      <c r="BP48" s="4">
        <v>44681</v>
      </c>
      <c r="BQ48" s="4">
        <v>164.61</v>
      </c>
      <c r="BR48" s="4">
        <v>44681</v>
      </c>
      <c r="BS48" s="4">
        <v>127.59</v>
      </c>
      <c r="BT48" s="4">
        <v>44681</v>
      </c>
      <c r="BU48" s="4">
        <v>197.5</v>
      </c>
      <c r="BV48" s="4">
        <v>44681</v>
      </c>
      <c r="BW48" s="4">
        <v>259.13</v>
      </c>
      <c r="BX48" s="4">
        <v>44681</v>
      </c>
      <c r="BY48" s="4">
        <v>553.76</v>
      </c>
      <c r="BZ48" s="4">
        <v>44681</v>
      </c>
      <c r="CA48" s="4">
        <v>389.18</v>
      </c>
      <c r="CB48" s="4">
        <v>44681</v>
      </c>
      <c r="CC48" s="4">
        <v>267.45</v>
      </c>
      <c r="CD48" s="4">
        <v>44681</v>
      </c>
      <c r="CE48" s="4">
        <v>510</v>
      </c>
      <c r="CF48" s="4">
        <v>44681</v>
      </c>
      <c r="CG48" s="4">
        <v>270</v>
      </c>
      <c r="CH48" s="4">
        <v>44681</v>
      </c>
      <c r="CI48" s="4">
        <v>221.25</v>
      </c>
      <c r="CJ48" s="4">
        <v>44681</v>
      </c>
      <c r="CK48" s="4">
        <v>133.37</v>
      </c>
      <c r="CL48" s="4">
        <v>44681</v>
      </c>
      <c r="CM48" s="4">
        <v>164.96</v>
      </c>
      <c r="CN48" s="4">
        <v>44681</v>
      </c>
      <c r="CO48" s="4">
        <v>105.25</v>
      </c>
      <c r="CP48" s="4">
        <v>44681</v>
      </c>
      <c r="CQ48" s="4">
        <v>230.61</v>
      </c>
      <c r="CR48" s="4">
        <v>44681</v>
      </c>
      <c r="CS48" s="4">
        <v>435</v>
      </c>
      <c r="CT48" s="4">
        <v>44681</v>
      </c>
      <c r="CU48" s="4">
        <v>242.84</v>
      </c>
      <c r="CV48" s="4">
        <v>44681</v>
      </c>
      <c r="CW48" s="4">
        <v>94</v>
      </c>
      <c r="CX48" s="4">
        <v>44681</v>
      </c>
      <c r="CY48" s="4">
        <v>153</v>
      </c>
      <c r="CZ48" s="4">
        <v>44681</v>
      </c>
      <c r="DA48" s="4">
        <v>203.76</v>
      </c>
      <c r="DB48" s="4">
        <v>44681</v>
      </c>
      <c r="DC48" s="4">
        <v>371</v>
      </c>
      <c r="DD48" s="4">
        <v>44681</v>
      </c>
      <c r="DE48" s="4">
        <v>371.63</v>
      </c>
      <c r="DF48" s="4">
        <v>44681</v>
      </c>
      <c r="DG48" s="4">
        <v>170</v>
      </c>
      <c r="DH48" s="4">
        <v>44681</v>
      </c>
      <c r="DI48" s="4">
        <v>106.06</v>
      </c>
      <c r="DJ48" s="4">
        <v>44681</v>
      </c>
      <c r="DK48" s="4">
        <v>99.55</v>
      </c>
      <c r="DL48" s="4">
        <v>44681</v>
      </c>
      <c r="DM48" s="4">
        <v>109.5</v>
      </c>
      <c r="DN48" s="4">
        <v>44651</v>
      </c>
      <c r="DO48" s="4">
        <v>123</v>
      </c>
      <c r="DP48" s="4">
        <v>44681</v>
      </c>
      <c r="DQ48" s="4">
        <v>300</v>
      </c>
      <c r="DR48" s="4">
        <v>44651</v>
      </c>
      <c r="DS48" s="4">
        <v>400</v>
      </c>
      <c r="DT48" s="4">
        <v>44651</v>
      </c>
      <c r="DU48" s="4">
        <v>232.5</v>
      </c>
      <c r="DV48" s="4">
        <v>44681</v>
      </c>
      <c r="DW48" s="4">
        <v>280.91000000000003</v>
      </c>
      <c r="DZ48" s="4" t="s">
        <v>324</v>
      </c>
      <c r="EA48" s="4" t="s">
        <v>325</v>
      </c>
    </row>
    <row r="49" spans="1:131" x14ac:dyDescent="0.3">
      <c r="A49" s="5" t="s">
        <v>126</v>
      </c>
      <c r="C49" s="14" t="str">
        <f t="shared" si="4"/>
        <v>20222</v>
      </c>
      <c r="D49" s="6">
        <v>44620</v>
      </c>
      <c r="E49" s="4">
        <v>171.88</v>
      </c>
      <c r="F49" s="4">
        <v>247.35</v>
      </c>
      <c r="G49" s="4">
        <v>68.33</v>
      </c>
      <c r="H49" s="4">
        <v>259.67</v>
      </c>
      <c r="I49" s="4">
        <v>130.38</v>
      </c>
      <c r="J49" s="4">
        <v>163.36000000000001</v>
      </c>
      <c r="K49" s="4">
        <v>211.59</v>
      </c>
      <c r="L49" s="4">
        <v>186</v>
      </c>
      <c r="M49" s="4">
        <v>134.68</v>
      </c>
      <c r="N49" s="4">
        <v>126.67</v>
      </c>
      <c r="O49" s="4">
        <v>76.56</v>
      </c>
      <c r="P49" s="4">
        <v>208.27</v>
      </c>
      <c r="Q49" s="4">
        <v>320</v>
      </c>
      <c r="R49" s="4">
        <v>257.04000000000002</v>
      </c>
      <c r="S49" s="4">
        <v>93.59</v>
      </c>
      <c r="T49" s="4">
        <v>94.48</v>
      </c>
      <c r="U49" s="4">
        <v>247.5</v>
      </c>
      <c r="V49" s="4">
        <v>265</v>
      </c>
      <c r="W49" s="4">
        <v>180</v>
      </c>
      <c r="X49" s="4">
        <v>233.79</v>
      </c>
      <c r="Y49" s="4">
        <v>254.11</v>
      </c>
      <c r="Z49" s="4">
        <v>500</v>
      </c>
      <c r="AA49" s="4">
        <v>287.5</v>
      </c>
      <c r="AB49" s="4">
        <v>216.09</v>
      </c>
      <c r="AC49" s="4">
        <v>158.16999999999999</v>
      </c>
      <c r="AD49" s="4">
        <v>258.33</v>
      </c>
      <c r="AE49" s="4">
        <v>305</v>
      </c>
      <c r="AF49" s="4">
        <v>278.33</v>
      </c>
      <c r="AG49" s="4">
        <v>324.67</v>
      </c>
      <c r="AH49" s="4">
        <v>102.79</v>
      </c>
      <c r="AI49" s="4">
        <v>341.67</v>
      </c>
      <c r="AJ49" s="4">
        <v>264.92</v>
      </c>
      <c r="AK49" s="4">
        <v>270</v>
      </c>
      <c r="AL49" s="4">
        <v>99.95</v>
      </c>
      <c r="AM49" s="4">
        <v>195</v>
      </c>
      <c r="AN49" s="4">
        <v>312.54000000000002</v>
      </c>
      <c r="AO49" s="4">
        <v>502.01</v>
      </c>
      <c r="AP49" s="4">
        <v>339.11</v>
      </c>
      <c r="AQ49" s="4">
        <v>315</v>
      </c>
      <c r="AR49" s="4">
        <v>408.75</v>
      </c>
      <c r="AS49" s="4">
        <v>233.28</v>
      </c>
      <c r="AT49" s="4">
        <v>253.33</v>
      </c>
      <c r="AU49" s="4">
        <v>147.6</v>
      </c>
      <c r="AV49" s="4">
        <v>183.61</v>
      </c>
      <c r="AW49" s="4">
        <v>70</v>
      </c>
      <c r="AX49" s="4">
        <v>233.43</v>
      </c>
      <c r="AY49" s="4">
        <v>422.5</v>
      </c>
      <c r="AZ49" s="4">
        <v>251.26</v>
      </c>
      <c r="BA49" s="4">
        <v>94</v>
      </c>
      <c r="BB49" s="4">
        <v>211.79</v>
      </c>
      <c r="BC49" s="4">
        <v>227.84</v>
      </c>
      <c r="BD49" s="4">
        <v>347.5</v>
      </c>
      <c r="BE49" s="4">
        <v>354.13</v>
      </c>
      <c r="BF49" s="4">
        <v>193.78</v>
      </c>
      <c r="BG49" s="4">
        <v>100.94</v>
      </c>
      <c r="BH49" s="4">
        <v>92.53</v>
      </c>
      <c r="BI49" s="4">
        <v>74.33</v>
      </c>
      <c r="BJ49" s="4">
        <v>93</v>
      </c>
      <c r="BK49" s="4">
        <v>260.92</v>
      </c>
      <c r="BL49" s="4">
        <v>342.9</v>
      </c>
      <c r="BM49" s="4">
        <v>252.5</v>
      </c>
      <c r="BN49" s="4">
        <v>282</v>
      </c>
      <c r="BO49" s="4">
        <v>310</v>
      </c>
      <c r="BP49" s="4">
        <v>44651</v>
      </c>
      <c r="BQ49" s="4">
        <v>162.46</v>
      </c>
      <c r="BR49" s="4">
        <v>44651</v>
      </c>
      <c r="BS49" s="4">
        <v>146.59</v>
      </c>
      <c r="BT49" s="4">
        <v>44651</v>
      </c>
      <c r="BU49" s="4">
        <v>195</v>
      </c>
      <c r="BV49" s="4">
        <v>44651</v>
      </c>
      <c r="BW49" s="4">
        <v>256.02999999999997</v>
      </c>
      <c r="BX49" s="4">
        <v>44651</v>
      </c>
      <c r="BY49" s="4">
        <v>481.66</v>
      </c>
      <c r="BZ49" s="4">
        <v>44651</v>
      </c>
      <c r="CA49" s="4">
        <v>376.03</v>
      </c>
      <c r="CB49" s="4">
        <v>44651</v>
      </c>
      <c r="CC49" s="4">
        <v>307</v>
      </c>
      <c r="CD49" s="4">
        <v>44651</v>
      </c>
      <c r="CE49" s="4">
        <v>442.5</v>
      </c>
      <c r="CF49" s="4">
        <v>44651</v>
      </c>
      <c r="CG49" s="4">
        <v>285</v>
      </c>
      <c r="CH49" s="4">
        <v>44651</v>
      </c>
      <c r="CI49" s="4">
        <v>218.75</v>
      </c>
      <c r="CJ49" s="4">
        <v>44651</v>
      </c>
      <c r="CK49" s="4">
        <v>127.9</v>
      </c>
      <c r="CL49" s="4">
        <v>44651</v>
      </c>
      <c r="CM49" s="4">
        <v>200</v>
      </c>
      <c r="CN49" s="4">
        <v>44651</v>
      </c>
      <c r="CO49" s="4">
        <v>118.4</v>
      </c>
      <c r="CP49" s="4">
        <v>44651</v>
      </c>
      <c r="CQ49" s="4">
        <v>300</v>
      </c>
      <c r="CR49" s="4">
        <v>44651</v>
      </c>
      <c r="CS49" s="4">
        <v>432</v>
      </c>
      <c r="CT49" s="4">
        <v>44651</v>
      </c>
      <c r="CU49" s="4">
        <v>264</v>
      </c>
      <c r="CV49" s="4">
        <v>44651</v>
      </c>
      <c r="CW49" s="4">
        <v>94.5</v>
      </c>
      <c r="CX49" s="4">
        <v>44651</v>
      </c>
      <c r="CY49" s="4">
        <v>153</v>
      </c>
      <c r="CZ49" s="4">
        <v>44651</v>
      </c>
      <c r="DA49" s="4">
        <v>205.76</v>
      </c>
      <c r="DB49" s="4">
        <v>44651</v>
      </c>
      <c r="DC49" s="4">
        <v>363.75</v>
      </c>
      <c r="DD49" s="4">
        <v>44651</v>
      </c>
      <c r="DE49" s="4">
        <v>398.75</v>
      </c>
      <c r="DF49" s="4">
        <v>44651</v>
      </c>
      <c r="DG49" s="4">
        <v>172.72</v>
      </c>
      <c r="DH49" s="4">
        <v>44651</v>
      </c>
      <c r="DI49" s="4">
        <v>109.46</v>
      </c>
      <c r="DJ49" s="4">
        <v>44651</v>
      </c>
      <c r="DK49" s="4">
        <v>102.63</v>
      </c>
      <c r="DL49" s="4">
        <v>44651</v>
      </c>
      <c r="DM49" s="4">
        <v>112.43</v>
      </c>
      <c r="DN49" s="4">
        <v>44620</v>
      </c>
      <c r="DO49" s="4">
        <v>93</v>
      </c>
      <c r="DP49" s="4">
        <v>44651</v>
      </c>
      <c r="DQ49" s="4">
        <v>258</v>
      </c>
      <c r="DR49" s="4">
        <v>44620</v>
      </c>
      <c r="DS49" s="4">
        <v>342.9</v>
      </c>
      <c r="DT49" s="4">
        <v>44620</v>
      </c>
      <c r="DU49" s="4">
        <v>252.5</v>
      </c>
      <c r="DV49" s="4">
        <v>44651</v>
      </c>
      <c r="DW49" s="4">
        <v>315</v>
      </c>
      <c r="DZ49" s="4" t="s">
        <v>326</v>
      </c>
      <c r="EA49" s="4" t="s">
        <v>327</v>
      </c>
    </row>
    <row r="50" spans="1:131" x14ac:dyDescent="0.3">
      <c r="A50" s="5" t="s">
        <v>127</v>
      </c>
      <c r="C50" s="14" t="str">
        <f t="shared" si="4"/>
        <v>20221</v>
      </c>
      <c r="D50" s="6">
        <v>44592</v>
      </c>
      <c r="E50" s="4">
        <v>150</v>
      </c>
      <c r="F50" s="4">
        <v>224.17</v>
      </c>
      <c r="G50" s="4">
        <v>58</v>
      </c>
      <c r="H50" s="4">
        <v>233.12</v>
      </c>
      <c r="I50" s="4">
        <v>97.96</v>
      </c>
      <c r="J50" s="4">
        <v>115</v>
      </c>
      <c r="K50" s="4">
        <v>160.83000000000001</v>
      </c>
      <c r="L50" s="4">
        <v>145</v>
      </c>
      <c r="M50" s="4">
        <v>101.29</v>
      </c>
      <c r="N50" s="4">
        <v>113.11</v>
      </c>
      <c r="O50" s="4">
        <v>56.29</v>
      </c>
      <c r="P50" s="4">
        <v>158.25</v>
      </c>
      <c r="Q50" s="4">
        <v>305</v>
      </c>
      <c r="R50" s="4">
        <v>241.49</v>
      </c>
      <c r="S50" s="4">
        <v>69.47</v>
      </c>
      <c r="T50" s="4">
        <v>76</v>
      </c>
      <c r="U50" s="4">
        <v>285</v>
      </c>
      <c r="V50" s="4">
        <v>248.76</v>
      </c>
      <c r="W50" s="4">
        <v>158.75</v>
      </c>
      <c r="X50" s="4">
        <v>171.61</v>
      </c>
      <c r="Y50" s="4">
        <v>227.81</v>
      </c>
      <c r="Z50" s="4">
        <v>358.75</v>
      </c>
      <c r="AA50" s="4">
        <v>225</v>
      </c>
      <c r="AB50" s="4">
        <v>164.31</v>
      </c>
      <c r="AC50" s="4">
        <v>119.47</v>
      </c>
      <c r="AD50" s="4">
        <v>180</v>
      </c>
      <c r="AE50" s="4">
        <v>315</v>
      </c>
      <c r="AF50" s="4">
        <v>191.25</v>
      </c>
      <c r="AG50" s="4">
        <v>294.95</v>
      </c>
      <c r="AH50" s="4">
        <v>127.6</v>
      </c>
      <c r="AI50" s="4">
        <v>221.67</v>
      </c>
      <c r="AJ50" s="4">
        <v>278.36</v>
      </c>
      <c r="AK50" s="4">
        <v>162.5</v>
      </c>
      <c r="AL50" s="4">
        <v>74.849999999999994</v>
      </c>
      <c r="AM50" s="4">
        <v>180</v>
      </c>
      <c r="AN50" s="4">
        <v>264.66000000000003</v>
      </c>
      <c r="AO50" s="4">
        <v>423.85</v>
      </c>
      <c r="AP50" s="4">
        <v>307.25</v>
      </c>
      <c r="AQ50" s="4">
        <v>300</v>
      </c>
      <c r="AR50" s="4">
        <v>403.33</v>
      </c>
      <c r="AS50" s="4">
        <v>235.77</v>
      </c>
      <c r="AT50" s="4">
        <v>163.33000000000001</v>
      </c>
      <c r="AU50" s="4">
        <v>111.29</v>
      </c>
      <c r="AV50" s="4">
        <v>139.16</v>
      </c>
      <c r="AW50" s="4">
        <v>71.75</v>
      </c>
      <c r="AX50" s="4">
        <v>199.5</v>
      </c>
      <c r="AY50" s="4">
        <v>285</v>
      </c>
      <c r="AZ50" s="4">
        <v>214.48</v>
      </c>
      <c r="BA50" s="4">
        <v>94</v>
      </c>
      <c r="BB50" s="4">
        <v>160</v>
      </c>
      <c r="BC50" s="4">
        <v>173.4</v>
      </c>
      <c r="BD50" s="4">
        <v>208.75</v>
      </c>
      <c r="BE50" s="4">
        <v>317.38</v>
      </c>
      <c r="BF50" s="4">
        <v>147.04</v>
      </c>
      <c r="BG50" s="4">
        <v>126.54</v>
      </c>
      <c r="BH50" s="4">
        <v>121.72</v>
      </c>
      <c r="BI50" s="4">
        <v>58.43</v>
      </c>
      <c r="BJ50" s="4">
        <v>81.5</v>
      </c>
      <c r="BK50" s="4">
        <v>259.66000000000003</v>
      </c>
      <c r="BL50" s="4">
        <v>310.48</v>
      </c>
      <c r="BM50" s="4">
        <v>220</v>
      </c>
      <c r="BN50" s="4">
        <v>232.5</v>
      </c>
      <c r="BO50" s="4">
        <v>264.92</v>
      </c>
      <c r="BP50" s="4">
        <v>44620</v>
      </c>
      <c r="BQ50" s="4">
        <v>270</v>
      </c>
      <c r="BR50" s="4">
        <v>44620</v>
      </c>
      <c r="BS50" s="4">
        <v>99.95</v>
      </c>
      <c r="BT50" s="4">
        <v>44620</v>
      </c>
      <c r="BU50" s="4">
        <v>195</v>
      </c>
      <c r="BV50" s="4">
        <v>44620</v>
      </c>
      <c r="BW50" s="4">
        <v>312.54000000000002</v>
      </c>
      <c r="BX50" s="4">
        <v>44620</v>
      </c>
      <c r="BY50" s="4">
        <v>502.01</v>
      </c>
      <c r="BZ50" s="4">
        <v>44620</v>
      </c>
      <c r="CA50" s="4">
        <v>339.11</v>
      </c>
      <c r="CB50" s="4">
        <v>44620</v>
      </c>
      <c r="CC50" s="4">
        <v>315</v>
      </c>
      <c r="CD50" s="4">
        <v>44620</v>
      </c>
      <c r="CE50" s="4">
        <v>408.75</v>
      </c>
      <c r="CF50" s="4">
        <v>44620</v>
      </c>
      <c r="CG50" s="4">
        <v>233.28</v>
      </c>
      <c r="CH50" s="4">
        <v>44620</v>
      </c>
      <c r="CI50" s="4">
        <v>253.33</v>
      </c>
      <c r="CJ50" s="4">
        <v>44620</v>
      </c>
      <c r="CK50" s="4">
        <v>147.6</v>
      </c>
      <c r="CL50" s="4">
        <v>44620</v>
      </c>
      <c r="CM50" s="4">
        <v>183.61</v>
      </c>
      <c r="CN50" s="4">
        <v>44620</v>
      </c>
      <c r="CO50" s="4">
        <v>70</v>
      </c>
      <c r="CP50" s="4">
        <v>44620</v>
      </c>
      <c r="CQ50" s="4">
        <v>233.43</v>
      </c>
      <c r="CR50" s="4">
        <v>44620</v>
      </c>
      <c r="CS50" s="4">
        <v>422.5</v>
      </c>
      <c r="CT50" s="4">
        <v>44620</v>
      </c>
      <c r="CU50" s="4">
        <v>251.26</v>
      </c>
      <c r="CV50" s="4">
        <v>44620</v>
      </c>
      <c r="CW50" s="4">
        <v>94</v>
      </c>
      <c r="CX50" s="4">
        <v>44620</v>
      </c>
      <c r="CY50" s="4">
        <v>211.79</v>
      </c>
      <c r="CZ50" s="4">
        <v>44620</v>
      </c>
      <c r="DA50" s="4">
        <v>227.84</v>
      </c>
      <c r="DB50" s="4">
        <v>44620</v>
      </c>
      <c r="DC50" s="4">
        <v>347.5</v>
      </c>
      <c r="DD50" s="4">
        <v>44620</v>
      </c>
      <c r="DE50" s="4">
        <v>354.13</v>
      </c>
      <c r="DF50" s="4">
        <v>44620</v>
      </c>
      <c r="DG50" s="4">
        <v>193.78</v>
      </c>
      <c r="DH50" s="4">
        <v>44620</v>
      </c>
      <c r="DI50" s="4">
        <v>100.94</v>
      </c>
      <c r="DJ50" s="4">
        <v>44620</v>
      </c>
      <c r="DK50" s="4">
        <v>92.53</v>
      </c>
      <c r="DL50" s="4">
        <v>44620</v>
      </c>
      <c r="DM50" s="4">
        <v>74.33</v>
      </c>
      <c r="DN50" s="4">
        <v>44592</v>
      </c>
      <c r="DO50" s="4">
        <v>81.5</v>
      </c>
      <c r="DP50" s="4">
        <v>44620</v>
      </c>
      <c r="DQ50" s="4">
        <v>260.92</v>
      </c>
      <c r="DR50" s="4">
        <v>44592</v>
      </c>
      <c r="DS50" s="4">
        <v>310.48</v>
      </c>
      <c r="DT50" s="4">
        <v>44592</v>
      </c>
      <c r="DU50" s="4">
        <v>220</v>
      </c>
      <c r="DV50" s="4">
        <v>44620</v>
      </c>
      <c r="DW50" s="4">
        <v>282</v>
      </c>
      <c r="DZ50" s="4" t="s">
        <v>328</v>
      </c>
      <c r="EA50" s="4" t="s">
        <v>329</v>
      </c>
    </row>
    <row r="51" spans="1:131" x14ac:dyDescent="0.3">
      <c r="A51" s="5" t="s">
        <v>128</v>
      </c>
      <c r="C51" s="14" t="str">
        <f t="shared" si="4"/>
        <v>202112</v>
      </c>
      <c r="D51" s="6">
        <v>44561</v>
      </c>
      <c r="E51" s="4">
        <v>124.85</v>
      </c>
      <c r="F51" s="4">
        <v>180.72</v>
      </c>
      <c r="G51" s="4">
        <v>55.87</v>
      </c>
      <c r="H51" s="4">
        <v>194.58</v>
      </c>
      <c r="I51" s="4">
        <v>89.88</v>
      </c>
      <c r="J51" s="4">
        <v>104.43</v>
      </c>
      <c r="K51" s="4">
        <v>135.88</v>
      </c>
      <c r="L51" s="4">
        <v>116.61</v>
      </c>
      <c r="M51" s="4">
        <v>86.05</v>
      </c>
      <c r="N51" s="4">
        <v>95.94</v>
      </c>
      <c r="O51" s="4">
        <v>48.39</v>
      </c>
      <c r="P51" s="4">
        <v>133.72</v>
      </c>
      <c r="Q51" s="4">
        <v>275.49</v>
      </c>
      <c r="R51" s="4">
        <v>190.18</v>
      </c>
      <c r="S51" s="4">
        <v>59.42</v>
      </c>
      <c r="T51" s="4">
        <v>82.9</v>
      </c>
      <c r="U51" s="4">
        <v>209.11</v>
      </c>
      <c r="V51" s="4">
        <v>197.28</v>
      </c>
      <c r="W51" s="4">
        <v>135.5</v>
      </c>
      <c r="X51" s="4">
        <v>155.69</v>
      </c>
      <c r="Y51" s="4">
        <v>176.83</v>
      </c>
      <c r="Z51" s="4">
        <v>292.17</v>
      </c>
      <c r="AA51" s="4">
        <v>196.02</v>
      </c>
      <c r="AB51" s="4">
        <v>138.80000000000001</v>
      </c>
      <c r="AC51" s="4">
        <v>101.26</v>
      </c>
      <c r="AD51" s="4">
        <v>160</v>
      </c>
      <c r="AE51" s="4">
        <v>292.32</v>
      </c>
      <c r="AF51" s="4">
        <v>179.78</v>
      </c>
      <c r="AG51" s="4">
        <v>275.25</v>
      </c>
      <c r="AH51" s="4">
        <v>91.67</v>
      </c>
      <c r="AI51" s="4">
        <v>161.21</v>
      </c>
      <c r="AJ51" s="4">
        <v>226.18</v>
      </c>
      <c r="AK51" s="4">
        <v>117.49</v>
      </c>
      <c r="AL51" s="4">
        <v>76.2</v>
      </c>
      <c r="AM51" s="4">
        <v>160</v>
      </c>
      <c r="AN51" s="4">
        <v>208.52</v>
      </c>
      <c r="AO51" s="4">
        <v>385.14</v>
      </c>
      <c r="AP51" s="4">
        <v>287.55</v>
      </c>
      <c r="AQ51" s="4">
        <v>220.37</v>
      </c>
      <c r="AR51" s="4">
        <v>373.22</v>
      </c>
      <c r="AS51" s="4">
        <v>203.18</v>
      </c>
      <c r="AT51" s="4">
        <v>143.87</v>
      </c>
      <c r="AU51" s="4">
        <v>94.42</v>
      </c>
      <c r="AV51" s="4">
        <v>117.75</v>
      </c>
      <c r="AW51" s="4">
        <v>67.67</v>
      </c>
      <c r="AX51" s="4">
        <v>177.26</v>
      </c>
      <c r="AY51" s="4">
        <v>275.13</v>
      </c>
      <c r="AZ51" s="4">
        <v>163.82</v>
      </c>
      <c r="BA51" s="4">
        <v>94</v>
      </c>
      <c r="BB51" s="4">
        <v>136.01</v>
      </c>
      <c r="BC51" s="4">
        <v>146.4</v>
      </c>
      <c r="BD51" s="4">
        <v>247.51</v>
      </c>
      <c r="BE51" s="4">
        <v>293.04000000000002</v>
      </c>
      <c r="BF51" s="4">
        <v>130</v>
      </c>
      <c r="BG51" s="4">
        <v>99.24</v>
      </c>
      <c r="BH51" s="4">
        <v>92.96</v>
      </c>
      <c r="BI51" s="4">
        <v>66.67</v>
      </c>
      <c r="BJ51" s="4">
        <v>84.4</v>
      </c>
      <c r="BK51" s="4">
        <v>207.93</v>
      </c>
      <c r="BL51" s="4">
        <v>290.77999999999997</v>
      </c>
      <c r="BM51" s="4">
        <v>149.79</v>
      </c>
      <c r="BN51" s="4">
        <v>243.77</v>
      </c>
      <c r="BO51" s="4">
        <v>278.36</v>
      </c>
      <c r="BP51" s="4">
        <v>44592</v>
      </c>
      <c r="BQ51" s="4">
        <v>162.5</v>
      </c>
      <c r="BR51" s="4">
        <v>44592</v>
      </c>
      <c r="BS51" s="4">
        <v>74.849999999999994</v>
      </c>
      <c r="BT51" s="4">
        <v>44592</v>
      </c>
      <c r="BU51" s="4">
        <v>180</v>
      </c>
      <c r="BV51" s="4">
        <v>44592</v>
      </c>
      <c r="BW51" s="4">
        <v>264.66000000000003</v>
      </c>
      <c r="BX51" s="4">
        <v>44592</v>
      </c>
      <c r="BY51" s="4">
        <v>423.85</v>
      </c>
      <c r="BZ51" s="4">
        <v>44592</v>
      </c>
      <c r="CA51" s="4">
        <v>307.25</v>
      </c>
      <c r="CB51" s="4">
        <v>44592</v>
      </c>
      <c r="CC51" s="4">
        <v>300</v>
      </c>
      <c r="CD51" s="4">
        <v>44592</v>
      </c>
      <c r="CE51" s="4">
        <v>403.33</v>
      </c>
      <c r="CF51" s="4">
        <v>44592</v>
      </c>
      <c r="CG51" s="4">
        <v>235.77</v>
      </c>
      <c r="CH51" s="4">
        <v>44592</v>
      </c>
      <c r="CI51" s="4">
        <v>163.33000000000001</v>
      </c>
      <c r="CJ51" s="4">
        <v>44592</v>
      </c>
      <c r="CK51" s="4">
        <v>111.29</v>
      </c>
      <c r="CL51" s="4">
        <v>44592</v>
      </c>
      <c r="CM51" s="4">
        <v>139.16</v>
      </c>
      <c r="CN51" s="4">
        <v>44592</v>
      </c>
      <c r="CO51" s="4">
        <v>71.75</v>
      </c>
      <c r="CP51" s="4">
        <v>44592</v>
      </c>
      <c r="CQ51" s="4">
        <v>199.5</v>
      </c>
      <c r="CR51" s="4">
        <v>44592</v>
      </c>
      <c r="CS51" s="4">
        <v>285</v>
      </c>
      <c r="CT51" s="4">
        <v>44592</v>
      </c>
      <c r="CU51" s="4">
        <v>214.48</v>
      </c>
      <c r="CV51" s="4">
        <v>44592</v>
      </c>
      <c r="CW51" s="4">
        <v>94</v>
      </c>
      <c r="CX51" s="4">
        <v>44592</v>
      </c>
      <c r="CY51" s="4">
        <v>160</v>
      </c>
      <c r="CZ51" s="4">
        <v>44592</v>
      </c>
      <c r="DA51" s="4">
        <v>173.4</v>
      </c>
      <c r="DB51" s="4">
        <v>44592</v>
      </c>
      <c r="DC51" s="4">
        <v>208.75</v>
      </c>
      <c r="DD51" s="4">
        <v>44592</v>
      </c>
      <c r="DE51" s="4">
        <v>317.38</v>
      </c>
      <c r="DF51" s="4">
        <v>44592</v>
      </c>
      <c r="DG51" s="4">
        <v>147.04</v>
      </c>
      <c r="DH51" s="4">
        <v>44592</v>
      </c>
      <c r="DI51" s="4">
        <v>126.54</v>
      </c>
      <c r="DJ51" s="4">
        <v>44592</v>
      </c>
      <c r="DK51" s="4">
        <v>121.72</v>
      </c>
      <c r="DL51" s="4">
        <v>44592</v>
      </c>
      <c r="DM51" s="4">
        <v>58.43</v>
      </c>
      <c r="DN51" s="4">
        <v>44561</v>
      </c>
      <c r="DO51" s="4">
        <v>84.4</v>
      </c>
      <c r="DP51" s="4">
        <v>44592</v>
      </c>
      <c r="DQ51" s="4">
        <v>259.66000000000003</v>
      </c>
      <c r="DR51" s="4">
        <v>44561</v>
      </c>
      <c r="DS51" s="4">
        <v>290.77999999999997</v>
      </c>
      <c r="DT51" s="4">
        <v>44561</v>
      </c>
      <c r="DU51" s="4">
        <v>149.79</v>
      </c>
      <c r="DV51" s="4">
        <v>44592</v>
      </c>
      <c r="DW51" s="4">
        <v>232.5</v>
      </c>
      <c r="DZ51" s="4" t="s">
        <v>330</v>
      </c>
      <c r="EA51" s="4" t="s">
        <v>349</v>
      </c>
    </row>
    <row r="52" spans="1:131" x14ac:dyDescent="0.3">
      <c r="A52" s="5" t="s">
        <v>129</v>
      </c>
      <c r="C52" s="14" t="str">
        <f t="shared" si="4"/>
        <v>202111</v>
      </c>
      <c r="D52" s="6">
        <v>44530</v>
      </c>
      <c r="E52" s="4">
        <v>125.7</v>
      </c>
      <c r="F52" s="4">
        <v>168.03</v>
      </c>
      <c r="G52" s="4">
        <v>51.61</v>
      </c>
      <c r="H52" s="4">
        <v>179.5</v>
      </c>
      <c r="I52" s="4">
        <v>81.03</v>
      </c>
      <c r="J52" s="4">
        <v>103.77</v>
      </c>
      <c r="K52" s="4">
        <v>155.93</v>
      </c>
      <c r="L52" s="4">
        <v>117.5</v>
      </c>
      <c r="M52" s="4">
        <v>84.02</v>
      </c>
      <c r="N52" s="4">
        <v>94.65</v>
      </c>
      <c r="O52" s="4">
        <v>43.57</v>
      </c>
      <c r="P52" s="4">
        <v>135.22999999999999</v>
      </c>
      <c r="Q52" s="4">
        <v>207.08</v>
      </c>
      <c r="R52" s="4">
        <v>175.86</v>
      </c>
      <c r="S52" s="4">
        <v>55.42</v>
      </c>
      <c r="T52" s="4">
        <v>86</v>
      </c>
      <c r="U52" s="4">
        <v>191.53</v>
      </c>
      <c r="V52" s="4">
        <v>181.74</v>
      </c>
      <c r="W52" s="4">
        <v>137.13999999999999</v>
      </c>
      <c r="X52" s="4">
        <v>143.88</v>
      </c>
      <c r="Y52" s="4">
        <v>164.81</v>
      </c>
      <c r="Z52" s="4">
        <v>245.17</v>
      </c>
      <c r="AA52" s="4">
        <v>183.74</v>
      </c>
      <c r="AB52" s="4">
        <v>140.68</v>
      </c>
      <c r="AC52" s="4">
        <v>100.37</v>
      </c>
      <c r="AD52" s="4">
        <v>163.33000000000001</v>
      </c>
      <c r="AE52" s="4">
        <v>274.02999999999997</v>
      </c>
      <c r="AF52" s="4">
        <v>166.18</v>
      </c>
      <c r="AG52" s="4">
        <v>258.61</v>
      </c>
      <c r="AH52" s="4">
        <v>73.5</v>
      </c>
      <c r="AI52" s="4">
        <v>159.15</v>
      </c>
      <c r="AJ52" s="4">
        <v>205.66</v>
      </c>
      <c r="AK52" s="4">
        <v>117.8</v>
      </c>
      <c r="AL52" s="4">
        <v>68</v>
      </c>
      <c r="AM52" s="4">
        <v>163.33000000000001</v>
      </c>
      <c r="AN52" s="4">
        <v>183.65</v>
      </c>
      <c r="AO52" s="4">
        <v>382.94</v>
      </c>
      <c r="AP52" s="4">
        <v>269.72000000000003</v>
      </c>
      <c r="AQ52" s="4">
        <v>205.6</v>
      </c>
      <c r="AR52" s="4">
        <v>347.09</v>
      </c>
      <c r="AS52" s="4">
        <v>190.17</v>
      </c>
      <c r="AT52" s="4">
        <v>132.93</v>
      </c>
      <c r="AU52" s="4">
        <v>93.01</v>
      </c>
      <c r="AV52" s="4">
        <v>118.07</v>
      </c>
      <c r="AW52" s="4">
        <v>70</v>
      </c>
      <c r="AX52" s="4">
        <v>166.89</v>
      </c>
      <c r="AY52" s="4">
        <v>257.69</v>
      </c>
      <c r="AZ52" s="4">
        <v>154.04</v>
      </c>
      <c r="BA52" s="4">
        <v>94</v>
      </c>
      <c r="BB52" s="4">
        <v>137.69</v>
      </c>
      <c r="BC52" s="4">
        <v>148.85</v>
      </c>
      <c r="BD52" s="4">
        <v>213.6</v>
      </c>
      <c r="BE52" s="4">
        <v>219.95</v>
      </c>
      <c r="BF52" s="4">
        <v>125.16</v>
      </c>
      <c r="BG52" s="4">
        <v>81.430000000000007</v>
      </c>
      <c r="BH52" s="4">
        <v>76.08</v>
      </c>
      <c r="BI52" s="4">
        <v>72</v>
      </c>
      <c r="BJ52" s="4">
        <v>80</v>
      </c>
      <c r="BK52" s="4">
        <v>190.55</v>
      </c>
      <c r="BL52" s="4">
        <v>272.64</v>
      </c>
      <c r="BM52" s="4">
        <v>142.43</v>
      </c>
      <c r="BN52" s="4">
        <v>222.84</v>
      </c>
      <c r="BO52" s="4">
        <v>226.18</v>
      </c>
      <c r="BP52" s="4">
        <v>44561</v>
      </c>
      <c r="BQ52" s="4">
        <v>117.49</v>
      </c>
      <c r="BR52" s="4">
        <v>44561</v>
      </c>
      <c r="BS52" s="4">
        <v>76.2</v>
      </c>
      <c r="BT52" s="4">
        <v>44561</v>
      </c>
      <c r="BU52" s="4">
        <v>160</v>
      </c>
      <c r="BV52" s="4">
        <v>44561</v>
      </c>
      <c r="BW52" s="4">
        <v>208.52</v>
      </c>
      <c r="BX52" s="4">
        <v>44561</v>
      </c>
      <c r="BY52" s="4">
        <v>385.14</v>
      </c>
      <c r="BZ52" s="4">
        <v>44561</v>
      </c>
      <c r="CA52" s="4">
        <v>287.55</v>
      </c>
      <c r="CB52" s="4">
        <v>44561</v>
      </c>
      <c r="CC52" s="4">
        <v>220.37</v>
      </c>
      <c r="CD52" s="4">
        <v>44561</v>
      </c>
      <c r="CE52" s="4">
        <v>373.22</v>
      </c>
      <c r="CF52" s="4">
        <v>44561</v>
      </c>
      <c r="CG52" s="4">
        <v>203.18</v>
      </c>
      <c r="CH52" s="4">
        <v>44561</v>
      </c>
      <c r="CI52" s="4">
        <v>143.87</v>
      </c>
      <c r="CJ52" s="4">
        <v>44561</v>
      </c>
      <c r="CK52" s="4">
        <v>94.42</v>
      </c>
      <c r="CL52" s="4">
        <v>44561</v>
      </c>
      <c r="CM52" s="4">
        <v>117.75</v>
      </c>
      <c r="CN52" s="4">
        <v>44561</v>
      </c>
      <c r="CO52" s="4">
        <v>67.67</v>
      </c>
      <c r="CP52" s="4">
        <v>44561</v>
      </c>
      <c r="CQ52" s="4">
        <v>177.26</v>
      </c>
      <c r="CR52" s="4">
        <v>44561</v>
      </c>
      <c r="CS52" s="4">
        <v>275.13</v>
      </c>
      <c r="CT52" s="4">
        <v>44561</v>
      </c>
      <c r="CU52" s="4">
        <v>163.82</v>
      </c>
      <c r="CV52" s="4">
        <v>44561</v>
      </c>
      <c r="CW52" s="4">
        <v>94</v>
      </c>
      <c r="CX52" s="4">
        <v>44561</v>
      </c>
      <c r="CY52" s="4">
        <v>136.01</v>
      </c>
      <c r="CZ52" s="4">
        <v>44561</v>
      </c>
      <c r="DA52" s="4">
        <v>146.4</v>
      </c>
      <c r="DB52" s="4">
        <v>44561</v>
      </c>
      <c r="DC52" s="4">
        <v>247.51</v>
      </c>
      <c r="DD52" s="4">
        <v>44561</v>
      </c>
      <c r="DE52" s="4">
        <v>293.04000000000002</v>
      </c>
      <c r="DF52" s="4">
        <v>44561</v>
      </c>
      <c r="DG52" s="4">
        <v>130</v>
      </c>
      <c r="DH52" s="4">
        <v>44561</v>
      </c>
      <c r="DI52" s="4">
        <v>99.24</v>
      </c>
      <c r="DJ52" s="4">
        <v>44561</v>
      </c>
      <c r="DK52" s="4">
        <v>92.96</v>
      </c>
      <c r="DL52" s="4">
        <v>44561</v>
      </c>
      <c r="DM52" s="4">
        <v>66.67</v>
      </c>
      <c r="DN52" s="4">
        <v>44530</v>
      </c>
      <c r="DO52" s="4">
        <v>80</v>
      </c>
      <c r="DP52" s="4">
        <v>44561</v>
      </c>
      <c r="DQ52" s="4">
        <v>207.93</v>
      </c>
      <c r="DR52" s="4">
        <v>44530</v>
      </c>
      <c r="DS52" s="4">
        <v>272.64</v>
      </c>
      <c r="DT52" s="4">
        <v>44530</v>
      </c>
      <c r="DU52" s="4">
        <v>142.43</v>
      </c>
      <c r="DV52" s="4">
        <v>44561</v>
      </c>
      <c r="DW52" s="4">
        <v>243.77</v>
      </c>
      <c r="DZ52" s="4" t="s">
        <v>331</v>
      </c>
      <c r="EA52" s="4" t="s">
        <v>332</v>
      </c>
    </row>
    <row r="53" spans="1:131" x14ac:dyDescent="0.3">
      <c r="A53" s="5" t="s">
        <v>130</v>
      </c>
      <c r="C53" s="14" t="str">
        <f t="shared" si="4"/>
        <v>202110</v>
      </c>
      <c r="D53" s="6">
        <v>44500</v>
      </c>
      <c r="E53" s="4">
        <v>115.19</v>
      </c>
      <c r="F53" s="4">
        <v>160.9</v>
      </c>
      <c r="G53" s="4">
        <v>42.57</v>
      </c>
      <c r="H53" s="4">
        <v>171.06</v>
      </c>
      <c r="I53" s="4">
        <v>71.400000000000006</v>
      </c>
      <c r="J53" s="4">
        <v>93.7</v>
      </c>
      <c r="K53" s="4">
        <v>154</v>
      </c>
      <c r="L53" s="4">
        <v>108.5</v>
      </c>
      <c r="M53" s="4">
        <v>74.34</v>
      </c>
      <c r="N53" s="4">
        <v>84.75</v>
      </c>
      <c r="O53" s="4">
        <v>34.69</v>
      </c>
      <c r="P53" s="4">
        <v>124.54</v>
      </c>
      <c r="Q53" s="4">
        <v>251.49</v>
      </c>
      <c r="R53" s="4">
        <v>167.84</v>
      </c>
      <c r="S53" s="4">
        <v>46.31</v>
      </c>
      <c r="T53" s="4">
        <v>81.25</v>
      </c>
      <c r="U53" s="4">
        <v>181.72</v>
      </c>
      <c r="V53" s="4">
        <v>173.04</v>
      </c>
      <c r="W53" s="4">
        <v>126.41</v>
      </c>
      <c r="X53" s="4">
        <v>139.31</v>
      </c>
      <c r="Y53" s="4">
        <v>158.05000000000001</v>
      </c>
      <c r="Z53" s="4">
        <v>238.95</v>
      </c>
      <c r="AA53" s="4">
        <v>172.94</v>
      </c>
      <c r="AB53" s="4">
        <v>129.88</v>
      </c>
      <c r="AC53" s="4">
        <v>90.36</v>
      </c>
      <c r="AD53" s="4">
        <v>170</v>
      </c>
      <c r="AE53" s="4">
        <v>260.58</v>
      </c>
      <c r="AF53" s="4">
        <v>160.03</v>
      </c>
      <c r="AG53" s="4">
        <v>245.22</v>
      </c>
      <c r="AH53" s="4">
        <v>91.5</v>
      </c>
      <c r="AI53" s="4">
        <v>159.19999999999999</v>
      </c>
      <c r="AJ53" s="4">
        <v>194.23</v>
      </c>
      <c r="AK53" s="4">
        <v>107.45</v>
      </c>
      <c r="AL53" s="4">
        <v>68</v>
      </c>
      <c r="AM53" s="4">
        <v>170</v>
      </c>
      <c r="AN53" s="4">
        <v>191.58</v>
      </c>
      <c r="AO53" s="4">
        <v>363.57</v>
      </c>
      <c r="AP53" s="4">
        <v>256.29000000000002</v>
      </c>
      <c r="AQ53" s="4">
        <v>194.55</v>
      </c>
      <c r="AR53" s="4">
        <v>333.38</v>
      </c>
      <c r="AS53" s="4">
        <v>179.3</v>
      </c>
      <c r="AT53" s="4">
        <v>129.15</v>
      </c>
      <c r="AU53" s="4">
        <v>83.15</v>
      </c>
      <c r="AV53" s="4">
        <v>107.72</v>
      </c>
      <c r="AW53" s="4">
        <v>72</v>
      </c>
      <c r="AX53" s="4">
        <v>156.29</v>
      </c>
      <c r="AY53" s="4">
        <v>244.22</v>
      </c>
      <c r="AZ53" s="4">
        <v>148.51</v>
      </c>
      <c r="BA53" s="4">
        <v>80.39</v>
      </c>
      <c r="BB53" s="4">
        <v>126.94</v>
      </c>
      <c r="BC53" s="4">
        <v>137.88999999999999</v>
      </c>
      <c r="BD53" s="4">
        <v>211.76</v>
      </c>
      <c r="BE53" s="4">
        <v>267.20999999999998</v>
      </c>
      <c r="BF53" s="4">
        <v>114.66</v>
      </c>
      <c r="BG53" s="4">
        <v>90.44</v>
      </c>
      <c r="BH53" s="4">
        <v>85.59</v>
      </c>
      <c r="BI53" s="4">
        <v>72</v>
      </c>
      <c r="BJ53" s="4">
        <v>78</v>
      </c>
      <c r="BK53" s="4">
        <v>180.85</v>
      </c>
      <c r="BL53" s="4">
        <v>259.19</v>
      </c>
      <c r="BM53" s="4">
        <v>138.22999999999999</v>
      </c>
      <c r="BN53" s="4">
        <v>219.44</v>
      </c>
      <c r="BO53" s="4">
        <v>205.66</v>
      </c>
      <c r="BP53" s="4">
        <v>44530</v>
      </c>
      <c r="BQ53" s="4">
        <v>117.8</v>
      </c>
      <c r="BR53" s="4">
        <v>44530</v>
      </c>
      <c r="BS53" s="4">
        <v>68</v>
      </c>
      <c r="BT53" s="4">
        <v>44530</v>
      </c>
      <c r="BU53" s="4">
        <v>163.33000000000001</v>
      </c>
      <c r="BV53" s="4">
        <v>44530</v>
      </c>
      <c r="BW53" s="4">
        <v>183.65</v>
      </c>
      <c r="BX53" s="4">
        <v>44530</v>
      </c>
      <c r="BY53" s="4">
        <v>382.94</v>
      </c>
      <c r="BZ53" s="4">
        <v>44530</v>
      </c>
      <c r="CA53" s="4">
        <v>269.72000000000003</v>
      </c>
      <c r="CB53" s="4">
        <v>44530</v>
      </c>
      <c r="CC53" s="4">
        <v>205.6</v>
      </c>
      <c r="CD53" s="4">
        <v>44530</v>
      </c>
      <c r="CE53" s="4">
        <v>347.09</v>
      </c>
      <c r="CF53" s="4">
        <v>44530</v>
      </c>
      <c r="CG53" s="4">
        <v>190.17</v>
      </c>
      <c r="CH53" s="4">
        <v>44530</v>
      </c>
      <c r="CI53" s="4">
        <v>132.93</v>
      </c>
      <c r="CJ53" s="4">
        <v>44530</v>
      </c>
      <c r="CK53" s="4">
        <v>93.01</v>
      </c>
      <c r="CL53" s="4">
        <v>44530</v>
      </c>
      <c r="CM53" s="4">
        <v>118.07</v>
      </c>
      <c r="CN53" s="4">
        <v>44530</v>
      </c>
      <c r="CO53" s="4">
        <v>70</v>
      </c>
      <c r="CP53" s="4">
        <v>44530</v>
      </c>
      <c r="CQ53" s="4">
        <v>166.89</v>
      </c>
      <c r="CR53" s="4">
        <v>44530</v>
      </c>
      <c r="CS53" s="4">
        <v>257.69</v>
      </c>
      <c r="CT53" s="4">
        <v>44530</v>
      </c>
      <c r="CU53" s="4">
        <v>154.04</v>
      </c>
      <c r="CV53" s="4">
        <v>44530</v>
      </c>
      <c r="CW53" s="4">
        <v>94</v>
      </c>
      <c r="CX53" s="4">
        <v>44530</v>
      </c>
      <c r="CY53" s="4">
        <v>137.69</v>
      </c>
      <c r="CZ53" s="4">
        <v>44530</v>
      </c>
      <c r="DA53" s="4">
        <v>148.85</v>
      </c>
      <c r="DB53" s="4">
        <v>44530</v>
      </c>
      <c r="DC53" s="4">
        <v>213.6</v>
      </c>
      <c r="DD53" s="4">
        <v>44530</v>
      </c>
      <c r="DE53" s="4">
        <v>219.95</v>
      </c>
      <c r="DF53" s="4">
        <v>44530</v>
      </c>
      <c r="DG53" s="4">
        <v>125.16</v>
      </c>
      <c r="DH53" s="4">
        <v>44530</v>
      </c>
      <c r="DI53" s="4">
        <v>81.430000000000007</v>
      </c>
      <c r="DJ53" s="4">
        <v>44530</v>
      </c>
      <c r="DK53" s="4">
        <v>76.08</v>
      </c>
      <c r="DL53" s="4">
        <v>44530</v>
      </c>
      <c r="DM53" s="4">
        <v>72</v>
      </c>
      <c r="DN53" s="4">
        <v>44500</v>
      </c>
      <c r="DO53" s="4">
        <v>78</v>
      </c>
      <c r="DP53" s="4">
        <v>44530</v>
      </c>
      <c r="DQ53" s="4">
        <v>190.55</v>
      </c>
      <c r="DR53" s="4">
        <v>44500</v>
      </c>
      <c r="DS53" s="4">
        <v>259.19</v>
      </c>
      <c r="DT53" s="4">
        <v>44500</v>
      </c>
      <c r="DU53" s="4">
        <v>138.22999999999999</v>
      </c>
      <c r="DV53" s="4">
        <v>44530</v>
      </c>
      <c r="DW53" s="4">
        <v>222.84</v>
      </c>
      <c r="DZ53" s="4" t="s">
        <v>333</v>
      </c>
      <c r="EA53" s="4" t="s">
        <v>334</v>
      </c>
    </row>
    <row r="54" spans="1:131" x14ac:dyDescent="0.3">
      <c r="A54" s="5" t="s">
        <v>131</v>
      </c>
      <c r="C54" s="14" t="str">
        <f t="shared" si="4"/>
        <v>20219</v>
      </c>
      <c r="D54" s="6">
        <v>44469</v>
      </c>
      <c r="E54" s="4">
        <v>105</v>
      </c>
      <c r="F54" s="4">
        <v>168.98</v>
      </c>
      <c r="G54" s="4">
        <v>50</v>
      </c>
      <c r="H54" s="4">
        <v>177.64</v>
      </c>
      <c r="I54" s="4">
        <v>92.02</v>
      </c>
      <c r="J54" s="4">
        <v>85</v>
      </c>
      <c r="K54" s="4">
        <v>117.31</v>
      </c>
      <c r="L54" s="4">
        <v>101.66</v>
      </c>
      <c r="M54" s="4">
        <v>76.83</v>
      </c>
      <c r="N54" s="4">
        <v>112.35</v>
      </c>
      <c r="O54" s="4">
        <v>39.64</v>
      </c>
      <c r="P54" s="4">
        <v>115.56</v>
      </c>
      <c r="Q54" s="4">
        <v>253.16</v>
      </c>
      <c r="R54" s="4">
        <v>174.9</v>
      </c>
      <c r="S54" s="4">
        <v>51.18</v>
      </c>
      <c r="T54" s="4">
        <v>80.11</v>
      </c>
      <c r="U54" s="4">
        <v>186.73</v>
      </c>
      <c r="V54" s="4">
        <v>179.34</v>
      </c>
      <c r="W54" s="4">
        <v>117</v>
      </c>
      <c r="X54" s="4">
        <v>136.34</v>
      </c>
      <c r="Y54" s="4">
        <v>166.55</v>
      </c>
      <c r="Z54" s="4">
        <v>235</v>
      </c>
      <c r="AA54" s="4">
        <v>174.12</v>
      </c>
      <c r="AB54" s="4">
        <v>119.68</v>
      </c>
      <c r="AC54" s="4">
        <v>89.19</v>
      </c>
      <c r="AD54" s="4">
        <v>174.17</v>
      </c>
      <c r="AE54" s="4">
        <v>264.19</v>
      </c>
      <c r="AF54" s="4">
        <v>155.94</v>
      </c>
      <c r="AG54" s="4">
        <v>249.99</v>
      </c>
      <c r="AH54" s="4">
        <v>96.6</v>
      </c>
      <c r="AI54" s="4">
        <v>154.57</v>
      </c>
      <c r="AJ54" s="4">
        <v>197.41</v>
      </c>
      <c r="AK54" s="4">
        <v>102.38</v>
      </c>
      <c r="AL54" s="4">
        <v>68</v>
      </c>
      <c r="AM54" s="4">
        <v>174.17</v>
      </c>
      <c r="AN54" s="4">
        <v>217.18</v>
      </c>
      <c r="AO54" s="4">
        <v>316.76</v>
      </c>
      <c r="AP54" s="4">
        <v>260.23</v>
      </c>
      <c r="AQ54" s="4">
        <v>194.93</v>
      </c>
      <c r="AR54" s="4">
        <v>331.52</v>
      </c>
      <c r="AS54" s="4">
        <v>180.24</v>
      </c>
      <c r="AT54" s="4">
        <v>126.72</v>
      </c>
      <c r="AU54" s="4">
        <v>83.63</v>
      </c>
      <c r="AV54" s="4">
        <v>102.58</v>
      </c>
      <c r="AW54" s="4">
        <v>68</v>
      </c>
      <c r="AX54" s="4">
        <v>158.08000000000001</v>
      </c>
      <c r="AY54" s="4">
        <v>262.33</v>
      </c>
      <c r="AZ54" s="4">
        <v>158.41</v>
      </c>
      <c r="BA54" s="4">
        <v>90.71</v>
      </c>
      <c r="BB54" s="4">
        <v>117.42</v>
      </c>
      <c r="BC54" s="4">
        <v>125.86</v>
      </c>
      <c r="BD54" s="4">
        <v>215</v>
      </c>
      <c r="BE54" s="4">
        <v>268.67</v>
      </c>
      <c r="BF54" s="4">
        <v>107.94</v>
      </c>
      <c r="BG54" s="4">
        <v>95.64</v>
      </c>
      <c r="BH54" s="4">
        <v>91.24</v>
      </c>
      <c r="BI54" s="4">
        <v>75.430000000000007</v>
      </c>
      <c r="BJ54" s="4">
        <v>79.5</v>
      </c>
      <c r="BK54" s="4">
        <v>186</v>
      </c>
      <c r="BL54" s="4">
        <v>262.91000000000003</v>
      </c>
      <c r="BM54" s="4">
        <v>149.63</v>
      </c>
      <c r="BN54" s="4">
        <v>241.08</v>
      </c>
      <c r="BO54" s="4">
        <v>194.23</v>
      </c>
      <c r="BP54" s="4">
        <v>44500</v>
      </c>
      <c r="BQ54" s="4">
        <v>107.45</v>
      </c>
      <c r="BR54" s="4">
        <v>44500</v>
      </c>
      <c r="BS54" s="4">
        <v>68</v>
      </c>
      <c r="BT54" s="4">
        <v>44500</v>
      </c>
      <c r="BU54" s="4">
        <v>170</v>
      </c>
      <c r="BV54" s="4">
        <v>44500</v>
      </c>
      <c r="BW54" s="4">
        <v>191.58</v>
      </c>
      <c r="BX54" s="4">
        <v>44500</v>
      </c>
      <c r="BY54" s="4">
        <v>363.57</v>
      </c>
      <c r="BZ54" s="4">
        <v>44500</v>
      </c>
      <c r="CA54" s="4">
        <v>256.29000000000002</v>
      </c>
      <c r="CB54" s="4">
        <v>44500</v>
      </c>
      <c r="CC54" s="4">
        <v>194.55</v>
      </c>
      <c r="CD54" s="4">
        <v>44500</v>
      </c>
      <c r="CE54" s="4">
        <v>333.38</v>
      </c>
      <c r="CF54" s="4">
        <v>44500</v>
      </c>
      <c r="CG54" s="4">
        <v>179.3</v>
      </c>
      <c r="CH54" s="4">
        <v>44500</v>
      </c>
      <c r="CI54" s="4">
        <v>129.15</v>
      </c>
      <c r="CJ54" s="4">
        <v>44500</v>
      </c>
      <c r="CK54" s="4">
        <v>83.15</v>
      </c>
      <c r="CL54" s="4">
        <v>44500</v>
      </c>
      <c r="CM54" s="4">
        <v>107.72</v>
      </c>
      <c r="CN54" s="4">
        <v>44500</v>
      </c>
      <c r="CO54" s="4">
        <v>72</v>
      </c>
      <c r="CP54" s="4">
        <v>44500</v>
      </c>
      <c r="CQ54" s="4">
        <v>156.29</v>
      </c>
      <c r="CR54" s="4">
        <v>44500</v>
      </c>
      <c r="CS54" s="4">
        <v>244.22</v>
      </c>
      <c r="CT54" s="4">
        <v>44500</v>
      </c>
      <c r="CU54" s="4">
        <v>148.51</v>
      </c>
      <c r="CV54" s="4">
        <v>44500</v>
      </c>
      <c r="CW54" s="4">
        <v>80.39</v>
      </c>
      <c r="CX54" s="4">
        <v>44500</v>
      </c>
      <c r="CY54" s="4">
        <v>126.94</v>
      </c>
      <c r="CZ54" s="4">
        <v>44500</v>
      </c>
      <c r="DA54" s="4">
        <v>137.88999999999999</v>
      </c>
      <c r="DB54" s="4">
        <v>44500</v>
      </c>
      <c r="DC54" s="4">
        <v>211.76</v>
      </c>
      <c r="DD54" s="4">
        <v>44500</v>
      </c>
      <c r="DE54" s="4">
        <v>267.20999999999998</v>
      </c>
      <c r="DF54" s="4">
        <v>44500</v>
      </c>
      <c r="DG54" s="4">
        <v>114.66</v>
      </c>
      <c r="DH54" s="4">
        <v>44500</v>
      </c>
      <c r="DI54" s="4">
        <v>90.44</v>
      </c>
      <c r="DJ54" s="4">
        <v>44500</v>
      </c>
      <c r="DK54" s="4">
        <v>85.59</v>
      </c>
      <c r="DL54" s="4">
        <v>44500</v>
      </c>
      <c r="DM54" s="4">
        <v>72</v>
      </c>
      <c r="DN54" s="4">
        <v>44469</v>
      </c>
      <c r="DO54" s="4">
        <v>79.5</v>
      </c>
      <c r="DP54" s="4">
        <v>44500</v>
      </c>
      <c r="DQ54" s="4">
        <v>180.85</v>
      </c>
      <c r="DR54" s="4">
        <v>44469</v>
      </c>
      <c r="DS54" s="4">
        <v>262.91000000000003</v>
      </c>
      <c r="DT54" s="4">
        <v>44469</v>
      </c>
      <c r="DU54" s="4">
        <v>149.63</v>
      </c>
      <c r="DV54" s="4">
        <v>44500</v>
      </c>
      <c r="DW54" s="4">
        <v>219.44</v>
      </c>
      <c r="DZ54" s="4" t="s">
        <v>335</v>
      </c>
      <c r="EA54" s="4" t="s">
        <v>336</v>
      </c>
    </row>
    <row r="55" spans="1:131" x14ac:dyDescent="0.3">
      <c r="A55" s="5" t="s">
        <v>132</v>
      </c>
      <c r="C55" s="14" t="str">
        <f t="shared" si="4"/>
        <v>20218</v>
      </c>
      <c r="D55" s="6">
        <v>44439</v>
      </c>
      <c r="E55" s="4">
        <v>114.9</v>
      </c>
      <c r="F55" s="4">
        <v>174.62</v>
      </c>
      <c r="G55" s="4">
        <v>49.03</v>
      </c>
      <c r="H55" s="4">
        <v>186.52</v>
      </c>
      <c r="I55" s="4">
        <v>75.180000000000007</v>
      </c>
      <c r="J55" s="4">
        <v>95.41</v>
      </c>
      <c r="K55" s="4">
        <v>135</v>
      </c>
      <c r="L55" s="4">
        <v>107.03</v>
      </c>
      <c r="M55" s="4">
        <v>77.849999999999994</v>
      </c>
      <c r="N55" s="4">
        <v>87.29</v>
      </c>
      <c r="O55" s="4">
        <v>41.88</v>
      </c>
      <c r="P55" s="4">
        <v>123.38</v>
      </c>
      <c r="Q55" s="4">
        <v>260.14999999999998</v>
      </c>
      <c r="R55" s="4">
        <v>182.75</v>
      </c>
      <c r="S55" s="4">
        <v>52.42</v>
      </c>
      <c r="T55" s="4">
        <v>75.31</v>
      </c>
      <c r="U55" s="4">
        <v>199</v>
      </c>
      <c r="V55" s="4">
        <v>188.84</v>
      </c>
      <c r="W55" s="4">
        <v>125.08</v>
      </c>
      <c r="X55" s="4">
        <v>143.99</v>
      </c>
      <c r="Y55" s="4">
        <v>171.29</v>
      </c>
      <c r="Z55" s="4">
        <v>307.5</v>
      </c>
      <c r="AA55" s="4">
        <v>170</v>
      </c>
      <c r="AB55" s="4">
        <v>128.22999999999999</v>
      </c>
      <c r="AC55" s="4">
        <v>92.38</v>
      </c>
      <c r="AD55" s="4">
        <v>182.53</v>
      </c>
      <c r="AE55" s="4">
        <v>271.54000000000002</v>
      </c>
      <c r="AF55" s="4">
        <v>159.97</v>
      </c>
      <c r="AG55" s="4">
        <v>256.06</v>
      </c>
      <c r="AH55" s="4">
        <v>87.23</v>
      </c>
      <c r="AI55" s="4">
        <v>172.5</v>
      </c>
      <c r="AJ55" s="4">
        <v>213.66</v>
      </c>
      <c r="AK55" s="4">
        <v>107.88</v>
      </c>
      <c r="AL55" s="4">
        <v>80.27</v>
      </c>
      <c r="AM55" s="4">
        <v>182.53</v>
      </c>
      <c r="AN55" s="4">
        <v>211.65</v>
      </c>
      <c r="AO55" s="4">
        <v>371.23</v>
      </c>
      <c r="AP55" s="4">
        <v>267.22000000000003</v>
      </c>
      <c r="AQ55" s="4">
        <v>205.95</v>
      </c>
      <c r="AR55" s="4">
        <v>344.92</v>
      </c>
      <c r="AS55" s="4">
        <v>191.38</v>
      </c>
      <c r="AT55" s="4">
        <v>136.15</v>
      </c>
      <c r="AU55" s="4">
        <v>85.84</v>
      </c>
      <c r="AV55" s="4">
        <v>108.12</v>
      </c>
      <c r="AW55" s="4">
        <v>67.33</v>
      </c>
      <c r="AX55" s="4">
        <v>169.01</v>
      </c>
      <c r="AY55" s="4">
        <v>278.48</v>
      </c>
      <c r="AZ55" s="4">
        <v>160.11000000000001</v>
      </c>
      <c r="BA55" s="4">
        <v>85.44</v>
      </c>
      <c r="BB55" s="4">
        <v>125.56</v>
      </c>
      <c r="BC55" s="4">
        <v>135.49</v>
      </c>
      <c r="BD55" s="4">
        <v>250</v>
      </c>
      <c r="BE55" s="4">
        <v>275.73</v>
      </c>
      <c r="BF55" s="4">
        <v>114.42</v>
      </c>
      <c r="BG55" s="4">
        <v>86.54</v>
      </c>
      <c r="BH55" s="4">
        <v>83.38</v>
      </c>
      <c r="BI55" s="4">
        <v>82.41</v>
      </c>
      <c r="BJ55" s="4">
        <v>77.760000000000005</v>
      </c>
      <c r="BK55" s="4">
        <v>197.99</v>
      </c>
      <c r="BL55" s="4">
        <v>270.14</v>
      </c>
      <c r="BM55" s="4">
        <v>148.07</v>
      </c>
      <c r="BN55" s="4">
        <v>247.02</v>
      </c>
      <c r="BO55" s="4">
        <v>197.41</v>
      </c>
      <c r="BP55" s="4">
        <v>44469</v>
      </c>
      <c r="BQ55" s="4">
        <v>102.38</v>
      </c>
      <c r="BR55" s="4">
        <v>44469</v>
      </c>
      <c r="BS55" s="4">
        <v>68</v>
      </c>
      <c r="BT55" s="4">
        <v>44469</v>
      </c>
      <c r="BU55" s="4">
        <v>174.17</v>
      </c>
      <c r="BV55" s="4">
        <v>44469</v>
      </c>
      <c r="BW55" s="4">
        <v>217.18</v>
      </c>
      <c r="BX55" s="4">
        <v>44469</v>
      </c>
      <c r="BY55" s="4">
        <v>316.76</v>
      </c>
      <c r="BZ55" s="4">
        <v>44469</v>
      </c>
      <c r="CA55" s="4">
        <v>260.23</v>
      </c>
      <c r="CB55" s="4">
        <v>44469</v>
      </c>
      <c r="CC55" s="4">
        <v>194.93</v>
      </c>
      <c r="CD55" s="4">
        <v>44469</v>
      </c>
      <c r="CE55" s="4">
        <v>331.52</v>
      </c>
      <c r="CF55" s="4">
        <v>44469</v>
      </c>
      <c r="CG55" s="4">
        <v>180.24</v>
      </c>
      <c r="CH55" s="4">
        <v>44469</v>
      </c>
      <c r="CI55" s="4">
        <v>126.72</v>
      </c>
      <c r="CJ55" s="4">
        <v>44469</v>
      </c>
      <c r="CK55" s="4">
        <v>83.63</v>
      </c>
      <c r="CL55" s="4">
        <v>44469</v>
      </c>
      <c r="CM55" s="4">
        <v>102.58</v>
      </c>
      <c r="CN55" s="4">
        <v>44469</v>
      </c>
      <c r="CO55" s="4">
        <v>68</v>
      </c>
      <c r="CP55" s="4">
        <v>44469</v>
      </c>
      <c r="CQ55" s="4">
        <v>158.08000000000001</v>
      </c>
      <c r="CR55" s="4">
        <v>44469</v>
      </c>
      <c r="CS55" s="4">
        <v>262.33</v>
      </c>
      <c r="CT55" s="4">
        <v>44469</v>
      </c>
      <c r="CU55" s="4">
        <v>158.41</v>
      </c>
      <c r="CV55" s="4">
        <v>44469</v>
      </c>
      <c r="CW55" s="4">
        <v>90.71</v>
      </c>
      <c r="CX55" s="4">
        <v>44469</v>
      </c>
      <c r="CY55" s="4">
        <v>117.42</v>
      </c>
      <c r="CZ55" s="4">
        <v>44469</v>
      </c>
      <c r="DA55" s="4">
        <v>125.86</v>
      </c>
      <c r="DB55" s="4">
        <v>44469</v>
      </c>
      <c r="DC55" s="4">
        <v>215</v>
      </c>
      <c r="DD55" s="4">
        <v>44469</v>
      </c>
      <c r="DE55" s="4">
        <v>268.67</v>
      </c>
      <c r="DF55" s="4">
        <v>44469</v>
      </c>
      <c r="DG55" s="4">
        <v>107.94</v>
      </c>
      <c r="DH55" s="4">
        <v>44469</v>
      </c>
      <c r="DI55" s="4">
        <v>95.64</v>
      </c>
      <c r="DJ55" s="4">
        <v>44469</v>
      </c>
      <c r="DK55" s="4">
        <v>91.24</v>
      </c>
      <c r="DL55" s="4">
        <v>44469</v>
      </c>
      <c r="DM55" s="4">
        <v>75.430000000000007</v>
      </c>
      <c r="DN55" s="4">
        <v>44439</v>
      </c>
      <c r="DO55" s="4">
        <v>77.760000000000005</v>
      </c>
      <c r="DP55" s="4">
        <v>44469</v>
      </c>
      <c r="DQ55" s="4">
        <v>186</v>
      </c>
      <c r="DR55" s="4">
        <v>44439</v>
      </c>
      <c r="DS55" s="4">
        <v>270.14</v>
      </c>
      <c r="DT55" s="4">
        <v>44439</v>
      </c>
      <c r="DU55" s="4">
        <v>148.07</v>
      </c>
      <c r="DV55" s="4">
        <v>44469</v>
      </c>
      <c r="DW55" s="4">
        <v>241.08</v>
      </c>
      <c r="DZ55" s="4" t="s">
        <v>337</v>
      </c>
      <c r="EA55" s="4" t="s">
        <v>338</v>
      </c>
    </row>
    <row r="56" spans="1:131" x14ac:dyDescent="0.3">
      <c r="A56" s="5" t="s">
        <v>133</v>
      </c>
      <c r="C56" s="14" t="str">
        <f t="shared" si="4"/>
        <v>20217</v>
      </c>
      <c r="D56" s="6">
        <v>44408</v>
      </c>
      <c r="E56" s="4">
        <v>123.87</v>
      </c>
      <c r="F56" s="4">
        <v>193.45</v>
      </c>
      <c r="G56" s="4">
        <v>50.85</v>
      </c>
      <c r="H56" s="4">
        <v>208.15</v>
      </c>
      <c r="I56" s="4">
        <v>83.79</v>
      </c>
      <c r="J56" s="4">
        <v>105.15</v>
      </c>
      <c r="K56" s="4">
        <v>147.08000000000001</v>
      </c>
      <c r="L56" s="4">
        <v>110.15</v>
      </c>
      <c r="M56" s="4">
        <v>87.15</v>
      </c>
      <c r="N56" s="4">
        <v>88.8</v>
      </c>
      <c r="O56" s="4">
        <v>41.86</v>
      </c>
      <c r="P56" s="4">
        <v>144.49</v>
      </c>
      <c r="Q56" s="4">
        <v>256.99</v>
      </c>
      <c r="R56" s="4">
        <v>210.54</v>
      </c>
      <c r="S56" s="4">
        <v>55.12</v>
      </c>
      <c r="T56" s="4">
        <v>91.53</v>
      </c>
      <c r="U56" s="4">
        <v>223.78</v>
      </c>
      <c r="V56" s="4">
        <v>215.5</v>
      </c>
      <c r="W56" s="4">
        <v>146.62</v>
      </c>
      <c r="X56" s="4">
        <v>173.6</v>
      </c>
      <c r="Y56" s="4">
        <v>201.2</v>
      </c>
      <c r="Z56" s="4">
        <v>312.5</v>
      </c>
      <c r="AA56" s="4">
        <v>183.75</v>
      </c>
      <c r="AB56" s="4">
        <v>150.59</v>
      </c>
      <c r="AC56" s="4">
        <v>105.45</v>
      </c>
      <c r="AD56" s="4">
        <v>174.53</v>
      </c>
      <c r="AE56" s="4">
        <v>263.7</v>
      </c>
      <c r="AF56" s="4">
        <v>179.3</v>
      </c>
      <c r="AG56" s="4">
        <v>250.56</v>
      </c>
      <c r="AH56" s="4">
        <v>72</v>
      </c>
      <c r="AI56" s="4">
        <v>211.43</v>
      </c>
      <c r="AJ56" s="4">
        <v>235.71</v>
      </c>
      <c r="AK56" s="4">
        <v>124.97</v>
      </c>
      <c r="AL56" s="4">
        <v>86.17</v>
      </c>
      <c r="AM56" s="4">
        <v>174.53</v>
      </c>
      <c r="AN56" s="4">
        <v>252.07</v>
      </c>
      <c r="AO56" s="4">
        <v>400.82</v>
      </c>
      <c r="AP56" s="4">
        <v>260.02999999999997</v>
      </c>
      <c r="AQ56" s="4">
        <v>209.26</v>
      </c>
      <c r="AR56" s="4">
        <v>325.98</v>
      </c>
      <c r="AS56" s="4">
        <v>192.88</v>
      </c>
      <c r="AT56" s="4">
        <v>155</v>
      </c>
      <c r="AU56" s="4">
        <v>97.21</v>
      </c>
      <c r="AV56" s="4">
        <v>125.27</v>
      </c>
      <c r="AW56" s="4">
        <v>80.75</v>
      </c>
      <c r="AX56" s="4">
        <v>166.96</v>
      </c>
      <c r="AY56" s="4">
        <v>294.16000000000003</v>
      </c>
      <c r="AZ56" s="4">
        <v>192.1</v>
      </c>
      <c r="BA56" s="4">
        <v>70.25</v>
      </c>
      <c r="BB56" s="4">
        <v>147.22999999999999</v>
      </c>
      <c r="BC56" s="4">
        <v>159.74</v>
      </c>
      <c r="BD56" s="4">
        <v>247.5</v>
      </c>
      <c r="BE56" s="4">
        <v>272.33</v>
      </c>
      <c r="BF56" s="4">
        <v>133.19999999999999</v>
      </c>
      <c r="BG56" s="4">
        <v>82.05</v>
      </c>
      <c r="BH56" s="4">
        <v>77.680000000000007</v>
      </c>
      <c r="BI56" s="4">
        <v>83.31</v>
      </c>
      <c r="BJ56" s="4">
        <v>81.78</v>
      </c>
      <c r="BK56" s="4">
        <v>222.95</v>
      </c>
      <c r="BL56" s="4">
        <v>262.52</v>
      </c>
      <c r="BM56" s="4">
        <v>182.29</v>
      </c>
      <c r="BN56" s="4">
        <v>274.35000000000002</v>
      </c>
      <c r="BO56" s="4">
        <v>213.66</v>
      </c>
      <c r="BP56" s="4">
        <v>44439</v>
      </c>
      <c r="BQ56" s="4">
        <v>107.88</v>
      </c>
      <c r="BR56" s="4">
        <v>44439</v>
      </c>
      <c r="BS56" s="4">
        <v>80.27</v>
      </c>
      <c r="BT56" s="4">
        <v>44439</v>
      </c>
      <c r="BU56" s="4">
        <v>182.53</v>
      </c>
      <c r="BV56" s="4">
        <v>44439</v>
      </c>
      <c r="BW56" s="4">
        <v>211.65</v>
      </c>
      <c r="BX56" s="4">
        <v>44439</v>
      </c>
      <c r="BY56" s="4">
        <v>371.23</v>
      </c>
      <c r="BZ56" s="4">
        <v>44439</v>
      </c>
      <c r="CA56" s="4">
        <v>267.22000000000003</v>
      </c>
      <c r="CB56" s="4">
        <v>44439</v>
      </c>
      <c r="CC56" s="4">
        <v>205.95</v>
      </c>
      <c r="CD56" s="4">
        <v>44439</v>
      </c>
      <c r="CE56" s="4">
        <v>344.92</v>
      </c>
      <c r="CF56" s="4">
        <v>44439</v>
      </c>
      <c r="CG56" s="4">
        <v>191.38</v>
      </c>
      <c r="CH56" s="4">
        <v>44439</v>
      </c>
      <c r="CI56" s="4">
        <v>136.15</v>
      </c>
      <c r="CJ56" s="4">
        <v>44439</v>
      </c>
      <c r="CK56" s="4">
        <v>85.84</v>
      </c>
      <c r="CL56" s="4">
        <v>44439</v>
      </c>
      <c r="CM56" s="4">
        <v>108.12</v>
      </c>
      <c r="CN56" s="4">
        <v>44439</v>
      </c>
      <c r="CO56" s="4">
        <v>67.33</v>
      </c>
      <c r="CP56" s="4">
        <v>44439</v>
      </c>
      <c r="CQ56" s="4">
        <v>169.01</v>
      </c>
      <c r="CR56" s="4">
        <v>44439</v>
      </c>
      <c r="CS56" s="4">
        <v>278.48</v>
      </c>
      <c r="CT56" s="4">
        <v>44439</v>
      </c>
      <c r="CU56" s="4">
        <v>160.11000000000001</v>
      </c>
      <c r="CV56" s="4">
        <v>44439</v>
      </c>
      <c r="CW56" s="4">
        <v>85.44</v>
      </c>
      <c r="CX56" s="4">
        <v>44439</v>
      </c>
      <c r="CY56" s="4">
        <v>125.56</v>
      </c>
      <c r="CZ56" s="4">
        <v>44439</v>
      </c>
      <c r="DA56" s="4">
        <v>135.49</v>
      </c>
      <c r="DB56" s="4">
        <v>44439</v>
      </c>
      <c r="DC56" s="4">
        <v>250</v>
      </c>
      <c r="DD56" s="4">
        <v>44439</v>
      </c>
      <c r="DE56" s="4">
        <v>275.73</v>
      </c>
      <c r="DF56" s="4">
        <v>44439</v>
      </c>
      <c r="DG56" s="4">
        <v>114.42</v>
      </c>
      <c r="DH56" s="4">
        <v>44439</v>
      </c>
      <c r="DI56" s="4">
        <v>86.54</v>
      </c>
      <c r="DJ56" s="4">
        <v>44439</v>
      </c>
      <c r="DK56" s="4">
        <v>83.38</v>
      </c>
      <c r="DL56" s="4">
        <v>44439</v>
      </c>
      <c r="DM56" s="4">
        <v>82.41</v>
      </c>
      <c r="DN56" s="4">
        <v>44408</v>
      </c>
      <c r="DO56" s="4">
        <v>81.78</v>
      </c>
      <c r="DP56" s="4">
        <v>44439</v>
      </c>
      <c r="DQ56" s="4">
        <v>197.99</v>
      </c>
      <c r="DR56" s="4">
        <v>44408</v>
      </c>
      <c r="DS56" s="4">
        <v>262.52</v>
      </c>
      <c r="DT56" s="4">
        <v>44408</v>
      </c>
      <c r="DU56" s="4">
        <v>182.29</v>
      </c>
      <c r="DV56" s="4">
        <v>44439</v>
      </c>
      <c r="DW56" s="4">
        <v>247.02</v>
      </c>
      <c r="DZ56" s="4" t="s">
        <v>341</v>
      </c>
      <c r="EA56" s="4" t="s">
        <v>342</v>
      </c>
    </row>
    <row r="57" spans="1:131" x14ac:dyDescent="0.3">
      <c r="A57" s="5" t="s">
        <v>134</v>
      </c>
      <c r="C57" s="14" t="str">
        <f t="shared" si="4"/>
        <v>20216</v>
      </c>
      <c r="D57" s="6">
        <v>44377</v>
      </c>
      <c r="E57" s="4">
        <v>105.53</v>
      </c>
      <c r="F57" s="4">
        <v>178.81</v>
      </c>
      <c r="G57" s="4">
        <v>50.88</v>
      </c>
      <c r="H57" s="4">
        <v>199.2</v>
      </c>
      <c r="I57" s="4">
        <v>85</v>
      </c>
      <c r="J57" s="4">
        <v>92.9</v>
      </c>
      <c r="K57" s="4">
        <v>153.6</v>
      </c>
      <c r="L57" s="4">
        <v>97.45</v>
      </c>
      <c r="M57" s="4">
        <v>91.16</v>
      </c>
      <c r="N57" s="4">
        <v>86.58</v>
      </c>
      <c r="O57" s="4">
        <v>53.14</v>
      </c>
      <c r="P57" s="4">
        <v>116.55</v>
      </c>
      <c r="Q57" s="4">
        <v>290</v>
      </c>
      <c r="R57" s="4">
        <v>204.52</v>
      </c>
      <c r="S57" s="4">
        <v>64.28</v>
      </c>
      <c r="T57" s="4">
        <v>95.57</v>
      </c>
      <c r="U57" s="4">
        <v>218.32</v>
      </c>
      <c r="V57" s="4">
        <v>199.8</v>
      </c>
      <c r="W57" s="4">
        <v>111.33</v>
      </c>
      <c r="X57" s="4">
        <v>157.91999999999999</v>
      </c>
      <c r="Y57" s="4">
        <v>209</v>
      </c>
      <c r="Z57" s="4">
        <v>316.67</v>
      </c>
      <c r="AA57" s="4">
        <v>192.4</v>
      </c>
      <c r="AB57" s="4">
        <v>144.41</v>
      </c>
      <c r="AC57" s="4">
        <v>117.6</v>
      </c>
      <c r="AD57" s="4">
        <v>174.11</v>
      </c>
      <c r="AE57" s="4">
        <v>300</v>
      </c>
      <c r="AF57" s="4">
        <v>171.67</v>
      </c>
      <c r="AG57" s="4">
        <v>259.92</v>
      </c>
      <c r="AH57" s="4">
        <v>84</v>
      </c>
      <c r="AI57" s="4">
        <v>202.5</v>
      </c>
      <c r="AJ57" s="4">
        <v>230.76</v>
      </c>
      <c r="AK57" s="4">
        <v>122.9</v>
      </c>
      <c r="AL57" s="4">
        <v>96.49</v>
      </c>
      <c r="AM57" s="4">
        <v>174.11</v>
      </c>
      <c r="AN57" s="4">
        <v>219.76</v>
      </c>
      <c r="AO57" s="4">
        <v>396.49</v>
      </c>
      <c r="AP57" s="4">
        <v>270.01</v>
      </c>
      <c r="AQ57" s="4">
        <v>197</v>
      </c>
      <c r="AR57" s="4">
        <v>320</v>
      </c>
      <c r="AS57" s="4">
        <v>179.2</v>
      </c>
      <c r="AT57" s="4">
        <v>133.41</v>
      </c>
      <c r="AU57" s="4">
        <v>99.61</v>
      </c>
      <c r="AV57" s="4">
        <v>123.16</v>
      </c>
      <c r="AW57" s="4">
        <v>84.57</v>
      </c>
      <c r="AX57" s="4">
        <v>168.25</v>
      </c>
      <c r="AY57" s="4">
        <v>270</v>
      </c>
      <c r="AZ57" s="4">
        <v>185.3</v>
      </c>
      <c r="BA57" s="4">
        <v>94</v>
      </c>
      <c r="BB57" s="4">
        <v>141.59</v>
      </c>
      <c r="BC57" s="4">
        <v>152.09</v>
      </c>
      <c r="BD57" s="4">
        <v>240</v>
      </c>
      <c r="BE57" s="4">
        <v>282.51</v>
      </c>
      <c r="BF57" s="4">
        <v>129.81</v>
      </c>
      <c r="BG57" s="4">
        <v>100.31</v>
      </c>
      <c r="BH57" s="4">
        <v>94.83</v>
      </c>
      <c r="BI57" s="4">
        <v>86.18</v>
      </c>
      <c r="BJ57" s="4">
        <v>98.22</v>
      </c>
      <c r="BK57" s="4">
        <v>217.45</v>
      </c>
      <c r="BL57" s="4">
        <v>272.66000000000003</v>
      </c>
      <c r="BM57" s="4">
        <v>168</v>
      </c>
      <c r="BN57" s="4">
        <v>220</v>
      </c>
      <c r="BO57" s="4">
        <v>235.71</v>
      </c>
      <c r="BP57" s="4">
        <v>44408</v>
      </c>
      <c r="BQ57" s="4">
        <v>124.97</v>
      </c>
      <c r="BR57" s="4">
        <v>44408</v>
      </c>
      <c r="BS57" s="4">
        <v>86.17</v>
      </c>
      <c r="BT57" s="4">
        <v>44408</v>
      </c>
      <c r="BU57" s="4">
        <v>174.53</v>
      </c>
      <c r="BV57" s="4">
        <v>44408</v>
      </c>
      <c r="BW57" s="4">
        <v>252.07</v>
      </c>
      <c r="BX57" s="4">
        <v>44408</v>
      </c>
      <c r="BY57" s="4">
        <v>400.82</v>
      </c>
      <c r="BZ57" s="4">
        <v>44408</v>
      </c>
      <c r="CA57" s="4">
        <v>260.02999999999997</v>
      </c>
      <c r="CB57" s="4">
        <v>44408</v>
      </c>
      <c r="CC57" s="4">
        <v>209.26</v>
      </c>
      <c r="CD57" s="4">
        <v>44408</v>
      </c>
      <c r="CE57" s="4">
        <v>325.98</v>
      </c>
      <c r="CF57" s="4">
        <v>44408</v>
      </c>
      <c r="CG57" s="4">
        <v>192.88</v>
      </c>
      <c r="CH57" s="4">
        <v>44408</v>
      </c>
      <c r="CI57" s="4">
        <v>155</v>
      </c>
      <c r="CJ57" s="4">
        <v>44408</v>
      </c>
      <c r="CK57" s="4">
        <v>97.21</v>
      </c>
      <c r="CL57" s="4">
        <v>44408</v>
      </c>
      <c r="CM57" s="4">
        <v>125.27</v>
      </c>
      <c r="CN57" s="4">
        <v>44408</v>
      </c>
      <c r="CO57" s="4">
        <v>80.75</v>
      </c>
      <c r="CP57" s="4">
        <v>44408</v>
      </c>
      <c r="CQ57" s="4">
        <v>166.96</v>
      </c>
      <c r="CR57" s="4">
        <v>44408</v>
      </c>
      <c r="CS57" s="4">
        <v>294.16000000000003</v>
      </c>
      <c r="CT57" s="4">
        <v>44408</v>
      </c>
      <c r="CU57" s="4">
        <v>192.1</v>
      </c>
      <c r="CV57" s="4">
        <v>44408</v>
      </c>
      <c r="CW57" s="4">
        <v>70.25</v>
      </c>
      <c r="CX57" s="4">
        <v>44408</v>
      </c>
      <c r="CY57" s="4">
        <v>147.22999999999999</v>
      </c>
      <c r="CZ57" s="4">
        <v>44408</v>
      </c>
      <c r="DA57" s="4">
        <v>159.74</v>
      </c>
      <c r="DB57" s="4">
        <v>44408</v>
      </c>
      <c r="DC57" s="4">
        <v>247.5</v>
      </c>
      <c r="DD57" s="4">
        <v>44408</v>
      </c>
      <c r="DE57" s="4">
        <v>272.33</v>
      </c>
      <c r="DF57" s="4">
        <v>44408</v>
      </c>
      <c r="DG57" s="4">
        <v>133.19999999999999</v>
      </c>
      <c r="DH57" s="4">
        <v>44408</v>
      </c>
      <c r="DI57" s="4">
        <v>82.05</v>
      </c>
      <c r="DJ57" s="4">
        <v>44408</v>
      </c>
      <c r="DK57" s="4">
        <v>77.680000000000007</v>
      </c>
      <c r="DL57" s="4">
        <v>44408</v>
      </c>
      <c r="DM57" s="4">
        <v>83.31</v>
      </c>
      <c r="DN57" s="4">
        <v>44377</v>
      </c>
      <c r="DO57" s="4">
        <v>98.22</v>
      </c>
      <c r="DP57" s="4">
        <v>44408</v>
      </c>
      <c r="DQ57" s="4">
        <v>222.95</v>
      </c>
      <c r="DR57" s="4">
        <v>44377</v>
      </c>
      <c r="DS57" s="4">
        <v>272.66000000000003</v>
      </c>
      <c r="DT57" s="4">
        <v>44377</v>
      </c>
      <c r="DU57" s="4">
        <v>168</v>
      </c>
      <c r="DV57" s="4">
        <v>44408</v>
      </c>
      <c r="DW57" s="4">
        <v>274.35000000000002</v>
      </c>
    </row>
    <row r="58" spans="1:131" x14ac:dyDescent="0.3">
      <c r="A58" s="5" t="s">
        <v>135</v>
      </c>
      <c r="C58" s="14" t="str">
        <f t="shared" si="4"/>
        <v>20215</v>
      </c>
      <c r="D58" s="6">
        <v>44347</v>
      </c>
      <c r="E58" s="4">
        <v>104.74</v>
      </c>
      <c r="F58" s="4">
        <v>195.18</v>
      </c>
      <c r="G58" s="4">
        <v>52.43</v>
      </c>
      <c r="H58" s="4">
        <v>208.71</v>
      </c>
      <c r="I58" s="4">
        <v>81</v>
      </c>
      <c r="J58" s="4">
        <v>95.61</v>
      </c>
      <c r="K58" s="4">
        <v>140</v>
      </c>
      <c r="L58" s="4">
        <v>103.52</v>
      </c>
      <c r="M58" s="4">
        <v>72</v>
      </c>
      <c r="N58" s="4">
        <v>89.09</v>
      </c>
      <c r="O58" s="4">
        <v>40.229999999999997</v>
      </c>
      <c r="P58" s="4">
        <v>110</v>
      </c>
      <c r="Q58" s="4">
        <v>279</v>
      </c>
      <c r="R58" s="4">
        <v>229.6</v>
      </c>
      <c r="S58" s="4">
        <v>49.71</v>
      </c>
      <c r="T58" s="4">
        <v>99.09</v>
      </c>
      <c r="U58" s="4">
        <v>220.1</v>
      </c>
      <c r="V58" s="4">
        <v>218.38</v>
      </c>
      <c r="W58" s="4">
        <v>112.56</v>
      </c>
      <c r="X58" s="4">
        <v>175.84</v>
      </c>
      <c r="Y58" s="4">
        <v>224.02</v>
      </c>
      <c r="Z58" s="4">
        <v>307.5</v>
      </c>
      <c r="AA58" s="4">
        <v>200</v>
      </c>
      <c r="AB58" s="4">
        <v>133.13</v>
      </c>
      <c r="AC58" s="4">
        <v>110</v>
      </c>
      <c r="AD58" s="4">
        <v>172.79</v>
      </c>
      <c r="AE58" s="4">
        <v>293.33</v>
      </c>
      <c r="AF58" s="4">
        <v>184.73</v>
      </c>
      <c r="AG58" s="4">
        <v>257.27</v>
      </c>
      <c r="AH58" s="4">
        <v>98.38</v>
      </c>
      <c r="AI58" s="4">
        <v>208</v>
      </c>
      <c r="AJ58" s="4">
        <v>212.5</v>
      </c>
      <c r="AK58" s="4">
        <v>111.24</v>
      </c>
      <c r="AL58" s="4">
        <v>101.73</v>
      </c>
      <c r="AM58" s="4">
        <v>179.1</v>
      </c>
      <c r="AN58" s="4">
        <v>208.06</v>
      </c>
      <c r="AO58" s="4">
        <v>355.01</v>
      </c>
      <c r="AP58" s="4">
        <v>291.2</v>
      </c>
      <c r="AQ58" s="4">
        <v>208.76</v>
      </c>
      <c r="AR58" s="4">
        <v>323</v>
      </c>
      <c r="AS58" s="4">
        <v>184.8</v>
      </c>
      <c r="AT58" s="4">
        <v>143.93</v>
      </c>
      <c r="AU58" s="4">
        <v>87.53</v>
      </c>
      <c r="AV58" s="4">
        <v>111.5</v>
      </c>
      <c r="AW58" s="4">
        <v>104.75</v>
      </c>
      <c r="AX58" s="4">
        <v>172.18</v>
      </c>
      <c r="AY58" s="4">
        <v>288.63</v>
      </c>
      <c r="AZ58" s="4">
        <v>201.6</v>
      </c>
      <c r="BA58" s="4">
        <v>73.040000000000006</v>
      </c>
      <c r="BB58" s="4">
        <v>130.27000000000001</v>
      </c>
      <c r="BC58" s="4">
        <v>140.94999999999999</v>
      </c>
      <c r="BD58" s="4">
        <v>254.29</v>
      </c>
      <c r="BE58" s="4">
        <v>280</v>
      </c>
      <c r="BF58" s="4">
        <v>134.4</v>
      </c>
      <c r="BG58" s="4">
        <v>96</v>
      </c>
      <c r="BH58" s="4">
        <v>95</v>
      </c>
      <c r="BI58" s="4">
        <v>94.47</v>
      </c>
      <c r="BJ58" s="4">
        <v>104.18</v>
      </c>
      <c r="BK58" s="4">
        <v>213.86</v>
      </c>
      <c r="BL58" s="4">
        <v>270.14</v>
      </c>
      <c r="BM58" s="4">
        <v>179.2</v>
      </c>
      <c r="BN58" s="4">
        <v>225.35</v>
      </c>
      <c r="BO58" s="4">
        <v>230.76</v>
      </c>
      <c r="BP58" s="4">
        <v>44377</v>
      </c>
      <c r="BQ58" s="4">
        <v>122.9</v>
      </c>
      <c r="BR58" s="4">
        <v>44377</v>
      </c>
      <c r="BS58" s="4">
        <v>96.49</v>
      </c>
      <c r="BT58" s="4">
        <v>44377</v>
      </c>
      <c r="BU58" s="4">
        <v>174.11</v>
      </c>
      <c r="BV58" s="4">
        <v>44377</v>
      </c>
      <c r="BW58" s="4">
        <v>219.76</v>
      </c>
      <c r="BX58" s="4">
        <v>44377</v>
      </c>
      <c r="BY58" s="4">
        <v>396.49</v>
      </c>
      <c r="BZ58" s="4">
        <v>44377</v>
      </c>
      <c r="CA58" s="4">
        <v>270.01</v>
      </c>
      <c r="CB58" s="4">
        <v>44377</v>
      </c>
      <c r="CC58" s="4">
        <v>197</v>
      </c>
      <c r="CD58" s="4">
        <v>44377</v>
      </c>
      <c r="CE58" s="4">
        <v>320</v>
      </c>
      <c r="CF58" s="4">
        <v>44377</v>
      </c>
      <c r="CG58" s="4">
        <v>179.2</v>
      </c>
      <c r="CH58" s="4">
        <v>44377</v>
      </c>
      <c r="CI58" s="4">
        <v>133.41</v>
      </c>
      <c r="CJ58" s="4">
        <v>44377</v>
      </c>
      <c r="CK58" s="4">
        <v>99.61</v>
      </c>
      <c r="CL58" s="4">
        <v>44377</v>
      </c>
      <c r="CM58" s="4">
        <v>123.16</v>
      </c>
      <c r="CN58" s="4">
        <v>44377</v>
      </c>
      <c r="CO58" s="4">
        <v>84.57</v>
      </c>
      <c r="CP58" s="4">
        <v>44377</v>
      </c>
      <c r="CQ58" s="4">
        <v>168.25</v>
      </c>
      <c r="CR58" s="4">
        <v>44377</v>
      </c>
      <c r="CS58" s="4">
        <v>270</v>
      </c>
      <c r="CT58" s="4">
        <v>44377</v>
      </c>
      <c r="CU58" s="4">
        <v>185.3</v>
      </c>
      <c r="CV58" s="4">
        <v>44377</v>
      </c>
      <c r="CW58" s="4">
        <v>94</v>
      </c>
      <c r="CX58" s="4">
        <v>44377</v>
      </c>
      <c r="CY58" s="4">
        <v>141.59</v>
      </c>
      <c r="CZ58" s="4">
        <v>44377</v>
      </c>
      <c r="DA58" s="4">
        <v>152.09</v>
      </c>
      <c r="DB58" s="4">
        <v>44377</v>
      </c>
      <c r="DC58" s="4">
        <v>240</v>
      </c>
      <c r="DD58" s="4">
        <v>44377</v>
      </c>
      <c r="DE58" s="4">
        <v>282.51</v>
      </c>
      <c r="DF58" s="4">
        <v>44377</v>
      </c>
      <c r="DG58" s="4">
        <v>129.81</v>
      </c>
      <c r="DH58" s="4">
        <v>44377</v>
      </c>
      <c r="DI58" s="4">
        <v>100.31</v>
      </c>
      <c r="DJ58" s="4">
        <v>44377</v>
      </c>
      <c r="DK58" s="4">
        <v>94.83</v>
      </c>
      <c r="DL58" s="4">
        <v>44377</v>
      </c>
      <c r="DM58" s="4">
        <v>86.18</v>
      </c>
      <c r="DN58" s="4">
        <v>44347</v>
      </c>
      <c r="DO58" s="4">
        <v>104.18</v>
      </c>
      <c r="DP58" s="4">
        <v>44377</v>
      </c>
      <c r="DQ58" s="4">
        <v>217.45</v>
      </c>
      <c r="DR58" s="4">
        <v>44347</v>
      </c>
      <c r="DS58" s="4">
        <v>270.14</v>
      </c>
      <c r="DT58" s="4">
        <v>44347</v>
      </c>
      <c r="DU58" s="4">
        <v>179.2</v>
      </c>
      <c r="DV58" s="4">
        <v>44377</v>
      </c>
      <c r="DW58" s="4">
        <v>220</v>
      </c>
    </row>
    <row r="59" spans="1:131" x14ac:dyDescent="0.3">
      <c r="A59" s="5" t="s">
        <v>136</v>
      </c>
      <c r="C59" s="14" t="str">
        <f t="shared" si="4"/>
        <v>20214</v>
      </c>
      <c r="D59" s="6">
        <v>44316</v>
      </c>
      <c r="E59" s="4">
        <v>131.80000000000001</v>
      </c>
      <c r="F59" s="4">
        <v>216.25</v>
      </c>
      <c r="G59" s="4">
        <v>58.45</v>
      </c>
      <c r="H59" s="4">
        <v>236.72</v>
      </c>
      <c r="I59" s="4">
        <v>95</v>
      </c>
      <c r="J59" s="4">
        <v>110</v>
      </c>
      <c r="K59" s="4">
        <v>152</v>
      </c>
      <c r="L59" s="4">
        <v>123.75</v>
      </c>
      <c r="M59" s="4">
        <v>92.46</v>
      </c>
      <c r="N59" s="4">
        <v>123.76</v>
      </c>
      <c r="O59" s="4">
        <v>47.46</v>
      </c>
      <c r="P59" s="4">
        <v>142.15</v>
      </c>
      <c r="Q59" s="4">
        <v>290</v>
      </c>
      <c r="R59" s="4">
        <v>235.81</v>
      </c>
      <c r="S59" s="4">
        <v>54.33</v>
      </c>
      <c r="T59" s="4">
        <v>110.52</v>
      </c>
      <c r="U59" s="4">
        <v>253.86</v>
      </c>
      <c r="V59" s="4">
        <v>240.27</v>
      </c>
      <c r="W59" s="4">
        <v>131.66999999999999</v>
      </c>
      <c r="X59" s="4">
        <v>194.32</v>
      </c>
      <c r="Y59" s="4">
        <v>247.29</v>
      </c>
      <c r="Z59" s="4">
        <v>325</v>
      </c>
      <c r="AA59" s="4">
        <v>223.33</v>
      </c>
      <c r="AB59" s="4">
        <v>170.8</v>
      </c>
      <c r="AC59" s="4">
        <v>110.64</v>
      </c>
      <c r="AD59" s="4">
        <v>192.73</v>
      </c>
      <c r="AE59" s="4">
        <v>304</v>
      </c>
      <c r="AF59" s="4">
        <v>197.66</v>
      </c>
      <c r="AG59" s="4">
        <v>278.18</v>
      </c>
      <c r="AH59" s="4">
        <v>129.03</v>
      </c>
      <c r="AI59" s="4">
        <v>245</v>
      </c>
      <c r="AJ59" s="4">
        <v>258.45</v>
      </c>
      <c r="AK59" s="4">
        <v>130.03</v>
      </c>
      <c r="AL59" s="4">
        <v>94.82</v>
      </c>
      <c r="AM59" s="4">
        <v>192.73</v>
      </c>
      <c r="AN59" s="4">
        <v>218.79</v>
      </c>
      <c r="AO59" s="4">
        <v>352.45</v>
      </c>
      <c r="AP59" s="4">
        <v>291.2</v>
      </c>
      <c r="AQ59" s="4">
        <v>255.27</v>
      </c>
      <c r="AR59" s="4">
        <v>336.67</v>
      </c>
      <c r="AS59" s="4">
        <v>227.13</v>
      </c>
      <c r="AT59" s="4">
        <v>166.25</v>
      </c>
      <c r="AU59" s="4">
        <v>102.46</v>
      </c>
      <c r="AV59" s="4">
        <v>130.33000000000001</v>
      </c>
      <c r="AW59" s="4">
        <v>123.97</v>
      </c>
      <c r="AX59" s="4">
        <v>210</v>
      </c>
      <c r="AY59" s="4">
        <v>325.5</v>
      </c>
      <c r="AZ59" s="4">
        <v>219.22</v>
      </c>
      <c r="BA59" s="4">
        <v>100.07</v>
      </c>
      <c r="BB59" s="4">
        <v>152.15</v>
      </c>
      <c r="BC59" s="4">
        <v>164.57</v>
      </c>
      <c r="BD59" s="4">
        <v>312</v>
      </c>
      <c r="BE59" s="4">
        <v>280</v>
      </c>
      <c r="BF59" s="4">
        <v>138.21</v>
      </c>
      <c r="BG59" s="4">
        <v>133.94</v>
      </c>
      <c r="BH59" s="4">
        <v>121.3</v>
      </c>
      <c r="BI59" s="4">
        <v>96.34</v>
      </c>
      <c r="BJ59" s="4">
        <v>89.39</v>
      </c>
      <c r="BK59" s="4">
        <v>260.39999999999998</v>
      </c>
      <c r="BL59" s="4">
        <v>291.85000000000002</v>
      </c>
      <c r="BM59" s="4">
        <v>210.4</v>
      </c>
      <c r="BN59" s="4">
        <v>294.63</v>
      </c>
      <c r="BO59" s="4">
        <v>212.5</v>
      </c>
      <c r="BP59" s="4">
        <v>44347</v>
      </c>
      <c r="BQ59" s="4">
        <v>111.24</v>
      </c>
      <c r="BR59" s="4">
        <v>44347</v>
      </c>
      <c r="BS59" s="4">
        <v>101.73</v>
      </c>
      <c r="BT59" s="4">
        <v>44347</v>
      </c>
      <c r="BU59" s="4">
        <v>179.1</v>
      </c>
      <c r="BV59" s="4">
        <v>44347</v>
      </c>
      <c r="BW59" s="4">
        <v>208.06</v>
      </c>
      <c r="BX59" s="4">
        <v>44347</v>
      </c>
      <c r="BY59" s="4">
        <v>355.01</v>
      </c>
      <c r="BZ59" s="4">
        <v>44347</v>
      </c>
      <c r="CA59" s="4">
        <v>291.2</v>
      </c>
      <c r="CB59" s="4">
        <v>44347</v>
      </c>
      <c r="CC59" s="4">
        <v>208.76</v>
      </c>
      <c r="CD59" s="4">
        <v>44347</v>
      </c>
      <c r="CE59" s="4">
        <v>323</v>
      </c>
      <c r="CF59" s="4">
        <v>44347</v>
      </c>
      <c r="CG59" s="4">
        <v>184.8</v>
      </c>
      <c r="CH59" s="4">
        <v>44347</v>
      </c>
      <c r="CI59" s="4">
        <v>143.93</v>
      </c>
      <c r="CJ59" s="4">
        <v>44347</v>
      </c>
      <c r="CK59" s="4">
        <v>87.53</v>
      </c>
      <c r="CL59" s="4">
        <v>44347</v>
      </c>
      <c r="CM59" s="4">
        <v>111.5</v>
      </c>
      <c r="CN59" s="4">
        <v>44347</v>
      </c>
      <c r="CO59" s="4">
        <v>104.75</v>
      </c>
      <c r="CP59" s="4">
        <v>44347</v>
      </c>
      <c r="CQ59" s="4">
        <v>172.18</v>
      </c>
      <c r="CR59" s="4">
        <v>44347</v>
      </c>
      <c r="CS59" s="4">
        <v>288.63</v>
      </c>
      <c r="CT59" s="4">
        <v>44347</v>
      </c>
      <c r="CU59" s="4">
        <v>201.6</v>
      </c>
      <c r="CV59" s="4">
        <v>44347</v>
      </c>
      <c r="CW59" s="4">
        <v>73.040000000000006</v>
      </c>
      <c r="CX59" s="4">
        <v>44347</v>
      </c>
      <c r="CY59" s="4">
        <v>130.27000000000001</v>
      </c>
      <c r="CZ59" s="4">
        <v>44347</v>
      </c>
      <c r="DA59" s="4">
        <v>140.94999999999999</v>
      </c>
      <c r="DB59" s="4">
        <v>44347</v>
      </c>
      <c r="DC59" s="4">
        <v>254.29</v>
      </c>
      <c r="DD59" s="4">
        <v>44347</v>
      </c>
      <c r="DE59" s="4">
        <v>280</v>
      </c>
      <c r="DF59" s="4">
        <v>44347</v>
      </c>
      <c r="DG59" s="4">
        <v>134.4</v>
      </c>
      <c r="DH59" s="4">
        <v>44347</v>
      </c>
      <c r="DI59" s="4">
        <v>96</v>
      </c>
      <c r="DJ59" s="4">
        <v>44347</v>
      </c>
      <c r="DK59" s="4">
        <v>95</v>
      </c>
      <c r="DL59" s="4">
        <v>44347</v>
      </c>
      <c r="DM59" s="4">
        <v>94.47</v>
      </c>
      <c r="DN59" s="4">
        <v>44316</v>
      </c>
      <c r="DO59" s="4">
        <v>89.39</v>
      </c>
      <c r="DP59" s="4">
        <v>44347</v>
      </c>
      <c r="DQ59" s="4">
        <v>213.86</v>
      </c>
      <c r="DR59" s="4">
        <v>44316</v>
      </c>
      <c r="DS59" s="4">
        <v>291.85000000000002</v>
      </c>
      <c r="DT59" s="4">
        <v>44316</v>
      </c>
      <c r="DU59" s="4">
        <v>210.4</v>
      </c>
      <c r="DV59" s="4">
        <v>44347</v>
      </c>
      <c r="DW59" s="4">
        <v>225.35</v>
      </c>
    </row>
    <row r="60" spans="1:131" x14ac:dyDescent="0.3">
      <c r="A60" s="5" t="s">
        <v>137</v>
      </c>
      <c r="C60" s="14" t="str">
        <f t="shared" si="4"/>
        <v>20213</v>
      </c>
      <c r="D60" s="6">
        <v>44286</v>
      </c>
      <c r="E60" s="4">
        <v>155.56</v>
      </c>
      <c r="F60" s="4">
        <v>236.47</v>
      </c>
      <c r="G60" s="4">
        <v>66.25</v>
      </c>
      <c r="H60" s="4">
        <v>268.81</v>
      </c>
      <c r="I60" s="4">
        <v>99.4</v>
      </c>
      <c r="J60" s="4">
        <v>133.33000000000001</v>
      </c>
      <c r="K60" s="4">
        <v>182.6</v>
      </c>
      <c r="L60" s="4">
        <v>143.33000000000001</v>
      </c>
      <c r="M60" s="4">
        <v>105</v>
      </c>
      <c r="N60" s="4">
        <v>145</v>
      </c>
      <c r="O60" s="4">
        <v>50.51</v>
      </c>
      <c r="P60" s="4">
        <v>179.2</v>
      </c>
      <c r="Q60" s="4">
        <v>298.35000000000002</v>
      </c>
      <c r="R60" s="4">
        <v>256.95999999999998</v>
      </c>
      <c r="S60" s="4">
        <v>70.400000000000006</v>
      </c>
      <c r="T60" s="4">
        <v>160.83000000000001</v>
      </c>
      <c r="U60" s="4">
        <v>294</v>
      </c>
      <c r="V60" s="4">
        <v>265.49</v>
      </c>
      <c r="W60" s="4">
        <v>165.06</v>
      </c>
      <c r="X60" s="4">
        <v>186.33</v>
      </c>
      <c r="Y60" s="4">
        <v>295.31</v>
      </c>
      <c r="Z60" s="4">
        <v>393.75</v>
      </c>
      <c r="AA60" s="4">
        <v>246.67</v>
      </c>
      <c r="AB60" s="4">
        <v>194.55</v>
      </c>
      <c r="AC60" s="4">
        <v>179.2</v>
      </c>
      <c r="AD60" s="4">
        <v>214</v>
      </c>
      <c r="AE60" s="4">
        <v>307.64999999999998</v>
      </c>
      <c r="AF60" s="4">
        <v>212.5</v>
      </c>
      <c r="AG60" s="4">
        <v>311.52</v>
      </c>
      <c r="AH60" s="4">
        <v>124.1</v>
      </c>
      <c r="AI60" s="4">
        <v>236.25</v>
      </c>
      <c r="AJ60" s="4">
        <v>300.22000000000003</v>
      </c>
      <c r="AK60" s="4">
        <v>162.96</v>
      </c>
      <c r="AL60" s="4">
        <v>184.08</v>
      </c>
      <c r="AM60" s="4">
        <v>178.7</v>
      </c>
      <c r="AN60" s="4">
        <v>267</v>
      </c>
      <c r="AO60" s="4">
        <v>380.8</v>
      </c>
      <c r="AP60" s="4">
        <v>323.13</v>
      </c>
      <c r="AQ60" s="4">
        <v>235</v>
      </c>
      <c r="AR60" s="4">
        <v>360</v>
      </c>
      <c r="AS60" s="4">
        <v>232.6</v>
      </c>
      <c r="AT60" s="4">
        <v>179.9</v>
      </c>
      <c r="AU60" s="4">
        <v>128.75</v>
      </c>
      <c r="AV60" s="4">
        <v>175</v>
      </c>
      <c r="AW60" s="4">
        <v>151.22</v>
      </c>
      <c r="AX60" s="4">
        <v>240</v>
      </c>
      <c r="AY60" s="4">
        <v>352.95</v>
      </c>
      <c r="AZ60" s="4">
        <v>225.28</v>
      </c>
      <c r="BA60" s="4">
        <v>106.21</v>
      </c>
      <c r="BB60" s="4">
        <v>190.41</v>
      </c>
      <c r="BC60" s="4">
        <v>205.83</v>
      </c>
      <c r="BD60" s="4">
        <v>310</v>
      </c>
      <c r="BE60" s="4">
        <v>220</v>
      </c>
      <c r="BF60" s="4">
        <v>173.11</v>
      </c>
      <c r="BG60" s="4">
        <v>121.69</v>
      </c>
      <c r="BH60" s="4">
        <v>123.2</v>
      </c>
      <c r="BI60" s="4">
        <v>142.5</v>
      </c>
      <c r="BJ60" s="4">
        <v>141.16999999999999</v>
      </c>
      <c r="BK60" s="4">
        <v>298.66000000000003</v>
      </c>
      <c r="BL60" s="4">
        <v>326.18</v>
      </c>
      <c r="BM60" s="4">
        <v>208.42</v>
      </c>
      <c r="BN60" s="4">
        <v>276.43</v>
      </c>
      <c r="BO60" s="4">
        <v>258.45</v>
      </c>
      <c r="BP60" s="4">
        <v>44316</v>
      </c>
      <c r="BQ60" s="4">
        <v>130.03</v>
      </c>
      <c r="BR60" s="4">
        <v>44316</v>
      </c>
      <c r="BS60" s="4">
        <v>94.82</v>
      </c>
      <c r="BT60" s="4">
        <v>44316</v>
      </c>
      <c r="BU60" s="4">
        <v>192.73</v>
      </c>
      <c r="BV60" s="4">
        <v>44316</v>
      </c>
      <c r="BW60" s="4">
        <v>218.79</v>
      </c>
      <c r="BX60" s="4">
        <v>44316</v>
      </c>
      <c r="BY60" s="4">
        <v>352.45</v>
      </c>
      <c r="BZ60" s="4">
        <v>44316</v>
      </c>
      <c r="CA60" s="4">
        <v>291.2</v>
      </c>
      <c r="CB60" s="4">
        <v>44316</v>
      </c>
      <c r="CC60" s="4">
        <v>255.27</v>
      </c>
      <c r="CD60" s="4">
        <v>44316</v>
      </c>
      <c r="CE60" s="4">
        <v>336.67</v>
      </c>
      <c r="CF60" s="4">
        <v>44316</v>
      </c>
      <c r="CG60" s="4">
        <v>227.13</v>
      </c>
      <c r="CH60" s="4">
        <v>44316</v>
      </c>
      <c r="CI60" s="4">
        <v>166.25</v>
      </c>
      <c r="CJ60" s="4">
        <v>44316</v>
      </c>
      <c r="CK60" s="4">
        <v>102.46</v>
      </c>
      <c r="CL60" s="4">
        <v>44316</v>
      </c>
      <c r="CM60" s="4">
        <v>130.33000000000001</v>
      </c>
      <c r="CN60" s="4">
        <v>44316</v>
      </c>
      <c r="CO60" s="4">
        <v>123.97</v>
      </c>
      <c r="CP60" s="4">
        <v>44316</v>
      </c>
      <c r="CQ60" s="4">
        <v>210</v>
      </c>
      <c r="CR60" s="4">
        <v>44316</v>
      </c>
      <c r="CS60" s="4">
        <v>325.5</v>
      </c>
      <c r="CT60" s="4">
        <v>44316</v>
      </c>
      <c r="CU60" s="4">
        <v>219.22</v>
      </c>
      <c r="CV60" s="4">
        <v>44316</v>
      </c>
      <c r="CW60" s="4">
        <v>100.07</v>
      </c>
      <c r="CX60" s="4">
        <v>44316</v>
      </c>
      <c r="CY60" s="4">
        <v>152.15</v>
      </c>
      <c r="CZ60" s="4">
        <v>44316</v>
      </c>
      <c r="DA60" s="4">
        <v>164.57</v>
      </c>
      <c r="DB60" s="4">
        <v>44316</v>
      </c>
      <c r="DC60" s="4">
        <v>312</v>
      </c>
      <c r="DD60" s="4">
        <v>44316</v>
      </c>
      <c r="DE60" s="4">
        <v>280</v>
      </c>
      <c r="DF60" s="4">
        <v>44316</v>
      </c>
      <c r="DG60" s="4">
        <v>138.21</v>
      </c>
      <c r="DH60" s="4">
        <v>44316</v>
      </c>
      <c r="DI60" s="4">
        <v>133.94</v>
      </c>
      <c r="DJ60" s="4">
        <v>44316</v>
      </c>
      <c r="DK60" s="4">
        <v>121.3</v>
      </c>
      <c r="DL60" s="4">
        <v>44316</v>
      </c>
      <c r="DM60" s="4">
        <v>96.34</v>
      </c>
      <c r="DN60" s="4">
        <v>44286</v>
      </c>
      <c r="DO60" s="4">
        <v>141.16999999999999</v>
      </c>
      <c r="DP60" s="4">
        <v>44316</v>
      </c>
      <c r="DQ60" s="4">
        <v>260.39999999999998</v>
      </c>
      <c r="DR60" s="4">
        <v>44286</v>
      </c>
      <c r="DS60" s="4">
        <v>326.18</v>
      </c>
      <c r="DT60" s="4">
        <v>44286</v>
      </c>
      <c r="DU60" s="4">
        <v>208.42</v>
      </c>
      <c r="DV60" s="4">
        <v>44316</v>
      </c>
      <c r="DW60" s="4">
        <v>294.63</v>
      </c>
    </row>
    <row r="61" spans="1:131" x14ac:dyDescent="0.3">
      <c r="A61" s="5" t="s">
        <v>138</v>
      </c>
      <c r="C61" s="14" t="str">
        <f t="shared" si="4"/>
        <v>20212</v>
      </c>
      <c r="D61" s="6">
        <v>44255</v>
      </c>
      <c r="E61" s="4">
        <v>138</v>
      </c>
      <c r="F61" s="4">
        <v>199.5</v>
      </c>
      <c r="G61" s="4">
        <v>47.04</v>
      </c>
      <c r="H61" s="4">
        <v>220.25</v>
      </c>
      <c r="I61" s="4">
        <v>64.959999999999994</v>
      </c>
      <c r="J61" s="4">
        <v>110</v>
      </c>
      <c r="K61" s="4">
        <v>160</v>
      </c>
      <c r="L61" s="4">
        <v>139.58000000000001</v>
      </c>
      <c r="M61" s="4">
        <v>76.16</v>
      </c>
      <c r="N61" s="4">
        <v>115</v>
      </c>
      <c r="O61" s="4">
        <v>32.51</v>
      </c>
      <c r="P61" s="4">
        <v>159</v>
      </c>
      <c r="Q61" s="4">
        <v>257.29000000000002</v>
      </c>
      <c r="R61" s="4">
        <v>210</v>
      </c>
      <c r="S61" s="4">
        <v>61</v>
      </c>
      <c r="T61" s="4">
        <v>108.96</v>
      </c>
      <c r="U61" s="4">
        <v>237.5</v>
      </c>
      <c r="V61" s="4">
        <v>202.5</v>
      </c>
      <c r="W61" s="4">
        <v>148.5</v>
      </c>
      <c r="X61" s="4">
        <v>140.09</v>
      </c>
      <c r="Y61" s="4">
        <v>220</v>
      </c>
      <c r="Z61" s="4">
        <v>287.5</v>
      </c>
      <c r="AA61" s="4">
        <v>145.6</v>
      </c>
      <c r="AB61" s="4">
        <v>160.41</v>
      </c>
      <c r="AC61" s="4">
        <v>157.5</v>
      </c>
      <c r="AD61" s="4">
        <v>129.80000000000001</v>
      </c>
      <c r="AE61" s="4">
        <v>294.86</v>
      </c>
      <c r="AF61" s="4">
        <v>154.32</v>
      </c>
      <c r="AG61" s="4">
        <v>279.45</v>
      </c>
      <c r="AH61" s="4">
        <v>69.66</v>
      </c>
      <c r="AI61" s="4">
        <v>165.64</v>
      </c>
      <c r="AJ61" s="4">
        <v>230.82</v>
      </c>
      <c r="AK61" s="4">
        <v>135</v>
      </c>
      <c r="AL61" s="4">
        <v>131.08000000000001</v>
      </c>
      <c r="AM61" s="4">
        <v>129.80000000000001</v>
      </c>
      <c r="AN61" s="4">
        <v>197.13</v>
      </c>
      <c r="AO61" s="4">
        <v>344.33</v>
      </c>
      <c r="AP61" s="4">
        <v>290.55</v>
      </c>
      <c r="AQ61" s="4">
        <v>204.17</v>
      </c>
      <c r="AR61" s="4">
        <v>320</v>
      </c>
      <c r="AS61" s="4">
        <v>217.5</v>
      </c>
      <c r="AT61" s="4">
        <v>133.11000000000001</v>
      </c>
      <c r="AU61" s="4">
        <v>105.64</v>
      </c>
      <c r="AV61" s="4">
        <v>134.43</v>
      </c>
      <c r="AW61" s="4">
        <v>113.68</v>
      </c>
      <c r="AX61" s="4">
        <v>147.27000000000001</v>
      </c>
      <c r="AY61" s="4">
        <v>351.25</v>
      </c>
      <c r="AZ61" s="4">
        <v>194.88</v>
      </c>
      <c r="BA61" s="4">
        <v>54.29</v>
      </c>
      <c r="BB61" s="4">
        <v>156.97</v>
      </c>
      <c r="BC61" s="4">
        <v>169.8</v>
      </c>
      <c r="BD61" s="4">
        <v>235</v>
      </c>
      <c r="BE61" s="4">
        <v>270.12</v>
      </c>
      <c r="BF61" s="4">
        <v>142.57</v>
      </c>
      <c r="BG61" s="4">
        <v>68.19</v>
      </c>
      <c r="BH61" s="4">
        <v>61.48</v>
      </c>
      <c r="BI61" s="4">
        <v>118.25</v>
      </c>
      <c r="BJ61" s="4">
        <v>130.94999999999999</v>
      </c>
      <c r="BK61" s="4">
        <v>237.5</v>
      </c>
      <c r="BL61" s="4">
        <v>293.47000000000003</v>
      </c>
      <c r="BM61" s="4">
        <v>180</v>
      </c>
      <c r="BN61" s="4">
        <v>253</v>
      </c>
      <c r="BO61" s="4">
        <v>300.22000000000003</v>
      </c>
      <c r="BP61" s="4">
        <v>44286</v>
      </c>
      <c r="BQ61" s="4">
        <v>162.96</v>
      </c>
      <c r="BR61" s="4">
        <v>44286</v>
      </c>
      <c r="BS61" s="4">
        <v>184.08</v>
      </c>
      <c r="BT61" s="4">
        <v>44286</v>
      </c>
      <c r="BU61" s="4">
        <v>178.7</v>
      </c>
      <c r="BV61" s="4">
        <v>44286</v>
      </c>
      <c r="BW61" s="4">
        <v>267</v>
      </c>
      <c r="BX61" s="4">
        <v>44286</v>
      </c>
      <c r="BY61" s="4">
        <v>380.8</v>
      </c>
      <c r="BZ61" s="4">
        <v>44286</v>
      </c>
      <c r="CA61" s="4">
        <v>323.13</v>
      </c>
      <c r="CB61" s="4">
        <v>44286</v>
      </c>
      <c r="CC61" s="4">
        <v>235</v>
      </c>
      <c r="CD61" s="4">
        <v>44286</v>
      </c>
      <c r="CE61" s="4">
        <v>360</v>
      </c>
      <c r="CF61" s="4">
        <v>44286</v>
      </c>
      <c r="CG61" s="4">
        <v>232.6</v>
      </c>
      <c r="CH61" s="4">
        <v>44286</v>
      </c>
      <c r="CI61" s="4">
        <v>179.9</v>
      </c>
      <c r="CJ61" s="4">
        <v>44286</v>
      </c>
      <c r="CK61" s="4">
        <v>128.75</v>
      </c>
      <c r="CL61" s="4">
        <v>44286</v>
      </c>
      <c r="CM61" s="4">
        <v>175</v>
      </c>
      <c r="CN61" s="4">
        <v>44286</v>
      </c>
      <c r="CO61" s="4">
        <v>151.22</v>
      </c>
      <c r="CP61" s="4">
        <v>44286</v>
      </c>
      <c r="CQ61" s="4">
        <v>240</v>
      </c>
      <c r="CR61" s="4">
        <v>44286</v>
      </c>
      <c r="CS61" s="4">
        <v>352.95</v>
      </c>
      <c r="CT61" s="4">
        <v>44286</v>
      </c>
      <c r="CU61" s="4">
        <v>225.28</v>
      </c>
      <c r="CV61" s="4">
        <v>44286</v>
      </c>
      <c r="CW61" s="4">
        <v>106.21</v>
      </c>
      <c r="CX61" s="4">
        <v>44286</v>
      </c>
      <c r="CY61" s="4">
        <v>190.41</v>
      </c>
      <c r="CZ61" s="4">
        <v>44286</v>
      </c>
      <c r="DA61" s="4">
        <v>205.83</v>
      </c>
      <c r="DB61" s="4">
        <v>44286</v>
      </c>
      <c r="DC61" s="4">
        <v>310</v>
      </c>
      <c r="DD61" s="4">
        <v>44286</v>
      </c>
      <c r="DE61" s="4">
        <v>220</v>
      </c>
      <c r="DF61" s="4">
        <v>44286</v>
      </c>
      <c r="DG61" s="4">
        <v>173.11</v>
      </c>
      <c r="DH61" s="4">
        <v>44286</v>
      </c>
      <c r="DI61" s="4">
        <v>121.69</v>
      </c>
      <c r="DJ61" s="4">
        <v>44286</v>
      </c>
      <c r="DK61" s="4">
        <v>123.2</v>
      </c>
      <c r="DL61" s="4">
        <v>44286</v>
      </c>
      <c r="DM61" s="4">
        <v>142.5</v>
      </c>
      <c r="DN61" s="4">
        <v>44255</v>
      </c>
      <c r="DO61" s="4">
        <v>130.94999999999999</v>
      </c>
      <c r="DP61" s="4">
        <v>44286</v>
      </c>
      <c r="DQ61" s="4">
        <v>298.66000000000003</v>
      </c>
      <c r="DR61" s="4">
        <v>44255</v>
      </c>
      <c r="DS61" s="4">
        <v>293.47000000000003</v>
      </c>
      <c r="DT61" s="4">
        <v>44255</v>
      </c>
      <c r="DU61" s="4">
        <v>180</v>
      </c>
      <c r="DV61" s="4">
        <v>44286</v>
      </c>
      <c r="DW61" s="4">
        <v>276.43</v>
      </c>
    </row>
    <row r="62" spans="1:131" x14ac:dyDescent="0.3">
      <c r="A62" s="5" t="s">
        <v>139</v>
      </c>
      <c r="C62" s="14" t="str">
        <f t="shared" si="4"/>
        <v>20211</v>
      </c>
      <c r="D62" s="6">
        <v>44227</v>
      </c>
      <c r="E62" s="4">
        <v>88.63</v>
      </c>
      <c r="F62" s="4">
        <v>122.64</v>
      </c>
      <c r="G62" s="4">
        <v>45.52</v>
      </c>
      <c r="H62" s="4">
        <v>135.63</v>
      </c>
      <c r="I62" s="4">
        <v>64.959999999999994</v>
      </c>
      <c r="J62" s="4">
        <v>67.599999999999994</v>
      </c>
      <c r="K62" s="4">
        <v>104.93</v>
      </c>
      <c r="L62" s="4">
        <v>78.5</v>
      </c>
      <c r="M62" s="4">
        <v>76.16</v>
      </c>
      <c r="N62" s="4">
        <v>85</v>
      </c>
      <c r="O62" s="4">
        <v>25</v>
      </c>
      <c r="P62" s="4">
        <v>103.12</v>
      </c>
      <c r="Q62" s="4">
        <v>190.9</v>
      </c>
      <c r="R62" s="4">
        <v>125.75</v>
      </c>
      <c r="S62" s="4">
        <v>40.89</v>
      </c>
      <c r="T62" s="4">
        <v>66.67</v>
      </c>
      <c r="U62" s="4">
        <v>139.15</v>
      </c>
      <c r="V62" s="4">
        <v>120</v>
      </c>
      <c r="W62" s="4">
        <v>104.61</v>
      </c>
      <c r="X62" s="4">
        <v>110.18</v>
      </c>
      <c r="Y62" s="4">
        <v>123.35</v>
      </c>
      <c r="Z62" s="4">
        <v>240</v>
      </c>
      <c r="AA62" s="4">
        <v>145.6</v>
      </c>
      <c r="AB62" s="4">
        <v>107.37</v>
      </c>
      <c r="AC62" s="4">
        <v>75.930000000000007</v>
      </c>
      <c r="AD62" s="4">
        <v>108</v>
      </c>
      <c r="AE62" s="4">
        <v>224.48</v>
      </c>
      <c r="AF62" s="4">
        <v>132.5</v>
      </c>
      <c r="AG62" s="4">
        <v>214.99</v>
      </c>
      <c r="AH62" s="4">
        <v>61.11</v>
      </c>
      <c r="AI62" s="4">
        <v>136.31</v>
      </c>
      <c r="AJ62" s="4">
        <v>156.62</v>
      </c>
      <c r="AK62" s="4">
        <v>89.53</v>
      </c>
      <c r="AL62" s="4">
        <v>86.07</v>
      </c>
      <c r="AM62" s="4">
        <v>130</v>
      </c>
      <c r="AN62" s="4">
        <v>151.63</v>
      </c>
      <c r="AO62" s="4">
        <v>294.05</v>
      </c>
      <c r="AP62" s="4">
        <v>221.83</v>
      </c>
      <c r="AQ62" s="4">
        <v>181.25</v>
      </c>
      <c r="AR62" s="4">
        <v>269.45</v>
      </c>
      <c r="AS62" s="4">
        <v>149.5</v>
      </c>
      <c r="AT62" s="4">
        <v>100</v>
      </c>
      <c r="AU62" s="4">
        <v>70.2</v>
      </c>
      <c r="AV62" s="4">
        <v>89.74</v>
      </c>
      <c r="AW62" s="4">
        <v>71.63</v>
      </c>
      <c r="AX62" s="4">
        <v>128.43</v>
      </c>
      <c r="AY62" s="4">
        <v>220</v>
      </c>
      <c r="AZ62" s="4">
        <v>121.01</v>
      </c>
      <c r="BA62" s="4">
        <v>38.14</v>
      </c>
      <c r="BB62" s="4">
        <v>105.03</v>
      </c>
      <c r="BC62" s="4">
        <v>113.74</v>
      </c>
      <c r="BD62" s="4">
        <v>205</v>
      </c>
      <c r="BE62" s="4">
        <v>201.55</v>
      </c>
      <c r="BF62" s="4">
        <v>95.26</v>
      </c>
      <c r="BG62" s="4">
        <v>59.62</v>
      </c>
      <c r="BH62" s="4">
        <v>52.83</v>
      </c>
      <c r="BI62" s="4">
        <v>57.36</v>
      </c>
      <c r="BJ62" s="4">
        <v>64</v>
      </c>
      <c r="BK62" s="4">
        <v>142.66</v>
      </c>
      <c r="BL62" s="4">
        <v>223.62</v>
      </c>
      <c r="BM62" s="4">
        <v>118.49</v>
      </c>
      <c r="BN62" s="4">
        <v>192.5</v>
      </c>
      <c r="BO62" s="4">
        <v>230.82</v>
      </c>
      <c r="BP62" s="4">
        <v>44255</v>
      </c>
      <c r="BQ62" s="4">
        <v>135</v>
      </c>
      <c r="BR62" s="4">
        <v>44255</v>
      </c>
      <c r="BS62" s="4">
        <v>131.08000000000001</v>
      </c>
      <c r="BT62" s="4">
        <v>44255</v>
      </c>
      <c r="BU62" s="4">
        <v>129.80000000000001</v>
      </c>
      <c r="BV62" s="4">
        <v>44255</v>
      </c>
      <c r="BW62" s="4">
        <v>197.13</v>
      </c>
      <c r="BX62" s="4">
        <v>44255</v>
      </c>
      <c r="BY62" s="4">
        <v>344.33</v>
      </c>
      <c r="BZ62" s="4">
        <v>44255</v>
      </c>
      <c r="CA62" s="4">
        <v>290.55</v>
      </c>
      <c r="CB62" s="4">
        <v>44255</v>
      </c>
      <c r="CC62" s="4">
        <v>204.17</v>
      </c>
      <c r="CD62" s="4">
        <v>44255</v>
      </c>
      <c r="CE62" s="4">
        <v>320</v>
      </c>
      <c r="CF62" s="4">
        <v>44255</v>
      </c>
      <c r="CG62" s="4">
        <v>217.5</v>
      </c>
      <c r="CH62" s="4">
        <v>44255</v>
      </c>
      <c r="CI62" s="4">
        <v>133.11000000000001</v>
      </c>
      <c r="CJ62" s="4">
        <v>44255</v>
      </c>
      <c r="CK62" s="4">
        <v>105.64</v>
      </c>
      <c r="CL62" s="4">
        <v>44255</v>
      </c>
      <c r="CM62" s="4">
        <v>134.43</v>
      </c>
      <c r="CN62" s="4">
        <v>44255</v>
      </c>
      <c r="CO62" s="4">
        <v>113.68</v>
      </c>
      <c r="CP62" s="4">
        <v>44255</v>
      </c>
      <c r="CQ62" s="4">
        <v>147.27000000000001</v>
      </c>
      <c r="CR62" s="4">
        <v>44255</v>
      </c>
      <c r="CS62" s="4">
        <v>351.25</v>
      </c>
      <c r="CT62" s="4">
        <v>44255</v>
      </c>
      <c r="CU62" s="4">
        <v>194.88</v>
      </c>
      <c r="CV62" s="4">
        <v>44255</v>
      </c>
      <c r="CW62" s="4">
        <v>54.29</v>
      </c>
      <c r="CX62" s="4">
        <v>44255</v>
      </c>
      <c r="CY62" s="4">
        <v>156.97</v>
      </c>
      <c r="CZ62" s="4">
        <v>44255</v>
      </c>
      <c r="DA62" s="4">
        <v>169.8</v>
      </c>
      <c r="DB62" s="4">
        <v>44255</v>
      </c>
      <c r="DC62" s="4">
        <v>235</v>
      </c>
      <c r="DD62" s="4">
        <v>44255</v>
      </c>
      <c r="DE62" s="4">
        <v>270.12</v>
      </c>
      <c r="DF62" s="4">
        <v>44255</v>
      </c>
      <c r="DG62" s="4">
        <v>142.57</v>
      </c>
      <c r="DH62" s="4">
        <v>44255</v>
      </c>
      <c r="DI62" s="4">
        <v>68.19</v>
      </c>
      <c r="DJ62" s="4">
        <v>44255</v>
      </c>
      <c r="DK62" s="4">
        <v>61.48</v>
      </c>
      <c r="DL62" s="4">
        <v>44255</v>
      </c>
      <c r="DM62" s="4">
        <v>118.25</v>
      </c>
      <c r="DN62" s="4">
        <v>44227</v>
      </c>
      <c r="DO62" s="4">
        <v>64</v>
      </c>
      <c r="DP62" s="4">
        <v>44255</v>
      </c>
      <c r="DQ62" s="4">
        <v>237.5</v>
      </c>
      <c r="DR62" s="4">
        <v>44227</v>
      </c>
      <c r="DS62" s="4">
        <v>223.62</v>
      </c>
      <c r="DT62" s="4">
        <v>44227</v>
      </c>
      <c r="DU62" s="4">
        <v>118.49</v>
      </c>
      <c r="DV62" s="4">
        <v>44255</v>
      </c>
      <c r="DW62" s="4">
        <v>253</v>
      </c>
    </row>
    <row r="63" spans="1:131" x14ac:dyDescent="0.3">
      <c r="A63" s="5" t="s">
        <v>140</v>
      </c>
      <c r="C63" s="14" t="str">
        <f t="shared" si="4"/>
        <v>202012</v>
      </c>
      <c r="D63" s="6">
        <v>44196</v>
      </c>
      <c r="E63" s="4">
        <v>84.87</v>
      </c>
      <c r="F63" s="4">
        <v>116.08</v>
      </c>
      <c r="G63" s="4">
        <v>43.8</v>
      </c>
      <c r="H63" s="4">
        <v>131.29</v>
      </c>
      <c r="I63" s="4">
        <v>54.99</v>
      </c>
      <c r="J63" s="4">
        <v>72.709999999999994</v>
      </c>
      <c r="K63" s="4">
        <v>104.83</v>
      </c>
      <c r="L63" s="4">
        <v>79.959999999999994</v>
      </c>
      <c r="M63" s="4">
        <v>57.64</v>
      </c>
      <c r="N63" s="4">
        <v>67.650000000000006</v>
      </c>
      <c r="O63" s="4">
        <v>18.95</v>
      </c>
      <c r="P63" s="4">
        <v>90.15</v>
      </c>
      <c r="Q63" s="4">
        <v>198.54</v>
      </c>
      <c r="R63" s="4">
        <v>126.46</v>
      </c>
      <c r="S63" s="4">
        <v>45.91</v>
      </c>
      <c r="T63" s="4">
        <v>88.68</v>
      </c>
      <c r="U63" s="4">
        <v>147.22999999999999</v>
      </c>
      <c r="V63" s="4">
        <v>134.25</v>
      </c>
      <c r="W63" s="4">
        <v>91.21</v>
      </c>
      <c r="X63" s="4">
        <v>114.46</v>
      </c>
      <c r="Y63" s="4">
        <v>111.82</v>
      </c>
      <c r="Z63" s="4">
        <v>208.13</v>
      </c>
      <c r="AA63" s="4">
        <v>135.99</v>
      </c>
      <c r="AB63" s="4">
        <v>93.17</v>
      </c>
      <c r="AC63" s="4">
        <v>70.819999999999993</v>
      </c>
      <c r="AD63" s="4">
        <v>137.5</v>
      </c>
      <c r="AE63" s="4">
        <v>221.27</v>
      </c>
      <c r="AF63" s="4">
        <v>131.54</v>
      </c>
      <c r="AG63" s="4">
        <v>210.89</v>
      </c>
      <c r="AH63" s="4">
        <v>73.14</v>
      </c>
      <c r="AI63" s="4">
        <v>140</v>
      </c>
      <c r="AJ63" s="4">
        <v>165.96</v>
      </c>
      <c r="AK63" s="4">
        <v>80.489999999999995</v>
      </c>
      <c r="AL63" s="4">
        <v>92.7</v>
      </c>
      <c r="AM63" s="4">
        <v>137.5</v>
      </c>
      <c r="AN63" s="4">
        <v>156.74</v>
      </c>
      <c r="AO63" s="4">
        <v>262.41000000000003</v>
      </c>
      <c r="AP63" s="4">
        <v>218.37</v>
      </c>
      <c r="AQ63" s="4">
        <v>166.12</v>
      </c>
      <c r="AR63" s="4">
        <v>270.51</v>
      </c>
      <c r="AS63" s="4">
        <v>153.22999999999999</v>
      </c>
      <c r="AT63" s="4">
        <v>106.08</v>
      </c>
      <c r="AU63" s="4">
        <v>65.56</v>
      </c>
      <c r="AV63" s="4">
        <v>87.66</v>
      </c>
      <c r="AW63" s="4">
        <v>78.11</v>
      </c>
      <c r="AX63" s="4">
        <v>123.9</v>
      </c>
      <c r="AY63" s="4">
        <v>204.24</v>
      </c>
      <c r="AZ63" s="4">
        <v>97.54</v>
      </c>
      <c r="BA63" s="4">
        <v>62.81</v>
      </c>
      <c r="BB63" s="4">
        <v>104.95</v>
      </c>
      <c r="BC63" s="4">
        <v>114.8</v>
      </c>
      <c r="BD63" s="4">
        <v>181.64</v>
      </c>
      <c r="BE63" s="4">
        <v>209.29</v>
      </c>
      <c r="BF63" s="4">
        <v>93.91</v>
      </c>
      <c r="BG63" s="4">
        <v>72.16</v>
      </c>
      <c r="BH63" s="4">
        <v>67.650000000000006</v>
      </c>
      <c r="BI63" s="4">
        <v>61.96</v>
      </c>
      <c r="BJ63" s="4">
        <v>85.13</v>
      </c>
      <c r="BK63" s="4">
        <v>145.93</v>
      </c>
      <c r="BL63" s="4">
        <v>220.34</v>
      </c>
      <c r="BM63" s="4">
        <v>82.15</v>
      </c>
      <c r="BN63" s="4">
        <v>181.88</v>
      </c>
      <c r="BO63" s="4">
        <v>156.62</v>
      </c>
      <c r="BP63" s="4">
        <v>44227</v>
      </c>
      <c r="BQ63" s="4">
        <v>89.53</v>
      </c>
      <c r="BR63" s="4">
        <v>44227</v>
      </c>
      <c r="BS63" s="4">
        <v>86.07</v>
      </c>
      <c r="BT63" s="4">
        <v>44227</v>
      </c>
      <c r="BU63" s="4">
        <v>130</v>
      </c>
      <c r="BV63" s="4">
        <v>44227</v>
      </c>
      <c r="BW63" s="4">
        <v>151.63</v>
      </c>
      <c r="BX63" s="4">
        <v>44227</v>
      </c>
      <c r="BY63" s="4">
        <v>294.05</v>
      </c>
      <c r="BZ63" s="4">
        <v>44227</v>
      </c>
      <c r="CA63" s="4">
        <v>221.83</v>
      </c>
      <c r="CB63" s="4">
        <v>44227</v>
      </c>
      <c r="CC63" s="4">
        <v>181.25</v>
      </c>
      <c r="CD63" s="4">
        <v>44227</v>
      </c>
      <c r="CE63" s="4">
        <v>269.45</v>
      </c>
      <c r="CF63" s="4">
        <v>44227</v>
      </c>
      <c r="CG63" s="4">
        <v>149.5</v>
      </c>
      <c r="CH63" s="4">
        <v>44227</v>
      </c>
      <c r="CI63" s="4">
        <v>100</v>
      </c>
      <c r="CJ63" s="4">
        <v>44227</v>
      </c>
      <c r="CK63" s="4">
        <v>70.2</v>
      </c>
      <c r="CL63" s="4">
        <v>44227</v>
      </c>
      <c r="CM63" s="4">
        <v>89.74</v>
      </c>
      <c r="CN63" s="4">
        <v>44227</v>
      </c>
      <c r="CO63" s="4">
        <v>71.63</v>
      </c>
      <c r="CP63" s="4">
        <v>44227</v>
      </c>
      <c r="CQ63" s="4">
        <v>128.43</v>
      </c>
      <c r="CR63" s="4">
        <v>44227</v>
      </c>
      <c r="CS63" s="4">
        <v>220</v>
      </c>
      <c r="CT63" s="4">
        <v>44227</v>
      </c>
      <c r="CU63" s="4">
        <v>121.01</v>
      </c>
      <c r="CV63" s="4">
        <v>44227</v>
      </c>
      <c r="CW63" s="4">
        <v>38.14</v>
      </c>
      <c r="CX63" s="4">
        <v>44227</v>
      </c>
      <c r="CY63" s="4">
        <v>105.03</v>
      </c>
      <c r="CZ63" s="4">
        <v>44227</v>
      </c>
      <c r="DA63" s="4">
        <v>113.74</v>
      </c>
      <c r="DB63" s="4">
        <v>44227</v>
      </c>
      <c r="DC63" s="4">
        <v>205</v>
      </c>
      <c r="DD63" s="4">
        <v>44227</v>
      </c>
      <c r="DE63" s="4">
        <v>201.55</v>
      </c>
      <c r="DF63" s="4">
        <v>44227</v>
      </c>
      <c r="DG63" s="4">
        <v>95.26</v>
      </c>
      <c r="DH63" s="4">
        <v>44227</v>
      </c>
      <c r="DI63" s="4">
        <v>59.62</v>
      </c>
      <c r="DJ63" s="4">
        <v>44227</v>
      </c>
      <c r="DK63" s="4">
        <v>52.83</v>
      </c>
      <c r="DL63" s="4">
        <v>44227</v>
      </c>
      <c r="DM63" s="4">
        <v>57.36</v>
      </c>
      <c r="DN63" s="4">
        <v>44196</v>
      </c>
      <c r="DO63" s="4">
        <v>85.13</v>
      </c>
      <c r="DP63" s="4">
        <v>44227</v>
      </c>
      <c r="DQ63" s="4">
        <v>142.66</v>
      </c>
      <c r="DR63" s="4">
        <v>44196</v>
      </c>
      <c r="DS63" s="4">
        <v>220.34</v>
      </c>
      <c r="DT63" s="4">
        <v>44196</v>
      </c>
      <c r="DU63" s="4">
        <v>82.15</v>
      </c>
      <c r="DV63" s="4">
        <v>44227</v>
      </c>
      <c r="DW63" s="4">
        <v>192.5</v>
      </c>
    </row>
    <row r="64" spans="1:131" x14ac:dyDescent="0.3">
      <c r="A64" s="5" t="s">
        <v>141</v>
      </c>
      <c r="C64" s="14" t="str">
        <f t="shared" si="4"/>
        <v>202011</v>
      </c>
      <c r="D64" s="6">
        <v>44165</v>
      </c>
      <c r="E64" s="4">
        <v>90.55</v>
      </c>
      <c r="F64" s="4">
        <v>139.1</v>
      </c>
      <c r="G64" s="4">
        <v>42.79</v>
      </c>
      <c r="H64" s="4">
        <v>145.29</v>
      </c>
      <c r="I64" s="4">
        <v>54.44</v>
      </c>
      <c r="J64" s="4">
        <v>76.42</v>
      </c>
      <c r="K64" s="4">
        <v>106.61</v>
      </c>
      <c r="L64" s="4">
        <v>84.85</v>
      </c>
      <c r="M64" s="4">
        <v>57.21</v>
      </c>
      <c r="N64" s="4">
        <v>70.540000000000006</v>
      </c>
      <c r="O64" s="4">
        <v>19.87</v>
      </c>
      <c r="P64" s="4">
        <v>96.7</v>
      </c>
      <c r="Q64" s="4">
        <v>190.87</v>
      </c>
      <c r="R64" s="4">
        <v>143.33000000000001</v>
      </c>
      <c r="S64" s="4">
        <v>45.25</v>
      </c>
      <c r="T64" s="4">
        <v>75.02</v>
      </c>
      <c r="U64" s="4">
        <v>151.79</v>
      </c>
      <c r="V64" s="4">
        <v>146.5</v>
      </c>
      <c r="W64" s="4">
        <v>97.93</v>
      </c>
      <c r="X64" s="4">
        <v>108.36</v>
      </c>
      <c r="Y64" s="4">
        <v>137.37</v>
      </c>
      <c r="Z64" s="4">
        <v>222.46</v>
      </c>
      <c r="AA64" s="4">
        <v>137.57</v>
      </c>
      <c r="AB64" s="4">
        <v>100.21</v>
      </c>
      <c r="AC64" s="4">
        <v>74.22</v>
      </c>
      <c r="AD64" s="4">
        <v>140</v>
      </c>
      <c r="AE64" s="4">
        <v>216.19</v>
      </c>
      <c r="AF64" s="4">
        <v>123.29</v>
      </c>
      <c r="AG64" s="4">
        <v>205.89</v>
      </c>
      <c r="AH64" s="4">
        <v>71.739999999999995</v>
      </c>
      <c r="AI64" s="4">
        <v>132.63</v>
      </c>
      <c r="AJ64" s="4">
        <v>159.41</v>
      </c>
      <c r="AK64" s="4">
        <v>85.46</v>
      </c>
      <c r="AL64" s="4">
        <v>79.05</v>
      </c>
      <c r="AM64" s="4">
        <v>140</v>
      </c>
      <c r="AN64" s="4">
        <v>174.81</v>
      </c>
      <c r="AO64" s="4">
        <v>265.88</v>
      </c>
      <c r="AP64" s="4">
        <v>213.32</v>
      </c>
      <c r="AQ64" s="4">
        <v>157.69</v>
      </c>
      <c r="AR64" s="4">
        <v>265.01</v>
      </c>
      <c r="AS64" s="4">
        <v>145.63</v>
      </c>
      <c r="AT64" s="4">
        <v>101.04</v>
      </c>
      <c r="AU64" s="4">
        <v>65.5</v>
      </c>
      <c r="AV64" s="4">
        <v>88.63</v>
      </c>
      <c r="AW64" s="4">
        <v>76.760000000000005</v>
      </c>
      <c r="AX64" s="4">
        <v>125.26</v>
      </c>
      <c r="AY64" s="4">
        <v>234.32</v>
      </c>
      <c r="AZ64" s="4">
        <v>131.55000000000001</v>
      </c>
      <c r="BA64" s="4">
        <v>59.95</v>
      </c>
      <c r="BB64" s="4">
        <v>106.73</v>
      </c>
      <c r="BC64" s="4">
        <v>117.04</v>
      </c>
      <c r="BD64" s="4">
        <v>194.37</v>
      </c>
      <c r="BE64" s="4">
        <v>201.06</v>
      </c>
      <c r="BF64" s="4">
        <v>95.17</v>
      </c>
      <c r="BG64" s="4">
        <v>70.61</v>
      </c>
      <c r="BH64" s="4">
        <v>65.47</v>
      </c>
      <c r="BI64" s="4">
        <v>55.37</v>
      </c>
      <c r="BJ64" s="4">
        <v>83.4</v>
      </c>
      <c r="BK64" s="4">
        <v>151.26</v>
      </c>
      <c r="BL64" s="4">
        <v>215.26</v>
      </c>
      <c r="BM64" s="4">
        <v>125.29</v>
      </c>
      <c r="BN64" s="4">
        <v>206.31</v>
      </c>
      <c r="BO64" s="4">
        <v>165.96</v>
      </c>
      <c r="BP64" s="4">
        <v>44196</v>
      </c>
      <c r="BQ64" s="4">
        <v>80.489999999999995</v>
      </c>
      <c r="BR64" s="4">
        <v>44196</v>
      </c>
      <c r="BS64" s="4">
        <v>92.7</v>
      </c>
      <c r="BT64" s="4">
        <v>44196</v>
      </c>
      <c r="BU64" s="4">
        <v>137.5</v>
      </c>
      <c r="BV64" s="4">
        <v>44196</v>
      </c>
      <c r="BW64" s="4">
        <v>156.74</v>
      </c>
      <c r="BX64" s="4">
        <v>44196</v>
      </c>
      <c r="BY64" s="4">
        <v>262.41000000000003</v>
      </c>
      <c r="BZ64" s="4">
        <v>44196</v>
      </c>
      <c r="CA64" s="4">
        <v>218.37</v>
      </c>
      <c r="CB64" s="4">
        <v>44196</v>
      </c>
      <c r="CC64" s="4">
        <v>166.12</v>
      </c>
      <c r="CD64" s="4">
        <v>44196</v>
      </c>
      <c r="CE64" s="4">
        <v>270.51</v>
      </c>
      <c r="CF64" s="4">
        <v>44196</v>
      </c>
      <c r="CG64" s="4">
        <v>153.22999999999999</v>
      </c>
      <c r="CH64" s="4">
        <v>44196</v>
      </c>
      <c r="CI64" s="4">
        <v>106.08</v>
      </c>
      <c r="CJ64" s="4">
        <v>44196</v>
      </c>
      <c r="CK64" s="4">
        <v>65.56</v>
      </c>
      <c r="CL64" s="4">
        <v>44196</v>
      </c>
      <c r="CM64" s="4">
        <v>87.66</v>
      </c>
      <c r="CN64" s="4">
        <v>44196</v>
      </c>
      <c r="CO64" s="4">
        <v>78.11</v>
      </c>
      <c r="CP64" s="4">
        <v>44196</v>
      </c>
      <c r="CQ64" s="4">
        <v>123.9</v>
      </c>
      <c r="CR64" s="4">
        <v>44196</v>
      </c>
      <c r="CS64" s="4">
        <v>204.24</v>
      </c>
      <c r="CT64" s="4">
        <v>44196</v>
      </c>
      <c r="CU64" s="4">
        <v>97.54</v>
      </c>
      <c r="CV64" s="4">
        <v>44196</v>
      </c>
      <c r="CW64" s="4">
        <v>62.81</v>
      </c>
      <c r="CX64" s="4">
        <v>44196</v>
      </c>
      <c r="CY64" s="4">
        <v>104.95</v>
      </c>
      <c r="CZ64" s="4">
        <v>44196</v>
      </c>
      <c r="DA64" s="4">
        <v>114.8</v>
      </c>
      <c r="DB64" s="4">
        <v>44196</v>
      </c>
      <c r="DC64" s="4">
        <v>181.64</v>
      </c>
      <c r="DD64" s="4">
        <v>44196</v>
      </c>
      <c r="DE64" s="4">
        <v>209.29</v>
      </c>
      <c r="DF64" s="4">
        <v>44196</v>
      </c>
      <c r="DG64" s="4">
        <v>93.91</v>
      </c>
      <c r="DH64" s="4">
        <v>44196</v>
      </c>
      <c r="DI64" s="4">
        <v>72.16</v>
      </c>
      <c r="DJ64" s="4">
        <v>44196</v>
      </c>
      <c r="DK64" s="4">
        <v>67.650000000000006</v>
      </c>
      <c r="DL64" s="4">
        <v>44196</v>
      </c>
      <c r="DM64" s="4">
        <v>61.96</v>
      </c>
      <c r="DN64" s="4">
        <v>44165</v>
      </c>
      <c r="DO64" s="4">
        <v>83.4</v>
      </c>
      <c r="DP64" s="4">
        <v>44196</v>
      </c>
      <c r="DQ64" s="4">
        <v>145.93</v>
      </c>
      <c r="DR64" s="4">
        <v>44165</v>
      </c>
      <c r="DS64" s="4">
        <v>215.26</v>
      </c>
      <c r="DT64" s="4">
        <v>44165</v>
      </c>
      <c r="DU64" s="4">
        <v>125.29</v>
      </c>
      <c r="DV64" s="4">
        <v>44196</v>
      </c>
      <c r="DW64" s="4">
        <v>181.88</v>
      </c>
    </row>
    <row r="65" spans="1:127" x14ac:dyDescent="0.3">
      <c r="A65" s="5" t="s">
        <v>142</v>
      </c>
      <c r="C65" s="14" t="str">
        <f t="shared" si="4"/>
        <v>202010</v>
      </c>
      <c r="D65" s="6">
        <v>44135</v>
      </c>
      <c r="E65" s="4">
        <v>95.4</v>
      </c>
      <c r="F65" s="4">
        <v>146.94</v>
      </c>
      <c r="G65" s="4">
        <v>50.06</v>
      </c>
      <c r="H65" s="4">
        <v>154.08000000000001</v>
      </c>
      <c r="I65" s="4">
        <v>63.97</v>
      </c>
      <c r="J65" s="4">
        <v>86.9</v>
      </c>
      <c r="K65" s="4">
        <v>106.43</v>
      </c>
      <c r="L65" s="4">
        <v>96.14</v>
      </c>
      <c r="M65" s="4">
        <v>66.22</v>
      </c>
      <c r="N65" s="4">
        <v>80.45</v>
      </c>
      <c r="O65" s="4">
        <v>23.59</v>
      </c>
      <c r="P65" s="4">
        <v>109.12</v>
      </c>
      <c r="Q65" s="4">
        <v>173.94</v>
      </c>
      <c r="R65" s="4">
        <v>151.28</v>
      </c>
      <c r="S65" s="4">
        <v>46.25</v>
      </c>
      <c r="T65" s="4">
        <v>95</v>
      </c>
      <c r="U65" s="4">
        <v>165.02</v>
      </c>
      <c r="V65" s="4">
        <v>145</v>
      </c>
      <c r="W65" s="4">
        <v>110.47</v>
      </c>
      <c r="X65" s="4">
        <v>114.15</v>
      </c>
      <c r="Y65" s="4">
        <v>141.6</v>
      </c>
      <c r="Z65" s="4">
        <v>260</v>
      </c>
      <c r="AA65" s="4">
        <v>141.93</v>
      </c>
      <c r="AB65" s="4">
        <v>112.97</v>
      </c>
      <c r="AC65" s="4">
        <v>84.49</v>
      </c>
      <c r="AD65" s="4">
        <v>163.51</v>
      </c>
      <c r="AE65" s="4">
        <v>219.24</v>
      </c>
      <c r="AF65" s="4">
        <v>132.03</v>
      </c>
      <c r="AG65" s="4">
        <v>209.25</v>
      </c>
      <c r="AH65" s="4">
        <v>79.81</v>
      </c>
      <c r="AI65" s="4">
        <v>174.17</v>
      </c>
      <c r="AJ65" s="4">
        <v>177.4</v>
      </c>
      <c r="AK65" s="4">
        <v>96.81</v>
      </c>
      <c r="AL65" s="4">
        <v>82.82</v>
      </c>
      <c r="AM65" s="4">
        <v>162.19999999999999</v>
      </c>
      <c r="AN65" s="4">
        <v>192.94</v>
      </c>
      <c r="AO65" s="4">
        <v>264.83999999999997</v>
      </c>
      <c r="AP65" s="4">
        <v>216.45</v>
      </c>
      <c r="AQ65" s="4">
        <v>163.53</v>
      </c>
      <c r="AR65" s="4">
        <v>266.58</v>
      </c>
      <c r="AS65" s="4">
        <v>150.91</v>
      </c>
      <c r="AT65" s="4">
        <v>105.39</v>
      </c>
      <c r="AU65" s="4">
        <v>72.97</v>
      </c>
      <c r="AV65" s="4">
        <v>91.8</v>
      </c>
      <c r="AW65" s="4">
        <v>67.2</v>
      </c>
      <c r="AX65" s="4">
        <v>129.24</v>
      </c>
      <c r="AY65" s="4">
        <v>243.99</v>
      </c>
      <c r="AZ65" s="4">
        <v>132.16</v>
      </c>
      <c r="BA65" s="4">
        <v>67.5</v>
      </c>
      <c r="BB65" s="4">
        <v>106.53</v>
      </c>
      <c r="BC65" s="4">
        <v>114.92</v>
      </c>
      <c r="BD65" s="4">
        <v>220</v>
      </c>
      <c r="BE65" s="4">
        <v>206.41</v>
      </c>
      <c r="BF65" s="4">
        <v>97.12</v>
      </c>
      <c r="BG65" s="4">
        <v>78.63</v>
      </c>
      <c r="BH65" s="4">
        <v>73.260000000000005</v>
      </c>
      <c r="BI65" s="4">
        <v>62.37</v>
      </c>
      <c r="BJ65" s="4">
        <v>86.4</v>
      </c>
      <c r="BK65" s="4">
        <v>164.16</v>
      </c>
      <c r="BL65" s="4">
        <v>218.34</v>
      </c>
      <c r="BM65" s="4">
        <v>121.98</v>
      </c>
      <c r="BN65" s="4">
        <v>219.96</v>
      </c>
      <c r="BO65" s="4">
        <v>159.41</v>
      </c>
      <c r="BP65" s="4">
        <v>44165</v>
      </c>
      <c r="BQ65" s="4">
        <v>85.46</v>
      </c>
      <c r="BR65" s="4">
        <v>44165</v>
      </c>
      <c r="BS65" s="4">
        <v>79.05</v>
      </c>
      <c r="BT65" s="4">
        <v>44165</v>
      </c>
      <c r="BU65" s="4">
        <v>140</v>
      </c>
      <c r="BV65" s="4">
        <v>44165</v>
      </c>
      <c r="BW65" s="4">
        <v>174.81</v>
      </c>
      <c r="BX65" s="4">
        <v>44165</v>
      </c>
      <c r="BY65" s="4">
        <v>265.88</v>
      </c>
      <c r="BZ65" s="4">
        <v>44165</v>
      </c>
      <c r="CA65" s="4">
        <v>213.32</v>
      </c>
      <c r="CB65" s="4">
        <v>44165</v>
      </c>
      <c r="CC65" s="4">
        <v>157.69</v>
      </c>
      <c r="CD65" s="4">
        <v>44165</v>
      </c>
      <c r="CE65" s="4">
        <v>265.01</v>
      </c>
      <c r="CF65" s="4">
        <v>44165</v>
      </c>
      <c r="CG65" s="4">
        <v>145.63</v>
      </c>
      <c r="CH65" s="4">
        <v>44165</v>
      </c>
      <c r="CI65" s="4">
        <v>101.04</v>
      </c>
      <c r="CJ65" s="4">
        <v>44165</v>
      </c>
      <c r="CK65" s="4">
        <v>65.5</v>
      </c>
      <c r="CL65" s="4">
        <v>44165</v>
      </c>
      <c r="CM65" s="4">
        <v>88.63</v>
      </c>
      <c r="CN65" s="4">
        <v>44165</v>
      </c>
      <c r="CO65" s="4">
        <v>76.760000000000005</v>
      </c>
      <c r="CP65" s="4">
        <v>44165</v>
      </c>
      <c r="CQ65" s="4">
        <v>125.26</v>
      </c>
      <c r="CR65" s="4">
        <v>44165</v>
      </c>
      <c r="CS65" s="4">
        <v>234.32</v>
      </c>
      <c r="CT65" s="4">
        <v>44165</v>
      </c>
      <c r="CU65" s="4">
        <v>131.55000000000001</v>
      </c>
      <c r="CV65" s="4">
        <v>44165</v>
      </c>
      <c r="CW65" s="4">
        <v>59.95</v>
      </c>
      <c r="CX65" s="4">
        <v>44165</v>
      </c>
      <c r="CY65" s="4">
        <v>106.73</v>
      </c>
      <c r="CZ65" s="4">
        <v>44165</v>
      </c>
      <c r="DA65" s="4">
        <v>117.04</v>
      </c>
      <c r="DB65" s="4">
        <v>44165</v>
      </c>
      <c r="DC65" s="4">
        <v>194.37</v>
      </c>
      <c r="DD65" s="4">
        <v>44165</v>
      </c>
      <c r="DE65" s="4">
        <v>201.06</v>
      </c>
      <c r="DF65" s="4">
        <v>44165</v>
      </c>
      <c r="DG65" s="4">
        <v>95.17</v>
      </c>
      <c r="DH65" s="4">
        <v>44165</v>
      </c>
      <c r="DI65" s="4">
        <v>70.61</v>
      </c>
      <c r="DJ65" s="4">
        <v>44165</v>
      </c>
      <c r="DK65" s="4">
        <v>65.47</v>
      </c>
      <c r="DL65" s="4">
        <v>44165</v>
      </c>
      <c r="DM65" s="4">
        <v>55.37</v>
      </c>
      <c r="DN65" s="4">
        <v>44135</v>
      </c>
      <c r="DO65" s="4">
        <v>86.4</v>
      </c>
      <c r="DP65" s="4">
        <v>44165</v>
      </c>
      <c r="DQ65" s="4">
        <v>151.26</v>
      </c>
      <c r="DR65" s="4">
        <v>44135</v>
      </c>
      <c r="DS65" s="4">
        <v>218.34</v>
      </c>
      <c r="DT65" s="4">
        <v>44135</v>
      </c>
      <c r="DU65" s="4">
        <v>121.98</v>
      </c>
      <c r="DV65" s="4">
        <v>44165</v>
      </c>
      <c r="DW65" s="4">
        <v>206.31</v>
      </c>
    </row>
    <row r="66" spans="1:127" x14ac:dyDescent="0.3">
      <c r="A66" s="5" t="s">
        <v>143</v>
      </c>
      <c r="C66" s="14" t="str">
        <f t="shared" si="4"/>
        <v>20209</v>
      </c>
      <c r="D66" s="6">
        <v>44104</v>
      </c>
      <c r="E66" s="4">
        <v>92.32</v>
      </c>
      <c r="F66" s="4">
        <v>178.9</v>
      </c>
      <c r="G66" s="4">
        <v>49</v>
      </c>
      <c r="H66" s="4">
        <v>181.43</v>
      </c>
      <c r="I66" s="4">
        <v>64.28</v>
      </c>
      <c r="J66" s="4">
        <v>86.96</v>
      </c>
      <c r="K66" s="4">
        <v>118.27</v>
      </c>
      <c r="L66" s="4">
        <v>97.28</v>
      </c>
      <c r="M66" s="4">
        <v>67.14</v>
      </c>
      <c r="N66" s="4">
        <v>79.760000000000005</v>
      </c>
      <c r="O66" s="4">
        <v>24.5</v>
      </c>
      <c r="P66" s="4">
        <v>111.79</v>
      </c>
      <c r="Q66" s="4">
        <v>223.9</v>
      </c>
      <c r="R66" s="4">
        <v>183.45</v>
      </c>
      <c r="S66" s="4">
        <v>43.47</v>
      </c>
      <c r="T66" s="4">
        <v>93.75</v>
      </c>
      <c r="U66" s="4">
        <v>192.55</v>
      </c>
      <c r="V66" s="4">
        <v>186.86</v>
      </c>
      <c r="W66" s="4">
        <v>113.3</v>
      </c>
      <c r="X66" s="4">
        <v>117.08</v>
      </c>
      <c r="Y66" s="4">
        <v>177.03</v>
      </c>
      <c r="Z66" s="4">
        <v>250.91</v>
      </c>
      <c r="AA66" s="4">
        <v>165</v>
      </c>
      <c r="AB66" s="4">
        <v>116.09</v>
      </c>
      <c r="AC66" s="4">
        <v>84.27</v>
      </c>
      <c r="AD66" s="4">
        <v>164.7</v>
      </c>
      <c r="AE66" s="4">
        <v>243.87</v>
      </c>
      <c r="AF66" s="4">
        <v>135.43</v>
      </c>
      <c r="AG66" s="4">
        <v>232.94</v>
      </c>
      <c r="AH66" s="4">
        <v>84.94</v>
      </c>
      <c r="AI66" s="4">
        <v>180.34</v>
      </c>
      <c r="AJ66" s="4">
        <v>200.77</v>
      </c>
      <c r="AK66" s="4">
        <v>98.03</v>
      </c>
      <c r="AL66" s="4">
        <v>105.37</v>
      </c>
      <c r="AM66" s="4">
        <v>166.3</v>
      </c>
      <c r="AN66" s="4">
        <v>199.97</v>
      </c>
      <c r="AO66" s="4">
        <v>299.42</v>
      </c>
      <c r="AP66" s="4">
        <v>240.82</v>
      </c>
      <c r="AQ66" s="4">
        <v>168.8</v>
      </c>
      <c r="AR66" s="4">
        <v>295.69</v>
      </c>
      <c r="AS66" s="4">
        <v>142.80000000000001</v>
      </c>
      <c r="AT66" s="4">
        <v>108.08</v>
      </c>
      <c r="AU66" s="4">
        <v>75.73</v>
      </c>
      <c r="AV66" s="4">
        <v>99.67</v>
      </c>
      <c r="AW66" s="4">
        <v>98.83</v>
      </c>
      <c r="AX66" s="4">
        <v>155</v>
      </c>
      <c r="AY66" s="4">
        <v>260</v>
      </c>
      <c r="AZ66" s="4">
        <v>170.77</v>
      </c>
      <c r="BA66" s="4">
        <v>74.400000000000006</v>
      </c>
      <c r="BB66" s="4">
        <v>118.4</v>
      </c>
      <c r="BC66" s="4">
        <v>129.07</v>
      </c>
      <c r="BD66" s="4">
        <v>222.33</v>
      </c>
      <c r="BE66" s="4">
        <v>235.06</v>
      </c>
      <c r="BF66" s="4">
        <v>106.43</v>
      </c>
      <c r="BG66" s="4">
        <v>83.93</v>
      </c>
      <c r="BH66" s="4">
        <v>79.33</v>
      </c>
      <c r="BI66" s="4">
        <v>82.43</v>
      </c>
      <c r="BJ66" s="4">
        <v>106.11</v>
      </c>
      <c r="BK66" s="4">
        <v>191.99</v>
      </c>
      <c r="BL66" s="4">
        <v>242.89</v>
      </c>
      <c r="BM66" s="4">
        <v>164.02</v>
      </c>
      <c r="BN66" s="4">
        <v>223.9</v>
      </c>
      <c r="BO66" s="4">
        <v>177.4</v>
      </c>
      <c r="BP66" s="4">
        <v>44135</v>
      </c>
      <c r="BQ66" s="4">
        <v>96.81</v>
      </c>
      <c r="BR66" s="4">
        <v>44135</v>
      </c>
      <c r="BS66" s="4">
        <v>82.82</v>
      </c>
      <c r="BT66" s="4">
        <v>44135</v>
      </c>
      <c r="BU66" s="4">
        <v>162.19999999999999</v>
      </c>
      <c r="BV66" s="4">
        <v>44135</v>
      </c>
      <c r="BW66" s="4">
        <v>192.94</v>
      </c>
      <c r="BX66" s="4">
        <v>44135</v>
      </c>
      <c r="BY66" s="4">
        <v>264.83999999999997</v>
      </c>
      <c r="BZ66" s="4">
        <v>44135</v>
      </c>
      <c r="CA66" s="4">
        <v>216.45</v>
      </c>
      <c r="CB66" s="4">
        <v>44135</v>
      </c>
      <c r="CC66" s="4">
        <v>163.53</v>
      </c>
      <c r="CD66" s="4">
        <v>44135</v>
      </c>
      <c r="CE66" s="4">
        <v>266.58</v>
      </c>
      <c r="CF66" s="4">
        <v>44135</v>
      </c>
      <c r="CG66" s="4">
        <v>150.91</v>
      </c>
      <c r="CH66" s="4">
        <v>44135</v>
      </c>
      <c r="CI66" s="4">
        <v>105.39</v>
      </c>
      <c r="CJ66" s="4">
        <v>44135</v>
      </c>
      <c r="CK66" s="4">
        <v>72.97</v>
      </c>
      <c r="CL66" s="4">
        <v>44135</v>
      </c>
      <c r="CM66" s="4">
        <v>91.8</v>
      </c>
      <c r="CN66" s="4">
        <v>44135</v>
      </c>
      <c r="CO66" s="4">
        <v>67.2</v>
      </c>
      <c r="CP66" s="4">
        <v>44135</v>
      </c>
      <c r="CQ66" s="4">
        <v>129.24</v>
      </c>
      <c r="CR66" s="4">
        <v>44135</v>
      </c>
      <c r="CS66" s="4">
        <v>243.99</v>
      </c>
      <c r="CT66" s="4">
        <v>44135</v>
      </c>
      <c r="CU66" s="4">
        <v>132.16</v>
      </c>
      <c r="CV66" s="4">
        <v>44135</v>
      </c>
      <c r="CW66" s="4">
        <v>67.5</v>
      </c>
      <c r="CX66" s="4">
        <v>44135</v>
      </c>
      <c r="CY66" s="4">
        <v>106.53</v>
      </c>
      <c r="CZ66" s="4">
        <v>44135</v>
      </c>
      <c r="DA66" s="4">
        <v>114.92</v>
      </c>
      <c r="DB66" s="4">
        <v>44135</v>
      </c>
      <c r="DC66" s="4">
        <v>220</v>
      </c>
      <c r="DD66" s="4">
        <v>44135</v>
      </c>
      <c r="DE66" s="4">
        <v>206.41</v>
      </c>
      <c r="DF66" s="4">
        <v>44135</v>
      </c>
      <c r="DG66" s="4">
        <v>97.12</v>
      </c>
      <c r="DH66" s="4">
        <v>44135</v>
      </c>
      <c r="DI66" s="4">
        <v>78.63</v>
      </c>
      <c r="DJ66" s="4">
        <v>44135</v>
      </c>
      <c r="DK66" s="4">
        <v>73.260000000000005</v>
      </c>
      <c r="DL66" s="4">
        <v>44135</v>
      </c>
      <c r="DM66" s="4">
        <v>62.37</v>
      </c>
      <c r="DN66" s="4">
        <v>44104</v>
      </c>
      <c r="DO66" s="4">
        <v>106.11</v>
      </c>
      <c r="DP66" s="4">
        <v>44135</v>
      </c>
      <c r="DQ66" s="4">
        <v>164.16</v>
      </c>
      <c r="DR66" s="4">
        <v>44104</v>
      </c>
      <c r="DS66" s="4">
        <v>242.89</v>
      </c>
      <c r="DT66" s="4">
        <v>44104</v>
      </c>
      <c r="DU66" s="4">
        <v>164.02</v>
      </c>
      <c r="DV66" s="4">
        <v>44135</v>
      </c>
      <c r="DW66" s="4">
        <v>219.96</v>
      </c>
    </row>
    <row r="67" spans="1:127" x14ac:dyDescent="0.3">
      <c r="A67" s="5" t="s">
        <v>144</v>
      </c>
      <c r="C67" s="14" t="str">
        <f t="shared" si="4"/>
        <v>20208</v>
      </c>
      <c r="D67" s="6">
        <v>44074</v>
      </c>
      <c r="E67" s="4">
        <v>85</v>
      </c>
      <c r="F67" s="4">
        <v>164.48</v>
      </c>
      <c r="G67" s="4">
        <v>55</v>
      </c>
      <c r="H67" s="4">
        <v>179.5</v>
      </c>
      <c r="I67" s="4">
        <v>69.87</v>
      </c>
      <c r="J67" s="4">
        <v>83.68</v>
      </c>
      <c r="K67" s="4">
        <v>122.62</v>
      </c>
      <c r="L67" s="4">
        <v>91.55</v>
      </c>
      <c r="M67" s="4">
        <v>72.67</v>
      </c>
      <c r="N67" s="4">
        <v>83.7</v>
      </c>
      <c r="O67" s="4">
        <v>25.62</v>
      </c>
      <c r="P67" s="4">
        <v>108.34</v>
      </c>
      <c r="Q67" s="4">
        <v>239</v>
      </c>
      <c r="R67" s="4">
        <v>169.51</v>
      </c>
      <c r="S67" s="4">
        <v>46.75</v>
      </c>
      <c r="T67" s="4">
        <v>109.91</v>
      </c>
      <c r="U67" s="4">
        <v>181.78</v>
      </c>
      <c r="V67" s="4">
        <v>173.83</v>
      </c>
      <c r="W67" s="4">
        <v>109.55</v>
      </c>
      <c r="X67" s="4">
        <v>130.71</v>
      </c>
      <c r="Y67" s="4">
        <v>191.33</v>
      </c>
      <c r="Z67" s="4">
        <v>248.99</v>
      </c>
      <c r="AA67" s="4">
        <v>155</v>
      </c>
      <c r="AB67" s="4">
        <v>111.81</v>
      </c>
      <c r="AC67" s="4">
        <v>100</v>
      </c>
      <c r="AD67" s="4">
        <v>155.54</v>
      </c>
      <c r="AE67" s="4">
        <v>259.8</v>
      </c>
      <c r="AF67" s="4">
        <v>150.82</v>
      </c>
      <c r="AG67" s="4">
        <v>247.35</v>
      </c>
      <c r="AH67" s="4">
        <v>89.8</v>
      </c>
      <c r="AI67" s="4">
        <v>225</v>
      </c>
      <c r="AJ67" s="4">
        <v>190.5</v>
      </c>
      <c r="AK67" s="4">
        <v>97.24</v>
      </c>
      <c r="AL67" s="4">
        <v>115.1</v>
      </c>
      <c r="AM67" s="4">
        <v>152.9</v>
      </c>
      <c r="AN67" s="4">
        <v>209.21</v>
      </c>
      <c r="AO67" s="4">
        <v>298.12</v>
      </c>
      <c r="AP67" s="4">
        <v>256.32</v>
      </c>
      <c r="AQ67" s="4">
        <v>176.31</v>
      </c>
      <c r="AR67" s="4">
        <v>318.82</v>
      </c>
      <c r="AS67" s="4">
        <v>163.38</v>
      </c>
      <c r="AT67" s="4">
        <v>120.84</v>
      </c>
      <c r="AU67" s="4">
        <v>81.05</v>
      </c>
      <c r="AV67" s="4">
        <v>104.44</v>
      </c>
      <c r="AW67" s="4">
        <v>102.5</v>
      </c>
      <c r="AX67" s="4">
        <v>152.16999999999999</v>
      </c>
      <c r="AY67" s="4">
        <v>269.16000000000003</v>
      </c>
      <c r="AZ67" s="4">
        <v>158.22</v>
      </c>
      <c r="BA67" s="4">
        <v>78.83</v>
      </c>
      <c r="BB67" s="4">
        <v>122.74</v>
      </c>
      <c r="BC67" s="4">
        <v>133.16</v>
      </c>
      <c r="BD67" s="4">
        <v>223.36</v>
      </c>
      <c r="BE67" s="4">
        <v>250.3</v>
      </c>
      <c r="BF67" s="4">
        <v>111.05</v>
      </c>
      <c r="BG67" s="4">
        <v>88.75</v>
      </c>
      <c r="BH67" s="4">
        <v>83.97</v>
      </c>
      <c r="BI67" s="4">
        <v>127.9</v>
      </c>
      <c r="BJ67" s="4">
        <v>101.89</v>
      </c>
      <c r="BK67" s="4">
        <v>192.86</v>
      </c>
      <c r="BL67" s="4">
        <v>258.68</v>
      </c>
      <c r="BM67" s="4">
        <v>150.91999999999999</v>
      </c>
      <c r="BN67" s="4">
        <v>240.94</v>
      </c>
      <c r="BO67" s="4">
        <v>200.77</v>
      </c>
      <c r="BP67" s="4">
        <v>44104</v>
      </c>
      <c r="BQ67" s="4">
        <v>98.03</v>
      </c>
      <c r="BR67" s="4">
        <v>44104</v>
      </c>
      <c r="BS67" s="4">
        <v>105.37</v>
      </c>
      <c r="BT67" s="4">
        <v>44104</v>
      </c>
      <c r="BU67" s="4">
        <v>166.3</v>
      </c>
      <c r="BV67" s="4">
        <v>44104</v>
      </c>
      <c r="BW67" s="4">
        <v>199.97</v>
      </c>
      <c r="BX67" s="4">
        <v>44104</v>
      </c>
      <c r="BY67" s="4">
        <v>299.42</v>
      </c>
      <c r="BZ67" s="4">
        <v>44104</v>
      </c>
      <c r="CA67" s="4">
        <v>240.82</v>
      </c>
      <c r="CB67" s="4">
        <v>44104</v>
      </c>
      <c r="CC67" s="4">
        <v>168.8</v>
      </c>
      <c r="CD67" s="4">
        <v>44104</v>
      </c>
      <c r="CE67" s="4">
        <v>295.69</v>
      </c>
      <c r="CF67" s="4">
        <v>44104</v>
      </c>
      <c r="CG67" s="4">
        <v>142.80000000000001</v>
      </c>
      <c r="CH67" s="4">
        <v>44104</v>
      </c>
      <c r="CI67" s="4">
        <v>108.08</v>
      </c>
      <c r="CJ67" s="4">
        <v>44104</v>
      </c>
      <c r="CK67" s="4">
        <v>75.73</v>
      </c>
      <c r="CL67" s="4">
        <v>44104</v>
      </c>
      <c r="CM67" s="4">
        <v>99.67</v>
      </c>
      <c r="CN67" s="4">
        <v>44104</v>
      </c>
      <c r="CO67" s="4">
        <v>98.83</v>
      </c>
      <c r="CP67" s="4">
        <v>44104</v>
      </c>
      <c r="CQ67" s="4">
        <v>155</v>
      </c>
      <c r="CR67" s="4">
        <v>44104</v>
      </c>
      <c r="CS67" s="4">
        <v>260</v>
      </c>
      <c r="CT67" s="4">
        <v>44104</v>
      </c>
      <c r="CU67" s="4">
        <v>170.77</v>
      </c>
      <c r="CV67" s="4">
        <v>44104</v>
      </c>
      <c r="CW67" s="4">
        <v>74.400000000000006</v>
      </c>
      <c r="CX67" s="4">
        <v>44104</v>
      </c>
      <c r="CY67" s="4">
        <v>118.4</v>
      </c>
      <c r="CZ67" s="4">
        <v>44104</v>
      </c>
      <c r="DA67" s="4">
        <v>129.07</v>
      </c>
      <c r="DB67" s="4">
        <v>44104</v>
      </c>
      <c r="DC67" s="4">
        <v>222.33</v>
      </c>
      <c r="DD67" s="4">
        <v>44104</v>
      </c>
      <c r="DE67" s="4">
        <v>235.06</v>
      </c>
      <c r="DF67" s="4">
        <v>44104</v>
      </c>
      <c r="DG67" s="4">
        <v>106.43</v>
      </c>
      <c r="DH67" s="4">
        <v>44104</v>
      </c>
      <c r="DI67" s="4">
        <v>83.93</v>
      </c>
      <c r="DJ67" s="4">
        <v>44104</v>
      </c>
      <c r="DK67" s="4">
        <v>79.33</v>
      </c>
      <c r="DL67" s="4">
        <v>44104</v>
      </c>
      <c r="DM67" s="4">
        <v>82.43</v>
      </c>
      <c r="DN67" s="4">
        <v>44074</v>
      </c>
      <c r="DO67" s="4">
        <v>101.89</v>
      </c>
      <c r="DP67" s="4">
        <v>44104</v>
      </c>
      <c r="DQ67" s="4">
        <v>191.99</v>
      </c>
      <c r="DR67" s="4">
        <v>44074</v>
      </c>
      <c r="DS67" s="4">
        <v>258.68</v>
      </c>
      <c r="DT67" s="4">
        <v>44074</v>
      </c>
      <c r="DU67" s="4">
        <v>150.91999999999999</v>
      </c>
      <c r="DV67" s="4">
        <v>44104</v>
      </c>
      <c r="DW67" s="4">
        <v>223.9</v>
      </c>
    </row>
    <row r="68" spans="1:127" x14ac:dyDescent="0.3">
      <c r="C68" s="14" t="str">
        <f t="shared" si="4"/>
        <v>20207</v>
      </c>
      <c r="D68" s="6">
        <v>44043</v>
      </c>
      <c r="E68" s="4">
        <v>125</v>
      </c>
      <c r="F68" s="4">
        <v>195</v>
      </c>
      <c r="G68" s="4">
        <v>55.67</v>
      </c>
      <c r="H68" s="4">
        <v>210</v>
      </c>
      <c r="I68" s="4">
        <v>85</v>
      </c>
      <c r="J68" s="4">
        <v>110</v>
      </c>
      <c r="K68" s="4">
        <v>145</v>
      </c>
      <c r="L68" s="4">
        <v>118.5</v>
      </c>
      <c r="M68" s="4">
        <v>77.95</v>
      </c>
      <c r="N68" s="4">
        <v>92.13</v>
      </c>
      <c r="O68" s="4">
        <v>26.67</v>
      </c>
      <c r="P68" s="4">
        <v>133.91</v>
      </c>
      <c r="Q68" s="4">
        <v>255</v>
      </c>
      <c r="R68" s="4">
        <v>193.98</v>
      </c>
      <c r="S68" s="4">
        <v>51.13</v>
      </c>
      <c r="T68" s="4">
        <v>102.88</v>
      </c>
      <c r="U68" s="4">
        <v>199.66</v>
      </c>
      <c r="V68" s="4">
        <v>189.14</v>
      </c>
      <c r="W68" s="4">
        <v>130</v>
      </c>
      <c r="X68" s="4">
        <v>133.16999999999999</v>
      </c>
      <c r="Y68" s="4">
        <v>209.17</v>
      </c>
      <c r="Z68" s="4">
        <v>310</v>
      </c>
      <c r="AA68" s="4">
        <v>180</v>
      </c>
      <c r="AB68" s="4">
        <v>139.52000000000001</v>
      </c>
      <c r="AC68" s="4">
        <v>98.02</v>
      </c>
      <c r="AD68" s="4">
        <v>149.80000000000001</v>
      </c>
      <c r="AE68" s="4">
        <v>250</v>
      </c>
      <c r="AF68" s="4">
        <v>156.11000000000001</v>
      </c>
      <c r="AG68" s="4">
        <v>244.73</v>
      </c>
      <c r="AH68" s="4">
        <v>83.71</v>
      </c>
      <c r="AI68" s="4">
        <v>210</v>
      </c>
      <c r="AJ68" s="4">
        <v>217</v>
      </c>
      <c r="AK68" s="4">
        <v>115.96</v>
      </c>
      <c r="AL68" s="4">
        <v>117.16</v>
      </c>
      <c r="AM68" s="4">
        <v>147.79</v>
      </c>
      <c r="AN68" s="4">
        <v>174.78</v>
      </c>
      <c r="AO68" s="4">
        <v>327.92</v>
      </c>
      <c r="AP68" s="4">
        <v>253.53</v>
      </c>
      <c r="AQ68" s="4">
        <v>185</v>
      </c>
      <c r="AR68" s="4">
        <v>370</v>
      </c>
      <c r="AS68" s="4">
        <v>172.35</v>
      </c>
      <c r="AT68" s="4">
        <v>121.91</v>
      </c>
      <c r="AU68" s="4">
        <v>87.79</v>
      </c>
      <c r="AV68" s="4">
        <v>115.23</v>
      </c>
      <c r="AW68" s="4">
        <v>93.05</v>
      </c>
      <c r="AX68" s="4">
        <v>156.25</v>
      </c>
      <c r="AY68" s="4">
        <v>300</v>
      </c>
      <c r="AZ68" s="4">
        <v>165.11</v>
      </c>
      <c r="BA68" s="4">
        <v>72.87</v>
      </c>
      <c r="BB68" s="4">
        <v>140</v>
      </c>
      <c r="BC68" s="4">
        <v>148.93</v>
      </c>
      <c r="BD68" s="4">
        <v>261.67</v>
      </c>
      <c r="BE68" s="4">
        <v>265.95999999999998</v>
      </c>
      <c r="BF68" s="4">
        <v>130</v>
      </c>
      <c r="BG68" s="4">
        <v>81.19</v>
      </c>
      <c r="BH68" s="4">
        <v>86.15</v>
      </c>
      <c r="BI68" s="4">
        <v>93</v>
      </c>
      <c r="BJ68" s="4">
        <v>97.79</v>
      </c>
      <c r="BK68" s="4">
        <v>208</v>
      </c>
      <c r="BL68" s="4">
        <v>255.84</v>
      </c>
      <c r="BM68" s="4">
        <v>154.41999999999999</v>
      </c>
      <c r="BN68" s="4">
        <v>235</v>
      </c>
      <c r="BO68" s="4">
        <v>190.5</v>
      </c>
      <c r="BP68" s="4">
        <v>44074</v>
      </c>
      <c r="BQ68" s="4">
        <v>97.24</v>
      </c>
      <c r="BR68" s="4">
        <v>44074</v>
      </c>
      <c r="BS68" s="4">
        <v>115.1</v>
      </c>
      <c r="BT68" s="4">
        <v>44074</v>
      </c>
      <c r="BU68" s="4">
        <v>152.9</v>
      </c>
      <c r="BV68" s="4">
        <v>44074</v>
      </c>
      <c r="BW68" s="4">
        <v>209.21</v>
      </c>
      <c r="BX68" s="4">
        <v>44074</v>
      </c>
      <c r="BY68" s="4">
        <v>298.12</v>
      </c>
      <c r="BZ68" s="4">
        <v>44074</v>
      </c>
      <c r="CA68" s="4">
        <v>256.32</v>
      </c>
      <c r="CB68" s="4">
        <v>44074</v>
      </c>
      <c r="CC68" s="4">
        <v>176.31</v>
      </c>
      <c r="CD68" s="4">
        <v>44074</v>
      </c>
      <c r="CE68" s="4">
        <v>318.82</v>
      </c>
      <c r="CF68" s="4">
        <v>44074</v>
      </c>
      <c r="CG68" s="4">
        <v>163.38</v>
      </c>
      <c r="CH68" s="4">
        <v>44074</v>
      </c>
      <c r="CI68" s="4">
        <v>120.84</v>
      </c>
      <c r="CJ68" s="4">
        <v>44074</v>
      </c>
      <c r="CK68" s="4">
        <v>81.05</v>
      </c>
      <c r="CL68" s="4">
        <v>44074</v>
      </c>
      <c r="CM68" s="4">
        <v>104.44</v>
      </c>
      <c r="CN68" s="4">
        <v>44074</v>
      </c>
      <c r="CO68" s="4">
        <v>102.5</v>
      </c>
      <c r="CP68" s="4">
        <v>44074</v>
      </c>
      <c r="CQ68" s="4">
        <v>152.16999999999999</v>
      </c>
      <c r="CR68" s="4">
        <v>44074</v>
      </c>
      <c r="CS68" s="4">
        <v>269.16000000000003</v>
      </c>
      <c r="CT68" s="4">
        <v>44074</v>
      </c>
      <c r="CU68" s="4">
        <v>158.22</v>
      </c>
      <c r="CV68" s="4">
        <v>44074</v>
      </c>
      <c r="CW68" s="4">
        <v>78.83</v>
      </c>
      <c r="CX68" s="4">
        <v>44074</v>
      </c>
      <c r="CY68" s="4">
        <v>122.74</v>
      </c>
      <c r="CZ68" s="4">
        <v>44074</v>
      </c>
      <c r="DA68" s="4">
        <v>133.16</v>
      </c>
      <c r="DB68" s="4">
        <v>44074</v>
      </c>
      <c r="DC68" s="4">
        <v>223.36</v>
      </c>
      <c r="DD68" s="4">
        <v>44074</v>
      </c>
      <c r="DE68" s="4">
        <v>250.3</v>
      </c>
      <c r="DF68" s="4">
        <v>44074</v>
      </c>
      <c r="DG68" s="4">
        <v>111.05</v>
      </c>
      <c r="DH68" s="4">
        <v>44074</v>
      </c>
      <c r="DI68" s="4">
        <v>88.75</v>
      </c>
      <c r="DJ68" s="4">
        <v>44074</v>
      </c>
      <c r="DK68" s="4">
        <v>83.97</v>
      </c>
      <c r="DL68" s="4">
        <v>44074</v>
      </c>
      <c r="DM68" s="4">
        <v>127.9</v>
      </c>
      <c r="DN68" s="4">
        <v>44043</v>
      </c>
      <c r="DO68" s="4">
        <v>97.79</v>
      </c>
      <c r="DP68" s="4">
        <v>44074</v>
      </c>
      <c r="DQ68" s="4">
        <v>192.86</v>
      </c>
      <c r="DR68" s="4">
        <v>44043</v>
      </c>
      <c r="DS68" s="4">
        <v>255.84</v>
      </c>
      <c r="DT68" s="4">
        <v>44043</v>
      </c>
      <c r="DU68" s="4">
        <v>154.41999999999999</v>
      </c>
      <c r="DV68" s="4">
        <v>44074</v>
      </c>
      <c r="DW68" s="4">
        <v>240.94</v>
      </c>
    </row>
    <row r="69" spans="1:127" x14ac:dyDescent="0.3">
      <c r="C69" s="14" t="str">
        <f t="shared" si="4"/>
        <v>20206</v>
      </c>
      <c r="D69" s="6">
        <v>44012</v>
      </c>
      <c r="E69" s="4">
        <v>105</v>
      </c>
      <c r="F69" s="4">
        <v>169.67</v>
      </c>
      <c r="G69" s="4">
        <v>47.04</v>
      </c>
      <c r="H69" s="4">
        <v>185.42</v>
      </c>
      <c r="I69" s="4">
        <v>70</v>
      </c>
      <c r="J69" s="4">
        <v>89.58</v>
      </c>
      <c r="K69" s="4">
        <v>120</v>
      </c>
      <c r="L69" s="4">
        <v>99.6</v>
      </c>
      <c r="M69" s="4">
        <v>74.61</v>
      </c>
      <c r="N69" s="4">
        <v>81</v>
      </c>
      <c r="O69" s="4">
        <v>25.19</v>
      </c>
      <c r="P69" s="4">
        <v>130.21</v>
      </c>
      <c r="Q69" s="4">
        <v>231.75</v>
      </c>
      <c r="R69" s="4">
        <v>184.58</v>
      </c>
      <c r="S69" s="4">
        <v>40.57</v>
      </c>
      <c r="T69" s="4">
        <v>104.28</v>
      </c>
      <c r="U69" s="4">
        <v>207.2</v>
      </c>
      <c r="V69" s="4">
        <v>190.18</v>
      </c>
      <c r="W69" s="4">
        <v>106.25</v>
      </c>
      <c r="X69" s="4">
        <v>125.75</v>
      </c>
      <c r="Y69" s="4">
        <v>185</v>
      </c>
      <c r="Z69" s="4">
        <v>285</v>
      </c>
      <c r="AA69" s="4">
        <v>170</v>
      </c>
      <c r="AB69" s="4">
        <v>130</v>
      </c>
      <c r="AC69" s="4">
        <v>90.13</v>
      </c>
      <c r="AD69" s="4">
        <v>150</v>
      </c>
      <c r="AE69" s="4">
        <v>252.5</v>
      </c>
      <c r="AF69" s="4">
        <v>148.6</v>
      </c>
      <c r="AG69" s="4">
        <v>251.07</v>
      </c>
      <c r="AH69" s="4">
        <v>79.05</v>
      </c>
      <c r="AI69" s="4">
        <v>183.75</v>
      </c>
      <c r="AJ69" s="4">
        <v>212.96</v>
      </c>
      <c r="AK69" s="4">
        <v>128.12</v>
      </c>
      <c r="AL69" s="4">
        <v>119.59</v>
      </c>
      <c r="AM69" s="4">
        <v>144.22</v>
      </c>
      <c r="AN69" s="4">
        <v>192.34</v>
      </c>
      <c r="AO69" s="4">
        <v>300.5</v>
      </c>
      <c r="AP69" s="4">
        <v>260.66000000000003</v>
      </c>
      <c r="AQ69" s="4">
        <v>173</v>
      </c>
      <c r="AR69" s="4">
        <v>317.5</v>
      </c>
      <c r="AS69" s="4">
        <v>150</v>
      </c>
      <c r="AT69" s="4">
        <v>114.55</v>
      </c>
      <c r="AU69" s="4">
        <v>84.03</v>
      </c>
      <c r="AV69" s="4">
        <v>110.31</v>
      </c>
      <c r="AW69" s="4">
        <v>88.57</v>
      </c>
      <c r="AX69" s="4">
        <v>160.83000000000001</v>
      </c>
      <c r="AY69" s="4">
        <v>255</v>
      </c>
      <c r="AZ69" s="4">
        <v>163.80000000000001</v>
      </c>
      <c r="BA69" s="4">
        <v>72</v>
      </c>
      <c r="BB69" s="4">
        <v>121.67</v>
      </c>
      <c r="BC69" s="4">
        <v>142.58000000000001</v>
      </c>
      <c r="BD69" s="4">
        <v>261</v>
      </c>
      <c r="BE69" s="4">
        <v>259.83</v>
      </c>
      <c r="BF69" s="4">
        <v>115</v>
      </c>
      <c r="BG69" s="4">
        <v>74.95</v>
      </c>
      <c r="BH69" s="4">
        <v>80</v>
      </c>
      <c r="BI69" s="4">
        <v>89</v>
      </c>
      <c r="BJ69" s="4">
        <v>99.78</v>
      </c>
      <c r="BK69" s="4">
        <v>207.2</v>
      </c>
      <c r="BL69" s="4">
        <v>263.18</v>
      </c>
      <c r="BM69" s="4">
        <v>140</v>
      </c>
      <c r="BN69" s="4">
        <v>215.54</v>
      </c>
      <c r="BO69" s="4">
        <v>217</v>
      </c>
      <c r="BP69" s="4">
        <v>44043</v>
      </c>
      <c r="BQ69" s="4">
        <v>115.96</v>
      </c>
      <c r="BR69" s="4">
        <v>44043</v>
      </c>
      <c r="BS69" s="4">
        <v>117.16</v>
      </c>
      <c r="BT69" s="4">
        <v>44043</v>
      </c>
      <c r="BU69" s="4">
        <v>147.79</v>
      </c>
      <c r="BV69" s="4">
        <v>44043</v>
      </c>
      <c r="BW69" s="4">
        <v>174.78</v>
      </c>
      <c r="BX69" s="4">
        <v>44043</v>
      </c>
      <c r="BY69" s="4">
        <v>327.92</v>
      </c>
      <c r="BZ69" s="4">
        <v>44043</v>
      </c>
      <c r="CA69" s="4">
        <v>253.53</v>
      </c>
      <c r="CB69" s="4">
        <v>44043</v>
      </c>
      <c r="CC69" s="4">
        <v>185</v>
      </c>
      <c r="CD69" s="4">
        <v>44043</v>
      </c>
      <c r="CE69" s="4">
        <v>370</v>
      </c>
      <c r="CF69" s="4">
        <v>44043</v>
      </c>
      <c r="CG69" s="4">
        <v>172.35</v>
      </c>
      <c r="CH69" s="4">
        <v>44043</v>
      </c>
      <c r="CI69" s="4">
        <v>121.91</v>
      </c>
      <c r="CJ69" s="4">
        <v>44043</v>
      </c>
      <c r="CK69" s="4">
        <v>87.79</v>
      </c>
      <c r="CL69" s="4">
        <v>44043</v>
      </c>
      <c r="CM69" s="4">
        <v>115.23</v>
      </c>
      <c r="CN69" s="4">
        <v>44043</v>
      </c>
      <c r="CO69" s="4">
        <v>93.05</v>
      </c>
      <c r="CP69" s="4">
        <v>44043</v>
      </c>
      <c r="CQ69" s="4">
        <v>156.25</v>
      </c>
      <c r="CR69" s="4">
        <v>44043</v>
      </c>
      <c r="CS69" s="4">
        <v>300</v>
      </c>
      <c r="CT69" s="4">
        <v>44043</v>
      </c>
      <c r="CU69" s="4">
        <v>165.11</v>
      </c>
      <c r="CV69" s="4">
        <v>44043</v>
      </c>
      <c r="CW69" s="4">
        <v>72.87</v>
      </c>
      <c r="CX69" s="4">
        <v>44043</v>
      </c>
      <c r="CY69" s="4">
        <v>140</v>
      </c>
      <c r="CZ69" s="4">
        <v>44043</v>
      </c>
      <c r="DA69" s="4">
        <v>148.93</v>
      </c>
      <c r="DB69" s="4">
        <v>44043</v>
      </c>
      <c r="DC69" s="4">
        <v>261.67</v>
      </c>
      <c r="DD69" s="4">
        <v>44043</v>
      </c>
      <c r="DE69" s="4">
        <v>265.95999999999998</v>
      </c>
      <c r="DF69" s="4">
        <v>44043</v>
      </c>
      <c r="DG69" s="4">
        <v>130</v>
      </c>
      <c r="DH69" s="4">
        <v>44043</v>
      </c>
      <c r="DI69" s="4">
        <v>81.19</v>
      </c>
      <c r="DJ69" s="4">
        <v>44043</v>
      </c>
      <c r="DK69" s="4">
        <v>86.15</v>
      </c>
      <c r="DL69" s="4">
        <v>44043</v>
      </c>
      <c r="DM69" s="4">
        <v>93</v>
      </c>
      <c r="DN69" s="4">
        <v>44012</v>
      </c>
      <c r="DO69" s="4">
        <v>99.78</v>
      </c>
      <c r="DP69" s="4">
        <v>44043</v>
      </c>
      <c r="DQ69" s="4">
        <v>208</v>
      </c>
      <c r="DR69" s="4">
        <v>44012</v>
      </c>
      <c r="DS69" s="4">
        <v>263.18</v>
      </c>
      <c r="DT69" s="4">
        <v>44012</v>
      </c>
      <c r="DU69" s="4">
        <v>140</v>
      </c>
      <c r="DV69" s="4">
        <v>44043</v>
      </c>
      <c r="DW69" s="4">
        <v>235</v>
      </c>
    </row>
    <row r="70" spans="1:127" x14ac:dyDescent="0.3">
      <c r="C70" s="14" t="str">
        <f t="shared" si="4"/>
        <v>20205</v>
      </c>
      <c r="D70" s="6">
        <v>43982</v>
      </c>
      <c r="E70" s="4">
        <v>101.36</v>
      </c>
      <c r="F70" s="4">
        <v>170.83</v>
      </c>
      <c r="G70" s="4">
        <v>43.81</v>
      </c>
      <c r="H70" s="4">
        <v>183.48</v>
      </c>
      <c r="I70" s="4">
        <v>67.5</v>
      </c>
      <c r="J70" s="4">
        <v>89.27</v>
      </c>
      <c r="K70" s="4">
        <v>121.25</v>
      </c>
      <c r="L70" s="4">
        <v>94.71</v>
      </c>
      <c r="M70" s="4">
        <v>75.569999999999993</v>
      </c>
      <c r="N70" s="4">
        <v>86.39</v>
      </c>
      <c r="O70" s="4">
        <v>24.02</v>
      </c>
      <c r="P70" s="4">
        <v>128.33000000000001</v>
      </c>
      <c r="Q70" s="4">
        <v>226.73</v>
      </c>
      <c r="R70" s="4">
        <v>174.25</v>
      </c>
      <c r="S70" s="4">
        <v>41.29</v>
      </c>
      <c r="T70" s="4">
        <v>108.66</v>
      </c>
      <c r="U70" s="4">
        <v>185.5</v>
      </c>
      <c r="V70" s="4">
        <v>174</v>
      </c>
      <c r="W70" s="4">
        <v>100</v>
      </c>
      <c r="X70" s="4">
        <v>110.4</v>
      </c>
      <c r="Y70" s="4">
        <v>189.5</v>
      </c>
      <c r="Z70" s="4">
        <v>288</v>
      </c>
      <c r="AA70" s="4">
        <v>176.25</v>
      </c>
      <c r="AB70" s="4">
        <v>120</v>
      </c>
      <c r="AC70" s="4">
        <v>109.5</v>
      </c>
      <c r="AD70" s="4">
        <v>143.65</v>
      </c>
      <c r="AE70" s="4">
        <v>246.67</v>
      </c>
      <c r="AF70" s="4">
        <v>128.54</v>
      </c>
      <c r="AG70" s="4">
        <v>251.24</v>
      </c>
      <c r="AH70" s="4">
        <v>80.23</v>
      </c>
      <c r="AI70" s="4">
        <v>174.05</v>
      </c>
      <c r="AJ70" s="4">
        <v>188.75</v>
      </c>
      <c r="AK70" s="4">
        <v>131.25</v>
      </c>
      <c r="AL70" s="4">
        <v>110.77</v>
      </c>
      <c r="AM70" s="4">
        <v>146.21</v>
      </c>
      <c r="AN70" s="4">
        <v>221.59</v>
      </c>
      <c r="AO70" s="4">
        <v>295</v>
      </c>
      <c r="AP70" s="4">
        <v>268.33</v>
      </c>
      <c r="AQ70" s="4">
        <v>178.36</v>
      </c>
      <c r="AR70" s="4">
        <v>306.72000000000003</v>
      </c>
      <c r="AS70" s="4">
        <v>151.5</v>
      </c>
      <c r="AT70" s="4">
        <v>101.5</v>
      </c>
      <c r="AU70" s="4">
        <v>84.14</v>
      </c>
      <c r="AV70" s="4">
        <v>125</v>
      </c>
      <c r="AW70" s="4">
        <v>93</v>
      </c>
      <c r="AX70" s="4">
        <v>148.1</v>
      </c>
      <c r="AY70" s="4">
        <v>277</v>
      </c>
      <c r="AZ70" s="4">
        <v>148</v>
      </c>
      <c r="BA70" s="4">
        <v>75.38</v>
      </c>
      <c r="BB70" s="4">
        <v>116.25</v>
      </c>
      <c r="BC70" s="4">
        <v>137.36000000000001</v>
      </c>
      <c r="BD70" s="4">
        <v>245.42</v>
      </c>
      <c r="BE70" s="4">
        <v>258.33</v>
      </c>
      <c r="BF70" s="4">
        <v>106.25</v>
      </c>
      <c r="BG70" s="4">
        <v>84.8</v>
      </c>
      <c r="BH70" s="4">
        <v>100.8</v>
      </c>
      <c r="BI70" s="4">
        <v>115.02</v>
      </c>
      <c r="BJ70" s="4">
        <v>96.08</v>
      </c>
      <c r="BK70" s="4">
        <v>185.17</v>
      </c>
      <c r="BL70" s="4">
        <v>263.57</v>
      </c>
      <c r="BM70" s="4">
        <v>148.85</v>
      </c>
      <c r="BN70" s="4">
        <v>214</v>
      </c>
      <c r="BO70" s="4">
        <v>212.96</v>
      </c>
      <c r="BP70" s="4">
        <v>44012</v>
      </c>
      <c r="BQ70" s="4">
        <v>128.12</v>
      </c>
      <c r="BR70" s="4">
        <v>44012</v>
      </c>
      <c r="BS70" s="4">
        <v>119.59</v>
      </c>
      <c r="BT70" s="4">
        <v>44012</v>
      </c>
      <c r="BU70" s="4">
        <v>144.22</v>
      </c>
      <c r="BV70" s="4">
        <v>44012</v>
      </c>
      <c r="BW70" s="4">
        <v>192.34</v>
      </c>
      <c r="BX70" s="4">
        <v>44012</v>
      </c>
      <c r="BY70" s="4">
        <v>300.5</v>
      </c>
      <c r="BZ70" s="4">
        <v>44012</v>
      </c>
      <c r="CA70" s="4">
        <v>260.66000000000003</v>
      </c>
      <c r="CB70" s="4">
        <v>44012</v>
      </c>
      <c r="CC70" s="4">
        <v>173</v>
      </c>
      <c r="CD70" s="4">
        <v>44012</v>
      </c>
      <c r="CE70" s="4">
        <v>317.5</v>
      </c>
      <c r="CF70" s="4">
        <v>44012</v>
      </c>
      <c r="CG70" s="4">
        <v>150</v>
      </c>
      <c r="CH70" s="4">
        <v>44012</v>
      </c>
      <c r="CI70" s="4">
        <v>114.55</v>
      </c>
      <c r="CJ70" s="4">
        <v>44012</v>
      </c>
      <c r="CK70" s="4">
        <v>84.03</v>
      </c>
      <c r="CL70" s="4">
        <v>44012</v>
      </c>
      <c r="CM70" s="4">
        <v>110.31</v>
      </c>
      <c r="CN70" s="4">
        <v>44012</v>
      </c>
      <c r="CO70" s="4">
        <v>88.57</v>
      </c>
      <c r="CP70" s="4">
        <v>44012</v>
      </c>
      <c r="CQ70" s="4">
        <v>160.83000000000001</v>
      </c>
      <c r="CR70" s="4">
        <v>44012</v>
      </c>
      <c r="CS70" s="4">
        <v>255</v>
      </c>
      <c r="CT70" s="4">
        <v>44012</v>
      </c>
      <c r="CU70" s="4">
        <v>163.80000000000001</v>
      </c>
      <c r="CV70" s="4">
        <v>44012</v>
      </c>
      <c r="CW70" s="4">
        <v>72</v>
      </c>
      <c r="CX70" s="4">
        <v>44012</v>
      </c>
      <c r="CY70" s="4">
        <v>121.67</v>
      </c>
      <c r="CZ70" s="4">
        <v>44012</v>
      </c>
      <c r="DA70" s="4">
        <v>142.58000000000001</v>
      </c>
      <c r="DB70" s="4">
        <v>44012</v>
      </c>
      <c r="DC70" s="4">
        <v>261</v>
      </c>
      <c r="DD70" s="4">
        <v>44012</v>
      </c>
      <c r="DE70" s="4">
        <v>259.83</v>
      </c>
      <c r="DF70" s="4">
        <v>44012</v>
      </c>
      <c r="DG70" s="4">
        <v>115</v>
      </c>
      <c r="DH70" s="4">
        <v>44012</v>
      </c>
      <c r="DI70" s="4">
        <v>74.95</v>
      </c>
      <c r="DJ70" s="4">
        <v>44012</v>
      </c>
      <c r="DK70" s="4">
        <v>80</v>
      </c>
      <c r="DL70" s="4">
        <v>44012</v>
      </c>
      <c r="DM70" s="4">
        <v>89</v>
      </c>
      <c r="DN70" s="4">
        <v>43982</v>
      </c>
      <c r="DO70" s="4">
        <v>96.08</v>
      </c>
      <c r="DP70" s="4">
        <v>44012</v>
      </c>
      <c r="DQ70" s="4">
        <v>207.2</v>
      </c>
      <c r="DR70" s="4">
        <v>43982</v>
      </c>
      <c r="DS70" s="4">
        <v>263.57</v>
      </c>
      <c r="DT70" s="4">
        <v>43982</v>
      </c>
      <c r="DU70" s="4">
        <v>148.85</v>
      </c>
      <c r="DV70" s="4">
        <v>44012</v>
      </c>
      <c r="DW70" s="4">
        <v>215.54</v>
      </c>
    </row>
    <row r="71" spans="1:127" x14ac:dyDescent="0.3">
      <c r="C71" s="14" t="str">
        <f t="shared" si="4"/>
        <v>20204</v>
      </c>
      <c r="D71" s="6">
        <v>43951</v>
      </c>
      <c r="E71" s="4">
        <v>104.53</v>
      </c>
      <c r="F71" s="4">
        <v>170.53</v>
      </c>
      <c r="G71" s="4">
        <v>46.98</v>
      </c>
      <c r="H71" s="4">
        <v>186.5</v>
      </c>
      <c r="I71" s="4">
        <v>78.02</v>
      </c>
      <c r="J71" s="4">
        <v>93.96</v>
      </c>
      <c r="K71" s="4">
        <v>137.36000000000001</v>
      </c>
      <c r="L71" s="4">
        <v>99.17</v>
      </c>
      <c r="M71" s="4">
        <v>81</v>
      </c>
      <c r="N71" s="4">
        <v>84.66</v>
      </c>
      <c r="O71" s="4">
        <v>25.36</v>
      </c>
      <c r="P71" s="4">
        <v>114.74</v>
      </c>
      <c r="Q71" s="4">
        <v>241.5</v>
      </c>
      <c r="R71" s="4">
        <v>190</v>
      </c>
      <c r="S71" s="4">
        <v>47.69</v>
      </c>
      <c r="T71" s="4">
        <v>119.88</v>
      </c>
      <c r="U71" s="4">
        <v>189.85</v>
      </c>
      <c r="V71" s="4">
        <v>180</v>
      </c>
      <c r="W71" s="4">
        <v>109.43</v>
      </c>
      <c r="X71" s="4">
        <v>108.51</v>
      </c>
      <c r="Y71" s="4">
        <v>196.86</v>
      </c>
      <c r="Z71" s="4">
        <v>309.75</v>
      </c>
      <c r="AA71" s="4">
        <v>183.33</v>
      </c>
      <c r="AB71" s="4">
        <v>119.24</v>
      </c>
      <c r="AC71" s="4">
        <v>113.28</v>
      </c>
      <c r="AD71" s="4">
        <v>158.76</v>
      </c>
      <c r="AE71" s="4">
        <v>264.17</v>
      </c>
      <c r="AF71" s="4">
        <v>140.30000000000001</v>
      </c>
      <c r="AG71" s="4">
        <v>258.29000000000002</v>
      </c>
      <c r="AH71" s="4">
        <v>85.67</v>
      </c>
      <c r="AI71" s="4">
        <v>177.32</v>
      </c>
      <c r="AJ71" s="4">
        <v>201.34</v>
      </c>
      <c r="AK71" s="4">
        <v>135.93</v>
      </c>
      <c r="AL71" s="4">
        <v>110.6</v>
      </c>
      <c r="AM71" s="4">
        <v>160.9</v>
      </c>
      <c r="AN71" s="4">
        <v>292.74</v>
      </c>
      <c r="AO71" s="4">
        <v>303.23</v>
      </c>
      <c r="AP71" s="4">
        <v>267.77</v>
      </c>
      <c r="AQ71" s="4">
        <v>180.5</v>
      </c>
      <c r="AR71" s="4">
        <v>302</v>
      </c>
      <c r="AS71" s="4">
        <v>165.46</v>
      </c>
      <c r="AT71" s="4">
        <v>113.75</v>
      </c>
      <c r="AU71" s="4">
        <v>96.52</v>
      </c>
      <c r="AV71" s="4">
        <v>127.25</v>
      </c>
      <c r="AW71" s="4">
        <v>102.25</v>
      </c>
      <c r="AX71" s="4">
        <v>158.25</v>
      </c>
      <c r="AY71" s="4">
        <v>284.94</v>
      </c>
      <c r="AZ71" s="4">
        <v>152.75</v>
      </c>
      <c r="BA71" s="4">
        <v>82.67</v>
      </c>
      <c r="BB71" s="4">
        <v>124.17</v>
      </c>
      <c r="BC71" s="4">
        <v>140.76</v>
      </c>
      <c r="BD71" s="4">
        <v>250</v>
      </c>
      <c r="BE71" s="4">
        <v>282.5</v>
      </c>
      <c r="BF71" s="4">
        <v>115.83</v>
      </c>
      <c r="BG71" s="4">
        <v>95</v>
      </c>
      <c r="BH71" s="4">
        <v>85.23</v>
      </c>
      <c r="BI71" s="4">
        <v>115.76</v>
      </c>
      <c r="BJ71" s="4">
        <v>105.5</v>
      </c>
      <c r="BK71" s="4">
        <v>200.62</v>
      </c>
      <c r="BL71" s="4">
        <v>290</v>
      </c>
      <c r="BM71" s="4">
        <v>142</v>
      </c>
      <c r="BN71" s="4">
        <v>220.94</v>
      </c>
      <c r="BO71" s="4">
        <v>188.75</v>
      </c>
      <c r="BP71" s="4">
        <v>43982</v>
      </c>
      <c r="BQ71" s="4">
        <v>131.25</v>
      </c>
      <c r="BR71" s="4">
        <v>43982</v>
      </c>
      <c r="BS71" s="4">
        <v>110.77</v>
      </c>
      <c r="BT71" s="4">
        <v>43982</v>
      </c>
      <c r="BU71" s="4">
        <v>146.21</v>
      </c>
      <c r="BV71" s="4">
        <v>43982</v>
      </c>
      <c r="BW71" s="4">
        <v>221.59</v>
      </c>
      <c r="BX71" s="4">
        <v>43982</v>
      </c>
      <c r="BY71" s="4">
        <v>295</v>
      </c>
      <c r="BZ71" s="4">
        <v>43982</v>
      </c>
      <c r="CA71" s="4">
        <v>268.33</v>
      </c>
      <c r="CB71" s="4">
        <v>43982</v>
      </c>
      <c r="CC71" s="4">
        <v>178.36</v>
      </c>
      <c r="CD71" s="4">
        <v>43982</v>
      </c>
      <c r="CE71" s="4">
        <v>306.72000000000003</v>
      </c>
      <c r="CF71" s="4">
        <v>43982</v>
      </c>
      <c r="CG71" s="4">
        <v>151.5</v>
      </c>
      <c r="CH71" s="4">
        <v>43982</v>
      </c>
      <c r="CI71" s="4">
        <v>101.5</v>
      </c>
      <c r="CJ71" s="4">
        <v>43982</v>
      </c>
      <c r="CK71" s="4">
        <v>84.14</v>
      </c>
      <c r="CL71" s="4">
        <v>43982</v>
      </c>
      <c r="CM71" s="4">
        <v>125</v>
      </c>
      <c r="CN71" s="4">
        <v>43982</v>
      </c>
      <c r="CO71" s="4">
        <v>93</v>
      </c>
      <c r="CP71" s="4">
        <v>43982</v>
      </c>
      <c r="CQ71" s="4">
        <v>148.1</v>
      </c>
      <c r="CR71" s="4">
        <v>43982</v>
      </c>
      <c r="CS71" s="4">
        <v>277</v>
      </c>
      <c r="CT71" s="4">
        <v>43982</v>
      </c>
      <c r="CU71" s="4">
        <v>148</v>
      </c>
      <c r="CV71" s="4">
        <v>43982</v>
      </c>
      <c r="CW71" s="4">
        <v>75.38</v>
      </c>
      <c r="CX71" s="4">
        <v>43982</v>
      </c>
      <c r="CY71" s="4">
        <v>116.25</v>
      </c>
      <c r="CZ71" s="4">
        <v>43982</v>
      </c>
      <c r="DA71" s="4">
        <v>137.36000000000001</v>
      </c>
      <c r="DB71" s="4">
        <v>43982</v>
      </c>
      <c r="DC71" s="4">
        <v>245.42</v>
      </c>
      <c r="DD71" s="4">
        <v>43982</v>
      </c>
      <c r="DE71" s="4">
        <v>258.33</v>
      </c>
      <c r="DF71" s="4">
        <v>43982</v>
      </c>
      <c r="DG71" s="4">
        <v>106.25</v>
      </c>
      <c r="DH71" s="4">
        <v>43982</v>
      </c>
      <c r="DI71" s="4">
        <v>84.8</v>
      </c>
      <c r="DJ71" s="4">
        <v>43982</v>
      </c>
      <c r="DK71" s="4">
        <v>100.8</v>
      </c>
      <c r="DL71" s="4">
        <v>43982</v>
      </c>
      <c r="DM71" s="4">
        <v>115.02</v>
      </c>
      <c r="DN71" s="4">
        <v>43951</v>
      </c>
      <c r="DO71" s="4">
        <v>105.5</v>
      </c>
      <c r="DP71" s="4">
        <v>43982</v>
      </c>
      <c r="DQ71" s="4">
        <v>185.17</v>
      </c>
      <c r="DR71" s="4">
        <v>43951</v>
      </c>
      <c r="DS71" s="4">
        <v>290</v>
      </c>
      <c r="DT71" s="4">
        <v>43951</v>
      </c>
      <c r="DU71" s="4">
        <v>142</v>
      </c>
      <c r="DV71" s="4">
        <v>43982</v>
      </c>
      <c r="DW71" s="4">
        <v>214</v>
      </c>
    </row>
    <row r="72" spans="1:127" x14ac:dyDescent="0.3">
      <c r="C72" s="14" t="str">
        <f t="shared" ref="C72:C135" si="5">YEAR(D72)&amp;MONTH(D72)</f>
        <v>20203</v>
      </c>
      <c r="D72" s="6">
        <v>43921</v>
      </c>
      <c r="E72" s="4">
        <v>101.2</v>
      </c>
      <c r="F72" s="4">
        <v>161.79</v>
      </c>
      <c r="G72" s="4">
        <v>46.78</v>
      </c>
      <c r="H72" s="4">
        <v>177.81</v>
      </c>
      <c r="I72" s="4">
        <v>77.040000000000006</v>
      </c>
      <c r="J72" s="4">
        <v>90.1</v>
      </c>
      <c r="K72" s="4">
        <v>141.08000000000001</v>
      </c>
      <c r="L72" s="4">
        <v>100.31</v>
      </c>
      <c r="M72" s="4">
        <v>75.67</v>
      </c>
      <c r="N72" s="4">
        <v>90.62</v>
      </c>
      <c r="O72" s="4">
        <v>24.06</v>
      </c>
      <c r="P72" s="4">
        <v>130.22</v>
      </c>
      <c r="Q72" s="4">
        <v>226.95</v>
      </c>
      <c r="R72" s="4">
        <v>176.67</v>
      </c>
      <c r="S72" s="4">
        <v>45.86</v>
      </c>
      <c r="T72" s="4">
        <v>131.16</v>
      </c>
      <c r="U72" s="4">
        <v>178.13</v>
      </c>
      <c r="V72" s="4">
        <v>160</v>
      </c>
      <c r="W72" s="4">
        <v>104.92</v>
      </c>
      <c r="X72" s="4">
        <v>130</v>
      </c>
      <c r="Y72" s="4">
        <v>190.5</v>
      </c>
      <c r="Z72" s="4">
        <v>295.56</v>
      </c>
      <c r="AA72" s="4">
        <v>180</v>
      </c>
      <c r="AB72" s="4">
        <v>100</v>
      </c>
      <c r="AC72" s="4">
        <v>90.4</v>
      </c>
      <c r="AD72" s="4">
        <v>143.58000000000001</v>
      </c>
      <c r="AE72" s="4">
        <v>250.23</v>
      </c>
      <c r="AF72" s="4">
        <v>135.5</v>
      </c>
      <c r="AG72" s="4">
        <v>249.52</v>
      </c>
      <c r="AH72" s="4">
        <v>90.6</v>
      </c>
      <c r="AI72" s="4">
        <v>183.7</v>
      </c>
      <c r="AJ72" s="4">
        <v>191.67</v>
      </c>
      <c r="AK72" s="4">
        <v>127.48</v>
      </c>
      <c r="AL72" s="4">
        <v>117.39</v>
      </c>
      <c r="AM72" s="4">
        <v>145.51</v>
      </c>
      <c r="AN72" s="4">
        <v>267.08</v>
      </c>
      <c r="AO72" s="4">
        <v>307.39999999999998</v>
      </c>
      <c r="AP72" s="4">
        <v>290</v>
      </c>
      <c r="AQ72" s="4">
        <v>194.78</v>
      </c>
      <c r="AR72" s="4">
        <v>286.94</v>
      </c>
      <c r="AS72" s="4">
        <v>172.45</v>
      </c>
      <c r="AT72" s="4">
        <v>116.25</v>
      </c>
      <c r="AU72" s="4">
        <v>84.12</v>
      </c>
      <c r="AV72" s="4">
        <v>110</v>
      </c>
      <c r="AW72" s="4">
        <v>125.58</v>
      </c>
      <c r="AX72" s="4">
        <v>190</v>
      </c>
      <c r="AY72" s="4">
        <v>271.58999999999997</v>
      </c>
      <c r="AZ72" s="4">
        <v>150</v>
      </c>
      <c r="BA72" s="4">
        <v>79.98</v>
      </c>
      <c r="BB72" s="4">
        <v>112.5</v>
      </c>
      <c r="BC72" s="4">
        <v>136.6</v>
      </c>
      <c r="BD72" s="4">
        <v>266.44</v>
      </c>
      <c r="BE72" s="4">
        <v>285</v>
      </c>
      <c r="BF72" s="4">
        <v>102.5</v>
      </c>
      <c r="BG72" s="4">
        <v>95</v>
      </c>
      <c r="BH72" s="4">
        <v>102.12</v>
      </c>
      <c r="BI72" s="4">
        <v>127.27</v>
      </c>
      <c r="BJ72" s="4">
        <v>126.45</v>
      </c>
      <c r="BK72" s="4">
        <v>193.75</v>
      </c>
      <c r="BL72" s="4">
        <v>272.5</v>
      </c>
      <c r="BM72" s="4">
        <v>144.13</v>
      </c>
      <c r="BN72" s="4">
        <v>214.39</v>
      </c>
      <c r="BO72" s="4">
        <v>201.34</v>
      </c>
      <c r="BP72" s="4">
        <v>43951</v>
      </c>
      <c r="BQ72" s="4">
        <v>135.93</v>
      </c>
      <c r="BR72" s="4">
        <v>43951</v>
      </c>
      <c r="BS72" s="4">
        <v>110.6</v>
      </c>
      <c r="BT72" s="4">
        <v>43951</v>
      </c>
      <c r="BU72" s="4">
        <v>160.9</v>
      </c>
      <c r="BV72" s="4">
        <v>43951</v>
      </c>
      <c r="BW72" s="4">
        <v>292.74</v>
      </c>
      <c r="BX72" s="4">
        <v>43951</v>
      </c>
      <c r="BY72" s="4">
        <v>303.23</v>
      </c>
      <c r="BZ72" s="4">
        <v>43951</v>
      </c>
      <c r="CA72" s="4">
        <v>267.77</v>
      </c>
      <c r="CB72" s="4">
        <v>43951</v>
      </c>
      <c r="CC72" s="4">
        <v>180.5</v>
      </c>
      <c r="CD72" s="4">
        <v>43951</v>
      </c>
      <c r="CE72" s="4">
        <v>302</v>
      </c>
      <c r="CF72" s="4">
        <v>43951</v>
      </c>
      <c r="CG72" s="4">
        <v>165.46</v>
      </c>
      <c r="CH72" s="4">
        <v>43951</v>
      </c>
      <c r="CI72" s="4">
        <v>113.75</v>
      </c>
      <c r="CJ72" s="4">
        <v>43951</v>
      </c>
      <c r="CK72" s="4">
        <v>96.52</v>
      </c>
      <c r="CL72" s="4">
        <v>43951</v>
      </c>
      <c r="CM72" s="4">
        <v>127.25</v>
      </c>
      <c r="CN72" s="4">
        <v>43951</v>
      </c>
      <c r="CO72" s="4">
        <v>102.25</v>
      </c>
      <c r="CP72" s="4">
        <v>43951</v>
      </c>
      <c r="CQ72" s="4">
        <v>158.25</v>
      </c>
      <c r="CR72" s="4">
        <v>43951</v>
      </c>
      <c r="CS72" s="4">
        <v>284.94</v>
      </c>
      <c r="CT72" s="4">
        <v>43951</v>
      </c>
      <c r="CU72" s="4">
        <v>152.75</v>
      </c>
      <c r="CV72" s="4">
        <v>43951</v>
      </c>
      <c r="CW72" s="4">
        <v>82.67</v>
      </c>
      <c r="CX72" s="4">
        <v>43951</v>
      </c>
      <c r="CY72" s="4">
        <v>124.17</v>
      </c>
      <c r="CZ72" s="4">
        <v>43951</v>
      </c>
      <c r="DA72" s="4">
        <v>140.76</v>
      </c>
      <c r="DB72" s="4">
        <v>43951</v>
      </c>
      <c r="DC72" s="4">
        <v>250</v>
      </c>
      <c r="DD72" s="4">
        <v>43951</v>
      </c>
      <c r="DE72" s="4">
        <v>282.5</v>
      </c>
      <c r="DF72" s="4">
        <v>43951</v>
      </c>
      <c r="DG72" s="4">
        <v>115.83</v>
      </c>
      <c r="DH72" s="4">
        <v>43951</v>
      </c>
      <c r="DI72" s="4">
        <v>95</v>
      </c>
      <c r="DJ72" s="4">
        <v>43951</v>
      </c>
      <c r="DK72" s="4">
        <v>85.23</v>
      </c>
      <c r="DL72" s="4">
        <v>43951</v>
      </c>
      <c r="DM72" s="4">
        <v>115.76</v>
      </c>
      <c r="DN72" s="4">
        <v>43921</v>
      </c>
      <c r="DO72" s="4">
        <v>126.45</v>
      </c>
      <c r="DP72" s="4">
        <v>43951</v>
      </c>
      <c r="DQ72" s="4">
        <v>200.62</v>
      </c>
      <c r="DR72" s="4">
        <v>43921</v>
      </c>
      <c r="DS72" s="4">
        <v>272.5</v>
      </c>
      <c r="DT72" s="4">
        <v>43921</v>
      </c>
      <c r="DU72" s="4">
        <v>144.13</v>
      </c>
      <c r="DV72" s="4">
        <v>43951</v>
      </c>
      <c r="DW72" s="4">
        <v>220.94</v>
      </c>
    </row>
    <row r="73" spans="1:127" x14ac:dyDescent="0.3">
      <c r="C73" s="14" t="str">
        <f t="shared" si="5"/>
        <v>20202</v>
      </c>
      <c r="D73" s="6">
        <v>43890</v>
      </c>
      <c r="E73" s="4">
        <v>110.36</v>
      </c>
      <c r="F73" s="4">
        <v>162.54</v>
      </c>
      <c r="G73" s="4">
        <v>49.85</v>
      </c>
      <c r="H73" s="4">
        <v>172.83</v>
      </c>
      <c r="I73" s="4">
        <v>73.97</v>
      </c>
      <c r="J73" s="4">
        <v>95.32</v>
      </c>
      <c r="K73" s="4">
        <v>135.51</v>
      </c>
      <c r="L73" s="4">
        <v>106.9</v>
      </c>
      <c r="M73" s="4">
        <v>80.39</v>
      </c>
      <c r="N73" s="4">
        <v>94.13</v>
      </c>
      <c r="O73" s="4">
        <v>25</v>
      </c>
      <c r="P73" s="4">
        <v>111.71</v>
      </c>
      <c r="Q73" s="4">
        <v>222.26</v>
      </c>
      <c r="R73" s="4">
        <v>165</v>
      </c>
      <c r="S73" s="4">
        <v>49.57</v>
      </c>
      <c r="T73" s="4">
        <v>122.78</v>
      </c>
      <c r="U73" s="4">
        <v>178.33</v>
      </c>
      <c r="V73" s="4">
        <v>169.25</v>
      </c>
      <c r="W73" s="4">
        <v>113.94</v>
      </c>
      <c r="X73" s="4">
        <v>119.26</v>
      </c>
      <c r="Y73" s="4">
        <v>180</v>
      </c>
      <c r="Z73" s="4">
        <v>290.52</v>
      </c>
      <c r="AA73" s="4">
        <v>177.6</v>
      </c>
      <c r="AB73" s="4">
        <v>114.33</v>
      </c>
      <c r="AC73" s="4">
        <v>110</v>
      </c>
      <c r="AD73" s="4">
        <v>134.4</v>
      </c>
      <c r="AE73" s="4">
        <v>240.47</v>
      </c>
      <c r="AF73" s="4">
        <v>135</v>
      </c>
      <c r="AG73" s="4">
        <v>245.66</v>
      </c>
      <c r="AH73" s="4">
        <v>76.48</v>
      </c>
      <c r="AI73" s="4">
        <v>182.43</v>
      </c>
      <c r="AJ73" s="4">
        <v>196.91</v>
      </c>
      <c r="AK73" s="4">
        <v>127.11</v>
      </c>
      <c r="AL73" s="4">
        <v>148.04</v>
      </c>
      <c r="AM73" s="4">
        <v>124.8</v>
      </c>
      <c r="AN73" s="4">
        <v>158.96</v>
      </c>
      <c r="AO73" s="4">
        <v>324.8</v>
      </c>
      <c r="AP73" s="4">
        <v>260</v>
      </c>
      <c r="AQ73" s="4">
        <v>193.42</v>
      </c>
      <c r="AR73" s="4">
        <v>298.44</v>
      </c>
      <c r="AS73" s="4">
        <v>162.13</v>
      </c>
      <c r="AT73" s="4">
        <v>120</v>
      </c>
      <c r="AU73" s="4">
        <v>89.18</v>
      </c>
      <c r="AV73" s="4">
        <v>128.68</v>
      </c>
      <c r="AW73" s="4">
        <v>103.11</v>
      </c>
      <c r="AX73" s="4">
        <v>160</v>
      </c>
      <c r="AY73" s="4">
        <v>268</v>
      </c>
      <c r="AZ73" s="4">
        <v>140</v>
      </c>
      <c r="BA73" s="4">
        <v>65.63</v>
      </c>
      <c r="BB73" s="4">
        <v>125</v>
      </c>
      <c r="BC73" s="4">
        <v>143.79</v>
      </c>
      <c r="BD73" s="4">
        <v>235</v>
      </c>
      <c r="BE73" s="4">
        <v>240</v>
      </c>
      <c r="BF73" s="4">
        <v>115</v>
      </c>
      <c r="BG73" s="4">
        <v>75.44</v>
      </c>
      <c r="BH73" s="4">
        <v>70.709999999999994</v>
      </c>
      <c r="BI73" s="4">
        <v>99.29</v>
      </c>
      <c r="BJ73" s="4">
        <v>117.8</v>
      </c>
      <c r="BK73" s="4">
        <v>172.5</v>
      </c>
      <c r="BL73" s="4">
        <v>285</v>
      </c>
      <c r="BM73" s="4">
        <v>132.5</v>
      </c>
      <c r="BN73" s="4">
        <v>207.5</v>
      </c>
      <c r="BO73" s="4">
        <v>191.67</v>
      </c>
      <c r="BP73" s="4">
        <v>43921</v>
      </c>
      <c r="BQ73" s="4">
        <v>127.48</v>
      </c>
      <c r="BR73" s="4">
        <v>43921</v>
      </c>
      <c r="BS73" s="4">
        <v>117.39</v>
      </c>
      <c r="BT73" s="4">
        <v>43921</v>
      </c>
      <c r="BU73" s="4">
        <v>145.51</v>
      </c>
      <c r="BV73" s="4">
        <v>43921</v>
      </c>
      <c r="BW73" s="4">
        <v>267.08</v>
      </c>
      <c r="BX73" s="4">
        <v>43921</v>
      </c>
      <c r="BY73" s="4">
        <v>307.39999999999998</v>
      </c>
      <c r="BZ73" s="4">
        <v>43921</v>
      </c>
      <c r="CA73" s="4">
        <v>290</v>
      </c>
      <c r="CB73" s="4">
        <v>43921</v>
      </c>
      <c r="CC73" s="4">
        <v>194.78</v>
      </c>
      <c r="CD73" s="4">
        <v>43921</v>
      </c>
      <c r="CE73" s="4">
        <v>286.94</v>
      </c>
      <c r="CF73" s="4">
        <v>43921</v>
      </c>
      <c r="CG73" s="4">
        <v>172.45</v>
      </c>
      <c r="CH73" s="4">
        <v>43921</v>
      </c>
      <c r="CI73" s="4">
        <v>116.25</v>
      </c>
      <c r="CJ73" s="4">
        <v>43921</v>
      </c>
      <c r="CK73" s="4">
        <v>84.12</v>
      </c>
      <c r="CL73" s="4">
        <v>43921</v>
      </c>
      <c r="CM73" s="4">
        <v>110</v>
      </c>
      <c r="CN73" s="4">
        <v>43921</v>
      </c>
      <c r="CO73" s="4">
        <v>125.58</v>
      </c>
      <c r="CP73" s="4">
        <v>43921</v>
      </c>
      <c r="CQ73" s="4">
        <v>190</v>
      </c>
      <c r="CR73" s="4">
        <v>43921</v>
      </c>
      <c r="CS73" s="4">
        <v>271.58999999999997</v>
      </c>
      <c r="CT73" s="4">
        <v>43921</v>
      </c>
      <c r="CU73" s="4">
        <v>150</v>
      </c>
      <c r="CV73" s="4">
        <v>43921</v>
      </c>
      <c r="CW73" s="4">
        <v>79.98</v>
      </c>
      <c r="CX73" s="4">
        <v>43921</v>
      </c>
      <c r="CY73" s="4">
        <v>112.5</v>
      </c>
      <c r="CZ73" s="4">
        <v>43921</v>
      </c>
      <c r="DA73" s="4">
        <v>136.6</v>
      </c>
      <c r="DB73" s="4">
        <v>43921</v>
      </c>
      <c r="DC73" s="4">
        <v>266.44</v>
      </c>
      <c r="DD73" s="4">
        <v>43921</v>
      </c>
      <c r="DE73" s="4">
        <v>285</v>
      </c>
      <c r="DF73" s="4">
        <v>43921</v>
      </c>
      <c r="DG73" s="4">
        <v>102.5</v>
      </c>
      <c r="DH73" s="4">
        <v>43921</v>
      </c>
      <c r="DI73" s="4">
        <v>95</v>
      </c>
      <c r="DJ73" s="4">
        <v>43921</v>
      </c>
      <c r="DK73" s="4">
        <v>102.12</v>
      </c>
      <c r="DL73" s="4">
        <v>43921</v>
      </c>
      <c r="DM73" s="4">
        <v>127.27</v>
      </c>
      <c r="DN73" s="4">
        <v>43890</v>
      </c>
      <c r="DO73" s="4">
        <v>117.8</v>
      </c>
      <c r="DP73" s="4">
        <v>43921</v>
      </c>
      <c r="DQ73" s="4">
        <v>193.75</v>
      </c>
      <c r="DR73" s="4">
        <v>43890</v>
      </c>
      <c r="DS73" s="4">
        <v>285</v>
      </c>
      <c r="DT73" s="4">
        <v>43890</v>
      </c>
      <c r="DU73" s="4">
        <v>132.5</v>
      </c>
      <c r="DV73" s="4">
        <v>43921</v>
      </c>
      <c r="DW73" s="4">
        <v>214.39</v>
      </c>
    </row>
    <row r="74" spans="1:127" x14ac:dyDescent="0.3">
      <c r="C74" s="14" t="str">
        <f t="shared" si="5"/>
        <v>20201</v>
      </c>
      <c r="D74" s="6">
        <v>43861</v>
      </c>
      <c r="E74" s="4">
        <v>124.04</v>
      </c>
      <c r="F74" s="4">
        <v>167.83</v>
      </c>
      <c r="G74" s="4">
        <v>57.48</v>
      </c>
      <c r="H74" s="4">
        <v>172.8</v>
      </c>
      <c r="I74" s="4">
        <v>70</v>
      </c>
      <c r="J74" s="4">
        <v>103.91</v>
      </c>
      <c r="K74" s="4">
        <v>150</v>
      </c>
      <c r="L74" s="4">
        <v>119.7</v>
      </c>
      <c r="M74" s="4">
        <v>71.05</v>
      </c>
      <c r="N74" s="4">
        <v>101.89</v>
      </c>
      <c r="O74" s="4">
        <v>23.4</v>
      </c>
      <c r="P74" s="4">
        <v>138.82</v>
      </c>
      <c r="Q74" s="4">
        <v>230</v>
      </c>
      <c r="R74" s="4">
        <v>174.63</v>
      </c>
      <c r="S74" s="4">
        <v>48.19</v>
      </c>
      <c r="T74" s="4">
        <v>79.8</v>
      </c>
      <c r="U74" s="4">
        <v>182.91</v>
      </c>
      <c r="V74" s="4">
        <v>177.25</v>
      </c>
      <c r="W74" s="4">
        <v>124.89</v>
      </c>
      <c r="X74" s="4">
        <v>125.76</v>
      </c>
      <c r="Y74" s="4">
        <v>184.22</v>
      </c>
      <c r="Z74" s="4">
        <v>265</v>
      </c>
      <c r="AA74" s="4">
        <v>170</v>
      </c>
      <c r="AB74" s="4">
        <v>162.36000000000001</v>
      </c>
      <c r="AC74" s="4">
        <v>158.19999999999999</v>
      </c>
      <c r="AD74" s="4">
        <v>120</v>
      </c>
      <c r="AE74" s="4">
        <v>240</v>
      </c>
      <c r="AF74" s="4">
        <v>137.05000000000001</v>
      </c>
      <c r="AG74" s="4">
        <v>208.33</v>
      </c>
      <c r="AH74" s="4">
        <v>73.37</v>
      </c>
      <c r="AI74" s="4">
        <v>165.9</v>
      </c>
      <c r="AJ74" s="4">
        <v>187.41</v>
      </c>
      <c r="AK74" s="4">
        <v>141.68</v>
      </c>
      <c r="AL74" s="4">
        <v>75.41</v>
      </c>
      <c r="AM74" s="4">
        <v>120.71</v>
      </c>
      <c r="AN74" s="4">
        <v>200</v>
      </c>
      <c r="AO74" s="4">
        <v>308.61</v>
      </c>
      <c r="AP74" s="4">
        <v>237.01</v>
      </c>
      <c r="AQ74" s="4">
        <v>162.5</v>
      </c>
      <c r="AR74" s="4">
        <v>300</v>
      </c>
      <c r="AS74" s="4">
        <v>166.45</v>
      </c>
      <c r="AT74" s="4">
        <v>105.12</v>
      </c>
      <c r="AU74" s="4">
        <v>88.9</v>
      </c>
      <c r="AV74" s="4">
        <v>141.5</v>
      </c>
      <c r="AW74" s="4">
        <v>70</v>
      </c>
      <c r="AX74" s="4">
        <v>162.36000000000001</v>
      </c>
      <c r="AY74" s="4">
        <v>255</v>
      </c>
      <c r="AZ74" s="4">
        <v>163.38999999999999</v>
      </c>
      <c r="BA74" s="4">
        <v>62.43</v>
      </c>
      <c r="BB74" s="4">
        <v>148.27000000000001</v>
      </c>
      <c r="BC74" s="4">
        <v>156.1</v>
      </c>
      <c r="BD74" s="4">
        <v>208.75</v>
      </c>
      <c r="BE74" s="4">
        <v>240.36</v>
      </c>
      <c r="BF74" s="4">
        <v>135</v>
      </c>
      <c r="BG74" s="4">
        <v>72.319999999999993</v>
      </c>
      <c r="BH74" s="4">
        <v>67.2</v>
      </c>
      <c r="BI74" s="4">
        <v>75.27</v>
      </c>
      <c r="BJ74" s="4">
        <v>91.84</v>
      </c>
      <c r="BK74" s="4">
        <v>224</v>
      </c>
      <c r="BL74" s="4">
        <v>239.87</v>
      </c>
      <c r="BM74" s="4">
        <v>147.27000000000001</v>
      </c>
      <c r="BN74" s="4">
        <v>207.29</v>
      </c>
      <c r="BO74" s="4">
        <v>196.91</v>
      </c>
      <c r="BP74" s="4">
        <v>43890</v>
      </c>
      <c r="BQ74" s="4">
        <v>127.11</v>
      </c>
      <c r="BR74" s="4">
        <v>43890</v>
      </c>
      <c r="BS74" s="4">
        <v>148.04</v>
      </c>
      <c r="BT74" s="4">
        <v>43890</v>
      </c>
      <c r="BU74" s="4">
        <v>124.8</v>
      </c>
      <c r="BV74" s="4">
        <v>43890</v>
      </c>
      <c r="BW74" s="4">
        <v>158.96</v>
      </c>
      <c r="BX74" s="4">
        <v>43890</v>
      </c>
      <c r="BY74" s="4">
        <v>324.8</v>
      </c>
      <c r="BZ74" s="4">
        <v>43890</v>
      </c>
      <c r="CA74" s="4">
        <v>260</v>
      </c>
      <c r="CB74" s="4">
        <v>43890</v>
      </c>
      <c r="CC74" s="4">
        <v>193.42</v>
      </c>
      <c r="CD74" s="4">
        <v>43890</v>
      </c>
      <c r="CE74" s="4">
        <v>298.44</v>
      </c>
      <c r="CF74" s="4">
        <v>43890</v>
      </c>
      <c r="CG74" s="4">
        <v>162.13</v>
      </c>
      <c r="CH74" s="4">
        <v>43890</v>
      </c>
      <c r="CI74" s="4">
        <v>120</v>
      </c>
      <c r="CJ74" s="4">
        <v>43890</v>
      </c>
      <c r="CK74" s="4">
        <v>89.18</v>
      </c>
      <c r="CL74" s="4">
        <v>43890</v>
      </c>
      <c r="CM74" s="4">
        <v>128.68</v>
      </c>
      <c r="CN74" s="4">
        <v>43890</v>
      </c>
      <c r="CO74" s="4">
        <v>103.11</v>
      </c>
      <c r="CP74" s="4">
        <v>43890</v>
      </c>
      <c r="CQ74" s="4">
        <v>160</v>
      </c>
      <c r="CR74" s="4">
        <v>43890</v>
      </c>
      <c r="CS74" s="4">
        <v>268</v>
      </c>
      <c r="CT74" s="4">
        <v>43890</v>
      </c>
      <c r="CU74" s="4">
        <v>140</v>
      </c>
      <c r="CV74" s="4">
        <v>43890</v>
      </c>
      <c r="CW74" s="4">
        <v>65.63</v>
      </c>
      <c r="CX74" s="4">
        <v>43890</v>
      </c>
      <c r="CY74" s="4">
        <v>125</v>
      </c>
      <c r="CZ74" s="4">
        <v>43890</v>
      </c>
      <c r="DA74" s="4">
        <v>143.79</v>
      </c>
      <c r="DB74" s="4">
        <v>43890</v>
      </c>
      <c r="DC74" s="4">
        <v>235</v>
      </c>
      <c r="DD74" s="4">
        <v>43890</v>
      </c>
      <c r="DE74" s="4">
        <v>240</v>
      </c>
      <c r="DF74" s="4">
        <v>43890</v>
      </c>
      <c r="DG74" s="4">
        <v>115</v>
      </c>
      <c r="DH74" s="4">
        <v>43890</v>
      </c>
      <c r="DI74" s="4">
        <v>75.44</v>
      </c>
      <c r="DJ74" s="4">
        <v>43890</v>
      </c>
      <c r="DK74" s="4">
        <v>70.709999999999994</v>
      </c>
      <c r="DL74" s="4">
        <v>43890</v>
      </c>
      <c r="DM74" s="4">
        <v>99.29</v>
      </c>
      <c r="DN74" s="4">
        <v>43861</v>
      </c>
      <c r="DO74" s="4">
        <v>91.84</v>
      </c>
      <c r="DP74" s="4">
        <v>43890</v>
      </c>
      <c r="DQ74" s="4">
        <v>172.5</v>
      </c>
      <c r="DR74" s="4">
        <v>43861</v>
      </c>
      <c r="DS74" s="4">
        <v>239.87</v>
      </c>
      <c r="DT74" s="4">
        <v>43861</v>
      </c>
      <c r="DU74" s="4">
        <v>147.27000000000001</v>
      </c>
      <c r="DV74" s="4">
        <v>43890</v>
      </c>
      <c r="DW74" s="4">
        <v>207.5</v>
      </c>
    </row>
    <row r="75" spans="1:127" x14ac:dyDescent="0.3">
      <c r="C75" s="14" t="str">
        <f t="shared" si="5"/>
        <v>20201</v>
      </c>
      <c r="D75" s="6">
        <v>43861</v>
      </c>
      <c r="E75" s="4">
        <v>124.04</v>
      </c>
      <c r="F75" s="4">
        <v>167.83</v>
      </c>
      <c r="G75" s="4">
        <v>57.48</v>
      </c>
      <c r="H75" s="4">
        <v>172.8</v>
      </c>
      <c r="I75" s="4">
        <v>70</v>
      </c>
      <c r="J75" s="4">
        <v>103.91</v>
      </c>
      <c r="K75" s="4">
        <v>150</v>
      </c>
      <c r="L75" s="4">
        <v>119.7</v>
      </c>
      <c r="M75" s="4">
        <v>71.05</v>
      </c>
      <c r="N75" s="4">
        <v>101.89</v>
      </c>
      <c r="O75" s="4">
        <v>23.4</v>
      </c>
      <c r="P75" s="4">
        <v>138.82</v>
      </c>
      <c r="Q75" s="4">
        <v>230</v>
      </c>
      <c r="R75" s="4">
        <v>174.63</v>
      </c>
      <c r="S75" s="4">
        <v>48.19</v>
      </c>
      <c r="T75" s="4">
        <v>79.8</v>
      </c>
      <c r="U75" s="4">
        <v>182.91</v>
      </c>
      <c r="V75" s="4">
        <v>177.25</v>
      </c>
      <c r="W75" s="4">
        <v>124.89</v>
      </c>
      <c r="X75" s="4">
        <v>125.76</v>
      </c>
      <c r="Y75" s="4">
        <v>184.22</v>
      </c>
      <c r="Z75" s="4">
        <v>265</v>
      </c>
      <c r="AA75" s="4">
        <v>170</v>
      </c>
      <c r="AB75" s="4">
        <v>162.36000000000001</v>
      </c>
      <c r="AC75" s="4">
        <v>158.19999999999999</v>
      </c>
      <c r="AD75" s="4">
        <v>120</v>
      </c>
      <c r="AE75" s="4">
        <v>240</v>
      </c>
      <c r="AF75" s="4">
        <v>137.05000000000001</v>
      </c>
      <c r="AG75" s="4">
        <v>208.33</v>
      </c>
      <c r="AH75" s="4">
        <v>73.37</v>
      </c>
      <c r="AI75" s="4">
        <v>165.9</v>
      </c>
      <c r="AJ75" s="4">
        <v>187.41</v>
      </c>
      <c r="AK75" s="4">
        <v>141.68</v>
      </c>
      <c r="AL75" s="4">
        <v>75.41</v>
      </c>
      <c r="AM75" s="4">
        <v>120.71</v>
      </c>
      <c r="AN75" s="4">
        <v>200</v>
      </c>
      <c r="AO75" s="4">
        <v>308.61</v>
      </c>
      <c r="AP75" s="4">
        <v>237.01</v>
      </c>
      <c r="AQ75" s="4">
        <v>162.5</v>
      </c>
      <c r="AR75" s="4">
        <v>300</v>
      </c>
      <c r="AS75" s="4">
        <v>166.45</v>
      </c>
      <c r="AT75" s="4">
        <v>105.12</v>
      </c>
      <c r="AU75" s="4">
        <v>88.9</v>
      </c>
      <c r="AV75" s="4">
        <v>141.5</v>
      </c>
      <c r="AW75" s="4">
        <v>70</v>
      </c>
      <c r="AX75" s="4">
        <v>162.36000000000001</v>
      </c>
      <c r="AY75" s="4">
        <v>255</v>
      </c>
      <c r="AZ75" s="4">
        <v>163.38999999999999</v>
      </c>
      <c r="BA75" s="4">
        <v>62.43</v>
      </c>
      <c r="BB75" s="4">
        <v>148.27000000000001</v>
      </c>
      <c r="BC75" s="4">
        <v>156.1</v>
      </c>
      <c r="BD75" s="4">
        <v>208.75</v>
      </c>
      <c r="BE75" s="4">
        <v>240.36</v>
      </c>
      <c r="BF75" s="4">
        <v>135</v>
      </c>
      <c r="BG75" s="4">
        <v>72.319999999999993</v>
      </c>
      <c r="BH75" s="4">
        <v>67.2</v>
      </c>
      <c r="BI75" s="4">
        <v>75.27</v>
      </c>
      <c r="BJ75" s="4">
        <v>91.84</v>
      </c>
      <c r="BK75" s="4">
        <v>224</v>
      </c>
      <c r="BL75" s="4">
        <v>239.87</v>
      </c>
      <c r="BM75" s="4">
        <v>147.27000000000001</v>
      </c>
      <c r="BN75" s="4">
        <v>207.29</v>
      </c>
      <c r="BO75" s="4">
        <v>187.41</v>
      </c>
      <c r="BP75" s="4">
        <v>43861</v>
      </c>
      <c r="BQ75" s="4">
        <v>141.68</v>
      </c>
      <c r="BR75" s="4">
        <v>43861</v>
      </c>
      <c r="BS75" s="4">
        <v>75.41</v>
      </c>
      <c r="BT75" s="4">
        <v>43861</v>
      </c>
      <c r="BU75" s="4">
        <v>120.71</v>
      </c>
      <c r="BV75" s="4">
        <v>43861</v>
      </c>
      <c r="BW75" s="4">
        <v>200</v>
      </c>
      <c r="BX75" s="4">
        <v>43861</v>
      </c>
      <c r="BY75" s="4">
        <v>308.61</v>
      </c>
      <c r="BZ75" s="4">
        <v>43861</v>
      </c>
      <c r="CA75" s="4">
        <v>237.01</v>
      </c>
      <c r="CB75" s="4">
        <v>43861</v>
      </c>
      <c r="CC75" s="4">
        <v>162.5</v>
      </c>
      <c r="CD75" s="4">
        <v>43861</v>
      </c>
      <c r="CE75" s="4">
        <v>300</v>
      </c>
      <c r="CF75" s="4">
        <v>43861</v>
      </c>
      <c r="CG75" s="4">
        <v>166.45</v>
      </c>
      <c r="CH75" s="4">
        <v>43861</v>
      </c>
      <c r="CI75" s="4">
        <v>105.12</v>
      </c>
      <c r="CJ75" s="4">
        <v>43861</v>
      </c>
      <c r="CK75" s="4">
        <v>88.9</v>
      </c>
      <c r="CL75" s="4">
        <v>43861</v>
      </c>
      <c r="CM75" s="4">
        <v>141.5</v>
      </c>
      <c r="CN75" s="4">
        <v>43861</v>
      </c>
      <c r="CO75" s="4">
        <v>70</v>
      </c>
      <c r="CP75" s="4">
        <v>43861</v>
      </c>
      <c r="CQ75" s="4">
        <v>162.36000000000001</v>
      </c>
      <c r="CR75" s="4">
        <v>43861</v>
      </c>
      <c r="CS75" s="4">
        <v>255</v>
      </c>
      <c r="CT75" s="4">
        <v>43861</v>
      </c>
      <c r="CU75" s="4">
        <v>163.38999999999999</v>
      </c>
      <c r="CV75" s="4">
        <v>43861</v>
      </c>
      <c r="CW75" s="4">
        <v>62.43</v>
      </c>
      <c r="CX75" s="4">
        <v>43861</v>
      </c>
      <c r="CY75" s="4">
        <v>148.27000000000001</v>
      </c>
      <c r="CZ75" s="4">
        <v>43861</v>
      </c>
      <c r="DA75" s="4">
        <v>156.1</v>
      </c>
      <c r="DB75" s="4">
        <v>43861</v>
      </c>
      <c r="DC75" s="4">
        <v>208.75</v>
      </c>
      <c r="DD75" s="4">
        <v>43861</v>
      </c>
      <c r="DE75" s="4">
        <v>240.36</v>
      </c>
      <c r="DF75" s="4">
        <v>43861</v>
      </c>
      <c r="DG75" s="4">
        <v>135</v>
      </c>
      <c r="DH75" s="4">
        <v>43861</v>
      </c>
      <c r="DI75" s="4">
        <v>72.319999999999993</v>
      </c>
      <c r="DJ75" s="4">
        <v>43861</v>
      </c>
      <c r="DK75" s="4">
        <v>67.2</v>
      </c>
      <c r="DL75" s="4">
        <v>43861</v>
      </c>
      <c r="DM75" s="4">
        <v>75.27</v>
      </c>
      <c r="DP75" s="4">
        <v>43861</v>
      </c>
      <c r="DQ75" s="4">
        <v>224</v>
      </c>
      <c r="DV75" s="4">
        <v>43861</v>
      </c>
      <c r="DW75" s="4">
        <v>207.29</v>
      </c>
    </row>
    <row r="76" spans="1:127" x14ac:dyDescent="0.3">
      <c r="C76" s="14" t="str">
        <f t="shared" si="5"/>
        <v>19001</v>
      </c>
    </row>
    <row r="77" spans="1:127" x14ac:dyDescent="0.3">
      <c r="C77" s="14" t="str">
        <f t="shared" si="5"/>
        <v>19001</v>
      </c>
    </row>
    <row r="78" spans="1:127" x14ac:dyDescent="0.3">
      <c r="C78" s="14" t="str">
        <f t="shared" si="5"/>
        <v>19001</v>
      </c>
    </row>
    <row r="79" spans="1:127" x14ac:dyDescent="0.3">
      <c r="C79" s="14" t="str">
        <f t="shared" si="5"/>
        <v>19001</v>
      </c>
    </row>
    <row r="80" spans="1:127" x14ac:dyDescent="0.3">
      <c r="C80" s="14" t="str">
        <f t="shared" si="5"/>
        <v>19001</v>
      </c>
    </row>
    <row r="81" spans="3:3" x14ac:dyDescent="0.3">
      <c r="C81" s="14" t="str">
        <f t="shared" si="5"/>
        <v>19001</v>
      </c>
    </row>
    <row r="82" spans="3:3" x14ac:dyDescent="0.3">
      <c r="C82" s="14" t="str">
        <f t="shared" si="5"/>
        <v>19001</v>
      </c>
    </row>
    <row r="83" spans="3:3" x14ac:dyDescent="0.3">
      <c r="C83" s="14" t="str">
        <f t="shared" si="5"/>
        <v>19001</v>
      </c>
    </row>
    <row r="84" spans="3:3" x14ac:dyDescent="0.3">
      <c r="C84" s="14" t="str">
        <f t="shared" si="5"/>
        <v>19001</v>
      </c>
    </row>
    <row r="85" spans="3:3" x14ac:dyDescent="0.3">
      <c r="C85" s="14" t="str">
        <f t="shared" si="5"/>
        <v>19001</v>
      </c>
    </row>
    <row r="86" spans="3:3" x14ac:dyDescent="0.3">
      <c r="C86" s="14" t="str">
        <f t="shared" si="5"/>
        <v>19001</v>
      </c>
    </row>
    <row r="87" spans="3:3" x14ac:dyDescent="0.3">
      <c r="C87" s="14" t="str">
        <f t="shared" si="5"/>
        <v>19001</v>
      </c>
    </row>
    <row r="88" spans="3:3" x14ac:dyDescent="0.3">
      <c r="C88" s="14" t="str">
        <f t="shared" si="5"/>
        <v>19001</v>
      </c>
    </row>
    <row r="89" spans="3:3" x14ac:dyDescent="0.3">
      <c r="C89" s="14" t="str">
        <f t="shared" si="5"/>
        <v>19001</v>
      </c>
    </row>
    <row r="90" spans="3:3" x14ac:dyDescent="0.3">
      <c r="C90" s="14" t="str">
        <f t="shared" si="5"/>
        <v>19001</v>
      </c>
    </row>
    <row r="91" spans="3:3" x14ac:dyDescent="0.3">
      <c r="C91" s="14" t="str">
        <f t="shared" si="5"/>
        <v>19001</v>
      </c>
    </row>
    <row r="92" spans="3:3" x14ac:dyDescent="0.3">
      <c r="C92" s="14" t="str">
        <f t="shared" si="5"/>
        <v>19001</v>
      </c>
    </row>
    <row r="93" spans="3:3" x14ac:dyDescent="0.3">
      <c r="C93" s="14" t="str">
        <f t="shared" si="5"/>
        <v>19001</v>
      </c>
    </row>
    <row r="94" spans="3:3" x14ac:dyDescent="0.3">
      <c r="C94" s="14" t="str">
        <f t="shared" si="5"/>
        <v>19001</v>
      </c>
    </row>
    <row r="95" spans="3:3" x14ac:dyDescent="0.3">
      <c r="C95" s="14" t="str">
        <f t="shared" si="5"/>
        <v>19001</v>
      </c>
    </row>
    <row r="96" spans="3:3" x14ac:dyDescent="0.3">
      <c r="C96" s="14" t="str">
        <f t="shared" si="5"/>
        <v>19001</v>
      </c>
    </row>
    <row r="97" spans="3:3" x14ac:dyDescent="0.3">
      <c r="C97" s="14" t="str">
        <f t="shared" si="5"/>
        <v>19001</v>
      </c>
    </row>
    <row r="98" spans="3:3" x14ac:dyDescent="0.3">
      <c r="C98" s="14" t="str">
        <f t="shared" si="5"/>
        <v>19001</v>
      </c>
    </row>
    <row r="99" spans="3:3" x14ac:dyDescent="0.3">
      <c r="C99" s="14" t="str">
        <f t="shared" si="5"/>
        <v>19001</v>
      </c>
    </row>
    <row r="100" spans="3:3" x14ac:dyDescent="0.3">
      <c r="C100" s="14" t="str">
        <f t="shared" si="5"/>
        <v>19001</v>
      </c>
    </row>
    <row r="101" spans="3:3" x14ac:dyDescent="0.3">
      <c r="C101" s="14" t="str">
        <f t="shared" si="5"/>
        <v>19001</v>
      </c>
    </row>
    <row r="102" spans="3:3" x14ac:dyDescent="0.3">
      <c r="C102" s="14" t="str">
        <f t="shared" si="5"/>
        <v>19001</v>
      </c>
    </row>
    <row r="103" spans="3:3" x14ac:dyDescent="0.3">
      <c r="C103" s="14" t="str">
        <f t="shared" si="5"/>
        <v>19001</v>
      </c>
    </row>
    <row r="104" spans="3:3" x14ac:dyDescent="0.3">
      <c r="C104" s="14" t="str">
        <f t="shared" si="5"/>
        <v>19001</v>
      </c>
    </row>
    <row r="105" spans="3:3" x14ac:dyDescent="0.3">
      <c r="C105" s="14" t="str">
        <f t="shared" si="5"/>
        <v>19001</v>
      </c>
    </row>
    <row r="106" spans="3:3" x14ac:dyDescent="0.3">
      <c r="C106" s="14" t="str">
        <f t="shared" si="5"/>
        <v>19001</v>
      </c>
    </row>
    <row r="107" spans="3:3" x14ac:dyDescent="0.3">
      <c r="C107" s="14" t="str">
        <f t="shared" si="5"/>
        <v>19001</v>
      </c>
    </row>
    <row r="108" spans="3:3" x14ac:dyDescent="0.3">
      <c r="C108" s="14" t="str">
        <f t="shared" si="5"/>
        <v>19001</v>
      </c>
    </row>
    <row r="109" spans="3:3" x14ac:dyDescent="0.3">
      <c r="C109" s="14" t="str">
        <f t="shared" si="5"/>
        <v>19001</v>
      </c>
    </row>
    <row r="110" spans="3:3" x14ac:dyDescent="0.3">
      <c r="C110" s="14" t="str">
        <f t="shared" si="5"/>
        <v>19001</v>
      </c>
    </row>
    <row r="111" spans="3:3" x14ac:dyDescent="0.3">
      <c r="C111" s="14" t="str">
        <f t="shared" si="5"/>
        <v>19001</v>
      </c>
    </row>
    <row r="112" spans="3:3" x14ac:dyDescent="0.3">
      <c r="C112" s="14" t="str">
        <f t="shared" si="5"/>
        <v>19001</v>
      </c>
    </row>
    <row r="113" spans="3:3" x14ac:dyDescent="0.3">
      <c r="C113" s="14" t="str">
        <f t="shared" si="5"/>
        <v>19001</v>
      </c>
    </row>
    <row r="114" spans="3:3" x14ac:dyDescent="0.3">
      <c r="C114" s="14" t="str">
        <f t="shared" si="5"/>
        <v>19001</v>
      </c>
    </row>
    <row r="115" spans="3:3" x14ac:dyDescent="0.3">
      <c r="C115" s="14" t="str">
        <f t="shared" si="5"/>
        <v>19001</v>
      </c>
    </row>
    <row r="116" spans="3:3" x14ac:dyDescent="0.3">
      <c r="C116" s="14" t="str">
        <f t="shared" si="5"/>
        <v>19001</v>
      </c>
    </row>
    <row r="117" spans="3:3" x14ac:dyDescent="0.3">
      <c r="C117" s="14" t="str">
        <f t="shared" si="5"/>
        <v>19001</v>
      </c>
    </row>
    <row r="118" spans="3:3" x14ac:dyDescent="0.3">
      <c r="C118" s="14" t="str">
        <f t="shared" si="5"/>
        <v>19001</v>
      </c>
    </row>
    <row r="119" spans="3:3" x14ac:dyDescent="0.3">
      <c r="C119" s="14" t="str">
        <f t="shared" si="5"/>
        <v>19001</v>
      </c>
    </row>
    <row r="120" spans="3:3" x14ac:dyDescent="0.3">
      <c r="C120" s="14" t="str">
        <f t="shared" si="5"/>
        <v>19001</v>
      </c>
    </row>
    <row r="121" spans="3:3" x14ac:dyDescent="0.3">
      <c r="C121" s="14" t="str">
        <f t="shared" si="5"/>
        <v>19001</v>
      </c>
    </row>
    <row r="122" spans="3:3" x14ac:dyDescent="0.3">
      <c r="C122" s="14" t="str">
        <f t="shared" si="5"/>
        <v>19001</v>
      </c>
    </row>
    <row r="123" spans="3:3" x14ac:dyDescent="0.3">
      <c r="C123" s="14" t="str">
        <f t="shared" si="5"/>
        <v>19001</v>
      </c>
    </row>
    <row r="124" spans="3:3" x14ac:dyDescent="0.3">
      <c r="C124" s="14" t="str">
        <f t="shared" si="5"/>
        <v>19001</v>
      </c>
    </row>
    <row r="125" spans="3:3" x14ac:dyDescent="0.3">
      <c r="C125" s="14" t="str">
        <f t="shared" si="5"/>
        <v>19001</v>
      </c>
    </row>
    <row r="126" spans="3:3" x14ac:dyDescent="0.3">
      <c r="C126" s="14" t="str">
        <f t="shared" si="5"/>
        <v>19001</v>
      </c>
    </row>
    <row r="127" spans="3:3" x14ac:dyDescent="0.3">
      <c r="C127" s="14" t="str">
        <f t="shared" si="5"/>
        <v>19001</v>
      </c>
    </row>
    <row r="128" spans="3:3" x14ac:dyDescent="0.3">
      <c r="C128" s="14" t="str">
        <f t="shared" si="5"/>
        <v>19001</v>
      </c>
    </row>
    <row r="129" spans="3:3" x14ac:dyDescent="0.3">
      <c r="C129" s="14" t="str">
        <f t="shared" si="5"/>
        <v>19001</v>
      </c>
    </row>
    <row r="130" spans="3:3" x14ac:dyDescent="0.3">
      <c r="C130" s="14" t="str">
        <f t="shared" si="5"/>
        <v>19001</v>
      </c>
    </row>
    <row r="131" spans="3:3" x14ac:dyDescent="0.3">
      <c r="C131" s="14" t="str">
        <f t="shared" si="5"/>
        <v>19001</v>
      </c>
    </row>
    <row r="132" spans="3:3" x14ac:dyDescent="0.3">
      <c r="C132" s="14" t="str">
        <f t="shared" si="5"/>
        <v>19001</v>
      </c>
    </row>
    <row r="133" spans="3:3" x14ac:dyDescent="0.3">
      <c r="C133" s="14" t="str">
        <f t="shared" si="5"/>
        <v>19001</v>
      </c>
    </row>
    <row r="134" spans="3:3" x14ac:dyDescent="0.3">
      <c r="C134" s="14" t="str">
        <f t="shared" si="5"/>
        <v>19001</v>
      </c>
    </row>
    <row r="135" spans="3:3" x14ac:dyDescent="0.3">
      <c r="C135" s="14" t="str">
        <f t="shared" si="5"/>
        <v>19001</v>
      </c>
    </row>
    <row r="136" spans="3:3" x14ac:dyDescent="0.3">
      <c r="C136" s="14" t="str">
        <f t="shared" ref="C136:C199" si="6">YEAR(D136)&amp;MONTH(D136)</f>
        <v>19001</v>
      </c>
    </row>
    <row r="137" spans="3:3" x14ac:dyDescent="0.3">
      <c r="C137" s="14" t="str">
        <f t="shared" si="6"/>
        <v>19001</v>
      </c>
    </row>
    <row r="138" spans="3:3" x14ac:dyDescent="0.3">
      <c r="C138" s="14" t="str">
        <f t="shared" si="6"/>
        <v>19001</v>
      </c>
    </row>
    <row r="139" spans="3:3" x14ac:dyDescent="0.3">
      <c r="C139" s="14" t="str">
        <f t="shared" si="6"/>
        <v>19001</v>
      </c>
    </row>
    <row r="140" spans="3:3" x14ac:dyDescent="0.3">
      <c r="C140" s="14" t="str">
        <f t="shared" si="6"/>
        <v>19001</v>
      </c>
    </row>
    <row r="141" spans="3:3" x14ac:dyDescent="0.3">
      <c r="C141" s="14" t="str">
        <f t="shared" si="6"/>
        <v>19001</v>
      </c>
    </row>
    <row r="142" spans="3:3" x14ac:dyDescent="0.3">
      <c r="C142" s="14" t="str">
        <f t="shared" si="6"/>
        <v>19001</v>
      </c>
    </row>
    <row r="143" spans="3:3" x14ac:dyDescent="0.3">
      <c r="C143" s="14" t="str">
        <f t="shared" si="6"/>
        <v>19001</v>
      </c>
    </row>
    <row r="144" spans="3:3" x14ac:dyDescent="0.3">
      <c r="C144" s="14" t="str">
        <f t="shared" si="6"/>
        <v>19001</v>
      </c>
    </row>
    <row r="145" spans="3:3" x14ac:dyDescent="0.3">
      <c r="C145" s="14" t="str">
        <f t="shared" si="6"/>
        <v>19001</v>
      </c>
    </row>
    <row r="146" spans="3:3" x14ac:dyDescent="0.3">
      <c r="C146" s="14" t="str">
        <f t="shared" si="6"/>
        <v>19001</v>
      </c>
    </row>
    <row r="147" spans="3:3" x14ac:dyDescent="0.3">
      <c r="C147" s="14" t="str">
        <f t="shared" si="6"/>
        <v>19001</v>
      </c>
    </row>
    <row r="148" spans="3:3" x14ac:dyDescent="0.3">
      <c r="C148" s="14" t="str">
        <f t="shared" si="6"/>
        <v>19001</v>
      </c>
    </row>
    <row r="149" spans="3:3" x14ac:dyDescent="0.3">
      <c r="C149" s="14" t="str">
        <f t="shared" si="6"/>
        <v>19001</v>
      </c>
    </row>
    <row r="150" spans="3:3" x14ac:dyDescent="0.3">
      <c r="C150" s="14" t="str">
        <f t="shared" si="6"/>
        <v>19001</v>
      </c>
    </row>
    <row r="151" spans="3:3" x14ac:dyDescent="0.3">
      <c r="C151" s="14" t="str">
        <f t="shared" si="6"/>
        <v>19001</v>
      </c>
    </row>
    <row r="152" spans="3:3" x14ac:dyDescent="0.3">
      <c r="C152" s="14" t="str">
        <f t="shared" si="6"/>
        <v>19001</v>
      </c>
    </row>
    <row r="153" spans="3:3" x14ac:dyDescent="0.3">
      <c r="C153" s="14" t="str">
        <f t="shared" si="6"/>
        <v>19001</v>
      </c>
    </row>
    <row r="154" spans="3:3" x14ac:dyDescent="0.3">
      <c r="C154" s="14" t="str">
        <f t="shared" si="6"/>
        <v>19001</v>
      </c>
    </row>
    <row r="155" spans="3:3" x14ac:dyDescent="0.3">
      <c r="C155" s="14" t="str">
        <f t="shared" si="6"/>
        <v>19001</v>
      </c>
    </row>
    <row r="156" spans="3:3" x14ac:dyDescent="0.3">
      <c r="C156" s="14" t="str">
        <f t="shared" si="6"/>
        <v>19001</v>
      </c>
    </row>
    <row r="157" spans="3:3" x14ac:dyDescent="0.3">
      <c r="C157" s="14" t="str">
        <f t="shared" si="6"/>
        <v>19001</v>
      </c>
    </row>
    <row r="158" spans="3:3" x14ac:dyDescent="0.3">
      <c r="C158" s="14" t="str">
        <f t="shared" si="6"/>
        <v>19001</v>
      </c>
    </row>
    <row r="159" spans="3:3" x14ac:dyDescent="0.3">
      <c r="C159" s="14" t="str">
        <f t="shared" si="6"/>
        <v>19001</v>
      </c>
    </row>
    <row r="160" spans="3:3" x14ac:dyDescent="0.3">
      <c r="C160" s="14" t="str">
        <f t="shared" si="6"/>
        <v>19001</v>
      </c>
    </row>
    <row r="161" spans="3:3" x14ac:dyDescent="0.3">
      <c r="C161" s="14" t="str">
        <f t="shared" si="6"/>
        <v>19001</v>
      </c>
    </row>
    <row r="162" spans="3:3" x14ac:dyDescent="0.3">
      <c r="C162" s="14" t="str">
        <f t="shared" si="6"/>
        <v>19001</v>
      </c>
    </row>
    <row r="163" spans="3:3" x14ac:dyDescent="0.3">
      <c r="C163" s="14" t="str">
        <f t="shared" si="6"/>
        <v>19001</v>
      </c>
    </row>
    <row r="164" spans="3:3" x14ac:dyDescent="0.3">
      <c r="C164" s="14" t="str">
        <f t="shared" si="6"/>
        <v>19001</v>
      </c>
    </row>
    <row r="165" spans="3:3" x14ac:dyDescent="0.3">
      <c r="C165" s="14" t="str">
        <f t="shared" si="6"/>
        <v>19001</v>
      </c>
    </row>
    <row r="166" spans="3:3" x14ac:dyDescent="0.3">
      <c r="C166" s="14" t="str">
        <f t="shared" si="6"/>
        <v>19001</v>
      </c>
    </row>
    <row r="167" spans="3:3" x14ac:dyDescent="0.3">
      <c r="C167" s="14" t="str">
        <f t="shared" si="6"/>
        <v>19001</v>
      </c>
    </row>
    <row r="168" spans="3:3" x14ac:dyDescent="0.3">
      <c r="C168" s="14" t="str">
        <f t="shared" si="6"/>
        <v>19001</v>
      </c>
    </row>
    <row r="169" spans="3:3" x14ac:dyDescent="0.3">
      <c r="C169" s="14" t="str">
        <f t="shared" si="6"/>
        <v>19001</v>
      </c>
    </row>
    <row r="170" spans="3:3" x14ac:dyDescent="0.3">
      <c r="C170" s="14" t="str">
        <f t="shared" si="6"/>
        <v>19001</v>
      </c>
    </row>
    <row r="171" spans="3:3" x14ac:dyDescent="0.3">
      <c r="C171" s="14" t="str">
        <f t="shared" si="6"/>
        <v>19001</v>
      </c>
    </row>
    <row r="172" spans="3:3" x14ac:dyDescent="0.3">
      <c r="C172" s="14" t="str">
        <f t="shared" si="6"/>
        <v>19001</v>
      </c>
    </row>
    <row r="173" spans="3:3" x14ac:dyDescent="0.3">
      <c r="C173" s="14" t="str">
        <f t="shared" si="6"/>
        <v>19001</v>
      </c>
    </row>
    <row r="174" spans="3:3" x14ac:dyDescent="0.3">
      <c r="C174" s="14" t="str">
        <f t="shared" si="6"/>
        <v>19001</v>
      </c>
    </row>
    <row r="175" spans="3:3" x14ac:dyDescent="0.3">
      <c r="C175" s="14" t="str">
        <f t="shared" si="6"/>
        <v>19001</v>
      </c>
    </row>
    <row r="176" spans="3:3" x14ac:dyDescent="0.3">
      <c r="C176" s="14" t="str">
        <f t="shared" si="6"/>
        <v>19001</v>
      </c>
    </row>
    <row r="177" spans="3:3" x14ac:dyDescent="0.3">
      <c r="C177" s="14" t="str">
        <f t="shared" si="6"/>
        <v>19001</v>
      </c>
    </row>
    <row r="178" spans="3:3" x14ac:dyDescent="0.3">
      <c r="C178" s="14" t="str">
        <f t="shared" si="6"/>
        <v>19001</v>
      </c>
    </row>
    <row r="179" spans="3:3" x14ac:dyDescent="0.3">
      <c r="C179" s="14" t="str">
        <f t="shared" si="6"/>
        <v>19001</v>
      </c>
    </row>
    <row r="180" spans="3:3" x14ac:dyDescent="0.3">
      <c r="C180" s="14" t="str">
        <f t="shared" si="6"/>
        <v>19001</v>
      </c>
    </row>
    <row r="181" spans="3:3" x14ac:dyDescent="0.3">
      <c r="C181" s="14" t="str">
        <f t="shared" si="6"/>
        <v>19001</v>
      </c>
    </row>
    <row r="182" spans="3:3" x14ac:dyDescent="0.3">
      <c r="C182" s="14" t="str">
        <f t="shared" si="6"/>
        <v>19001</v>
      </c>
    </row>
    <row r="183" spans="3:3" x14ac:dyDescent="0.3">
      <c r="C183" s="14" t="str">
        <f t="shared" si="6"/>
        <v>19001</v>
      </c>
    </row>
    <row r="184" spans="3:3" x14ac:dyDescent="0.3">
      <c r="C184" s="14" t="str">
        <f t="shared" si="6"/>
        <v>19001</v>
      </c>
    </row>
    <row r="185" spans="3:3" x14ac:dyDescent="0.3">
      <c r="C185" s="14" t="str">
        <f t="shared" si="6"/>
        <v>19001</v>
      </c>
    </row>
    <row r="186" spans="3:3" x14ac:dyDescent="0.3">
      <c r="C186" s="14" t="str">
        <f t="shared" si="6"/>
        <v>19001</v>
      </c>
    </row>
    <row r="187" spans="3:3" x14ac:dyDescent="0.3">
      <c r="C187" s="14" t="str">
        <f t="shared" si="6"/>
        <v>19001</v>
      </c>
    </row>
    <row r="188" spans="3:3" x14ac:dyDescent="0.3">
      <c r="C188" s="14" t="str">
        <f t="shared" si="6"/>
        <v>19001</v>
      </c>
    </row>
    <row r="189" spans="3:3" x14ac:dyDescent="0.3">
      <c r="C189" s="14" t="str">
        <f t="shared" si="6"/>
        <v>19001</v>
      </c>
    </row>
    <row r="190" spans="3:3" x14ac:dyDescent="0.3">
      <c r="C190" s="14" t="str">
        <f t="shared" si="6"/>
        <v>19001</v>
      </c>
    </row>
    <row r="191" spans="3:3" x14ac:dyDescent="0.3">
      <c r="C191" s="14" t="str">
        <f t="shared" si="6"/>
        <v>19001</v>
      </c>
    </row>
    <row r="192" spans="3:3" x14ac:dyDescent="0.3">
      <c r="C192" s="14" t="str">
        <f t="shared" si="6"/>
        <v>19001</v>
      </c>
    </row>
    <row r="193" spans="3:3" x14ac:dyDescent="0.3">
      <c r="C193" s="14" t="str">
        <f t="shared" si="6"/>
        <v>19001</v>
      </c>
    </row>
    <row r="194" spans="3:3" x14ac:dyDescent="0.3">
      <c r="C194" s="14" t="str">
        <f t="shared" si="6"/>
        <v>19001</v>
      </c>
    </row>
    <row r="195" spans="3:3" x14ac:dyDescent="0.3">
      <c r="C195" s="14" t="str">
        <f t="shared" si="6"/>
        <v>19001</v>
      </c>
    </row>
    <row r="196" spans="3:3" x14ac:dyDescent="0.3">
      <c r="C196" s="14" t="str">
        <f t="shared" si="6"/>
        <v>19001</v>
      </c>
    </row>
    <row r="197" spans="3:3" x14ac:dyDescent="0.3">
      <c r="C197" s="14" t="str">
        <f t="shared" si="6"/>
        <v>19001</v>
      </c>
    </row>
    <row r="198" spans="3:3" x14ac:dyDescent="0.3">
      <c r="C198" s="14" t="str">
        <f t="shared" si="6"/>
        <v>19001</v>
      </c>
    </row>
    <row r="199" spans="3:3" x14ac:dyDescent="0.3">
      <c r="C199" s="14" t="str">
        <f t="shared" si="6"/>
        <v>19001</v>
      </c>
    </row>
    <row r="200" spans="3:3" x14ac:dyDescent="0.3">
      <c r="C200" s="14" t="str">
        <f t="shared" ref="C200:C263" si="7">YEAR(D200)&amp;MONTH(D200)</f>
        <v>19001</v>
      </c>
    </row>
    <row r="201" spans="3:3" x14ac:dyDescent="0.3">
      <c r="C201" s="14" t="str">
        <f t="shared" si="7"/>
        <v>19001</v>
      </c>
    </row>
    <row r="202" spans="3:3" x14ac:dyDescent="0.3">
      <c r="C202" s="14" t="str">
        <f t="shared" si="7"/>
        <v>19001</v>
      </c>
    </row>
    <row r="203" spans="3:3" x14ac:dyDescent="0.3">
      <c r="C203" s="14" t="str">
        <f t="shared" si="7"/>
        <v>19001</v>
      </c>
    </row>
    <row r="204" spans="3:3" x14ac:dyDescent="0.3">
      <c r="C204" s="14" t="str">
        <f t="shared" si="7"/>
        <v>19001</v>
      </c>
    </row>
    <row r="205" spans="3:3" x14ac:dyDescent="0.3">
      <c r="C205" s="14" t="str">
        <f t="shared" si="7"/>
        <v>19001</v>
      </c>
    </row>
    <row r="206" spans="3:3" x14ac:dyDescent="0.3">
      <c r="C206" s="14" t="str">
        <f t="shared" si="7"/>
        <v>19001</v>
      </c>
    </row>
    <row r="207" spans="3:3" x14ac:dyDescent="0.3">
      <c r="C207" s="14" t="str">
        <f t="shared" si="7"/>
        <v>19001</v>
      </c>
    </row>
    <row r="208" spans="3:3" x14ac:dyDescent="0.3">
      <c r="C208" s="14" t="str">
        <f t="shared" si="7"/>
        <v>19001</v>
      </c>
    </row>
    <row r="209" spans="3:3" x14ac:dyDescent="0.3">
      <c r="C209" s="14" t="str">
        <f t="shared" si="7"/>
        <v>19001</v>
      </c>
    </row>
    <row r="210" spans="3:3" x14ac:dyDescent="0.3">
      <c r="C210" s="14" t="str">
        <f t="shared" si="7"/>
        <v>19001</v>
      </c>
    </row>
    <row r="211" spans="3:3" x14ac:dyDescent="0.3">
      <c r="C211" s="14" t="str">
        <f t="shared" si="7"/>
        <v>19001</v>
      </c>
    </row>
    <row r="212" spans="3:3" x14ac:dyDescent="0.3">
      <c r="C212" s="14" t="str">
        <f t="shared" si="7"/>
        <v>19001</v>
      </c>
    </row>
    <row r="213" spans="3:3" x14ac:dyDescent="0.3">
      <c r="C213" s="14" t="str">
        <f t="shared" si="7"/>
        <v>19001</v>
      </c>
    </row>
    <row r="214" spans="3:3" x14ac:dyDescent="0.3">
      <c r="C214" s="14" t="str">
        <f t="shared" si="7"/>
        <v>19001</v>
      </c>
    </row>
    <row r="215" spans="3:3" x14ac:dyDescent="0.3">
      <c r="C215" s="14" t="str">
        <f t="shared" si="7"/>
        <v>19001</v>
      </c>
    </row>
    <row r="216" spans="3:3" x14ac:dyDescent="0.3">
      <c r="C216" s="14" t="str">
        <f t="shared" si="7"/>
        <v>19001</v>
      </c>
    </row>
    <row r="217" spans="3:3" x14ac:dyDescent="0.3">
      <c r="C217" s="14" t="str">
        <f t="shared" si="7"/>
        <v>19001</v>
      </c>
    </row>
    <row r="218" spans="3:3" x14ac:dyDescent="0.3">
      <c r="C218" s="14" t="str">
        <f t="shared" si="7"/>
        <v>19001</v>
      </c>
    </row>
    <row r="219" spans="3:3" x14ac:dyDescent="0.3">
      <c r="C219" s="14" t="str">
        <f t="shared" si="7"/>
        <v>19001</v>
      </c>
    </row>
    <row r="220" spans="3:3" x14ac:dyDescent="0.3">
      <c r="C220" s="14" t="str">
        <f t="shared" si="7"/>
        <v>19001</v>
      </c>
    </row>
    <row r="221" spans="3:3" x14ac:dyDescent="0.3">
      <c r="C221" s="14" t="str">
        <f t="shared" si="7"/>
        <v>19001</v>
      </c>
    </row>
    <row r="222" spans="3:3" x14ac:dyDescent="0.3">
      <c r="C222" s="14" t="str">
        <f t="shared" si="7"/>
        <v>19001</v>
      </c>
    </row>
    <row r="223" spans="3:3" x14ac:dyDescent="0.3">
      <c r="C223" s="14" t="str">
        <f t="shared" si="7"/>
        <v>19001</v>
      </c>
    </row>
    <row r="224" spans="3:3" x14ac:dyDescent="0.3">
      <c r="C224" s="14" t="str">
        <f t="shared" si="7"/>
        <v>19001</v>
      </c>
    </row>
    <row r="225" spans="3:3" x14ac:dyDescent="0.3">
      <c r="C225" s="14" t="str">
        <f t="shared" si="7"/>
        <v>19001</v>
      </c>
    </row>
    <row r="226" spans="3:3" x14ac:dyDescent="0.3">
      <c r="C226" s="14" t="str">
        <f t="shared" si="7"/>
        <v>19001</v>
      </c>
    </row>
    <row r="227" spans="3:3" x14ac:dyDescent="0.3">
      <c r="C227" s="14" t="str">
        <f t="shared" si="7"/>
        <v>19001</v>
      </c>
    </row>
    <row r="228" spans="3:3" x14ac:dyDescent="0.3">
      <c r="C228" s="14" t="str">
        <f t="shared" si="7"/>
        <v>19001</v>
      </c>
    </row>
    <row r="229" spans="3:3" x14ac:dyDescent="0.3">
      <c r="C229" s="14" t="str">
        <f t="shared" si="7"/>
        <v>19001</v>
      </c>
    </row>
    <row r="230" spans="3:3" x14ac:dyDescent="0.3">
      <c r="C230" s="14" t="str">
        <f t="shared" si="7"/>
        <v>19001</v>
      </c>
    </row>
    <row r="231" spans="3:3" x14ac:dyDescent="0.3">
      <c r="C231" s="14" t="str">
        <f t="shared" si="7"/>
        <v>19001</v>
      </c>
    </row>
    <row r="232" spans="3:3" x14ac:dyDescent="0.3">
      <c r="C232" s="14" t="str">
        <f t="shared" si="7"/>
        <v>19001</v>
      </c>
    </row>
    <row r="233" spans="3:3" x14ac:dyDescent="0.3">
      <c r="C233" s="14" t="str">
        <f t="shared" si="7"/>
        <v>19001</v>
      </c>
    </row>
    <row r="234" spans="3:3" x14ac:dyDescent="0.3">
      <c r="C234" s="14" t="str">
        <f t="shared" si="7"/>
        <v>19001</v>
      </c>
    </row>
    <row r="235" spans="3:3" x14ac:dyDescent="0.3">
      <c r="C235" s="14" t="str">
        <f t="shared" si="7"/>
        <v>19001</v>
      </c>
    </row>
    <row r="236" spans="3:3" x14ac:dyDescent="0.3">
      <c r="C236" s="14" t="str">
        <f t="shared" si="7"/>
        <v>19001</v>
      </c>
    </row>
    <row r="237" spans="3:3" x14ac:dyDescent="0.3">
      <c r="C237" s="14" t="str">
        <f t="shared" si="7"/>
        <v>19001</v>
      </c>
    </row>
    <row r="238" spans="3:3" x14ac:dyDescent="0.3">
      <c r="C238" s="14" t="str">
        <f t="shared" si="7"/>
        <v>19001</v>
      </c>
    </row>
    <row r="239" spans="3:3" x14ac:dyDescent="0.3">
      <c r="C239" s="14" t="str">
        <f t="shared" si="7"/>
        <v>19001</v>
      </c>
    </row>
    <row r="240" spans="3:3" x14ac:dyDescent="0.3">
      <c r="C240" s="14" t="str">
        <f t="shared" si="7"/>
        <v>19001</v>
      </c>
    </row>
    <row r="241" spans="3:3" x14ac:dyDescent="0.3">
      <c r="C241" s="14" t="str">
        <f t="shared" si="7"/>
        <v>19001</v>
      </c>
    </row>
    <row r="242" spans="3:3" x14ac:dyDescent="0.3">
      <c r="C242" s="14" t="str">
        <f t="shared" si="7"/>
        <v>19001</v>
      </c>
    </row>
    <row r="243" spans="3:3" x14ac:dyDescent="0.3">
      <c r="C243" s="14" t="str">
        <f t="shared" si="7"/>
        <v>19001</v>
      </c>
    </row>
    <row r="244" spans="3:3" x14ac:dyDescent="0.3">
      <c r="C244" s="14" t="str">
        <f t="shared" si="7"/>
        <v>19001</v>
      </c>
    </row>
    <row r="245" spans="3:3" x14ac:dyDescent="0.3">
      <c r="C245" s="14" t="str">
        <f t="shared" si="7"/>
        <v>19001</v>
      </c>
    </row>
    <row r="246" spans="3:3" x14ac:dyDescent="0.3">
      <c r="C246" s="14" t="str">
        <f t="shared" si="7"/>
        <v>19001</v>
      </c>
    </row>
    <row r="247" spans="3:3" x14ac:dyDescent="0.3">
      <c r="C247" s="14" t="str">
        <f t="shared" si="7"/>
        <v>19001</v>
      </c>
    </row>
    <row r="248" spans="3:3" x14ac:dyDescent="0.3">
      <c r="C248" s="14" t="str">
        <f t="shared" si="7"/>
        <v>19001</v>
      </c>
    </row>
    <row r="249" spans="3:3" x14ac:dyDescent="0.3">
      <c r="C249" s="14" t="str">
        <f t="shared" si="7"/>
        <v>19001</v>
      </c>
    </row>
    <row r="250" spans="3:3" x14ac:dyDescent="0.3">
      <c r="C250" s="14" t="str">
        <f t="shared" si="7"/>
        <v>19001</v>
      </c>
    </row>
    <row r="251" spans="3:3" x14ac:dyDescent="0.3">
      <c r="C251" s="14" t="str">
        <f t="shared" si="7"/>
        <v>19001</v>
      </c>
    </row>
    <row r="252" spans="3:3" x14ac:dyDescent="0.3">
      <c r="C252" s="14" t="str">
        <f t="shared" si="7"/>
        <v>19001</v>
      </c>
    </row>
    <row r="253" spans="3:3" x14ac:dyDescent="0.3">
      <c r="C253" s="14" t="str">
        <f t="shared" si="7"/>
        <v>19001</v>
      </c>
    </row>
    <row r="254" spans="3:3" x14ac:dyDescent="0.3">
      <c r="C254" s="14" t="str">
        <f t="shared" si="7"/>
        <v>19001</v>
      </c>
    </row>
    <row r="255" spans="3:3" x14ac:dyDescent="0.3">
      <c r="C255" s="14" t="str">
        <f t="shared" si="7"/>
        <v>19001</v>
      </c>
    </row>
    <row r="256" spans="3:3" x14ac:dyDescent="0.3">
      <c r="C256" s="14" t="str">
        <f t="shared" si="7"/>
        <v>19001</v>
      </c>
    </row>
    <row r="257" spans="3:3" x14ac:dyDescent="0.3">
      <c r="C257" s="14" t="str">
        <f t="shared" si="7"/>
        <v>19001</v>
      </c>
    </row>
    <row r="258" spans="3:3" x14ac:dyDescent="0.3">
      <c r="C258" s="14" t="str">
        <f t="shared" si="7"/>
        <v>19001</v>
      </c>
    </row>
    <row r="259" spans="3:3" x14ac:dyDescent="0.3">
      <c r="C259" s="14" t="str">
        <f t="shared" si="7"/>
        <v>19001</v>
      </c>
    </row>
    <row r="260" spans="3:3" x14ac:dyDescent="0.3">
      <c r="C260" s="14" t="str">
        <f t="shared" si="7"/>
        <v>19001</v>
      </c>
    </row>
    <row r="261" spans="3:3" x14ac:dyDescent="0.3">
      <c r="C261" s="14" t="str">
        <f t="shared" si="7"/>
        <v>19001</v>
      </c>
    </row>
    <row r="262" spans="3:3" x14ac:dyDescent="0.3">
      <c r="C262" s="14" t="str">
        <f t="shared" si="7"/>
        <v>19001</v>
      </c>
    </row>
    <row r="263" spans="3:3" x14ac:dyDescent="0.3">
      <c r="C263" s="14" t="str">
        <f t="shared" si="7"/>
        <v>19001</v>
      </c>
    </row>
    <row r="264" spans="3:3" x14ac:dyDescent="0.3">
      <c r="C264" s="14" t="str">
        <f t="shared" ref="C264:C327" si="8">YEAR(D264)&amp;MONTH(D264)</f>
        <v>19001</v>
      </c>
    </row>
    <row r="265" spans="3:3" x14ac:dyDescent="0.3">
      <c r="C265" s="14" t="str">
        <f t="shared" si="8"/>
        <v>19001</v>
      </c>
    </row>
    <row r="266" spans="3:3" x14ac:dyDescent="0.3">
      <c r="C266" s="14" t="str">
        <f t="shared" si="8"/>
        <v>19001</v>
      </c>
    </row>
    <row r="267" spans="3:3" x14ac:dyDescent="0.3">
      <c r="C267" s="14" t="str">
        <f t="shared" si="8"/>
        <v>19001</v>
      </c>
    </row>
    <row r="268" spans="3:3" x14ac:dyDescent="0.3">
      <c r="C268" s="14" t="str">
        <f t="shared" si="8"/>
        <v>19001</v>
      </c>
    </row>
    <row r="269" spans="3:3" x14ac:dyDescent="0.3">
      <c r="C269" s="14" t="str">
        <f t="shared" si="8"/>
        <v>19001</v>
      </c>
    </row>
    <row r="270" spans="3:3" x14ac:dyDescent="0.3">
      <c r="C270" s="14" t="str">
        <f t="shared" si="8"/>
        <v>19001</v>
      </c>
    </row>
    <row r="271" spans="3:3" x14ac:dyDescent="0.3">
      <c r="C271" s="14" t="str">
        <f t="shared" si="8"/>
        <v>19001</v>
      </c>
    </row>
    <row r="272" spans="3:3" x14ac:dyDescent="0.3">
      <c r="C272" s="14" t="str">
        <f t="shared" si="8"/>
        <v>19001</v>
      </c>
    </row>
    <row r="273" spans="3:3" x14ac:dyDescent="0.3">
      <c r="C273" s="14" t="str">
        <f t="shared" si="8"/>
        <v>19001</v>
      </c>
    </row>
    <row r="274" spans="3:3" x14ac:dyDescent="0.3">
      <c r="C274" s="14" t="str">
        <f t="shared" si="8"/>
        <v>19001</v>
      </c>
    </row>
    <row r="275" spans="3:3" x14ac:dyDescent="0.3">
      <c r="C275" s="14" t="str">
        <f t="shared" si="8"/>
        <v>19001</v>
      </c>
    </row>
    <row r="276" spans="3:3" x14ac:dyDescent="0.3">
      <c r="C276" s="14" t="str">
        <f t="shared" si="8"/>
        <v>19001</v>
      </c>
    </row>
    <row r="277" spans="3:3" x14ac:dyDescent="0.3">
      <c r="C277" s="14" t="str">
        <f t="shared" si="8"/>
        <v>19001</v>
      </c>
    </row>
    <row r="278" spans="3:3" x14ac:dyDescent="0.3">
      <c r="C278" s="14" t="str">
        <f t="shared" si="8"/>
        <v>19001</v>
      </c>
    </row>
    <row r="279" spans="3:3" x14ac:dyDescent="0.3">
      <c r="C279" s="14" t="str">
        <f t="shared" si="8"/>
        <v>19001</v>
      </c>
    </row>
    <row r="280" spans="3:3" x14ac:dyDescent="0.3">
      <c r="C280" s="14" t="str">
        <f t="shared" si="8"/>
        <v>19001</v>
      </c>
    </row>
    <row r="281" spans="3:3" x14ac:dyDescent="0.3">
      <c r="C281" s="14" t="str">
        <f t="shared" si="8"/>
        <v>19001</v>
      </c>
    </row>
    <row r="282" spans="3:3" x14ac:dyDescent="0.3">
      <c r="C282" s="14" t="str">
        <f t="shared" si="8"/>
        <v>19001</v>
      </c>
    </row>
    <row r="283" spans="3:3" x14ac:dyDescent="0.3">
      <c r="C283" s="14" t="str">
        <f t="shared" si="8"/>
        <v>19001</v>
      </c>
    </row>
    <row r="284" spans="3:3" x14ac:dyDescent="0.3">
      <c r="C284" s="14" t="str">
        <f t="shared" si="8"/>
        <v>19001</v>
      </c>
    </row>
    <row r="285" spans="3:3" x14ac:dyDescent="0.3">
      <c r="C285" s="14" t="str">
        <f t="shared" si="8"/>
        <v>19001</v>
      </c>
    </row>
    <row r="286" spans="3:3" x14ac:dyDescent="0.3">
      <c r="C286" s="14" t="str">
        <f t="shared" si="8"/>
        <v>19001</v>
      </c>
    </row>
    <row r="287" spans="3:3" x14ac:dyDescent="0.3">
      <c r="C287" s="14" t="str">
        <f t="shared" si="8"/>
        <v>19001</v>
      </c>
    </row>
    <row r="288" spans="3:3" x14ac:dyDescent="0.3">
      <c r="C288" s="14" t="str">
        <f t="shared" si="8"/>
        <v>19001</v>
      </c>
    </row>
    <row r="289" spans="3:3" x14ac:dyDescent="0.3">
      <c r="C289" s="14" t="str">
        <f t="shared" si="8"/>
        <v>19001</v>
      </c>
    </row>
    <row r="290" spans="3:3" x14ac:dyDescent="0.3">
      <c r="C290" s="14" t="str">
        <f t="shared" si="8"/>
        <v>19001</v>
      </c>
    </row>
    <row r="291" spans="3:3" x14ac:dyDescent="0.3">
      <c r="C291" s="14" t="str">
        <f t="shared" si="8"/>
        <v>19001</v>
      </c>
    </row>
    <row r="292" spans="3:3" x14ac:dyDescent="0.3">
      <c r="C292" s="14" t="str">
        <f t="shared" si="8"/>
        <v>19001</v>
      </c>
    </row>
    <row r="293" spans="3:3" x14ac:dyDescent="0.3">
      <c r="C293" s="14" t="str">
        <f t="shared" si="8"/>
        <v>19001</v>
      </c>
    </row>
    <row r="294" spans="3:3" x14ac:dyDescent="0.3">
      <c r="C294" s="14" t="str">
        <f t="shared" si="8"/>
        <v>19001</v>
      </c>
    </row>
    <row r="295" spans="3:3" x14ac:dyDescent="0.3">
      <c r="C295" s="14" t="str">
        <f t="shared" si="8"/>
        <v>19001</v>
      </c>
    </row>
    <row r="296" spans="3:3" x14ac:dyDescent="0.3">
      <c r="C296" s="14" t="str">
        <f t="shared" si="8"/>
        <v>19001</v>
      </c>
    </row>
    <row r="297" spans="3:3" x14ac:dyDescent="0.3">
      <c r="C297" s="14" t="str">
        <f t="shared" si="8"/>
        <v>19001</v>
      </c>
    </row>
    <row r="298" spans="3:3" x14ac:dyDescent="0.3">
      <c r="C298" s="14" t="str">
        <f t="shared" si="8"/>
        <v>19001</v>
      </c>
    </row>
    <row r="299" spans="3:3" x14ac:dyDescent="0.3">
      <c r="C299" s="14" t="str">
        <f t="shared" si="8"/>
        <v>19001</v>
      </c>
    </row>
    <row r="300" spans="3:3" x14ac:dyDescent="0.3">
      <c r="C300" s="14" t="str">
        <f t="shared" si="8"/>
        <v>19001</v>
      </c>
    </row>
    <row r="301" spans="3:3" x14ac:dyDescent="0.3">
      <c r="C301" s="14" t="str">
        <f t="shared" si="8"/>
        <v>19001</v>
      </c>
    </row>
    <row r="302" spans="3:3" x14ac:dyDescent="0.3">
      <c r="C302" s="14" t="str">
        <f t="shared" si="8"/>
        <v>19001</v>
      </c>
    </row>
    <row r="303" spans="3:3" x14ac:dyDescent="0.3">
      <c r="C303" s="14" t="str">
        <f t="shared" si="8"/>
        <v>19001</v>
      </c>
    </row>
    <row r="304" spans="3:3" x14ac:dyDescent="0.3">
      <c r="C304" s="14" t="str">
        <f t="shared" si="8"/>
        <v>19001</v>
      </c>
    </row>
    <row r="305" spans="3:3" x14ac:dyDescent="0.3">
      <c r="C305" s="14" t="str">
        <f t="shared" si="8"/>
        <v>19001</v>
      </c>
    </row>
    <row r="306" spans="3:3" x14ac:dyDescent="0.3">
      <c r="C306" s="14" t="str">
        <f t="shared" si="8"/>
        <v>19001</v>
      </c>
    </row>
    <row r="307" spans="3:3" x14ac:dyDescent="0.3">
      <c r="C307" s="14" t="str">
        <f t="shared" si="8"/>
        <v>19001</v>
      </c>
    </row>
    <row r="308" spans="3:3" x14ac:dyDescent="0.3">
      <c r="C308" s="14" t="str">
        <f t="shared" si="8"/>
        <v>19001</v>
      </c>
    </row>
    <row r="309" spans="3:3" x14ac:dyDescent="0.3">
      <c r="C309" s="14" t="str">
        <f t="shared" si="8"/>
        <v>19001</v>
      </c>
    </row>
    <row r="310" spans="3:3" x14ac:dyDescent="0.3">
      <c r="C310" s="14" t="str">
        <f t="shared" si="8"/>
        <v>19001</v>
      </c>
    </row>
    <row r="311" spans="3:3" x14ac:dyDescent="0.3">
      <c r="C311" s="14" t="str">
        <f t="shared" si="8"/>
        <v>19001</v>
      </c>
    </row>
    <row r="312" spans="3:3" x14ac:dyDescent="0.3">
      <c r="C312" s="14" t="str">
        <f t="shared" si="8"/>
        <v>19001</v>
      </c>
    </row>
    <row r="313" spans="3:3" x14ac:dyDescent="0.3">
      <c r="C313" s="14" t="str">
        <f t="shared" si="8"/>
        <v>19001</v>
      </c>
    </row>
    <row r="314" spans="3:3" x14ac:dyDescent="0.3">
      <c r="C314" s="14" t="str">
        <f t="shared" si="8"/>
        <v>19001</v>
      </c>
    </row>
    <row r="315" spans="3:3" x14ac:dyDescent="0.3">
      <c r="C315" s="14" t="str">
        <f t="shared" si="8"/>
        <v>19001</v>
      </c>
    </row>
    <row r="316" spans="3:3" x14ac:dyDescent="0.3">
      <c r="C316" s="14" t="str">
        <f t="shared" si="8"/>
        <v>19001</v>
      </c>
    </row>
    <row r="317" spans="3:3" x14ac:dyDescent="0.3">
      <c r="C317" s="14" t="str">
        <f t="shared" si="8"/>
        <v>19001</v>
      </c>
    </row>
    <row r="318" spans="3:3" x14ac:dyDescent="0.3">
      <c r="C318" s="14" t="str">
        <f t="shared" si="8"/>
        <v>19001</v>
      </c>
    </row>
    <row r="319" spans="3:3" x14ac:dyDescent="0.3">
      <c r="C319" s="14" t="str">
        <f t="shared" si="8"/>
        <v>19001</v>
      </c>
    </row>
    <row r="320" spans="3:3" x14ac:dyDescent="0.3">
      <c r="C320" s="14" t="str">
        <f t="shared" si="8"/>
        <v>19001</v>
      </c>
    </row>
    <row r="321" spans="3:3" x14ac:dyDescent="0.3">
      <c r="C321" s="14" t="str">
        <f t="shared" si="8"/>
        <v>19001</v>
      </c>
    </row>
    <row r="322" spans="3:3" x14ac:dyDescent="0.3">
      <c r="C322" s="14" t="str">
        <f t="shared" si="8"/>
        <v>19001</v>
      </c>
    </row>
    <row r="323" spans="3:3" x14ac:dyDescent="0.3">
      <c r="C323" s="14" t="str">
        <f t="shared" si="8"/>
        <v>19001</v>
      </c>
    </row>
    <row r="324" spans="3:3" x14ac:dyDescent="0.3">
      <c r="C324" s="14" t="str">
        <f t="shared" si="8"/>
        <v>19001</v>
      </c>
    </row>
    <row r="325" spans="3:3" x14ac:dyDescent="0.3">
      <c r="C325" s="14" t="str">
        <f t="shared" si="8"/>
        <v>19001</v>
      </c>
    </row>
    <row r="326" spans="3:3" x14ac:dyDescent="0.3">
      <c r="C326" s="14" t="str">
        <f t="shared" si="8"/>
        <v>19001</v>
      </c>
    </row>
    <row r="327" spans="3:3" x14ac:dyDescent="0.3">
      <c r="C327" s="14" t="str">
        <f t="shared" si="8"/>
        <v>19001</v>
      </c>
    </row>
    <row r="328" spans="3:3" x14ac:dyDescent="0.3">
      <c r="C328" s="14" t="str">
        <f t="shared" ref="C328:C391" si="9">YEAR(D328)&amp;MONTH(D328)</f>
        <v>19001</v>
      </c>
    </row>
    <row r="329" spans="3:3" x14ac:dyDescent="0.3">
      <c r="C329" s="14" t="str">
        <f t="shared" si="9"/>
        <v>19001</v>
      </c>
    </row>
    <row r="330" spans="3:3" x14ac:dyDescent="0.3">
      <c r="C330" s="14" t="str">
        <f t="shared" si="9"/>
        <v>19001</v>
      </c>
    </row>
    <row r="331" spans="3:3" x14ac:dyDescent="0.3">
      <c r="C331" s="14" t="str">
        <f t="shared" si="9"/>
        <v>19001</v>
      </c>
    </row>
    <row r="332" spans="3:3" x14ac:dyDescent="0.3">
      <c r="C332" s="14" t="str">
        <f t="shared" si="9"/>
        <v>19001</v>
      </c>
    </row>
    <row r="333" spans="3:3" x14ac:dyDescent="0.3">
      <c r="C333" s="14" t="str">
        <f t="shared" si="9"/>
        <v>19001</v>
      </c>
    </row>
    <row r="334" spans="3:3" x14ac:dyDescent="0.3">
      <c r="C334" s="14" t="str">
        <f t="shared" si="9"/>
        <v>19001</v>
      </c>
    </row>
    <row r="335" spans="3:3" x14ac:dyDescent="0.3">
      <c r="C335" s="14" t="str">
        <f t="shared" si="9"/>
        <v>19001</v>
      </c>
    </row>
    <row r="336" spans="3:3" x14ac:dyDescent="0.3">
      <c r="C336" s="14" t="str">
        <f t="shared" si="9"/>
        <v>19001</v>
      </c>
    </row>
    <row r="337" spans="3:3" x14ac:dyDescent="0.3">
      <c r="C337" s="14" t="str">
        <f t="shared" si="9"/>
        <v>19001</v>
      </c>
    </row>
    <row r="338" spans="3:3" x14ac:dyDescent="0.3">
      <c r="C338" s="14" t="str">
        <f t="shared" si="9"/>
        <v>19001</v>
      </c>
    </row>
    <row r="339" spans="3:3" x14ac:dyDescent="0.3">
      <c r="C339" s="14" t="str">
        <f t="shared" si="9"/>
        <v>19001</v>
      </c>
    </row>
    <row r="340" spans="3:3" x14ac:dyDescent="0.3">
      <c r="C340" s="14" t="str">
        <f t="shared" si="9"/>
        <v>19001</v>
      </c>
    </row>
    <row r="341" spans="3:3" x14ac:dyDescent="0.3">
      <c r="C341" s="14" t="str">
        <f t="shared" si="9"/>
        <v>19001</v>
      </c>
    </row>
    <row r="342" spans="3:3" x14ac:dyDescent="0.3">
      <c r="C342" s="14" t="str">
        <f t="shared" si="9"/>
        <v>19001</v>
      </c>
    </row>
    <row r="343" spans="3:3" x14ac:dyDescent="0.3">
      <c r="C343" s="14" t="str">
        <f t="shared" si="9"/>
        <v>19001</v>
      </c>
    </row>
    <row r="344" spans="3:3" x14ac:dyDescent="0.3">
      <c r="C344" s="14" t="str">
        <f t="shared" si="9"/>
        <v>19001</v>
      </c>
    </row>
    <row r="345" spans="3:3" x14ac:dyDescent="0.3">
      <c r="C345" s="14" t="str">
        <f t="shared" si="9"/>
        <v>19001</v>
      </c>
    </row>
    <row r="346" spans="3:3" x14ac:dyDescent="0.3">
      <c r="C346" s="14" t="str">
        <f t="shared" si="9"/>
        <v>19001</v>
      </c>
    </row>
    <row r="347" spans="3:3" x14ac:dyDescent="0.3">
      <c r="C347" s="14" t="str">
        <f t="shared" si="9"/>
        <v>19001</v>
      </c>
    </row>
    <row r="348" spans="3:3" x14ac:dyDescent="0.3">
      <c r="C348" s="14" t="str">
        <f t="shared" si="9"/>
        <v>19001</v>
      </c>
    </row>
    <row r="349" spans="3:3" x14ac:dyDescent="0.3">
      <c r="C349" s="14" t="str">
        <f t="shared" si="9"/>
        <v>19001</v>
      </c>
    </row>
    <row r="350" spans="3:3" x14ac:dyDescent="0.3">
      <c r="C350" s="14" t="str">
        <f t="shared" si="9"/>
        <v>19001</v>
      </c>
    </row>
    <row r="351" spans="3:3" x14ac:dyDescent="0.3">
      <c r="C351" s="14" t="str">
        <f t="shared" si="9"/>
        <v>19001</v>
      </c>
    </row>
    <row r="352" spans="3:3" x14ac:dyDescent="0.3">
      <c r="C352" s="14" t="str">
        <f t="shared" si="9"/>
        <v>19001</v>
      </c>
    </row>
    <row r="353" spans="3:3" x14ac:dyDescent="0.3">
      <c r="C353" s="14" t="str">
        <f t="shared" si="9"/>
        <v>19001</v>
      </c>
    </row>
    <row r="354" spans="3:3" x14ac:dyDescent="0.3">
      <c r="C354" s="14" t="str">
        <f t="shared" si="9"/>
        <v>19001</v>
      </c>
    </row>
    <row r="355" spans="3:3" x14ac:dyDescent="0.3">
      <c r="C355" s="14" t="str">
        <f t="shared" si="9"/>
        <v>19001</v>
      </c>
    </row>
    <row r="356" spans="3:3" x14ac:dyDescent="0.3">
      <c r="C356" s="14" t="str">
        <f t="shared" si="9"/>
        <v>19001</v>
      </c>
    </row>
    <row r="357" spans="3:3" x14ac:dyDescent="0.3">
      <c r="C357" s="14" t="str">
        <f t="shared" si="9"/>
        <v>19001</v>
      </c>
    </row>
    <row r="358" spans="3:3" x14ac:dyDescent="0.3">
      <c r="C358" s="14" t="str">
        <f t="shared" si="9"/>
        <v>19001</v>
      </c>
    </row>
    <row r="359" spans="3:3" x14ac:dyDescent="0.3">
      <c r="C359" s="14" t="str">
        <f t="shared" si="9"/>
        <v>19001</v>
      </c>
    </row>
    <row r="360" spans="3:3" x14ac:dyDescent="0.3">
      <c r="C360" s="14" t="str">
        <f t="shared" si="9"/>
        <v>19001</v>
      </c>
    </row>
    <row r="361" spans="3:3" x14ac:dyDescent="0.3">
      <c r="C361" s="14" t="str">
        <f t="shared" si="9"/>
        <v>19001</v>
      </c>
    </row>
    <row r="362" spans="3:3" x14ac:dyDescent="0.3">
      <c r="C362" s="14" t="str">
        <f t="shared" si="9"/>
        <v>19001</v>
      </c>
    </row>
    <row r="363" spans="3:3" x14ac:dyDescent="0.3">
      <c r="C363" s="14" t="str">
        <f t="shared" si="9"/>
        <v>19001</v>
      </c>
    </row>
    <row r="364" spans="3:3" x14ac:dyDescent="0.3">
      <c r="C364" s="14" t="str">
        <f t="shared" si="9"/>
        <v>19001</v>
      </c>
    </row>
    <row r="365" spans="3:3" x14ac:dyDescent="0.3">
      <c r="C365" s="14" t="str">
        <f t="shared" si="9"/>
        <v>19001</v>
      </c>
    </row>
    <row r="366" spans="3:3" x14ac:dyDescent="0.3">
      <c r="C366" s="14" t="str">
        <f t="shared" si="9"/>
        <v>19001</v>
      </c>
    </row>
    <row r="367" spans="3:3" x14ac:dyDescent="0.3">
      <c r="C367" s="14" t="str">
        <f t="shared" si="9"/>
        <v>19001</v>
      </c>
    </row>
    <row r="368" spans="3:3" x14ac:dyDescent="0.3">
      <c r="C368" s="14" t="str">
        <f t="shared" si="9"/>
        <v>19001</v>
      </c>
    </row>
    <row r="369" spans="3:3" x14ac:dyDescent="0.3">
      <c r="C369" s="14" t="str">
        <f t="shared" si="9"/>
        <v>19001</v>
      </c>
    </row>
    <row r="370" spans="3:3" x14ac:dyDescent="0.3">
      <c r="C370" s="14" t="str">
        <f t="shared" si="9"/>
        <v>19001</v>
      </c>
    </row>
    <row r="371" spans="3:3" x14ac:dyDescent="0.3">
      <c r="C371" s="14" t="str">
        <f t="shared" si="9"/>
        <v>19001</v>
      </c>
    </row>
    <row r="372" spans="3:3" x14ac:dyDescent="0.3">
      <c r="C372" s="14" t="str">
        <f t="shared" si="9"/>
        <v>19001</v>
      </c>
    </row>
    <row r="373" spans="3:3" x14ac:dyDescent="0.3">
      <c r="C373" s="14" t="str">
        <f t="shared" si="9"/>
        <v>19001</v>
      </c>
    </row>
    <row r="374" spans="3:3" x14ac:dyDescent="0.3">
      <c r="C374" s="14" t="str">
        <f t="shared" si="9"/>
        <v>19001</v>
      </c>
    </row>
    <row r="375" spans="3:3" x14ac:dyDescent="0.3">
      <c r="C375" s="14" t="str">
        <f t="shared" si="9"/>
        <v>19001</v>
      </c>
    </row>
    <row r="376" spans="3:3" x14ac:dyDescent="0.3">
      <c r="C376" s="14" t="str">
        <f t="shared" si="9"/>
        <v>19001</v>
      </c>
    </row>
    <row r="377" spans="3:3" x14ac:dyDescent="0.3">
      <c r="C377" s="14" t="str">
        <f t="shared" si="9"/>
        <v>19001</v>
      </c>
    </row>
    <row r="378" spans="3:3" x14ac:dyDescent="0.3">
      <c r="C378" s="14" t="str">
        <f t="shared" si="9"/>
        <v>19001</v>
      </c>
    </row>
    <row r="379" spans="3:3" x14ac:dyDescent="0.3">
      <c r="C379" s="14" t="str">
        <f t="shared" si="9"/>
        <v>19001</v>
      </c>
    </row>
    <row r="380" spans="3:3" x14ac:dyDescent="0.3">
      <c r="C380" s="14" t="str">
        <f t="shared" si="9"/>
        <v>19001</v>
      </c>
    </row>
    <row r="381" spans="3:3" x14ac:dyDescent="0.3">
      <c r="C381" s="14" t="str">
        <f t="shared" si="9"/>
        <v>19001</v>
      </c>
    </row>
    <row r="382" spans="3:3" x14ac:dyDescent="0.3">
      <c r="C382" s="14" t="str">
        <f t="shared" si="9"/>
        <v>19001</v>
      </c>
    </row>
    <row r="383" spans="3:3" x14ac:dyDescent="0.3">
      <c r="C383" s="14" t="str">
        <f t="shared" si="9"/>
        <v>19001</v>
      </c>
    </row>
    <row r="384" spans="3:3" x14ac:dyDescent="0.3">
      <c r="C384" s="14" t="str">
        <f t="shared" si="9"/>
        <v>19001</v>
      </c>
    </row>
    <row r="385" spans="3:3" x14ac:dyDescent="0.3">
      <c r="C385" s="14" t="str">
        <f t="shared" si="9"/>
        <v>19001</v>
      </c>
    </row>
    <row r="386" spans="3:3" x14ac:dyDescent="0.3">
      <c r="C386" s="14" t="str">
        <f t="shared" si="9"/>
        <v>19001</v>
      </c>
    </row>
    <row r="387" spans="3:3" x14ac:dyDescent="0.3">
      <c r="C387" s="14" t="str">
        <f t="shared" si="9"/>
        <v>19001</v>
      </c>
    </row>
    <row r="388" spans="3:3" x14ac:dyDescent="0.3">
      <c r="C388" s="14" t="str">
        <f t="shared" si="9"/>
        <v>19001</v>
      </c>
    </row>
    <row r="389" spans="3:3" x14ac:dyDescent="0.3">
      <c r="C389" s="14" t="str">
        <f t="shared" si="9"/>
        <v>19001</v>
      </c>
    </row>
    <row r="390" spans="3:3" x14ac:dyDescent="0.3">
      <c r="C390" s="14" t="str">
        <f t="shared" si="9"/>
        <v>19001</v>
      </c>
    </row>
    <row r="391" spans="3:3" x14ac:dyDescent="0.3">
      <c r="C391" s="14" t="str">
        <f t="shared" si="9"/>
        <v>19001</v>
      </c>
    </row>
    <row r="392" spans="3:3" x14ac:dyDescent="0.3">
      <c r="C392" s="14" t="str">
        <f t="shared" ref="C392:C455" si="10">YEAR(D392)&amp;MONTH(D392)</f>
        <v>19001</v>
      </c>
    </row>
    <row r="393" spans="3:3" x14ac:dyDescent="0.3">
      <c r="C393" s="14" t="str">
        <f t="shared" si="10"/>
        <v>19001</v>
      </c>
    </row>
    <row r="394" spans="3:3" x14ac:dyDescent="0.3">
      <c r="C394" s="14" t="str">
        <f t="shared" si="10"/>
        <v>19001</v>
      </c>
    </row>
    <row r="395" spans="3:3" x14ac:dyDescent="0.3">
      <c r="C395" s="14" t="str">
        <f t="shared" si="10"/>
        <v>19001</v>
      </c>
    </row>
    <row r="396" spans="3:3" x14ac:dyDescent="0.3">
      <c r="C396" s="14" t="str">
        <f t="shared" si="10"/>
        <v>19001</v>
      </c>
    </row>
    <row r="397" spans="3:3" x14ac:dyDescent="0.3">
      <c r="C397" s="14" t="str">
        <f t="shared" si="10"/>
        <v>19001</v>
      </c>
    </row>
    <row r="398" spans="3:3" x14ac:dyDescent="0.3">
      <c r="C398" s="14" t="str">
        <f t="shared" si="10"/>
        <v>19001</v>
      </c>
    </row>
    <row r="399" spans="3:3" x14ac:dyDescent="0.3">
      <c r="C399" s="14" t="str">
        <f t="shared" si="10"/>
        <v>19001</v>
      </c>
    </row>
    <row r="400" spans="3:3" x14ac:dyDescent="0.3">
      <c r="C400" s="14" t="str">
        <f t="shared" si="10"/>
        <v>19001</v>
      </c>
    </row>
    <row r="401" spans="3:3" x14ac:dyDescent="0.3">
      <c r="C401" s="14" t="str">
        <f t="shared" si="10"/>
        <v>19001</v>
      </c>
    </row>
    <row r="402" spans="3:3" x14ac:dyDescent="0.3">
      <c r="C402" s="14" t="str">
        <f t="shared" si="10"/>
        <v>19001</v>
      </c>
    </row>
    <row r="403" spans="3:3" x14ac:dyDescent="0.3">
      <c r="C403" s="14" t="str">
        <f t="shared" si="10"/>
        <v>19001</v>
      </c>
    </row>
    <row r="404" spans="3:3" x14ac:dyDescent="0.3">
      <c r="C404" s="14" t="str">
        <f t="shared" si="10"/>
        <v>19001</v>
      </c>
    </row>
    <row r="405" spans="3:3" x14ac:dyDescent="0.3">
      <c r="C405" s="14" t="str">
        <f t="shared" si="10"/>
        <v>19001</v>
      </c>
    </row>
    <row r="406" spans="3:3" x14ac:dyDescent="0.3">
      <c r="C406" s="14" t="str">
        <f t="shared" si="10"/>
        <v>19001</v>
      </c>
    </row>
    <row r="407" spans="3:3" x14ac:dyDescent="0.3">
      <c r="C407" s="14" t="str">
        <f t="shared" si="10"/>
        <v>19001</v>
      </c>
    </row>
    <row r="408" spans="3:3" x14ac:dyDescent="0.3">
      <c r="C408" s="14" t="str">
        <f t="shared" si="10"/>
        <v>19001</v>
      </c>
    </row>
    <row r="409" spans="3:3" x14ac:dyDescent="0.3">
      <c r="C409" s="14" t="str">
        <f t="shared" si="10"/>
        <v>19001</v>
      </c>
    </row>
    <row r="410" spans="3:3" x14ac:dyDescent="0.3">
      <c r="C410" s="14" t="str">
        <f t="shared" si="10"/>
        <v>19001</v>
      </c>
    </row>
    <row r="411" spans="3:3" x14ac:dyDescent="0.3">
      <c r="C411" s="14" t="str">
        <f t="shared" si="10"/>
        <v>19001</v>
      </c>
    </row>
    <row r="412" spans="3:3" x14ac:dyDescent="0.3">
      <c r="C412" s="14" t="str">
        <f t="shared" si="10"/>
        <v>19001</v>
      </c>
    </row>
    <row r="413" spans="3:3" x14ac:dyDescent="0.3">
      <c r="C413" s="14" t="str">
        <f t="shared" si="10"/>
        <v>19001</v>
      </c>
    </row>
    <row r="414" spans="3:3" x14ac:dyDescent="0.3">
      <c r="C414" s="14" t="str">
        <f t="shared" si="10"/>
        <v>19001</v>
      </c>
    </row>
    <row r="415" spans="3:3" x14ac:dyDescent="0.3">
      <c r="C415" s="14" t="str">
        <f t="shared" si="10"/>
        <v>19001</v>
      </c>
    </row>
    <row r="416" spans="3:3" x14ac:dyDescent="0.3">
      <c r="C416" s="14" t="str">
        <f t="shared" si="10"/>
        <v>19001</v>
      </c>
    </row>
    <row r="417" spans="3:3" x14ac:dyDescent="0.3">
      <c r="C417" s="14" t="str">
        <f t="shared" si="10"/>
        <v>19001</v>
      </c>
    </row>
    <row r="418" spans="3:3" x14ac:dyDescent="0.3">
      <c r="C418" s="14" t="str">
        <f t="shared" si="10"/>
        <v>19001</v>
      </c>
    </row>
    <row r="419" spans="3:3" x14ac:dyDescent="0.3">
      <c r="C419" s="14" t="str">
        <f t="shared" si="10"/>
        <v>19001</v>
      </c>
    </row>
    <row r="420" spans="3:3" x14ac:dyDescent="0.3">
      <c r="C420" s="14" t="str">
        <f t="shared" si="10"/>
        <v>19001</v>
      </c>
    </row>
    <row r="421" spans="3:3" x14ac:dyDescent="0.3">
      <c r="C421" s="14" t="str">
        <f t="shared" si="10"/>
        <v>19001</v>
      </c>
    </row>
    <row r="422" spans="3:3" x14ac:dyDescent="0.3">
      <c r="C422" s="14" t="str">
        <f t="shared" si="10"/>
        <v>19001</v>
      </c>
    </row>
    <row r="423" spans="3:3" x14ac:dyDescent="0.3">
      <c r="C423" s="14" t="str">
        <f t="shared" si="10"/>
        <v>19001</v>
      </c>
    </row>
    <row r="424" spans="3:3" x14ac:dyDescent="0.3">
      <c r="C424" s="14" t="str">
        <f t="shared" si="10"/>
        <v>19001</v>
      </c>
    </row>
    <row r="425" spans="3:3" x14ac:dyDescent="0.3">
      <c r="C425" s="14" t="str">
        <f t="shared" si="10"/>
        <v>19001</v>
      </c>
    </row>
    <row r="426" spans="3:3" x14ac:dyDescent="0.3">
      <c r="C426" s="14" t="str">
        <f t="shared" si="10"/>
        <v>19001</v>
      </c>
    </row>
    <row r="427" spans="3:3" x14ac:dyDescent="0.3">
      <c r="C427" s="14" t="str">
        <f t="shared" si="10"/>
        <v>19001</v>
      </c>
    </row>
    <row r="428" spans="3:3" x14ac:dyDescent="0.3">
      <c r="C428" s="14" t="str">
        <f t="shared" si="10"/>
        <v>19001</v>
      </c>
    </row>
    <row r="429" spans="3:3" x14ac:dyDescent="0.3">
      <c r="C429" s="14" t="str">
        <f t="shared" si="10"/>
        <v>19001</v>
      </c>
    </row>
    <row r="430" spans="3:3" x14ac:dyDescent="0.3">
      <c r="C430" s="14" t="str">
        <f t="shared" si="10"/>
        <v>19001</v>
      </c>
    </row>
    <row r="431" spans="3:3" x14ac:dyDescent="0.3">
      <c r="C431" s="14" t="str">
        <f t="shared" si="10"/>
        <v>19001</v>
      </c>
    </row>
    <row r="432" spans="3:3" x14ac:dyDescent="0.3">
      <c r="C432" s="14" t="str">
        <f t="shared" si="10"/>
        <v>19001</v>
      </c>
    </row>
    <row r="433" spans="3:3" x14ac:dyDescent="0.3">
      <c r="C433" s="14" t="str">
        <f t="shared" si="10"/>
        <v>19001</v>
      </c>
    </row>
    <row r="434" spans="3:3" x14ac:dyDescent="0.3">
      <c r="C434" s="14" t="str">
        <f t="shared" si="10"/>
        <v>19001</v>
      </c>
    </row>
    <row r="435" spans="3:3" x14ac:dyDescent="0.3">
      <c r="C435" s="14" t="str">
        <f t="shared" si="10"/>
        <v>19001</v>
      </c>
    </row>
    <row r="436" spans="3:3" x14ac:dyDescent="0.3">
      <c r="C436" s="14" t="str">
        <f t="shared" si="10"/>
        <v>19001</v>
      </c>
    </row>
    <row r="437" spans="3:3" x14ac:dyDescent="0.3">
      <c r="C437" s="14" t="str">
        <f t="shared" si="10"/>
        <v>19001</v>
      </c>
    </row>
    <row r="438" spans="3:3" x14ac:dyDescent="0.3">
      <c r="C438" s="14" t="str">
        <f t="shared" si="10"/>
        <v>19001</v>
      </c>
    </row>
    <row r="439" spans="3:3" x14ac:dyDescent="0.3">
      <c r="C439" s="14" t="str">
        <f t="shared" si="10"/>
        <v>19001</v>
      </c>
    </row>
    <row r="440" spans="3:3" x14ac:dyDescent="0.3">
      <c r="C440" s="14" t="str">
        <f t="shared" si="10"/>
        <v>19001</v>
      </c>
    </row>
    <row r="441" spans="3:3" x14ac:dyDescent="0.3">
      <c r="C441" s="14" t="str">
        <f t="shared" si="10"/>
        <v>19001</v>
      </c>
    </row>
    <row r="442" spans="3:3" x14ac:dyDescent="0.3">
      <c r="C442" s="14" t="str">
        <f t="shared" si="10"/>
        <v>19001</v>
      </c>
    </row>
    <row r="443" spans="3:3" x14ac:dyDescent="0.3">
      <c r="C443" s="14" t="str">
        <f t="shared" si="10"/>
        <v>19001</v>
      </c>
    </row>
    <row r="444" spans="3:3" x14ac:dyDescent="0.3">
      <c r="C444" s="14" t="str">
        <f t="shared" si="10"/>
        <v>19001</v>
      </c>
    </row>
    <row r="445" spans="3:3" x14ac:dyDescent="0.3">
      <c r="C445" s="14" t="str">
        <f t="shared" si="10"/>
        <v>19001</v>
      </c>
    </row>
    <row r="446" spans="3:3" x14ac:dyDescent="0.3">
      <c r="C446" s="14" t="str">
        <f t="shared" si="10"/>
        <v>19001</v>
      </c>
    </row>
    <row r="447" spans="3:3" x14ac:dyDescent="0.3">
      <c r="C447" s="14" t="str">
        <f t="shared" si="10"/>
        <v>19001</v>
      </c>
    </row>
    <row r="448" spans="3:3" x14ac:dyDescent="0.3">
      <c r="C448" s="14" t="str">
        <f t="shared" si="10"/>
        <v>19001</v>
      </c>
    </row>
    <row r="449" spans="3:3" x14ac:dyDescent="0.3">
      <c r="C449" s="14" t="str">
        <f t="shared" si="10"/>
        <v>19001</v>
      </c>
    </row>
    <row r="450" spans="3:3" x14ac:dyDescent="0.3">
      <c r="C450" s="14" t="str">
        <f t="shared" si="10"/>
        <v>19001</v>
      </c>
    </row>
    <row r="451" spans="3:3" x14ac:dyDescent="0.3">
      <c r="C451" s="14" t="str">
        <f t="shared" si="10"/>
        <v>19001</v>
      </c>
    </row>
    <row r="452" spans="3:3" x14ac:dyDescent="0.3">
      <c r="C452" s="14" t="str">
        <f t="shared" si="10"/>
        <v>19001</v>
      </c>
    </row>
    <row r="453" spans="3:3" x14ac:dyDescent="0.3">
      <c r="C453" s="14" t="str">
        <f t="shared" si="10"/>
        <v>19001</v>
      </c>
    </row>
    <row r="454" spans="3:3" x14ac:dyDescent="0.3">
      <c r="C454" s="14" t="str">
        <f t="shared" si="10"/>
        <v>19001</v>
      </c>
    </row>
    <row r="455" spans="3:3" x14ac:dyDescent="0.3">
      <c r="C455" s="14" t="str">
        <f t="shared" si="10"/>
        <v>19001</v>
      </c>
    </row>
    <row r="456" spans="3:3" x14ac:dyDescent="0.3">
      <c r="C456" s="14" t="str">
        <f t="shared" ref="C456:C519" si="11">YEAR(D456)&amp;MONTH(D456)</f>
        <v>19001</v>
      </c>
    </row>
    <row r="457" spans="3:3" x14ac:dyDescent="0.3">
      <c r="C457" s="14" t="str">
        <f t="shared" si="11"/>
        <v>19001</v>
      </c>
    </row>
    <row r="458" spans="3:3" x14ac:dyDescent="0.3">
      <c r="C458" s="14" t="str">
        <f t="shared" si="11"/>
        <v>19001</v>
      </c>
    </row>
    <row r="459" spans="3:3" x14ac:dyDescent="0.3">
      <c r="C459" s="14" t="str">
        <f t="shared" si="11"/>
        <v>19001</v>
      </c>
    </row>
    <row r="460" spans="3:3" x14ac:dyDescent="0.3">
      <c r="C460" s="14" t="str">
        <f t="shared" si="11"/>
        <v>19001</v>
      </c>
    </row>
    <row r="461" spans="3:3" x14ac:dyDescent="0.3">
      <c r="C461" s="14" t="str">
        <f t="shared" si="11"/>
        <v>19001</v>
      </c>
    </row>
    <row r="462" spans="3:3" x14ac:dyDescent="0.3">
      <c r="C462" s="14" t="str">
        <f t="shared" si="11"/>
        <v>19001</v>
      </c>
    </row>
    <row r="463" spans="3:3" x14ac:dyDescent="0.3">
      <c r="C463" s="14" t="str">
        <f t="shared" si="11"/>
        <v>19001</v>
      </c>
    </row>
    <row r="464" spans="3:3" x14ac:dyDescent="0.3">
      <c r="C464" s="14" t="str">
        <f t="shared" si="11"/>
        <v>19001</v>
      </c>
    </row>
    <row r="465" spans="3:3" x14ac:dyDescent="0.3">
      <c r="C465" s="14" t="str">
        <f t="shared" si="11"/>
        <v>19001</v>
      </c>
    </row>
    <row r="466" spans="3:3" x14ac:dyDescent="0.3">
      <c r="C466" s="14" t="str">
        <f t="shared" si="11"/>
        <v>19001</v>
      </c>
    </row>
    <row r="467" spans="3:3" x14ac:dyDescent="0.3">
      <c r="C467" s="14" t="str">
        <f t="shared" si="11"/>
        <v>19001</v>
      </c>
    </row>
    <row r="468" spans="3:3" x14ac:dyDescent="0.3">
      <c r="C468" s="14" t="str">
        <f t="shared" si="11"/>
        <v>19001</v>
      </c>
    </row>
    <row r="469" spans="3:3" x14ac:dyDescent="0.3">
      <c r="C469" s="14" t="str">
        <f t="shared" si="11"/>
        <v>19001</v>
      </c>
    </row>
    <row r="470" spans="3:3" x14ac:dyDescent="0.3">
      <c r="C470" s="14" t="str">
        <f t="shared" si="11"/>
        <v>19001</v>
      </c>
    </row>
    <row r="471" spans="3:3" x14ac:dyDescent="0.3">
      <c r="C471" s="14" t="str">
        <f t="shared" si="11"/>
        <v>19001</v>
      </c>
    </row>
    <row r="472" spans="3:3" x14ac:dyDescent="0.3">
      <c r="C472" s="14" t="str">
        <f t="shared" si="11"/>
        <v>19001</v>
      </c>
    </row>
    <row r="473" spans="3:3" x14ac:dyDescent="0.3">
      <c r="C473" s="14" t="str">
        <f t="shared" si="11"/>
        <v>19001</v>
      </c>
    </row>
    <row r="474" spans="3:3" x14ac:dyDescent="0.3">
      <c r="C474" s="14" t="str">
        <f t="shared" si="11"/>
        <v>19001</v>
      </c>
    </row>
    <row r="475" spans="3:3" x14ac:dyDescent="0.3">
      <c r="C475" s="14" t="str">
        <f t="shared" si="11"/>
        <v>19001</v>
      </c>
    </row>
    <row r="476" spans="3:3" x14ac:dyDescent="0.3">
      <c r="C476" s="14" t="str">
        <f t="shared" si="11"/>
        <v>19001</v>
      </c>
    </row>
    <row r="477" spans="3:3" x14ac:dyDescent="0.3">
      <c r="C477" s="14" t="str">
        <f t="shared" si="11"/>
        <v>19001</v>
      </c>
    </row>
    <row r="478" spans="3:3" x14ac:dyDescent="0.3">
      <c r="C478" s="14" t="str">
        <f t="shared" si="11"/>
        <v>19001</v>
      </c>
    </row>
    <row r="479" spans="3:3" x14ac:dyDescent="0.3">
      <c r="C479" s="14" t="str">
        <f t="shared" si="11"/>
        <v>19001</v>
      </c>
    </row>
    <row r="480" spans="3:3" x14ac:dyDescent="0.3">
      <c r="C480" s="14" t="str">
        <f t="shared" si="11"/>
        <v>19001</v>
      </c>
    </row>
    <row r="481" spans="3:3" x14ac:dyDescent="0.3">
      <c r="C481" s="14" t="str">
        <f t="shared" si="11"/>
        <v>19001</v>
      </c>
    </row>
    <row r="482" spans="3:3" x14ac:dyDescent="0.3">
      <c r="C482" s="14" t="str">
        <f t="shared" si="11"/>
        <v>19001</v>
      </c>
    </row>
    <row r="483" spans="3:3" x14ac:dyDescent="0.3">
      <c r="C483" s="14" t="str">
        <f t="shared" si="11"/>
        <v>19001</v>
      </c>
    </row>
    <row r="484" spans="3:3" x14ac:dyDescent="0.3">
      <c r="C484" s="14" t="str">
        <f t="shared" si="11"/>
        <v>19001</v>
      </c>
    </row>
    <row r="485" spans="3:3" x14ac:dyDescent="0.3">
      <c r="C485" s="14" t="str">
        <f t="shared" si="11"/>
        <v>19001</v>
      </c>
    </row>
    <row r="486" spans="3:3" x14ac:dyDescent="0.3">
      <c r="C486" s="14" t="str">
        <f t="shared" si="11"/>
        <v>19001</v>
      </c>
    </row>
    <row r="487" spans="3:3" x14ac:dyDescent="0.3">
      <c r="C487" s="14" t="str">
        <f t="shared" si="11"/>
        <v>19001</v>
      </c>
    </row>
    <row r="488" spans="3:3" x14ac:dyDescent="0.3">
      <c r="C488" s="14" t="str">
        <f t="shared" si="11"/>
        <v>19001</v>
      </c>
    </row>
    <row r="489" spans="3:3" x14ac:dyDescent="0.3">
      <c r="C489" s="14" t="str">
        <f t="shared" si="11"/>
        <v>19001</v>
      </c>
    </row>
    <row r="490" spans="3:3" x14ac:dyDescent="0.3">
      <c r="C490" s="14" t="str">
        <f t="shared" si="11"/>
        <v>19001</v>
      </c>
    </row>
    <row r="491" spans="3:3" x14ac:dyDescent="0.3">
      <c r="C491" s="14" t="str">
        <f t="shared" si="11"/>
        <v>19001</v>
      </c>
    </row>
    <row r="492" spans="3:3" x14ac:dyDescent="0.3">
      <c r="C492" s="14" t="str">
        <f t="shared" si="11"/>
        <v>19001</v>
      </c>
    </row>
    <row r="493" spans="3:3" x14ac:dyDescent="0.3">
      <c r="C493" s="14" t="str">
        <f t="shared" si="11"/>
        <v>19001</v>
      </c>
    </row>
    <row r="494" spans="3:3" x14ac:dyDescent="0.3">
      <c r="C494" s="14" t="str">
        <f t="shared" si="11"/>
        <v>19001</v>
      </c>
    </row>
    <row r="495" spans="3:3" x14ac:dyDescent="0.3">
      <c r="C495" s="14" t="str">
        <f t="shared" si="11"/>
        <v>19001</v>
      </c>
    </row>
    <row r="496" spans="3:3" x14ac:dyDescent="0.3">
      <c r="C496" s="14" t="str">
        <f t="shared" si="11"/>
        <v>19001</v>
      </c>
    </row>
    <row r="497" spans="3:3" x14ac:dyDescent="0.3">
      <c r="C497" s="14" t="str">
        <f t="shared" si="11"/>
        <v>19001</v>
      </c>
    </row>
    <row r="498" spans="3:3" x14ac:dyDescent="0.3">
      <c r="C498" s="14" t="str">
        <f t="shared" si="11"/>
        <v>19001</v>
      </c>
    </row>
    <row r="499" spans="3:3" x14ac:dyDescent="0.3">
      <c r="C499" s="14" t="str">
        <f t="shared" si="11"/>
        <v>19001</v>
      </c>
    </row>
    <row r="500" spans="3:3" x14ac:dyDescent="0.3">
      <c r="C500" s="14" t="str">
        <f t="shared" si="11"/>
        <v>19001</v>
      </c>
    </row>
    <row r="501" spans="3:3" x14ac:dyDescent="0.3">
      <c r="C501" s="14" t="str">
        <f t="shared" si="11"/>
        <v>19001</v>
      </c>
    </row>
    <row r="502" spans="3:3" x14ac:dyDescent="0.3">
      <c r="C502" s="14" t="str">
        <f t="shared" si="11"/>
        <v>19001</v>
      </c>
    </row>
    <row r="503" spans="3:3" x14ac:dyDescent="0.3">
      <c r="C503" s="14" t="str">
        <f t="shared" si="11"/>
        <v>19001</v>
      </c>
    </row>
    <row r="504" spans="3:3" x14ac:dyDescent="0.3">
      <c r="C504" s="14" t="str">
        <f t="shared" si="11"/>
        <v>19001</v>
      </c>
    </row>
    <row r="505" spans="3:3" x14ac:dyDescent="0.3">
      <c r="C505" s="14" t="str">
        <f t="shared" si="11"/>
        <v>19001</v>
      </c>
    </row>
    <row r="506" spans="3:3" x14ac:dyDescent="0.3">
      <c r="C506" s="14" t="str">
        <f t="shared" si="11"/>
        <v>19001</v>
      </c>
    </row>
    <row r="507" spans="3:3" x14ac:dyDescent="0.3">
      <c r="C507" s="14" t="str">
        <f t="shared" si="11"/>
        <v>19001</v>
      </c>
    </row>
    <row r="508" spans="3:3" x14ac:dyDescent="0.3">
      <c r="C508" s="14" t="str">
        <f t="shared" si="11"/>
        <v>19001</v>
      </c>
    </row>
    <row r="509" spans="3:3" x14ac:dyDescent="0.3">
      <c r="C509" s="14" t="str">
        <f t="shared" si="11"/>
        <v>19001</v>
      </c>
    </row>
    <row r="510" spans="3:3" x14ac:dyDescent="0.3">
      <c r="C510" s="14" t="str">
        <f t="shared" si="11"/>
        <v>19001</v>
      </c>
    </row>
    <row r="511" spans="3:3" x14ac:dyDescent="0.3">
      <c r="C511" s="14" t="str">
        <f t="shared" si="11"/>
        <v>19001</v>
      </c>
    </row>
    <row r="512" spans="3:3" x14ac:dyDescent="0.3">
      <c r="C512" s="14" t="str">
        <f t="shared" si="11"/>
        <v>19001</v>
      </c>
    </row>
    <row r="513" spans="3:3" x14ac:dyDescent="0.3">
      <c r="C513" s="14" t="str">
        <f t="shared" si="11"/>
        <v>19001</v>
      </c>
    </row>
    <row r="514" spans="3:3" x14ac:dyDescent="0.3">
      <c r="C514" s="14" t="str">
        <f t="shared" si="11"/>
        <v>19001</v>
      </c>
    </row>
    <row r="515" spans="3:3" x14ac:dyDescent="0.3">
      <c r="C515" s="14" t="str">
        <f t="shared" si="11"/>
        <v>19001</v>
      </c>
    </row>
    <row r="516" spans="3:3" x14ac:dyDescent="0.3">
      <c r="C516" s="14" t="str">
        <f t="shared" si="11"/>
        <v>19001</v>
      </c>
    </row>
    <row r="517" spans="3:3" x14ac:dyDescent="0.3">
      <c r="C517" s="14" t="str">
        <f t="shared" si="11"/>
        <v>19001</v>
      </c>
    </row>
    <row r="518" spans="3:3" x14ac:dyDescent="0.3">
      <c r="C518" s="14" t="str">
        <f t="shared" si="11"/>
        <v>19001</v>
      </c>
    </row>
    <row r="519" spans="3:3" x14ac:dyDescent="0.3">
      <c r="C519" s="14" t="str">
        <f t="shared" si="11"/>
        <v>19001</v>
      </c>
    </row>
    <row r="520" spans="3:3" x14ac:dyDescent="0.3">
      <c r="C520" s="14" t="str">
        <f t="shared" ref="C520:C583" si="12">YEAR(D520)&amp;MONTH(D520)</f>
        <v>19001</v>
      </c>
    </row>
    <row r="521" spans="3:3" x14ac:dyDescent="0.3">
      <c r="C521" s="14" t="str">
        <f t="shared" si="12"/>
        <v>19001</v>
      </c>
    </row>
    <row r="522" spans="3:3" x14ac:dyDescent="0.3">
      <c r="C522" s="14" t="str">
        <f t="shared" si="12"/>
        <v>19001</v>
      </c>
    </row>
    <row r="523" spans="3:3" x14ac:dyDescent="0.3">
      <c r="C523" s="14" t="str">
        <f t="shared" si="12"/>
        <v>19001</v>
      </c>
    </row>
    <row r="524" spans="3:3" x14ac:dyDescent="0.3">
      <c r="C524" s="14" t="str">
        <f t="shared" si="12"/>
        <v>19001</v>
      </c>
    </row>
    <row r="525" spans="3:3" x14ac:dyDescent="0.3">
      <c r="C525" s="14" t="str">
        <f t="shared" si="12"/>
        <v>19001</v>
      </c>
    </row>
    <row r="526" spans="3:3" x14ac:dyDescent="0.3">
      <c r="C526" s="14" t="str">
        <f t="shared" si="12"/>
        <v>19001</v>
      </c>
    </row>
    <row r="527" spans="3:3" x14ac:dyDescent="0.3">
      <c r="C527" s="14" t="str">
        <f t="shared" si="12"/>
        <v>19001</v>
      </c>
    </row>
    <row r="528" spans="3:3" x14ac:dyDescent="0.3">
      <c r="C528" s="14" t="str">
        <f t="shared" si="12"/>
        <v>19001</v>
      </c>
    </row>
    <row r="529" spans="3:3" x14ac:dyDescent="0.3">
      <c r="C529" s="14" t="str">
        <f t="shared" si="12"/>
        <v>19001</v>
      </c>
    </row>
    <row r="530" spans="3:3" x14ac:dyDescent="0.3">
      <c r="C530" s="14" t="str">
        <f t="shared" si="12"/>
        <v>19001</v>
      </c>
    </row>
    <row r="531" spans="3:3" x14ac:dyDescent="0.3">
      <c r="C531" s="14" t="str">
        <f t="shared" si="12"/>
        <v>19001</v>
      </c>
    </row>
    <row r="532" spans="3:3" x14ac:dyDescent="0.3">
      <c r="C532" s="14" t="str">
        <f t="shared" si="12"/>
        <v>19001</v>
      </c>
    </row>
    <row r="533" spans="3:3" x14ac:dyDescent="0.3">
      <c r="C533" s="14" t="str">
        <f t="shared" si="12"/>
        <v>19001</v>
      </c>
    </row>
    <row r="534" spans="3:3" x14ac:dyDescent="0.3">
      <c r="C534" s="14" t="str">
        <f t="shared" si="12"/>
        <v>19001</v>
      </c>
    </row>
    <row r="535" spans="3:3" x14ac:dyDescent="0.3">
      <c r="C535" s="14" t="str">
        <f t="shared" si="12"/>
        <v>19001</v>
      </c>
    </row>
    <row r="536" spans="3:3" x14ac:dyDescent="0.3">
      <c r="C536" s="14" t="str">
        <f t="shared" si="12"/>
        <v>19001</v>
      </c>
    </row>
    <row r="537" spans="3:3" x14ac:dyDescent="0.3">
      <c r="C537" s="14" t="str">
        <f t="shared" si="12"/>
        <v>19001</v>
      </c>
    </row>
    <row r="538" spans="3:3" x14ac:dyDescent="0.3">
      <c r="C538" s="14" t="str">
        <f t="shared" si="12"/>
        <v>19001</v>
      </c>
    </row>
    <row r="539" spans="3:3" x14ac:dyDescent="0.3">
      <c r="C539" s="14" t="str">
        <f t="shared" si="12"/>
        <v>19001</v>
      </c>
    </row>
    <row r="540" spans="3:3" x14ac:dyDescent="0.3">
      <c r="C540" s="14" t="str">
        <f t="shared" si="12"/>
        <v>19001</v>
      </c>
    </row>
    <row r="541" spans="3:3" x14ac:dyDescent="0.3">
      <c r="C541" s="14" t="str">
        <f t="shared" si="12"/>
        <v>19001</v>
      </c>
    </row>
    <row r="542" spans="3:3" x14ac:dyDescent="0.3">
      <c r="C542" s="14" t="str">
        <f t="shared" si="12"/>
        <v>19001</v>
      </c>
    </row>
    <row r="543" spans="3:3" x14ac:dyDescent="0.3">
      <c r="C543" s="14" t="str">
        <f t="shared" si="12"/>
        <v>19001</v>
      </c>
    </row>
    <row r="544" spans="3:3" x14ac:dyDescent="0.3">
      <c r="C544" s="14" t="str">
        <f t="shared" si="12"/>
        <v>19001</v>
      </c>
    </row>
    <row r="545" spans="3:3" x14ac:dyDescent="0.3">
      <c r="C545" s="14" t="str">
        <f t="shared" si="12"/>
        <v>19001</v>
      </c>
    </row>
    <row r="546" spans="3:3" x14ac:dyDescent="0.3">
      <c r="C546" s="14" t="str">
        <f t="shared" si="12"/>
        <v>19001</v>
      </c>
    </row>
    <row r="547" spans="3:3" x14ac:dyDescent="0.3">
      <c r="C547" s="14" t="str">
        <f t="shared" si="12"/>
        <v>19001</v>
      </c>
    </row>
    <row r="548" spans="3:3" x14ac:dyDescent="0.3">
      <c r="C548" s="14" t="str">
        <f t="shared" si="12"/>
        <v>19001</v>
      </c>
    </row>
    <row r="549" spans="3:3" x14ac:dyDescent="0.3">
      <c r="C549" s="14" t="str">
        <f t="shared" si="12"/>
        <v>19001</v>
      </c>
    </row>
    <row r="550" spans="3:3" x14ac:dyDescent="0.3">
      <c r="C550" s="14" t="str">
        <f t="shared" si="12"/>
        <v>19001</v>
      </c>
    </row>
    <row r="551" spans="3:3" x14ac:dyDescent="0.3">
      <c r="C551" s="14" t="str">
        <f t="shared" si="12"/>
        <v>19001</v>
      </c>
    </row>
    <row r="552" spans="3:3" x14ac:dyDescent="0.3">
      <c r="C552" s="14" t="str">
        <f t="shared" si="12"/>
        <v>19001</v>
      </c>
    </row>
    <row r="553" spans="3:3" x14ac:dyDescent="0.3">
      <c r="C553" s="14" t="str">
        <f t="shared" si="12"/>
        <v>19001</v>
      </c>
    </row>
    <row r="554" spans="3:3" x14ac:dyDescent="0.3">
      <c r="C554" s="14" t="str">
        <f t="shared" si="12"/>
        <v>19001</v>
      </c>
    </row>
    <row r="555" spans="3:3" x14ac:dyDescent="0.3">
      <c r="C555" s="14" t="str">
        <f t="shared" si="12"/>
        <v>19001</v>
      </c>
    </row>
    <row r="556" spans="3:3" x14ac:dyDescent="0.3">
      <c r="C556" s="14" t="str">
        <f t="shared" si="12"/>
        <v>19001</v>
      </c>
    </row>
    <row r="557" spans="3:3" x14ac:dyDescent="0.3">
      <c r="C557" s="14" t="str">
        <f t="shared" si="12"/>
        <v>19001</v>
      </c>
    </row>
    <row r="558" spans="3:3" x14ac:dyDescent="0.3">
      <c r="C558" s="14" t="str">
        <f t="shared" si="12"/>
        <v>19001</v>
      </c>
    </row>
    <row r="559" spans="3:3" x14ac:dyDescent="0.3">
      <c r="C559" s="14" t="str">
        <f t="shared" si="12"/>
        <v>19001</v>
      </c>
    </row>
    <row r="560" spans="3:3" x14ac:dyDescent="0.3">
      <c r="C560" s="14" t="str">
        <f t="shared" si="12"/>
        <v>19001</v>
      </c>
    </row>
    <row r="561" spans="3:3" x14ac:dyDescent="0.3">
      <c r="C561" s="14" t="str">
        <f t="shared" si="12"/>
        <v>19001</v>
      </c>
    </row>
    <row r="562" spans="3:3" x14ac:dyDescent="0.3">
      <c r="C562" s="14" t="str">
        <f t="shared" si="12"/>
        <v>19001</v>
      </c>
    </row>
    <row r="563" spans="3:3" x14ac:dyDescent="0.3">
      <c r="C563" s="14" t="str">
        <f t="shared" si="12"/>
        <v>19001</v>
      </c>
    </row>
    <row r="564" spans="3:3" x14ac:dyDescent="0.3">
      <c r="C564" s="14" t="str">
        <f t="shared" si="12"/>
        <v>19001</v>
      </c>
    </row>
    <row r="565" spans="3:3" x14ac:dyDescent="0.3">
      <c r="C565" s="14" t="str">
        <f t="shared" si="12"/>
        <v>19001</v>
      </c>
    </row>
    <row r="566" spans="3:3" x14ac:dyDescent="0.3">
      <c r="C566" s="14" t="str">
        <f t="shared" si="12"/>
        <v>19001</v>
      </c>
    </row>
    <row r="567" spans="3:3" x14ac:dyDescent="0.3">
      <c r="C567" s="14" t="str">
        <f t="shared" si="12"/>
        <v>19001</v>
      </c>
    </row>
    <row r="568" spans="3:3" x14ac:dyDescent="0.3">
      <c r="C568" s="14" t="str">
        <f t="shared" si="12"/>
        <v>19001</v>
      </c>
    </row>
    <row r="569" spans="3:3" x14ac:dyDescent="0.3">
      <c r="C569" s="14" t="str">
        <f t="shared" si="12"/>
        <v>19001</v>
      </c>
    </row>
    <row r="570" spans="3:3" x14ac:dyDescent="0.3">
      <c r="C570" s="14" t="str">
        <f t="shared" si="12"/>
        <v>19001</v>
      </c>
    </row>
    <row r="571" spans="3:3" x14ac:dyDescent="0.3">
      <c r="C571" s="14" t="str">
        <f t="shared" si="12"/>
        <v>19001</v>
      </c>
    </row>
    <row r="572" spans="3:3" x14ac:dyDescent="0.3">
      <c r="C572" s="14" t="str">
        <f t="shared" si="12"/>
        <v>19001</v>
      </c>
    </row>
    <row r="573" spans="3:3" x14ac:dyDescent="0.3">
      <c r="C573" s="14" t="str">
        <f t="shared" si="12"/>
        <v>19001</v>
      </c>
    </row>
    <row r="574" spans="3:3" x14ac:dyDescent="0.3">
      <c r="C574" s="14" t="str">
        <f t="shared" si="12"/>
        <v>19001</v>
      </c>
    </row>
    <row r="575" spans="3:3" x14ac:dyDescent="0.3">
      <c r="C575" s="14" t="str">
        <f t="shared" si="12"/>
        <v>19001</v>
      </c>
    </row>
    <row r="576" spans="3:3" x14ac:dyDescent="0.3">
      <c r="C576" s="14" t="str">
        <f t="shared" si="12"/>
        <v>19001</v>
      </c>
    </row>
    <row r="577" spans="3:3" x14ac:dyDescent="0.3">
      <c r="C577" s="14" t="str">
        <f t="shared" si="12"/>
        <v>19001</v>
      </c>
    </row>
    <row r="578" spans="3:3" x14ac:dyDescent="0.3">
      <c r="C578" s="14" t="str">
        <f t="shared" si="12"/>
        <v>19001</v>
      </c>
    </row>
    <row r="579" spans="3:3" x14ac:dyDescent="0.3">
      <c r="C579" s="14" t="str">
        <f t="shared" si="12"/>
        <v>19001</v>
      </c>
    </row>
    <row r="580" spans="3:3" x14ac:dyDescent="0.3">
      <c r="C580" s="14" t="str">
        <f t="shared" si="12"/>
        <v>19001</v>
      </c>
    </row>
    <row r="581" spans="3:3" x14ac:dyDescent="0.3">
      <c r="C581" s="14" t="str">
        <f t="shared" si="12"/>
        <v>19001</v>
      </c>
    </row>
    <row r="582" spans="3:3" x14ac:dyDescent="0.3">
      <c r="C582" s="14" t="str">
        <f t="shared" si="12"/>
        <v>19001</v>
      </c>
    </row>
    <row r="583" spans="3:3" x14ac:dyDescent="0.3">
      <c r="C583" s="14" t="str">
        <f t="shared" si="12"/>
        <v>19001</v>
      </c>
    </row>
    <row r="584" spans="3:3" x14ac:dyDescent="0.3">
      <c r="C584" s="14" t="str">
        <f t="shared" ref="C584:C647" si="13">YEAR(D584)&amp;MONTH(D584)</f>
        <v>19001</v>
      </c>
    </row>
    <row r="585" spans="3:3" x14ac:dyDescent="0.3">
      <c r="C585" s="14" t="str">
        <f t="shared" si="13"/>
        <v>19001</v>
      </c>
    </row>
    <row r="586" spans="3:3" x14ac:dyDescent="0.3">
      <c r="C586" s="14" t="str">
        <f t="shared" si="13"/>
        <v>19001</v>
      </c>
    </row>
    <row r="587" spans="3:3" x14ac:dyDescent="0.3">
      <c r="C587" s="14" t="str">
        <f t="shared" si="13"/>
        <v>19001</v>
      </c>
    </row>
    <row r="588" spans="3:3" x14ac:dyDescent="0.3">
      <c r="C588" s="14" t="str">
        <f t="shared" si="13"/>
        <v>19001</v>
      </c>
    </row>
    <row r="589" spans="3:3" x14ac:dyDescent="0.3">
      <c r="C589" s="14" t="str">
        <f t="shared" si="13"/>
        <v>19001</v>
      </c>
    </row>
    <row r="590" spans="3:3" x14ac:dyDescent="0.3">
      <c r="C590" s="14" t="str">
        <f t="shared" si="13"/>
        <v>19001</v>
      </c>
    </row>
    <row r="591" spans="3:3" x14ac:dyDescent="0.3">
      <c r="C591" s="14" t="str">
        <f t="shared" si="13"/>
        <v>19001</v>
      </c>
    </row>
    <row r="592" spans="3:3" x14ac:dyDescent="0.3">
      <c r="C592" s="14" t="str">
        <f t="shared" si="13"/>
        <v>19001</v>
      </c>
    </row>
    <row r="593" spans="3:3" x14ac:dyDescent="0.3">
      <c r="C593" s="14" t="str">
        <f t="shared" si="13"/>
        <v>19001</v>
      </c>
    </row>
    <row r="594" spans="3:3" x14ac:dyDescent="0.3">
      <c r="C594" s="14" t="str">
        <f t="shared" si="13"/>
        <v>19001</v>
      </c>
    </row>
    <row r="595" spans="3:3" x14ac:dyDescent="0.3">
      <c r="C595" s="14" t="str">
        <f t="shared" si="13"/>
        <v>19001</v>
      </c>
    </row>
    <row r="596" spans="3:3" x14ac:dyDescent="0.3">
      <c r="C596" s="14" t="str">
        <f t="shared" si="13"/>
        <v>19001</v>
      </c>
    </row>
    <row r="597" spans="3:3" x14ac:dyDescent="0.3">
      <c r="C597" s="14" t="str">
        <f t="shared" si="13"/>
        <v>19001</v>
      </c>
    </row>
    <row r="598" spans="3:3" x14ac:dyDescent="0.3">
      <c r="C598" s="14" t="str">
        <f t="shared" si="13"/>
        <v>19001</v>
      </c>
    </row>
    <row r="599" spans="3:3" x14ac:dyDescent="0.3">
      <c r="C599" s="14" t="str">
        <f t="shared" si="13"/>
        <v>19001</v>
      </c>
    </row>
    <row r="600" spans="3:3" x14ac:dyDescent="0.3">
      <c r="C600" s="14" t="str">
        <f t="shared" si="13"/>
        <v>19001</v>
      </c>
    </row>
    <row r="601" spans="3:3" x14ac:dyDescent="0.3">
      <c r="C601" s="14" t="str">
        <f t="shared" si="13"/>
        <v>19001</v>
      </c>
    </row>
    <row r="602" spans="3:3" x14ac:dyDescent="0.3">
      <c r="C602" s="14" t="str">
        <f t="shared" si="13"/>
        <v>19001</v>
      </c>
    </row>
    <row r="603" spans="3:3" x14ac:dyDescent="0.3">
      <c r="C603" s="14" t="str">
        <f t="shared" si="13"/>
        <v>19001</v>
      </c>
    </row>
    <row r="604" spans="3:3" x14ac:dyDescent="0.3">
      <c r="C604" s="14" t="str">
        <f t="shared" si="13"/>
        <v>19001</v>
      </c>
    </row>
    <row r="605" spans="3:3" x14ac:dyDescent="0.3">
      <c r="C605" s="14" t="str">
        <f t="shared" si="13"/>
        <v>19001</v>
      </c>
    </row>
    <row r="606" spans="3:3" x14ac:dyDescent="0.3">
      <c r="C606" s="14" t="str">
        <f t="shared" si="13"/>
        <v>19001</v>
      </c>
    </row>
    <row r="607" spans="3:3" x14ac:dyDescent="0.3">
      <c r="C607" s="14" t="str">
        <f t="shared" si="13"/>
        <v>19001</v>
      </c>
    </row>
    <row r="608" spans="3:3" x14ac:dyDescent="0.3">
      <c r="C608" s="14" t="str">
        <f t="shared" si="13"/>
        <v>19001</v>
      </c>
    </row>
    <row r="609" spans="3:3" x14ac:dyDescent="0.3">
      <c r="C609" s="14" t="str">
        <f t="shared" si="13"/>
        <v>19001</v>
      </c>
    </row>
    <row r="610" spans="3:3" x14ac:dyDescent="0.3">
      <c r="C610" s="14" t="str">
        <f t="shared" si="13"/>
        <v>19001</v>
      </c>
    </row>
    <row r="611" spans="3:3" x14ac:dyDescent="0.3">
      <c r="C611" s="14" t="str">
        <f t="shared" si="13"/>
        <v>19001</v>
      </c>
    </row>
    <row r="612" spans="3:3" x14ac:dyDescent="0.3">
      <c r="C612" s="14" t="str">
        <f t="shared" si="13"/>
        <v>19001</v>
      </c>
    </row>
    <row r="613" spans="3:3" x14ac:dyDescent="0.3">
      <c r="C613" s="14" t="str">
        <f t="shared" si="13"/>
        <v>19001</v>
      </c>
    </row>
    <row r="614" spans="3:3" x14ac:dyDescent="0.3">
      <c r="C614" s="14" t="str">
        <f t="shared" si="13"/>
        <v>19001</v>
      </c>
    </row>
    <row r="615" spans="3:3" x14ac:dyDescent="0.3">
      <c r="C615" s="14" t="str">
        <f t="shared" si="13"/>
        <v>19001</v>
      </c>
    </row>
    <row r="616" spans="3:3" x14ac:dyDescent="0.3">
      <c r="C616" s="14" t="str">
        <f t="shared" si="13"/>
        <v>19001</v>
      </c>
    </row>
    <row r="617" spans="3:3" x14ac:dyDescent="0.3">
      <c r="C617" s="14" t="str">
        <f t="shared" si="13"/>
        <v>19001</v>
      </c>
    </row>
    <row r="618" spans="3:3" x14ac:dyDescent="0.3">
      <c r="C618" s="14" t="str">
        <f t="shared" si="13"/>
        <v>19001</v>
      </c>
    </row>
    <row r="619" spans="3:3" x14ac:dyDescent="0.3">
      <c r="C619" s="14" t="str">
        <f t="shared" si="13"/>
        <v>19001</v>
      </c>
    </row>
    <row r="620" spans="3:3" x14ac:dyDescent="0.3">
      <c r="C620" s="14" t="str">
        <f t="shared" si="13"/>
        <v>19001</v>
      </c>
    </row>
    <row r="621" spans="3:3" x14ac:dyDescent="0.3">
      <c r="C621" s="14" t="str">
        <f t="shared" si="13"/>
        <v>19001</v>
      </c>
    </row>
    <row r="622" spans="3:3" x14ac:dyDescent="0.3">
      <c r="C622" s="14" t="str">
        <f t="shared" si="13"/>
        <v>19001</v>
      </c>
    </row>
    <row r="623" spans="3:3" x14ac:dyDescent="0.3">
      <c r="C623" s="14" t="str">
        <f t="shared" si="13"/>
        <v>19001</v>
      </c>
    </row>
    <row r="624" spans="3:3" x14ac:dyDescent="0.3">
      <c r="C624" s="14" t="str">
        <f t="shared" si="13"/>
        <v>19001</v>
      </c>
    </row>
    <row r="625" spans="3:3" x14ac:dyDescent="0.3">
      <c r="C625" s="14" t="str">
        <f t="shared" si="13"/>
        <v>19001</v>
      </c>
    </row>
    <row r="626" spans="3:3" x14ac:dyDescent="0.3">
      <c r="C626" s="14" t="str">
        <f t="shared" si="13"/>
        <v>19001</v>
      </c>
    </row>
    <row r="627" spans="3:3" x14ac:dyDescent="0.3">
      <c r="C627" s="14" t="str">
        <f t="shared" si="13"/>
        <v>19001</v>
      </c>
    </row>
    <row r="628" spans="3:3" x14ac:dyDescent="0.3">
      <c r="C628" s="14" t="str">
        <f t="shared" si="13"/>
        <v>19001</v>
      </c>
    </row>
    <row r="629" spans="3:3" x14ac:dyDescent="0.3">
      <c r="C629" s="14" t="str">
        <f t="shared" si="13"/>
        <v>19001</v>
      </c>
    </row>
    <row r="630" spans="3:3" x14ac:dyDescent="0.3">
      <c r="C630" s="14" t="str">
        <f t="shared" si="13"/>
        <v>19001</v>
      </c>
    </row>
    <row r="631" spans="3:3" x14ac:dyDescent="0.3">
      <c r="C631" s="14" t="str">
        <f t="shared" si="13"/>
        <v>19001</v>
      </c>
    </row>
    <row r="632" spans="3:3" x14ac:dyDescent="0.3">
      <c r="C632" s="14" t="str">
        <f t="shared" si="13"/>
        <v>19001</v>
      </c>
    </row>
    <row r="633" spans="3:3" x14ac:dyDescent="0.3">
      <c r="C633" s="14" t="str">
        <f t="shared" si="13"/>
        <v>19001</v>
      </c>
    </row>
    <row r="634" spans="3:3" x14ac:dyDescent="0.3">
      <c r="C634" s="14" t="str">
        <f t="shared" si="13"/>
        <v>19001</v>
      </c>
    </row>
    <row r="635" spans="3:3" x14ac:dyDescent="0.3">
      <c r="C635" s="14" t="str">
        <f t="shared" si="13"/>
        <v>19001</v>
      </c>
    </row>
    <row r="636" spans="3:3" x14ac:dyDescent="0.3">
      <c r="C636" s="14" t="str">
        <f t="shared" si="13"/>
        <v>19001</v>
      </c>
    </row>
    <row r="637" spans="3:3" x14ac:dyDescent="0.3">
      <c r="C637" s="14" t="str">
        <f t="shared" si="13"/>
        <v>19001</v>
      </c>
    </row>
    <row r="638" spans="3:3" x14ac:dyDescent="0.3">
      <c r="C638" s="14" t="str">
        <f t="shared" si="13"/>
        <v>19001</v>
      </c>
    </row>
    <row r="639" spans="3:3" x14ac:dyDescent="0.3">
      <c r="C639" s="14" t="str">
        <f t="shared" si="13"/>
        <v>19001</v>
      </c>
    </row>
    <row r="640" spans="3:3" x14ac:dyDescent="0.3">
      <c r="C640" s="14" t="str">
        <f t="shared" si="13"/>
        <v>19001</v>
      </c>
    </row>
    <row r="641" spans="3:3" x14ac:dyDescent="0.3">
      <c r="C641" s="14" t="str">
        <f t="shared" si="13"/>
        <v>19001</v>
      </c>
    </row>
    <row r="642" spans="3:3" x14ac:dyDescent="0.3">
      <c r="C642" s="14" t="str">
        <f t="shared" si="13"/>
        <v>19001</v>
      </c>
    </row>
    <row r="643" spans="3:3" x14ac:dyDescent="0.3">
      <c r="C643" s="14" t="str">
        <f t="shared" si="13"/>
        <v>19001</v>
      </c>
    </row>
    <row r="644" spans="3:3" x14ac:dyDescent="0.3">
      <c r="C644" s="14" t="str">
        <f t="shared" si="13"/>
        <v>19001</v>
      </c>
    </row>
    <row r="645" spans="3:3" x14ac:dyDescent="0.3">
      <c r="C645" s="14" t="str">
        <f t="shared" si="13"/>
        <v>19001</v>
      </c>
    </row>
    <row r="646" spans="3:3" x14ac:dyDescent="0.3">
      <c r="C646" s="14" t="str">
        <f t="shared" si="13"/>
        <v>19001</v>
      </c>
    </row>
    <row r="647" spans="3:3" x14ac:dyDescent="0.3">
      <c r="C647" s="14" t="str">
        <f t="shared" si="13"/>
        <v>19001</v>
      </c>
    </row>
    <row r="648" spans="3:3" x14ac:dyDescent="0.3">
      <c r="C648" s="14" t="str">
        <f t="shared" ref="C648:C711" si="14">YEAR(D648)&amp;MONTH(D648)</f>
        <v>19001</v>
      </c>
    </row>
    <row r="649" spans="3:3" x14ac:dyDescent="0.3">
      <c r="C649" s="14" t="str">
        <f t="shared" si="14"/>
        <v>19001</v>
      </c>
    </row>
    <row r="650" spans="3:3" x14ac:dyDescent="0.3">
      <c r="C650" s="14" t="str">
        <f t="shared" si="14"/>
        <v>19001</v>
      </c>
    </row>
    <row r="651" spans="3:3" x14ac:dyDescent="0.3">
      <c r="C651" s="14" t="str">
        <f t="shared" si="14"/>
        <v>19001</v>
      </c>
    </row>
    <row r="652" spans="3:3" x14ac:dyDescent="0.3">
      <c r="C652" s="14" t="str">
        <f t="shared" si="14"/>
        <v>19001</v>
      </c>
    </row>
    <row r="653" spans="3:3" x14ac:dyDescent="0.3">
      <c r="C653" s="14" t="str">
        <f t="shared" si="14"/>
        <v>19001</v>
      </c>
    </row>
    <row r="654" spans="3:3" x14ac:dyDescent="0.3">
      <c r="C654" s="14" t="str">
        <f t="shared" si="14"/>
        <v>19001</v>
      </c>
    </row>
    <row r="655" spans="3:3" x14ac:dyDescent="0.3">
      <c r="C655" s="14" t="str">
        <f t="shared" si="14"/>
        <v>19001</v>
      </c>
    </row>
    <row r="656" spans="3:3" x14ac:dyDescent="0.3">
      <c r="C656" s="14" t="str">
        <f t="shared" si="14"/>
        <v>19001</v>
      </c>
    </row>
    <row r="657" spans="3:3" x14ac:dyDescent="0.3">
      <c r="C657" s="14" t="str">
        <f t="shared" si="14"/>
        <v>19001</v>
      </c>
    </row>
    <row r="658" spans="3:3" x14ac:dyDescent="0.3">
      <c r="C658" s="14" t="str">
        <f t="shared" si="14"/>
        <v>19001</v>
      </c>
    </row>
    <row r="659" spans="3:3" x14ac:dyDescent="0.3">
      <c r="C659" s="14" t="str">
        <f t="shared" si="14"/>
        <v>19001</v>
      </c>
    </row>
    <row r="660" spans="3:3" x14ac:dyDescent="0.3">
      <c r="C660" s="14" t="str">
        <f t="shared" si="14"/>
        <v>19001</v>
      </c>
    </row>
    <row r="661" spans="3:3" x14ac:dyDescent="0.3">
      <c r="C661" s="14" t="str">
        <f t="shared" si="14"/>
        <v>19001</v>
      </c>
    </row>
    <row r="662" spans="3:3" x14ac:dyDescent="0.3">
      <c r="C662" s="14" t="str">
        <f t="shared" si="14"/>
        <v>19001</v>
      </c>
    </row>
    <row r="663" spans="3:3" x14ac:dyDescent="0.3">
      <c r="C663" s="14" t="str">
        <f t="shared" si="14"/>
        <v>19001</v>
      </c>
    </row>
    <row r="664" spans="3:3" x14ac:dyDescent="0.3">
      <c r="C664" s="14" t="str">
        <f t="shared" si="14"/>
        <v>19001</v>
      </c>
    </row>
    <row r="665" spans="3:3" x14ac:dyDescent="0.3">
      <c r="C665" s="14" t="str">
        <f t="shared" si="14"/>
        <v>19001</v>
      </c>
    </row>
    <row r="666" spans="3:3" x14ac:dyDescent="0.3">
      <c r="C666" s="14" t="str">
        <f t="shared" si="14"/>
        <v>19001</v>
      </c>
    </row>
    <row r="667" spans="3:3" x14ac:dyDescent="0.3">
      <c r="C667" s="14" t="str">
        <f t="shared" si="14"/>
        <v>19001</v>
      </c>
    </row>
    <row r="668" spans="3:3" x14ac:dyDescent="0.3">
      <c r="C668" s="14" t="str">
        <f t="shared" si="14"/>
        <v>19001</v>
      </c>
    </row>
    <row r="669" spans="3:3" x14ac:dyDescent="0.3">
      <c r="C669" s="14" t="str">
        <f t="shared" si="14"/>
        <v>19001</v>
      </c>
    </row>
    <row r="670" spans="3:3" x14ac:dyDescent="0.3">
      <c r="C670" s="14" t="str">
        <f t="shared" si="14"/>
        <v>19001</v>
      </c>
    </row>
    <row r="671" spans="3:3" x14ac:dyDescent="0.3">
      <c r="C671" s="14" t="str">
        <f t="shared" si="14"/>
        <v>19001</v>
      </c>
    </row>
    <row r="672" spans="3:3" x14ac:dyDescent="0.3">
      <c r="C672" s="14" t="str">
        <f t="shared" si="14"/>
        <v>19001</v>
      </c>
    </row>
    <row r="673" spans="3:3" x14ac:dyDescent="0.3">
      <c r="C673" s="14" t="str">
        <f t="shared" si="14"/>
        <v>19001</v>
      </c>
    </row>
    <row r="674" spans="3:3" x14ac:dyDescent="0.3">
      <c r="C674" s="14" t="str">
        <f t="shared" si="14"/>
        <v>19001</v>
      </c>
    </row>
    <row r="675" spans="3:3" x14ac:dyDescent="0.3">
      <c r="C675" s="14" t="str">
        <f t="shared" si="14"/>
        <v>19001</v>
      </c>
    </row>
    <row r="676" spans="3:3" x14ac:dyDescent="0.3">
      <c r="C676" s="14" t="str">
        <f t="shared" si="14"/>
        <v>19001</v>
      </c>
    </row>
    <row r="677" spans="3:3" x14ac:dyDescent="0.3">
      <c r="C677" s="14" t="str">
        <f t="shared" si="14"/>
        <v>19001</v>
      </c>
    </row>
    <row r="678" spans="3:3" x14ac:dyDescent="0.3">
      <c r="C678" s="14" t="str">
        <f t="shared" si="14"/>
        <v>19001</v>
      </c>
    </row>
    <row r="679" spans="3:3" x14ac:dyDescent="0.3">
      <c r="C679" s="14" t="str">
        <f t="shared" si="14"/>
        <v>19001</v>
      </c>
    </row>
    <row r="680" spans="3:3" x14ac:dyDescent="0.3">
      <c r="C680" s="14" t="str">
        <f t="shared" si="14"/>
        <v>19001</v>
      </c>
    </row>
    <row r="681" spans="3:3" x14ac:dyDescent="0.3">
      <c r="C681" s="14" t="str">
        <f t="shared" si="14"/>
        <v>19001</v>
      </c>
    </row>
    <row r="682" spans="3:3" x14ac:dyDescent="0.3">
      <c r="C682" s="14" t="str">
        <f t="shared" si="14"/>
        <v>19001</v>
      </c>
    </row>
    <row r="683" spans="3:3" x14ac:dyDescent="0.3">
      <c r="C683" s="14" t="str">
        <f t="shared" si="14"/>
        <v>19001</v>
      </c>
    </row>
    <row r="684" spans="3:3" x14ac:dyDescent="0.3">
      <c r="C684" s="14" t="str">
        <f t="shared" si="14"/>
        <v>19001</v>
      </c>
    </row>
    <row r="685" spans="3:3" x14ac:dyDescent="0.3">
      <c r="C685" s="14" t="str">
        <f t="shared" si="14"/>
        <v>19001</v>
      </c>
    </row>
    <row r="686" spans="3:3" x14ac:dyDescent="0.3">
      <c r="C686" s="14" t="str">
        <f t="shared" si="14"/>
        <v>19001</v>
      </c>
    </row>
    <row r="687" spans="3:3" x14ac:dyDescent="0.3">
      <c r="C687" s="14" t="str">
        <f t="shared" si="14"/>
        <v>19001</v>
      </c>
    </row>
    <row r="688" spans="3:3" x14ac:dyDescent="0.3">
      <c r="C688" s="14" t="str">
        <f t="shared" si="14"/>
        <v>19001</v>
      </c>
    </row>
    <row r="689" spans="3:3" x14ac:dyDescent="0.3">
      <c r="C689" s="14" t="str">
        <f t="shared" si="14"/>
        <v>19001</v>
      </c>
    </row>
    <row r="690" spans="3:3" x14ac:dyDescent="0.3">
      <c r="C690" s="14" t="str">
        <f t="shared" si="14"/>
        <v>19001</v>
      </c>
    </row>
    <row r="691" spans="3:3" x14ac:dyDescent="0.3">
      <c r="C691" s="14" t="str">
        <f t="shared" si="14"/>
        <v>19001</v>
      </c>
    </row>
    <row r="692" spans="3:3" x14ac:dyDescent="0.3">
      <c r="C692" s="14" t="str">
        <f t="shared" si="14"/>
        <v>19001</v>
      </c>
    </row>
    <row r="693" spans="3:3" x14ac:dyDescent="0.3">
      <c r="C693" s="14" t="str">
        <f t="shared" si="14"/>
        <v>19001</v>
      </c>
    </row>
    <row r="694" spans="3:3" x14ac:dyDescent="0.3">
      <c r="C694" s="14" t="str">
        <f t="shared" si="14"/>
        <v>19001</v>
      </c>
    </row>
    <row r="695" spans="3:3" x14ac:dyDescent="0.3">
      <c r="C695" s="14" t="str">
        <f t="shared" si="14"/>
        <v>19001</v>
      </c>
    </row>
    <row r="696" spans="3:3" x14ac:dyDescent="0.3">
      <c r="C696" s="14" t="str">
        <f t="shared" si="14"/>
        <v>19001</v>
      </c>
    </row>
    <row r="697" spans="3:3" x14ac:dyDescent="0.3">
      <c r="C697" s="14" t="str">
        <f t="shared" si="14"/>
        <v>19001</v>
      </c>
    </row>
    <row r="698" spans="3:3" x14ac:dyDescent="0.3">
      <c r="C698" s="14" t="str">
        <f t="shared" si="14"/>
        <v>19001</v>
      </c>
    </row>
    <row r="699" spans="3:3" x14ac:dyDescent="0.3">
      <c r="C699" s="14" t="str">
        <f t="shared" si="14"/>
        <v>19001</v>
      </c>
    </row>
    <row r="700" spans="3:3" x14ac:dyDescent="0.3">
      <c r="C700" s="14" t="str">
        <f t="shared" si="14"/>
        <v>19001</v>
      </c>
    </row>
    <row r="701" spans="3:3" x14ac:dyDescent="0.3">
      <c r="C701" s="14" t="str">
        <f t="shared" si="14"/>
        <v>19001</v>
      </c>
    </row>
    <row r="702" spans="3:3" x14ac:dyDescent="0.3">
      <c r="C702" s="14" t="str">
        <f t="shared" si="14"/>
        <v>19001</v>
      </c>
    </row>
    <row r="703" spans="3:3" x14ac:dyDescent="0.3">
      <c r="C703" s="14" t="str">
        <f t="shared" si="14"/>
        <v>19001</v>
      </c>
    </row>
    <row r="704" spans="3:3" x14ac:dyDescent="0.3">
      <c r="C704" s="14" t="str">
        <f t="shared" si="14"/>
        <v>19001</v>
      </c>
    </row>
    <row r="705" spans="3:3" x14ac:dyDescent="0.3">
      <c r="C705" s="14" t="str">
        <f t="shared" si="14"/>
        <v>19001</v>
      </c>
    </row>
    <row r="706" spans="3:3" x14ac:dyDescent="0.3">
      <c r="C706" s="14" t="str">
        <f t="shared" si="14"/>
        <v>19001</v>
      </c>
    </row>
    <row r="707" spans="3:3" x14ac:dyDescent="0.3">
      <c r="C707" s="14" t="str">
        <f t="shared" si="14"/>
        <v>19001</v>
      </c>
    </row>
    <row r="708" spans="3:3" x14ac:dyDescent="0.3">
      <c r="C708" s="14" t="str">
        <f t="shared" si="14"/>
        <v>19001</v>
      </c>
    </row>
    <row r="709" spans="3:3" x14ac:dyDescent="0.3">
      <c r="C709" s="14" t="str">
        <f t="shared" si="14"/>
        <v>19001</v>
      </c>
    </row>
    <row r="710" spans="3:3" x14ac:dyDescent="0.3">
      <c r="C710" s="14" t="str">
        <f t="shared" si="14"/>
        <v>19001</v>
      </c>
    </row>
    <row r="711" spans="3:3" x14ac:dyDescent="0.3">
      <c r="C711" s="14" t="str">
        <f t="shared" si="14"/>
        <v>19001</v>
      </c>
    </row>
    <row r="712" spans="3:3" x14ac:dyDescent="0.3">
      <c r="C712" s="14" t="str">
        <f t="shared" ref="C712:C775" si="15">YEAR(D712)&amp;MONTH(D712)</f>
        <v>19001</v>
      </c>
    </row>
    <row r="713" spans="3:3" x14ac:dyDescent="0.3">
      <c r="C713" s="14" t="str">
        <f t="shared" si="15"/>
        <v>19001</v>
      </c>
    </row>
    <row r="714" spans="3:3" x14ac:dyDescent="0.3">
      <c r="C714" s="14" t="str">
        <f t="shared" si="15"/>
        <v>19001</v>
      </c>
    </row>
    <row r="715" spans="3:3" x14ac:dyDescent="0.3">
      <c r="C715" s="14" t="str">
        <f t="shared" si="15"/>
        <v>19001</v>
      </c>
    </row>
    <row r="716" spans="3:3" x14ac:dyDescent="0.3">
      <c r="C716" s="14" t="str">
        <f t="shared" si="15"/>
        <v>19001</v>
      </c>
    </row>
    <row r="717" spans="3:3" x14ac:dyDescent="0.3">
      <c r="C717" s="14" t="str">
        <f t="shared" si="15"/>
        <v>19001</v>
      </c>
    </row>
    <row r="718" spans="3:3" x14ac:dyDescent="0.3">
      <c r="C718" s="14" t="str">
        <f t="shared" si="15"/>
        <v>19001</v>
      </c>
    </row>
    <row r="719" spans="3:3" x14ac:dyDescent="0.3">
      <c r="C719" s="14" t="str">
        <f t="shared" si="15"/>
        <v>19001</v>
      </c>
    </row>
    <row r="720" spans="3:3" x14ac:dyDescent="0.3">
      <c r="C720" s="14" t="str">
        <f t="shared" si="15"/>
        <v>19001</v>
      </c>
    </row>
    <row r="721" spans="3:3" x14ac:dyDescent="0.3">
      <c r="C721" s="14" t="str">
        <f t="shared" si="15"/>
        <v>19001</v>
      </c>
    </row>
    <row r="722" spans="3:3" x14ac:dyDescent="0.3">
      <c r="C722" s="14" t="str">
        <f t="shared" si="15"/>
        <v>19001</v>
      </c>
    </row>
    <row r="723" spans="3:3" x14ac:dyDescent="0.3">
      <c r="C723" s="14" t="str">
        <f t="shared" si="15"/>
        <v>19001</v>
      </c>
    </row>
    <row r="724" spans="3:3" x14ac:dyDescent="0.3">
      <c r="C724" s="14" t="str">
        <f t="shared" si="15"/>
        <v>19001</v>
      </c>
    </row>
    <row r="725" spans="3:3" x14ac:dyDescent="0.3">
      <c r="C725" s="14" t="str">
        <f t="shared" si="15"/>
        <v>19001</v>
      </c>
    </row>
    <row r="726" spans="3:3" x14ac:dyDescent="0.3">
      <c r="C726" s="14" t="str">
        <f t="shared" si="15"/>
        <v>19001</v>
      </c>
    </row>
    <row r="727" spans="3:3" x14ac:dyDescent="0.3">
      <c r="C727" s="14" t="str">
        <f t="shared" si="15"/>
        <v>19001</v>
      </c>
    </row>
    <row r="728" spans="3:3" x14ac:dyDescent="0.3">
      <c r="C728" s="14" t="str">
        <f t="shared" si="15"/>
        <v>19001</v>
      </c>
    </row>
    <row r="729" spans="3:3" x14ac:dyDescent="0.3">
      <c r="C729" s="14" t="str">
        <f t="shared" si="15"/>
        <v>19001</v>
      </c>
    </row>
    <row r="730" spans="3:3" x14ac:dyDescent="0.3">
      <c r="C730" s="14" t="str">
        <f t="shared" si="15"/>
        <v>19001</v>
      </c>
    </row>
    <row r="731" spans="3:3" x14ac:dyDescent="0.3">
      <c r="C731" s="14" t="str">
        <f t="shared" si="15"/>
        <v>19001</v>
      </c>
    </row>
    <row r="732" spans="3:3" x14ac:dyDescent="0.3">
      <c r="C732" s="14" t="str">
        <f t="shared" si="15"/>
        <v>19001</v>
      </c>
    </row>
    <row r="733" spans="3:3" x14ac:dyDescent="0.3">
      <c r="C733" s="14" t="str">
        <f t="shared" si="15"/>
        <v>19001</v>
      </c>
    </row>
    <row r="734" spans="3:3" x14ac:dyDescent="0.3">
      <c r="C734" s="14" t="str">
        <f t="shared" si="15"/>
        <v>19001</v>
      </c>
    </row>
    <row r="735" spans="3:3" x14ac:dyDescent="0.3">
      <c r="C735" s="14" t="str">
        <f t="shared" si="15"/>
        <v>19001</v>
      </c>
    </row>
    <row r="736" spans="3:3" x14ac:dyDescent="0.3">
      <c r="C736" s="14" t="str">
        <f t="shared" si="15"/>
        <v>19001</v>
      </c>
    </row>
    <row r="737" spans="3:3" x14ac:dyDescent="0.3">
      <c r="C737" s="14" t="str">
        <f t="shared" si="15"/>
        <v>19001</v>
      </c>
    </row>
    <row r="738" spans="3:3" x14ac:dyDescent="0.3">
      <c r="C738" s="14" t="str">
        <f t="shared" si="15"/>
        <v>19001</v>
      </c>
    </row>
    <row r="739" spans="3:3" x14ac:dyDescent="0.3">
      <c r="C739" s="14" t="str">
        <f t="shared" si="15"/>
        <v>19001</v>
      </c>
    </row>
    <row r="740" spans="3:3" x14ac:dyDescent="0.3">
      <c r="C740" s="14" t="str">
        <f t="shared" si="15"/>
        <v>19001</v>
      </c>
    </row>
    <row r="741" spans="3:3" x14ac:dyDescent="0.3">
      <c r="C741" s="14" t="str">
        <f t="shared" si="15"/>
        <v>19001</v>
      </c>
    </row>
    <row r="742" spans="3:3" x14ac:dyDescent="0.3">
      <c r="C742" s="14" t="str">
        <f t="shared" si="15"/>
        <v>19001</v>
      </c>
    </row>
    <row r="743" spans="3:3" x14ac:dyDescent="0.3">
      <c r="C743" s="14" t="str">
        <f t="shared" si="15"/>
        <v>19001</v>
      </c>
    </row>
    <row r="744" spans="3:3" x14ac:dyDescent="0.3">
      <c r="C744" s="14" t="str">
        <f t="shared" si="15"/>
        <v>19001</v>
      </c>
    </row>
    <row r="745" spans="3:3" x14ac:dyDescent="0.3">
      <c r="C745" s="14" t="str">
        <f t="shared" si="15"/>
        <v>19001</v>
      </c>
    </row>
    <row r="746" spans="3:3" x14ac:dyDescent="0.3">
      <c r="C746" s="14" t="str">
        <f t="shared" si="15"/>
        <v>19001</v>
      </c>
    </row>
    <row r="747" spans="3:3" x14ac:dyDescent="0.3">
      <c r="C747" s="14" t="str">
        <f t="shared" si="15"/>
        <v>19001</v>
      </c>
    </row>
    <row r="748" spans="3:3" x14ac:dyDescent="0.3">
      <c r="C748" s="14" t="str">
        <f t="shared" si="15"/>
        <v>19001</v>
      </c>
    </row>
    <row r="749" spans="3:3" x14ac:dyDescent="0.3">
      <c r="C749" s="14" t="str">
        <f t="shared" si="15"/>
        <v>19001</v>
      </c>
    </row>
    <row r="750" spans="3:3" x14ac:dyDescent="0.3">
      <c r="C750" s="14" t="str">
        <f t="shared" si="15"/>
        <v>19001</v>
      </c>
    </row>
    <row r="751" spans="3:3" x14ac:dyDescent="0.3">
      <c r="C751" s="14" t="str">
        <f t="shared" si="15"/>
        <v>19001</v>
      </c>
    </row>
    <row r="752" spans="3:3" x14ac:dyDescent="0.3">
      <c r="C752" s="14" t="str">
        <f t="shared" si="15"/>
        <v>19001</v>
      </c>
    </row>
    <row r="753" spans="3:3" x14ac:dyDescent="0.3">
      <c r="C753" s="14" t="str">
        <f t="shared" si="15"/>
        <v>19001</v>
      </c>
    </row>
    <row r="754" spans="3:3" x14ac:dyDescent="0.3">
      <c r="C754" s="14" t="str">
        <f t="shared" si="15"/>
        <v>19001</v>
      </c>
    </row>
    <row r="755" spans="3:3" x14ac:dyDescent="0.3">
      <c r="C755" s="14" t="str">
        <f t="shared" si="15"/>
        <v>19001</v>
      </c>
    </row>
    <row r="756" spans="3:3" x14ac:dyDescent="0.3">
      <c r="C756" s="14" t="str">
        <f t="shared" si="15"/>
        <v>19001</v>
      </c>
    </row>
    <row r="757" spans="3:3" x14ac:dyDescent="0.3">
      <c r="C757" s="14" t="str">
        <f t="shared" si="15"/>
        <v>19001</v>
      </c>
    </row>
    <row r="758" spans="3:3" x14ac:dyDescent="0.3">
      <c r="C758" s="14" t="str">
        <f t="shared" si="15"/>
        <v>19001</v>
      </c>
    </row>
    <row r="759" spans="3:3" x14ac:dyDescent="0.3">
      <c r="C759" s="14" t="str">
        <f t="shared" si="15"/>
        <v>19001</v>
      </c>
    </row>
    <row r="760" spans="3:3" x14ac:dyDescent="0.3">
      <c r="C760" s="14" t="str">
        <f t="shared" si="15"/>
        <v>19001</v>
      </c>
    </row>
    <row r="761" spans="3:3" x14ac:dyDescent="0.3">
      <c r="C761" s="14" t="str">
        <f t="shared" si="15"/>
        <v>19001</v>
      </c>
    </row>
    <row r="762" spans="3:3" x14ac:dyDescent="0.3">
      <c r="C762" s="14" t="str">
        <f t="shared" si="15"/>
        <v>19001</v>
      </c>
    </row>
    <row r="763" spans="3:3" x14ac:dyDescent="0.3">
      <c r="C763" s="14" t="str">
        <f t="shared" si="15"/>
        <v>19001</v>
      </c>
    </row>
    <row r="764" spans="3:3" x14ac:dyDescent="0.3">
      <c r="C764" s="14" t="str">
        <f t="shared" si="15"/>
        <v>19001</v>
      </c>
    </row>
    <row r="765" spans="3:3" x14ac:dyDescent="0.3">
      <c r="C765" s="14" t="str">
        <f t="shared" si="15"/>
        <v>19001</v>
      </c>
    </row>
    <row r="766" spans="3:3" x14ac:dyDescent="0.3">
      <c r="C766" s="14" t="str">
        <f t="shared" si="15"/>
        <v>19001</v>
      </c>
    </row>
    <row r="767" spans="3:3" x14ac:dyDescent="0.3">
      <c r="C767" s="14" t="str">
        <f t="shared" si="15"/>
        <v>19001</v>
      </c>
    </row>
    <row r="768" spans="3:3" x14ac:dyDescent="0.3">
      <c r="C768" s="14" t="str">
        <f t="shared" si="15"/>
        <v>19001</v>
      </c>
    </row>
    <row r="769" spans="3:3" x14ac:dyDescent="0.3">
      <c r="C769" s="14" t="str">
        <f t="shared" si="15"/>
        <v>19001</v>
      </c>
    </row>
    <row r="770" spans="3:3" x14ac:dyDescent="0.3">
      <c r="C770" s="14" t="str">
        <f t="shared" si="15"/>
        <v>19001</v>
      </c>
    </row>
    <row r="771" spans="3:3" x14ac:dyDescent="0.3">
      <c r="C771" s="14" t="str">
        <f t="shared" si="15"/>
        <v>19001</v>
      </c>
    </row>
    <row r="772" spans="3:3" x14ac:dyDescent="0.3">
      <c r="C772" s="14" t="str">
        <f t="shared" si="15"/>
        <v>19001</v>
      </c>
    </row>
    <row r="773" spans="3:3" x14ac:dyDescent="0.3">
      <c r="C773" s="14" t="str">
        <f t="shared" si="15"/>
        <v>19001</v>
      </c>
    </row>
    <row r="774" spans="3:3" x14ac:dyDescent="0.3">
      <c r="C774" s="14" t="str">
        <f t="shared" si="15"/>
        <v>19001</v>
      </c>
    </row>
    <row r="775" spans="3:3" x14ac:dyDescent="0.3">
      <c r="C775" s="14" t="str">
        <f t="shared" si="15"/>
        <v>19001</v>
      </c>
    </row>
    <row r="776" spans="3:3" x14ac:dyDescent="0.3">
      <c r="C776" s="14" t="str">
        <f t="shared" ref="C776:C839" si="16">YEAR(D776)&amp;MONTH(D776)</f>
        <v>19001</v>
      </c>
    </row>
    <row r="777" spans="3:3" x14ac:dyDescent="0.3">
      <c r="C777" s="14" t="str">
        <f t="shared" si="16"/>
        <v>19001</v>
      </c>
    </row>
    <row r="778" spans="3:3" x14ac:dyDescent="0.3">
      <c r="C778" s="14" t="str">
        <f t="shared" si="16"/>
        <v>19001</v>
      </c>
    </row>
    <row r="779" spans="3:3" x14ac:dyDescent="0.3">
      <c r="C779" s="14" t="str">
        <f t="shared" si="16"/>
        <v>19001</v>
      </c>
    </row>
    <row r="780" spans="3:3" x14ac:dyDescent="0.3">
      <c r="C780" s="14" t="str">
        <f t="shared" si="16"/>
        <v>19001</v>
      </c>
    </row>
    <row r="781" spans="3:3" x14ac:dyDescent="0.3">
      <c r="C781" s="14" t="str">
        <f t="shared" si="16"/>
        <v>19001</v>
      </c>
    </row>
    <row r="782" spans="3:3" x14ac:dyDescent="0.3">
      <c r="C782" s="14" t="str">
        <f t="shared" si="16"/>
        <v>19001</v>
      </c>
    </row>
    <row r="783" spans="3:3" x14ac:dyDescent="0.3">
      <c r="C783" s="14" t="str">
        <f t="shared" si="16"/>
        <v>19001</v>
      </c>
    </row>
    <row r="784" spans="3:3" x14ac:dyDescent="0.3">
      <c r="C784" s="14" t="str">
        <f t="shared" si="16"/>
        <v>19001</v>
      </c>
    </row>
    <row r="785" spans="3:3" x14ac:dyDescent="0.3">
      <c r="C785" s="14" t="str">
        <f t="shared" si="16"/>
        <v>19001</v>
      </c>
    </row>
    <row r="786" spans="3:3" x14ac:dyDescent="0.3">
      <c r="C786" s="14" t="str">
        <f t="shared" si="16"/>
        <v>19001</v>
      </c>
    </row>
    <row r="787" spans="3:3" x14ac:dyDescent="0.3">
      <c r="C787" s="14" t="str">
        <f t="shared" si="16"/>
        <v>19001</v>
      </c>
    </row>
    <row r="788" spans="3:3" x14ac:dyDescent="0.3">
      <c r="C788" s="14" t="str">
        <f t="shared" si="16"/>
        <v>19001</v>
      </c>
    </row>
    <row r="789" spans="3:3" x14ac:dyDescent="0.3">
      <c r="C789" s="14" t="str">
        <f t="shared" si="16"/>
        <v>19001</v>
      </c>
    </row>
    <row r="790" spans="3:3" x14ac:dyDescent="0.3">
      <c r="C790" s="14" t="str">
        <f t="shared" si="16"/>
        <v>19001</v>
      </c>
    </row>
    <row r="791" spans="3:3" x14ac:dyDescent="0.3">
      <c r="C791" s="14" t="str">
        <f t="shared" si="16"/>
        <v>19001</v>
      </c>
    </row>
    <row r="792" spans="3:3" x14ac:dyDescent="0.3">
      <c r="C792" s="14" t="str">
        <f t="shared" si="16"/>
        <v>19001</v>
      </c>
    </row>
    <row r="793" spans="3:3" x14ac:dyDescent="0.3">
      <c r="C793" s="14" t="str">
        <f t="shared" si="16"/>
        <v>19001</v>
      </c>
    </row>
    <row r="794" spans="3:3" x14ac:dyDescent="0.3">
      <c r="C794" s="14" t="str">
        <f t="shared" si="16"/>
        <v>19001</v>
      </c>
    </row>
    <row r="795" spans="3:3" x14ac:dyDescent="0.3">
      <c r="C795" s="14" t="str">
        <f t="shared" si="16"/>
        <v>19001</v>
      </c>
    </row>
    <row r="796" spans="3:3" x14ac:dyDescent="0.3">
      <c r="C796" s="14" t="str">
        <f t="shared" si="16"/>
        <v>19001</v>
      </c>
    </row>
    <row r="797" spans="3:3" x14ac:dyDescent="0.3">
      <c r="C797" s="14" t="str">
        <f t="shared" si="16"/>
        <v>19001</v>
      </c>
    </row>
    <row r="798" spans="3:3" x14ac:dyDescent="0.3">
      <c r="C798" s="14" t="str">
        <f t="shared" si="16"/>
        <v>19001</v>
      </c>
    </row>
    <row r="799" spans="3:3" x14ac:dyDescent="0.3">
      <c r="C799" s="14" t="str">
        <f t="shared" si="16"/>
        <v>19001</v>
      </c>
    </row>
    <row r="800" spans="3:3" x14ac:dyDescent="0.3">
      <c r="C800" s="14" t="str">
        <f t="shared" si="16"/>
        <v>19001</v>
      </c>
    </row>
    <row r="801" spans="3:3" x14ac:dyDescent="0.3">
      <c r="C801" s="14" t="str">
        <f t="shared" si="16"/>
        <v>19001</v>
      </c>
    </row>
    <row r="802" spans="3:3" x14ac:dyDescent="0.3">
      <c r="C802" s="14" t="str">
        <f t="shared" si="16"/>
        <v>19001</v>
      </c>
    </row>
    <row r="803" spans="3:3" x14ac:dyDescent="0.3">
      <c r="C803" s="14" t="str">
        <f t="shared" si="16"/>
        <v>19001</v>
      </c>
    </row>
    <row r="804" spans="3:3" x14ac:dyDescent="0.3">
      <c r="C804" s="14" t="str">
        <f t="shared" si="16"/>
        <v>19001</v>
      </c>
    </row>
    <row r="805" spans="3:3" x14ac:dyDescent="0.3">
      <c r="C805" s="14" t="str">
        <f t="shared" si="16"/>
        <v>19001</v>
      </c>
    </row>
    <row r="806" spans="3:3" x14ac:dyDescent="0.3">
      <c r="C806" s="14" t="str">
        <f t="shared" si="16"/>
        <v>19001</v>
      </c>
    </row>
    <row r="807" spans="3:3" x14ac:dyDescent="0.3">
      <c r="C807" s="14" t="str">
        <f t="shared" si="16"/>
        <v>19001</v>
      </c>
    </row>
    <row r="808" spans="3:3" x14ac:dyDescent="0.3">
      <c r="C808" s="14" t="str">
        <f t="shared" si="16"/>
        <v>19001</v>
      </c>
    </row>
    <row r="809" spans="3:3" x14ac:dyDescent="0.3">
      <c r="C809" s="14" t="str">
        <f t="shared" si="16"/>
        <v>19001</v>
      </c>
    </row>
    <row r="810" spans="3:3" x14ac:dyDescent="0.3">
      <c r="C810" s="14" t="str">
        <f t="shared" si="16"/>
        <v>19001</v>
      </c>
    </row>
    <row r="811" spans="3:3" x14ac:dyDescent="0.3">
      <c r="C811" s="14" t="str">
        <f t="shared" si="16"/>
        <v>19001</v>
      </c>
    </row>
    <row r="812" spans="3:3" x14ac:dyDescent="0.3">
      <c r="C812" s="14" t="str">
        <f t="shared" si="16"/>
        <v>19001</v>
      </c>
    </row>
    <row r="813" spans="3:3" x14ac:dyDescent="0.3">
      <c r="C813" s="14" t="str">
        <f t="shared" si="16"/>
        <v>19001</v>
      </c>
    </row>
    <row r="814" spans="3:3" x14ac:dyDescent="0.3">
      <c r="C814" s="14" t="str">
        <f t="shared" si="16"/>
        <v>19001</v>
      </c>
    </row>
    <row r="815" spans="3:3" x14ac:dyDescent="0.3">
      <c r="C815" s="14" t="str">
        <f t="shared" si="16"/>
        <v>19001</v>
      </c>
    </row>
    <row r="816" spans="3:3" x14ac:dyDescent="0.3">
      <c r="C816" s="14" t="str">
        <f t="shared" si="16"/>
        <v>19001</v>
      </c>
    </row>
    <row r="817" spans="3:3" x14ac:dyDescent="0.3">
      <c r="C817" s="14" t="str">
        <f t="shared" si="16"/>
        <v>19001</v>
      </c>
    </row>
    <row r="818" spans="3:3" x14ac:dyDescent="0.3">
      <c r="C818" s="14" t="str">
        <f t="shared" si="16"/>
        <v>19001</v>
      </c>
    </row>
    <row r="819" spans="3:3" x14ac:dyDescent="0.3">
      <c r="C819" s="14" t="str">
        <f t="shared" si="16"/>
        <v>19001</v>
      </c>
    </row>
    <row r="820" spans="3:3" x14ac:dyDescent="0.3">
      <c r="C820" s="14" t="str">
        <f t="shared" si="16"/>
        <v>19001</v>
      </c>
    </row>
    <row r="821" spans="3:3" x14ac:dyDescent="0.3">
      <c r="C821" s="14" t="str">
        <f t="shared" si="16"/>
        <v>19001</v>
      </c>
    </row>
    <row r="822" spans="3:3" x14ac:dyDescent="0.3">
      <c r="C822" s="14" t="str">
        <f t="shared" si="16"/>
        <v>19001</v>
      </c>
    </row>
    <row r="823" spans="3:3" x14ac:dyDescent="0.3">
      <c r="C823" s="14" t="str">
        <f t="shared" si="16"/>
        <v>19001</v>
      </c>
    </row>
    <row r="824" spans="3:3" x14ac:dyDescent="0.3">
      <c r="C824" s="14" t="str">
        <f t="shared" si="16"/>
        <v>19001</v>
      </c>
    </row>
    <row r="825" spans="3:3" x14ac:dyDescent="0.3">
      <c r="C825" s="14" t="str">
        <f t="shared" si="16"/>
        <v>19001</v>
      </c>
    </row>
    <row r="826" spans="3:3" x14ac:dyDescent="0.3">
      <c r="C826" s="14" t="str">
        <f t="shared" si="16"/>
        <v>19001</v>
      </c>
    </row>
    <row r="827" spans="3:3" x14ac:dyDescent="0.3">
      <c r="C827" s="14" t="str">
        <f t="shared" si="16"/>
        <v>19001</v>
      </c>
    </row>
    <row r="828" spans="3:3" x14ac:dyDescent="0.3">
      <c r="C828" s="14" t="str">
        <f t="shared" si="16"/>
        <v>19001</v>
      </c>
    </row>
    <row r="829" spans="3:3" x14ac:dyDescent="0.3">
      <c r="C829" s="14" t="str">
        <f t="shared" si="16"/>
        <v>19001</v>
      </c>
    </row>
    <row r="830" spans="3:3" x14ac:dyDescent="0.3">
      <c r="C830" s="14" t="str">
        <f t="shared" si="16"/>
        <v>19001</v>
      </c>
    </row>
    <row r="831" spans="3:3" x14ac:dyDescent="0.3">
      <c r="C831" s="14" t="str">
        <f t="shared" si="16"/>
        <v>19001</v>
      </c>
    </row>
    <row r="832" spans="3:3" x14ac:dyDescent="0.3">
      <c r="C832" s="14" t="str">
        <f t="shared" si="16"/>
        <v>19001</v>
      </c>
    </row>
    <row r="833" spans="3:3" x14ac:dyDescent="0.3">
      <c r="C833" s="14" t="str">
        <f t="shared" si="16"/>
        <v>19001</v>
      </c>
    </row>
    <row r="834" spans="3:3" x14ac:dyDescent="0.3">
      <c r="C834" s="14" t="str">
        <f t="shared" si="16"/>
        <v>19001</v>
      </c>
    </row>
    <row r="835" spans="3:3" x14ac:dyDescent="0.3">
      <c r="C835" s="14" t="str">
        <f t="shared" si="16"/>
        <v>19001</v>
      </c>
    </row>
    <row r="836" spans="3:3" x14ac:dyDescent="0.3">
      <c r="C836" s="14" t="str">
        <f t="shared" si="16"/>
        <v>19001</v>
      </c>
    </row>
    <row r="837" spans="3:3" x14ac:dyDescent="0.3">
      <c r="C837" s="14" t="str">
        <f t="shared" si="16"/>
        <v>19001</v>
      </c>
    </row>
    <row r="838" spans="3:3" x14ac:dyDescent="0.3">
      <c r="C838" s="14" t="str">
        <f t="shared" si="16"/>
        <v>19001</v>
      </c>
    </row>
    <row r="839" spans="3:3" x14ac:dyDescent="0.3">
      <c r="C839" s="14" t="str">
        <f t="shared" si="16"/>
        <v>19001</v>
      </c>
    </row>
    <row r="840" spans="3:3" x14ac:dyDescent="0.3">
      <c r="C840" s="14" t="str">
        <f t="shared" ref="C840:C903" si="17">YEAR(D840)&amp;MONTH(D840)</f>
        <v>19001</v>
      </c>
    </row>
    <row r="841" spans="3:3" x14ac:dyDescent="0.3">
      <c r="C841" s="14" t="str">
        <f t="shared" si="17"/>
        <v>19001</v>
      </c>
    </row>
    <row r="842" spans="3:3" x14ac:dyDescent="0.3">
      <c r="C842" s="14" t="str">
        <f t="shared" si="17"/>
        <v>19001</v>
      </c>
    </row>
    <row r="843" spans="3:3" x14ac:dyDescent="0.3">
      <c r="C843" s="14" t="str">
        <f t="shared" si="17"/>
        <v>19001</v>
      </c>
    </row>
    <row r="844" spans="3:3" x14ac:dyDescent="0.3">
      <c r="C844" s="14" t="str">
        <f t="shared" si="17"/>
        <v>19001</v>
      </c>
    </row>
    <row r="845" spans="3:3" x14ac:dyDescent="0.3">
      <c r="C845" s="14" t="str">
        <f t="shared" si="17"/>
        <v>19001</v>
      </c>
    </row>
    <row r="846" spans="3:3" x14ac:dyDescent="0.3">
      <c r="C846" s="14" t="str">
        <f t="shared" si="17"/>
        <v>19001</v>
      </c>
    </row>
    <row r="847" spans="3:3" x14ac:dyDescent="0.3">
      <c r="C847" s="14" t="str">
        <f t="shared" si="17"/>
        <v>19001</v>
      </c>
    </row>
    <row r="848" spans="3:3" x14ac:dyDescent="0.3">
      <c r="C848" s="14" t="str">
        <f t="shared" si="17"/>
        <v>19001</v>
      </c>
    </row>
    <row r="849" spans="3:3" x14ac:dyDescent="0.3">
      <c r="C849" s="14" t="str">
        <f t="shared" si="17"/>
        <v>19001</v>
      </c>
    </row>
    <row r="850" spans="3:3" x14ac:dyDescent="0.3">
      <c r="C850" s="14" t="str">
        <f t="shared" si="17"/>
        <v>19001</v>
      </c>
    </row>
    <row r="851" spans="3:3" x14ac:dyDescent="0.3">
      <c r="C851" s="14" t="str">
        <f t="shared" si="17"/>
        <v>19001</v>
      </c>
    </row>
    <row r="852" spans="3:3" x14ac:dyDescent="0.3">
      <c r="C852" s="14" t="str">
        <f t="shared" si="17"/>
        <v>19001</v>
      </c>
    </row>
    <row r="853" spans="3:3" x14ac:dyDescent="0.3">
      <c r="C853" s="14" t="str">
        <f t="shared" si="17"/>
        <v>19001</v>
      </c>
    </row>
    <row r="854" spans="3:3" x14ac:dyDescent="0.3">
      <c r="C854" s="14" t="str">
        <f t="shared" si="17"/>
        <v>19001</v>
      </c>
    </row>
    <row r="855" spans="3:3" x14ac:dyDescent="0.3">
      <c r="C855" s="14" t="str">
        <f t="shared" si="17"/>
        <v>19001</v>
      </c>
    </row>
    <row r="856" spans="3:3" x14ac:dyDescent="0.3">
      <c r="C856" s="14" t="str">
        <f t="shared" si="17"/>
        <v>19001</v>
      </c>
    </row>
    <row r="857" spans="3:3" x14ac:dyDescent="0.3">
      <c r="C857" s="14" t="str">
        <f t="shared" si="17"/>
        <v>19001</v>
      </c>
    </row>
    <row r="858" spans="3:3" x14ac:dyDescent="0.3">
      <c r="C858" s="14" t="str">
        <f t="shared" si="17"/>
        <v>19001</v>
      </c>
    </row>
    <row r="859" spans="3:3" x14ac:dyDescent="0.3">
      <c r="C859" s="14" t="str">
        <f t="shared" si="17"/>
        <v>19001</v>
      </c>
    </row>
    <row r="860" spans="3:3" x14ac:dyDescent="0.3">
      <c r="C860" s="14" t="str">
        <f t="shared" si="17"/>
        <v>19001</v>
      </c>
    </row>
    <row r="861" spans="3:3" x14ac:dyDescent="0.3">
      <c r="C861" s="14" t="str">
        <f t="shared" si="17"/>
        <v>19001</v>
      </c>
    </row>
    <row r="862" spans="3:3" x14ac:dyDescent="0.3">
      <c r="C862" s="14" t="str">
        <f t="shared" si="17"/>
        <v>19001</v>
      </c>
    </row>
    <row r="863" spans="3:3" x14ac:dyDescent="0.3">
      <c r="C863" s="14" t="str">
        <f t="shared" si="17"/>
        <v>19001</v>
      </c>
    </row>
    <row r="864" spans="3:3" x14ac:dyDescent="0.3">
      <c r="C864" s="14" t="str">
        <f t="shared" si="17"/>
        <v>19001</v>
      </c>
    </row>
    <row r="865" spans="3:3" x14ac:dyDescent="0.3">
      <c r="C865" s="14" t="str">
        <f t="shared" si="17"/>
        <v>19001</v>
      </c>
    </row>
    <row r="866" spans="3:3" x14ac:dyDescent="0.3">
      <c r="C866" s="14" t="str">
        <f t="shared" si="17"/>
        <v>19001</v>
      </c>
    </row>
    <row r="867" spans="3:3" x14ac:dyDescent="0.3">
      <c r="C867" s="14" t="str">
        <f t="shared" si="17"/>
        <v>19001</v>
      </c>
    </row>
    <row r="868" spans="3:3" x14ac:dyDescent="0.3">
      <c r="C868" s="14" t="str">
        <f t="shared" si="17"/>
        <v>19001</v>
      </c>
    </row>
    <row r="869" spans="3:3" x14ac:dyDescent="0.3">
      <c r="C869" s="14" t="str">
        <f t="shared" si="17"/>
        <v>19001</v>
      </c>
    </row>
    <row r="870" spans="3:3" x14ac:dyDescent="0.3">
      <c r="C870" s="14" t="str">
        <f t="shared" si="17"/>
        <v>19001</v>
      </c>
    </row>
    <row r="871" spans="3:3" x14ac:dyDescent="0.3">
      <c r="C871" s="14" t="str">
        <f t="shared" si="17"/>
        <v>19001</v>
      </c>
    </row>
    <row r="872" spans="3:3" x14ac:dyDescent="0.3">
      <c r="C872" s="14" t="str">
        <f t="shared" si="17"/>
        <v>19001</v>
      </c>
    </row>
    <row r="873" spans="3:3" x14ac:dyDescent="0.3">
      <c r="C873" s="14" t="str">
        <f t="shared" si="17"/>
        <v>19001</v>
      </c>
    </row>
    <row r="874" spans="3:3" x14ac:dyDescent="0.3">
      <c r="C874" s="14" t="str">
        <f t="shared" si="17"/>
        <v>19001</v>
      </c>
    </row>
    <row r="875" spans="3:3" x14ac:dyDescent="0.3">
      <c r="C875" s="14" t="str">
        <f t="shared" si="17"/>
        <v>19001</v>
      </c>
    </row>
    <row r="876" spans="3:3" x14ac:dyDescent="0.3">
      <c r="C876" s="14" t="str">
        <f t="shared" si="17"/>
        <v>19001</v>
      </c>
    </row>
    <row r="877" spans="3:3" x14ac:dyDescent="0.3">
      <c r="C877" s="14" t="str">
        <f t="shared" si="17"/>
        <v>19001</v>
      </c>
    </row>
    <row r="878" spans="3:3" x14ac:dyDescent="0.3">
      <c r="C878" s="14" t="str">
        <f t="shared" si="17"/>
        <v>19001</v>
      </c>
    </row>
    <row r="879" spans="3:3" x14ac:dyDescent="0.3">
      <c r="C879" s="14" t="str">
        <f t="shared" si="17"/>
        <v>19001</v>
      </c>
    </row>
    <row r="880" spans="3:3" x14ac:dyDescent="0.3">
      <c r="C880" s="14" t="str">
        <f t="shared" si="17"/>
        <v>19001</v>
      </c>
    </row>
    <row r="881" spans="3:3" x14ac:dyDescent="0.3">
      <c r="C881" s="14" t="str">
        <f t="shared" si="17"/>
        <v>19001</v>
      </c>
    </row>
    <row r="882" spans="3:3" x14ac:dyDescent="0.3">
      <c r="C882" s="14" t="str">
        <f t="shared" si="17"/>
        <v>19001</v>
      </c>
    </row>
    <row r="883" spans="3:3" x14ac:dyDescent="0.3">
      <c r="C883" s="14" t="str">
        <f t="shared" si="17"/>
        <v>19001</v>
      </c>
    </row>
    <row r="884" spans="3:3" x14ac:dyDescent="0.3">
      <c r="C884" s="14" t="str">
        <f t="shared" si="17"/>
        <v>19001</v>
      </c>
    </row>
    <row r="885" spans="3:3" x14ac:dyDescent="0.3">
      <c r="C885" s="14" t="str">
        <f t="shared" si="17"/>
        <v>19001</v>
      </c>
    </row>
    <row r="886" spans="3:3" x14ac:dyDescent="0.3">
      <c r="C886" s="14" t="str">
        <f t="shared" si="17"/>
        <v>19001</v>
      </c>
    </row>
    <row r="887" spans="3:3" x14ac:dyDescent="0.3">
      <c r="C887" s="14" t="str">
        <f t="shared" si="17"/>
        <v>19001</v>
      </c>
    </row>
    <row r="888" spans="3:3" x14ac:dyDescent="0.3">
      <c r="C888" s="14" t="str">
        <f t="shared" si="17"/>
        <v>19001</v>
      </c>
    </row>
    <row r="889" spans="3:3" x14ac:dyDescent="0.3">
      <c r="C889" s="14" t="str">
        <f t="shared" si="17"/>
        <v>19001</v>
      </c>
    </row>
    <row r="890" spans="3:3" x14ac:dyDescent="0.3">
      <c r="C890" s="14" t="str">
        <f t="shared" si="17"/>
        <v>19001</v>
      </c>
    </row>
    <row r="891" spans="3:3" x14ac:dyDescent="0.3">
      <c r="C891" s="14" t="str">
        <f t="shared" si="17"/>
        <v>19001</v>
      </c>
    </row>
    <row r="892" spans="3:3" x14ac:dyDescent="0.3">
      <c r="C892" s="14" t="str">
        <f t="shared" si="17"/>
        <v>19001</v>
      </c>
    </row>
    <row r="893" spans="3:3" x14ac:dyDescent="0.3">
      <c r="C893" s="14" t="str">
        <f t="shared" si="17"/>
        <v>19001</v>
      </c>
    </row>
    <row r="894" spans="3:3" x14ac:dyDescent="0.3">
      <c r="C894" s="14" t="str">
        <f t="shared" si="17"/>
        <v>19001</v>
      </c>
    </row>
    <row r="895" spans="3:3" x14ac:dyDescent="0.3">
      <c r="C895" s="14" t="str">
        <f t="shared" si="17"/>
        <v>19001</v>
      </c>
    </row>
    <row r="896" spans="3:3" x14ac:dyDescent="0.3">
      <c r="C896" s="14" t="str">
        <f t="shared" si="17"/>
        <v>19001</v>
      </c>
    </row>
    <row r="897" spans="3:3" x14ac:dyDescent="0.3">
      <c r="C897" s="14" t="str">
        <f t="shared" si="17"/>
        <v>19001</v>
      </c>
    </row>
    <row r="898" spans="3:3" x14ac:dyDescent="0.3">
      <c r="C898" s="14" t="str">
        <f t="shared" si="17"/>
        <v>19001</v>
      </c>
    </row>
    <row r="899" spans="3:3" x14ac:dyDescent="0.3">
      <c r="C899" s="14" t="str">
        <f t="shared" si="17"/>
        <v>19001</v>
      </c>
    </row>
    <row r="900" spans="3:3" x14ac:dyDescent="0.3">
      <c r="C900" s="14" t="str">
        <f t="shared" si="17"/>
        <v>19001</v>
      </c>
    </row>
    <row r="901" spans="3:3" x14ac:dyDescent="0.3">
      <c r="C901" s="14" t="str">
        <f t="shared" si="17"/>
        <v>19001</v>
      </c>
    </row>
    <row r="902" spans="3:3" x14ac:dyDescent="0.3">
      <c r="C902" s="14" t="str">
        <f t="shared" si="17"/>
        <v>19001</v>
      </c>
    </row>
    <row r="903" spans="3:3" x14ac:dyDescent="0.3">
      <c r="C903" s="14" t="str">
        <f t="shared" si="17"/>
        <v>19001</v>
      </c>
    </row>
    <row r="904" spans="3:3" x14ac:dyDescent="0.3">
      <c r="C904" s="14" t="str">
        <f t="shared" ref="C904:C967" si="18">YEAR(D904)&amp;MONTH(D904)</f>
        <v>19001</v>
      </c>
    </row>
    <row r="905" spans="3:3" x14ac:dyDescent="0.3">
      <c r="C905" s="14" t="str">
        <f t="shared" si="18"/>
        <v>19001</v>
      </c>
    </row>
    <row r="906" spans="3:3" x14ac:dyDescent="0.3">
      <c r="C906" s="14" t="str">
        <f t="shared" si="18"/>
        <v>19001</v>
      </c>
    </row>
    <row r="907" spans="3:3" x14ac:dyDescent="0.3">
      <c r="C907" s="14" t="str">
        <f t="shared" si="18"/>
        <v>19001</v>
      </c>
    </row>
    <row r="908" spans="3:3" x14ac:dyDescent="0.3">
      <c r="C908" s="14" t="str">
        <f t="shared" si="18"/>
        <v>19001</v>
      </c>
    </row>
    <row r="909" spans="3:3" x14ac:dyDescent="0.3">
      <c r="C909" s="14" t="str">
        <f t="shared" si="18"/>
        <v>19001</v>
      </c>
    </row>
    <row r="910" spans="3:3" x14ac:dyDescent="0.3">
      <c r="C910" s="14" t="str">
        <f t="shared" si="18"/>
        <v>19001</v>
      </c>
    </row>
    <row r="911" spans="3:3" x14ac:dyDescent="0.3">
      <c r="C911" s="14" t="str">
        <f t="shared" si="18"/>
        <v>19001</v>
      </c>
    </row>
    <row r="912" spans="3:3" x14ac:dyDescent="0.3">
      <c r="C912" s="14" t="str">
        <f t="shared" si="18"/>
        <v>19001</v>
      </c>
    </row>
    <row r="913" spans="3:3" x14ac:dyDescent="0.3">
      <c r="C913" s="14" t="str">
        <f t="shared" si="18"/>
        <v>19001</v>
      </c>
    </row>
    <row r="914" spans="3:3" x14ac:dyDescent="0.3">
      <c r="C914" s="14" t="str">
        <f t="shared" si="18"/>
        <v>19001</v>
      </c>
    </row>
    <row r="915" spans="3:3" x14ac:dyDescent="0.3">
      <c r="C915" s="14" t="str">
        <f t="shared" si="18"/>
        <v>19001</v>
      </c>
    </row>
    <row r="916" spans="3:3" x14ac:dyDescent="0.3">
      <c r="C916" s="14" t="str">
        <f t="shared" si="18"/>
        <v>19001</v>
      </c>
    </row>
    <row r="917" spans="3:3" x14ac:dyDescent="0.3">
      <c r="C917" s="14" t="str">
        <f t="shared" si="18"/>
        <v>19001</v>
      </c>
    </row>
    <row r="918" spans="3:3" x14ac:dyDescent="0.3">
      <c r="C918" s="14" t="str">
        <f t="shared" si="18"/>
        <v>19001</v>
      </c>
    </row>
    <row r="919" spans="3:3" x14ac:dyDescent="0.3">
      <c r="C919" s="14" t="str">
        <f t="shared" si="18"/>
        <v>19001</v>
      </c>
    </row>
    <row r="920" spans="3:3" x14ac:dyDescent="0.3">
      <c r="C920" s="14" t="str">
        <f t="shared" si="18"/>
        <v>19001</v>
      </c>
    </row>
    <row r="921" spans="3:3" x14ac:dyDescent="0.3">
      <c r="C921" s="14" t="str">
        <f t="shared" si="18"/>
        <v>19001</v>
      </c>
    </row>
    <row r="922" spans="3:3" x14ac:dyDescent="0.3">
      <c r="C922" s="14" t="str">
        <f t="shared" si="18"/>
        <v>19001</v>
      </c>
    </row>
    <row r="923" spans="3:3" x14ac:dyDescent="0.3">
      <c r="C923" s="14" t="str">
        <f t="shared" si="18"/>
        <v>19001</v>
      </c>
    </row>
    <row r="924" spans="3:3" x14ac:dyDescent="0.3">
      <c r="C924" s="14" t="str">
        <f t="shared" si="18"/>
        <v>19001</v>
      </c>
    </row>
    <row r="925" spans="3:3" x14ac:dyDescent="0.3">
      <c r="C925" s="14" t="str">
        <f t="shared" si="18"/>
        <v>19001</v>
      </c>
    </row>
    <row r="926" spans="3:3" x14ac:dyDescent="0.3">
      <c r="C926" s="14" t="str">
        <f t="shared" si="18"/>
        <v>19001</v>
      </c>
    </row>
    <row r="927" spans="3:3" x14ac:dyDescent="0.3">
      <c r="C927" s="14" t="str">
        <f t="shared" si="18"/>
        <v>19001</v>
      </c>
    </row>
    <row r="928" spans="3:3" x14ac:dyDescent="0.3">
      <c r="C928" s="14" t="str">
        <f t="shared" si="18"/>
        <v>19001</v>
      </c>
    </row>
    <row r="929" spans="3:3" x14ac:dyDescent="0.3">
      <c r="C929" s="14" t="str">
        <f t="shared" si="18"/>
        <v>19001</v>
      </c>
    </row>
    <row r="930" spans="3:3" x14ac:dyDescent="0.3">
      <c r="C930" s="14" t="str">
        <f t="shared" si="18"/>
        <v>19001</v>
      </c>
    </row>
    <row r="931" spans="3:3" x14ac:dyDescent="0.3">
      <c r="C931" s="14" t="str">
        <f t="shared" si="18"/>
        <v>19001</v>
      </c>
    </row>
    <row r="932" spans="3:3" x14ac:dyDescent="0.3">
      <c r="C932" s="14" t="str">
        <f t="shared" si="18"/>
        <v>19001</v>
      </c>
    </row>
    <row r="933" spans="3:3" x14ac:dyDescent="0.3">
      <c r="C933" s="14" t="str">
        <f t="shared" si="18"/>
        <v>19001</v>
      </c>
    </row>
    <row r="934" spans="3:3" x14ac:dyDescent="0.3">
      <c r="C934" s="14" t="str">
        <f t="shared" si="18"/>
        <v>19001</v>
      </c>
    </row>
    <row r="935" spans="3:3" x14ac:dyDescent="0.3">
      <c r="C935" s="14" t="str">
        <f t="shared" si="18"/>
        <v>19001</v>
      </c>
    </row>
    <row r="936" spans="3:3" x14ac:dyDescent="0.3">
      <c r="C936" s="14" t="str">
        <f t="shared" si="18"/>
        <v>19001</v>
      </c>
    </row>
    <row r="937" spans="3:3" x14ac:dyDescent="0.3">
      <c r="C937" s="14" t="str">
        <f t="shared" si="18"/>
        <v>19001</v>
      </c>
    </row>
    <row r="938" spans="3:3" x14ac:dyDescent="0.3">
      <c r="C938" s="14" t="str">
        <f t="shared" si="18"/>
        <v>19001</v>
      </c>
    </row>
    <row r="939" spans="3:3" x14ac:dyDescent="0.3">
      <c r="C939" s="14" t="str">
        <f t="shared" si="18"/>
        <v>19001</v>
      </c>
    </row>
    <row r="940" spans="3:3" x14ac:dyDescent="0.3">
      <c r="C940" s="14" t="str">
        <f t="shared" si="18"/>
        <v>19001</v>
      </c>
    </row>
    <row r="941" spans="3:3" x14ac:dyDescent="0.3">
      <c r="C941" s="14" t="str">
        <f t="shared" si="18"/>
        <v>19001</v>
      </c>
    </row>
    <row r="942" spans="3:3" x14ac:dyDescent="0.3">
      <c r="C942" s="14" t="str">
        <f t="shared" si="18"/>
        <v>19001</v>
      </c>
    </row>
    <row r="943" spans="3:3" x14ac:dyDescent="0.3">
      <c r="C943" s="14" t="str">
        <f t="shared" si="18"/>
        <v>19001</v>
      </c>
    </row>
    <row r="944" spans="3:3" x14ac:dyDescent="0.3">
      <c r="C944" s="14" t="str">
        <f t="shared" si="18"/>
        <v>19001</v>
      </c>
    </row>
    <row r="945" spans="3:3" x14ac:dyDescent="0.3">
      <c r="C945" s="14" t="str">
        <f t="shared" si="18"/>
        <v>19001</v>
      </c>
    </row>
    <row r="946" spans="3:3" x14ac:dyDescent="0.3">
      <c r="C946" s="14" t="str">
        <f t="shared" si="18"/>
        <v>19001</v>
      </c>
    </row>
    <row r="947" spans="3:3" x14ac:dyDescent="0.3">
      <c r="C947" s="14" t="str">
        <f t="shared" si="18"/>
        <v>19001</v>
      </c>
    </row>
    <row r="948" spans="3:3" x14ac:dyDescent="0.3">
      <c r="C948" s="14" t="str">
        <f t="shared" si="18"/>
        <v>19001</v>
      </c>
    </row>
    <row r="949" spans="3:3" x14ac:dyDescent="0.3">
      <c r="C949" s="14" t="str">
        <f t="shared" si="18"/>
        <v>19001</v>
      </c>
    </row>
    <row r="950" spans="3:3" x14ac:dyDescent="0.3">
      <c r="C950" s="14" t="str">
        <f t="shared" si="18"/>
        <v>19001</v>
      </c>
    </row>
    <row r="951" spans="3:3" x14ac:dyDescent="0.3">
      <c r="C951" s="14" t="str">
        <f t="shared" si="18"/>
        <v>19001</v>
      </c>
    </row>
    <row r="952" spans="3:3" x14ac:dyDescent="0.3">
      <c r="C952" s="14" t="str">
        <f t="shared" si="18"/>
        <v>19001</v>
      </c>
    </row>
    <row r="953" spans="3:3" x14ac:dyDescent="0.3">
      <c r="C953" s="14" t="str">
        <f t="shared" si="18"/>
        <v>19001</v>
      </c>
    </row>
    <row r="954" spans="3:3" x14ac:dyDescent="0.3">
      <c r="C954" s="14" t="str">
        <f t="shared" si="18"/>
        <v>19001</v>
      </c>
    </row>
    <row r="955" spans="3:3" x14ac:dyDescent="0.3">
      <c r="C955" s="14" t="str">
        <f t="shared" si="18"/>
        <v>19001</v>
      </c>
    </row>
    <row r="956" spans="3:3" x14ac:dyDescent="0.3">
      <c r="C956" s="14" t="str">
        <f t="shared" si="18"/>
        <v>19001</v>
      </c>
    </row>
    <row r="957" spans="3:3" x14ac:dyDescent="0.3">
      <c r="C957" s="14" t="str">
        <f t="shared" si="18"/>
        <v>19001</v>
      </c>
    </row>
    <row r="958" spans="3:3" x14ac:dyDescent="0.3">
      <c r="C958" s="14" t="str">
        <f t="shared" si="18"/>
        <v>19001</v>
      </c>
    </row>
    <row r="959" spans="3:3" x14ac:dyDescent="0.3">
      <c r="C959" s="14" t="str">
        <f t="shared" si="18"/>
        <v>19001</v>
      </c>
    </row>
    <row r="960" spans="3:3" x14ac:dyDescent="0.3">
      <c r="C960" s="14" t="str">
        <f t="shared" si="18"/>
        <v>19001</v>
      </c>
    </row>
    <row r="961" spans="3:3" x14ac:dyDescent="0.3">
      <c r="C961" s="14" t="str">
        <f t="shared" si="18"/>
        <v>19001</v>
      </c>
    </row>
    <row r="962" spans="3:3" x14ac:dyDescent="0.3">
      <c r="C962" s="14" t="str">
        <f t="shared" si="18"/>
        <v>19001</v>
      </c>
    </row>
    <row r="963" spans="3:3" x14ac:dyDescent="0.3">
      <c r="C963" s="14" t="str">
        <f t="shared" si="18"/>
        <v>19001</v>
      </c>
    </row>
    <row r="964" spans="3:3" x14ac:dyDescent="0.3">
      <c r="C964" s="14" t="str">
        <f t="shared" si="18"/>
        <v>19001</v>
      </c>
    </row>
    <row r="965" spans="3:3" x14ac:dyDescent="0.3">
      <c r="C965" s="14" t="str">
        <f t="shared" si="18"/>
        <v>19001</v>
      </c>
    </row>
    <row r="966" spans="3:3" x14ac:dyDescent="0.3">
      <c r="C966" s="14" t="str">
        <f t="shared" si="18"/>
        <v>19001</v>
      </c>
    </row>
    <row r="967" spans="3:3" x14ac:dyDescent="0.3">
      <c r="C967" s="14" t="str">
        <f t="shared" si="18"/>
        <v>19001</v>
      </c>
    </row>
    <row r="968" spans="3:3" x14ac:dyDescent="0.3">
      <c r="C968" s="14" t="str">
        <f t="shared" ref="C968:C1031" si="19">YEAR(D968)&amp;MONTH(D968)</f>
        <v>19001</v>
      </c>
    </row>
    <row r="969" spans="3:3" x14ac:dyDescent="0.3">
      <c r="C969" s="14" t="str">
        <f t="shared" si="19"/>
        <v>19001</v>
      </c>
    </row>
    <row r="970" spans="3:3" x14ac:dyDescent="0.3">
      <c r="C970" s="14" t="str">
        <f t="shared" si="19"/>
        <v>19001</v>
      </c>
    </row>
    <row r="971" spans="3:3" x14ac:dyDescent="0.3">
      <c r="C971" s="14" t="str">
        <f t="shared" si="19"/>
        <v>19001</v>
      </c>
    </row>
    <row r="972" spans="3:3" x14ac:dyDescent="0.3">
      <c r="C972" s="14" t="str">
        <f t="shared" si="19"/>
        <v>19001</v>
      </c>
    </row>
    <row r="973" spans="3:3" x14ac:dyDescent="0.3">
      <c r="C973" s="14" t="str">
        <f t="shared" si="19"/>
        <v>19001</v>
      </c>
    </row>
    <row r="974" spans="3:3" x14ac:dyDescent="0.3">
      <c r="C974" s="14" t="str">
        <f t="shared" si="19"/>
        <v>19001</v>
      </c>
    </row>
    <row r="975" spans="3:3" x14ac:dyDescent="0.3">
      <c r="C975" s="14" t="str">
        <f t="shared" si="19"/>
        <v>19001</v>
      </c>
    </row>
    <row r="976" spans="3:3" x14ac:dyDescent="0.3">
      <c r="C976" s="14" t="str">
        <f t="shared" si="19"/>
        <v>19001</v>
      </c>
    </row>
    <row r="977" spans="3:3" x14ac:dyDescent="0.3">
      <c r="C977" s="14" t="str">
        <f t="shared" si="19"/>
        <v>19001</v>
      </c>
    </row>
    <row r="978" spans="3:3" x14ac:dyDescent="0.3">
      <c r="C978" s="14" t="str">
        <f t="shared" si="19"/>
        <v>19001</v>
      </c>
    </row>
    <row r="979" spans="3:3" x14ac:dyDescent="0.3">
      <c r="C979" s="14" t="str">
        <f t="shared" si="19"/>
        <v>19001</v>
      </c>
    </row>
    <row r="980" spans="3:3" x14ac:dyDescent="0.3">
      <c r="C980" s="14" t="str">
        <f t="shared" si="19"/>
        <v>19001</v>
      </c>
    </row>
    <row r="981" spans="3:3" x14ac:dyDescent="0.3">
      <c r="C981" s="14" t="str">
        <f t="shared" si="19"/>
        <v>19001</v>
      </c>
    </row>
    <row r="982" spans="3:3" x14ac:dyDescent="0.3">
      <c r="C982" s="14" t="str">
        <f t="shared" si="19"/>
        <v>19001</v>
      </c>
    </row>
    <row r="983" spans="3:3" x14ac:dyDescent="0.3">
      <c r="C983" s="14" t="str">
        <f t="shared" si="19"/>
        <v>19001</v>
      </c>
    </row>
    <row r="984" spans="3:3" x14ac:dyDescent="0.3">
      <c r="C984" s="14" t="str">
        <f t="shared" si="19"/>
        <v>19001</v>
      </c>
    </row>
    <row r="985" spans="3:3" x14ac:dyDescent="0.3">
      <c r="C985" s="14" t="str">
        <f t="shared" si="19"/>
        <v>19001</v>
      </c>
    </row>
    <row r="986" spans="3:3" x14ac:dyDescent="0.3">
      <c r="C986" s="14" t="str">
        <f t="shared" si="19"/>
        <v>19001</v>
      </c>
    </row>
    <row r="987" spans="3:3" x14ac:dyDescent="0.3">
      <c r="C987" s="14" t="str">
        <f t="shared" si="19"/>
        <v>19001</v>
      </c>
    </row>
    <row r="988" spans="3:3" x14ac:dyDescent="0.3">
      <c r="C988" s="14" t="str">
        <f t="shared" si="19"/>
        <v>19001</v>
      </c>
    </row>
    <row r="989" spans="3:3" x14ac:dyDescent="0.3">
      <c r="C989" s="14" t="str">
        <f t="shared" si="19"/>
        <v>19001</v>
      </c>
    </row>
    <row r="990" spans="3:3" x14ac:dyDescent="0.3">
      <c r="C990" s="14" t="str">
        <f t="shared" si="19"/>
        <v>19001</v>
      </c>
    </row>
    <row r="991" spans="3:3" x14ac:dyDescent="0.3">
      <c r="C991" s="14" t="str">
        <f t="shared" si="19"/>
        <v>19001</v>
      </c>
    </row>
    <row r="992" spans="3:3" x14ac:dyDescent="0.3">
      <c r="C992" s="14" t="str">
        <f t="shared" si="19"/>
        <v>19001</v>
      </c>
    </row>
    <row r="993" spans="3:3" x14ac:dyDescent="0.3">
      <c r="C993" s="14" t="str">
        <f t="shared" si="19"/>
        <v>19001</v>
      </c>
    </row>
    <row r="994" spans="3:3" x14ac:dyDescent="0.3">
      <c r="C994" s="14" t="str">
        <f t="shared" si="19"/>
        <v>19001</v>
      </c>
    </row>
    <row r="995" spans="3:3" x14ac:dyDescent="0.3">
      <c r="C995" s="14" t="str">
        <f t="shared" si="19"/>
        <v>19001</v>
      </c>
    </row>
    <row r="996" spans="3:3" x14ac:dyDescent="0.3">
      <c r="C996" s="14" t="str">
        <f t="shared" si="19"/>
        <v>19001</v>
      </c>
    </row>
    <row r="997" spans="3:3" x14ac:dyDescent="0.3">
      <c r="C997" s="14" t="str">
        <f t="shared" si="19"/>
        <v>19001</v>
      </c>
    </row>
    <row r="998" spans="3:3" x14ac:dyDescent="0.3">
      <c r="C998" s="14" t="str">
        <f t="shared" si="19"/>
        <v>19001</v>
      </c>
    </row>
    <row r="999" spans="3:3" x14ac:dyDescent="0.3">
      <c r="C999" s="14" t="str">
        <f t="shared" si="19"/>
        <v>19001</v>
      </c>
    </row>
    <row r="1000" spans="3:3" x14ac:dyDescent="0.3">
      <c r="C1000" s="14" t="str">
        <f t="shared" si="19"/>
        <v>19001</v>
      </c>
    </row>
    <row r="1001" spans="3:3" x14ac:dyDescent="0.3">
      <c r="C1001" s="14" t="str">
        <f t="shared" si="19"/>
        <v>19001</v>
      </c>
    </row>
    <row r="1002" spans="3:3" x14ac:dyDescent="0.3">
      <c r="C1002" s="14" t="str">
        <f t="shared" si="19"/>
        <v>19001</v>
      </c>
    </row>
    <row r="1003" spans="3:3" x14ac:dyDescent="0.3">
      <c r="C1003" s="14" t="str">
        <f t="shared" si="19"/>
        <v>19001</v>
      </c>
    </row>
    <row r="1004" spans="3:3" x14ac:dyDescent="0.3">
      <c r="C1004" s="14" t="str">
        <f t="shared" si="19"/>
        <v>19001</v>
      </c>
    </row>
    <row r="1005" spans="3:3" x14ac:dyDescent="0.3">
      <c r="C1005" s="14" t="str">
        <f t="shared" si="19"/>
        <v>19001</v>
      </c>
    </row>
    <row r="1006" spans="3:3" x14ac:dyDescent="0.3">
      <c r="C1006" s="14" t="str">
        <f t="shared" si="19"/>
        <v>19001</v>
      </c>
    </row>
    <row r="1007" spans="3:3" x14ac:dyDescent="0.3">
      <c r="C1007" s="14" t="str">
        <f t="shared" si="19"/>
        <v>19001</v>
      </c>
    </row>
    <row r="1008" spans="3:3" x14ac:dyDescent="0.3">
      <c r="C1008" s="14" t="str">
        <f t="shared" si="19"/>
        <v>19001</v>
      </c>
    </row>
    <row r="1009" spans="3:3" x14ac:dyDescent="0.3">
      <c r="C1009" s="14" t="str">
        <f t="shared" si="19"/>
        <v>19001</v>
      </c>
    </row>
    <row r="1010" spans="3:3" x14ac:dyDescent="0.3">
      <c r="C1010" s="14" t="str">
        <f t="shared" si="19"/>
        <v>19001</v>
      </c>
    </row>
    <row r="1011" spans="3:3" x14ac:dyDescent="0.3">
      <c r="C1011" s="14" t="str">
        <f t="shared" si="19"/>
        <v>19001</v>
      </c>
    </row>
    <row r="1012" spans="3:3" x14ac:dyDescent="0.3">
      <c r="C1012" s="14" t="str">
        <f t="shared" si="19"/>
        <v>19001</v>
      </c>
    </row>
    <row r="1013" spans="3:3" x14ac:dyDescent="0.3">
      <c r="C1013" s="14" t="str">
        <f t="shared" si="19"/>
        <v>19001</v>
      </c>
    </row>
    <row r="1014" spans="3:3" x14ac:dyDescent="0.3">
      <c r="C1014" s="14" t="str">
        <f t="shared" si="19"/>
        <v>19001</v>
      </c>
    </row>
    <row r="1015" spans="3:3" x14ac:dyDescent="0.3">
      <c r="C1015" s="14" t="str">
        <f t="shared" si="19"/>
        <v>19001</v>
      </c>
    </row>
    <row r="1016" spans="3:3" x14ac:dyDescent="0.3">
      <c r="C1016" s="14" t="str">
        <f t="shared" si="19"/>
        <v>19001</v>
      </c>
    </row>
    <row r="1017" spans="3:3" x14ac:dyDescent="0.3">
      <c r="C1017" s="14" t="str">
        <f t="shared" si="19"/>
        <v>19001</v>
      </c>
    </row>
    <row r="1018" spans="3:3" x14ac:dyDescent="0.3">
      <c r="C1018" s="14" t="str">
        <f t="shared" si="19"/>
        <v>19001</v>
      </c>
    </row>
    <row r="1019" spans="3:3" x14ac:dyDescent="0.3">
      <c r="C1019" s="14" t="str">
        <f t="shared" si="19"/>
        <v>19001</v>
      </c>
    </row>
    <row r="1020" spans="3:3" x14ac:dyDescent="0.3">
      <c r="C1020" s="14" t="str">
        <f t="shared" si="19"/>
        <v>19001</v>
      </c>
    </row>
    <row r="1021" spans="3:3" x14ac:dyDescent="0.3">
      <c r="C1021" s="14" t="str">
        <f t="shared" si="19"/>
        <v>19001</v>
      </c>
    </row>
    <row r="1022" spans="3:3" x14ac:dyDescent="0.3">
      <c r="C1022" s="14" t="str">
        <f t="shared" si="19"/>
        <v>19001</v>
      </c>
    </row>
    <row r="1023" spans="3:3" x14ac:dyDescent="0.3">
      <c r="C1023" s="14" t="str">
        <f t="shared" si="19"/>
        <v>19001</v>
      </c>
    </row>
    <row r="1024" spans="3:3" x14ac:dyDescent="0.3">
      <c r="C1024" s="14" t="str">
        <f t="shared" si="19"/>
        <v>19001</v>
      </c>
    </row>
    <row r="1025" spans="3:3" x14ac:dyDescent="0.3">
      <c r="C1025" s="14" t="str">
        <f t="shared" si="19"/>
        <v>19001</v>
      </c>
    </row>
    <row r="1026" spans="3:3" x14ac:dyDescent="0.3">
      <c r="C1026" s="14" t="str">
        <f t="shared" si="19"/>
        <v>19001</v>
      </c>
    </row>
    <row r="1027" spans="3:3" x14ac:dyDescent="0.3">
      <c r="C1027" s="14" t="str">
        <f t="shared" si="19"/>
        <v>19001</v>
      </c>
    </row>
    <row r="1028" spans="3:3" x14ac:dyDescent="0.3">
      <c r="C1028" s="14" t="str">
        <f t="shared" si="19"/>
        <v>19001</v>
      </c>
    </row>
    <row r="1029" spans="3:3" x14ac:dyDescent="0.3">
      <c r="C1029" s="14" t="str">
        <f t="shared" si="19"/>
        <v>19001</v>
      </c>
    </row>
    <row r="1030" spans="3:3" x14ac:dyDescent="0.3">
      <c r="C1030" s="14" t="str">
        <f t="shared" si="19"/>
        <v>19001</v>
      </c>
    </row>
    <row r="1031" spans="3:3" x14ac:dyDescent="0.3">
      <c r="C1031" s="14" t="str">
        <f t="shared" si="19"/>
        <v>19001</v>
      </c>
    </row>
    <row r="1032" spans="3:3" x14ac:dyDescent="0.3">
      <c r="C1032" s="14" t="str">
        <f t="shared" ref="C1032:C1095" si="20">YEAR(D1032)&amp;MONTH(D1032)</f>
        <v>19001</v>
      </c>
    </row>
    <row r="1033" spans="3:3" x14ac:dyDescent="0.3">
      <c r="C1033" s="14" t="str">
        <f t="shared" si="20"/>
        <v>19001</v>
      </c>
    </row>
    <row r="1034" spans="3:3" x14ac:dyDescent="0.3">
      <c r="C1034" s="14" t="str">
        <f t="shared" si="20"/>
        <v>19001</v>
      </c>
    </row>
    <row r="1035" spans="3:3" x14ac:dyDescent="0.3">
      <c r="C1035" s="14" t="str">
        <f t="shared" si="20"/>
        <v>19001</v>
      </c>
    </row>
    <row r="1036" spans="3:3" x14ac:dyDescent="0.3">
      <c r="C1036" s="14" t="str">
        <f t="shared" si="20"/>
        <v>19001</v>
      </c>
    </row>
    <row r="1037" spans="3:3" x14ac:dyDescent="0.3">
      <c r="C1037" s="14" t="str">
        <f t="shared" si="20"/>
        <v>19001</v>
      </c>
    </row>
    <row r="1038" spans="3:3" x14ac:dyDescent="0.3">
      <c r="C1038" s="14" t="str">
        <f t="shared" si="20"/>
        <v>19001</v>
      </c>
    </row>
    <row r="1039" spans="3:3" x14ac:dyDescent="0.3">
      <c r="C1039" s="14" t="str">
        <f t="shared" si="20"/>
        <v>19001</v>
      </c>
    </row>
    <row r="1040" spans="3:3" x14ac:dyDescent="0.3">
      <c r="C1040" s="14" t="str">
        <f t="shared" si="20"/>
        <v>19001</v>
      </c>
    </row>
    <row r="1041" spans="3:3" x14ac:dyDescent="0.3">
      <c r="C1041" s="14" t="str">
        <f t="shared" si="20"/>
        <v>19001</v>
      </c>
    </row>
    <row r="1042" spans="3:3" x14ac:dyDescent="0.3">
      <c r="C1042" s="14" t="str">
        <f t="shared" si="20"/>
        <v>19001</v>
      </c>
    </row>
    <row r="1043" spans="3:3" x14ac:dyDescent="0.3">
      <c r="C1043" s="14" t="str">
        <f t="shared" si="20"/>
        <v>19001</v>
      </c>
    </row>
    <row r="1044" spans="3:3" x14ac:dyDescent="0.3">
      <c r="C1044" s="14" t="str">
        <f t="shared" si="20"/>
        <v>19001</v>
      </c>
    </row>
    <row r="1045" spans="3:3" x14ac:dyDescent="0.3">
      <c r="C1045" s="14" t="str">
        <f t="shared" si="20"/>
        <v>19001</v>
      </c>
    </row>
    <row r="1046" spans="3:3" x14ac:dyDescent="0.3">
      <c r="C1046" s="14" t="str">
        <f t="shared" si="20"/>
        <v>19001</v>
      </c>
    </row>
    <row r="1047" spans="3:3" x14ac:dyDescent="0.3">
      <c r="C1047" s="14" t="str">
        <f t="shared" si="20"/>
        <v>19001</v>
      </c>
    </row>
    <row r="1048" spans="3:3" x14ac:dyDescent="0.3">
      <c r="C1048" s="14" t="str">
        <f t="shared" si="20"/>
        <v>19001</v>
      </c>
    </row>
    <row r="1049" spans="3:3" x14ac:dyDescent="0.3">
      <c r="C1049" s="14" t="str">
        <f t="shared" si="20"/>
        <v>19001</v>
      </c>
    </row>
    <row r="1050" spans="3:3" x14ac:dyDescent="0.3">
      <c r="C1050" s="14" t="str">
        <f t="shared" si="20"/>
        <v>19001</v>
      </c>
    </row>
    <row r="1051" spans="3:3" x14ac:dyDescent="0.3">
      <c r="C1051" s="14" t="str">
        <f t="shared" si="20"/>
        <v>19001</v>
      </c>
    </row>
    <row r="1052" spans="3:3" x14ac:dyDescent="0.3">
      <c r="C1052" s="14" t="str">
        <f t="shared" si="20"/>
        <v>19001</v>
      </c>
    </row>
    <row r="1053" spans="3:3" x14ac:dyDescent="0.3">
      <c r="C1053" s="14" t="str">
        <f t="shared" si="20"/>
        <v>19001</v>
      </c>
    </row>
    <row r="1054" spans="3:3" x14ac:dyDescent="0.3">
      <c r="C1054" s="14" t="str">
        <f t="shared" si="20"/>
        <v>19001</v>
      </c>
    </row>
    <row r="1055" spans="3:3" x14ac:dyDescent="0.3">
      <c r="C1055" s="14" t="str">
        <f t="shared" si="20"/>
        <v>19001</v>
      </c>
    </row>
    <row r="1056" spans="3:3" x14ac:dyDescent="0.3">
      <c r="C1056" s="14" t="str">
        <f t="shared" si="20"/>
        <v>19001</v>
      </c>
    </row>
    <row r="1057" spans="3:3" x14ac:dyDescent="0.3">
      <c r="C1057" s="14" t="str">
        <f t="shared" si="20"/>
        <v>19001</v>
      </c>
    </row>
    <row r="1058" spans="3:3" x14ac:dyDescent="0.3">
      <c r="C1058" s="14" t="str">
        <f t="shared" si="20"/>
        <v>19001</v>
      </c>
    </row>
    <row r="1059" spans="3:3" x14ac:dyDescent="0.3">
      <c r="C1059" s="14" t="str">
        <f t="shared" si="20"/>
        <v>19001</v>
      </c>
    </row>
    <row r="1060" spans="3:3" x14ac:dyDescent="0.3">
      <c r="C1060" s="14" t="str">
        <f t="shared" si="20"/>
        <v>19001</v>
      </c>
    </row>
    <row r="1061" spans="3:3" x14ac:dyDescent="0.3">
      <c r="C1061" s="14" t="str">
        <f t="shared" si="20"/>
        <v>19001</v>
      </c>
    </row>
    <row r="1062" spans="3:3" x14ac:dyDescent="0.3">
      <c r="C1062" s="14" t="str">
        <f t="shared" si="20"/>
        <v>19001</v>
      </c>
    </row>
    <row r="1063" spans="3:3" x14ac:dyDescent="0.3">
      <c r="C1063" s="14" t="str">
        <f t="shared" si="20"/>
        <v>19001</v>
      </c>
    </row>
    <row r="1064" spans="3:3" x14ac:dyDescent="0.3">
      <c r="C1064" s="14" t="str">
        <f t="shared" si="20"/>
        <v>19001</v>
      </c>
    </row>
    <row r="1065" spans="3:3" x14ac:dyDescent="0.3">
      <c r="C1065" s="14" t="str">
        <f t="shared" si="20"/>
        <v>19001</v>
      </c>
    </row>
    <row r="1066" spans="3:3" x14ac:dyDescent="0.3">
      <c r="C1066" s="14" t="str">
        <f t="shared" si="20"/>
        <v>19001</v>
      </c>
    </row>
    <row r="1067" spans="3:3" x14ac:dyDescent="0.3">
      <c r="C1067" s="14" t="str">
        <f t="shared" si="20"/>
        <v>19001</v>
      </c>
    </row>
    <row r="1068" spans="3:3" x14ac:dyDescent="0.3">
      <c r="C1068" s="14" t="str">
        <f t="shared" si="20"/>
        <v>19001</v>
      </c>
    </row>
    <row r="1069" spans="3:3" x14ac:dyDescent="0.3">
      <c r="C1069" s="14" t="str">
        <f t="shared" si="20"/>
        <v>19001</v>
      </c>
    </row>
    <row r="1070" spans="3:3" x14ac:dyDescent="0.3">
      <c r="C1070" s="14" t="str">
        <f t="shared" si="20"/>
        <v>19001</v>
      </c>
    </row>
    <row r="1071" spans="3:3" x14ac:dyDescent="0.3">
      <c r="C1071" s="14" t="str">
        <f t="shared" si="20"/>
        <v>19001</v>
      </c>
    </row>
    <row r="1072" spans="3:3" x14ac:dyDescent="0.3">
      <c r="C1072" s="14" t="str">
        <f t="shared" si="20"/>
        <v>19001</v>
      </c>
    </row>
    <row r="1073" spans="3:3" x14ac:dyDescent="0.3">
      <c r="C1073" s="14" t="str">
        <f t="shared" si="20"/>
        <v>19001</v>
      </c>
    </row>
    <row r="1074" spans="3:3" x14ac:dyDescent="0.3">
      <c r="C1074" s="14" t="str">
        <f t="shared" si="20"/>
        <v>19001</v>
      </c>
    </row>
    <row r="1075" spans="3:3" x14ac:dyDescent="0.3">
      <c r="C1075" s="14" t="str">
        <f t="shared" si="20"/>
        <v>19001</v>
      </c>
    </row>
    <row r="1076" spans="3:3" x14ac:dyDescent="0.3">
      <c r="C1076" s="14" t="str">
        <f t="shared" si="20"/>
        <v>19001</v>
      </c>
    </row>
    <row r="1077" spans="3:3" x14ac:dyDescent="0.3">
      <c r="C1077" s="14" t="str">
        <f t="shared" si="20"/>
        <v>19001</v>
      </c>
    </row>
    <row r="1078" spans="3:3" x14ac:dyDescent="0.3">
      <c r="C1078" s="14" t="str">
        <f t="shared" si="20"/>
        <v>19001</v>
      </c>
    </row>
    <row r="1079" spans="3:3" x14ac:dyDescent="0.3">
      <c r="C1079" s="14" t="str">
        <f t="shared" si="20"/>
        <v>19001</v>
      </c>
    </row>
    <row r="1080" spans="3:3" x14ac:dyDescent="0.3">
      <c r="C1080" s="14" t="str">
        <f t="shared" si="20"/>
        <v>19001</v>
      </c>
    </row>
    <row r="1081" spans="3:3" x14ac:dyDescent="0.3">
      <c r="C1081" s="14" t="str">
        <f t="shared" si="20"/>
        <v>19001</v>
      </c>
    </row>
    <row r="1082" spans="3:3" x14ac:dyDescent="0.3">
      <c r="C1082" s="14" t="str">
        <f t="shared" si="20"/>
        <v>19001</v>
      </c>
    </row>
    <row r="1083" spans="3:3" x14ac:dyDescent="0.3">
      <c r="C1083" s="14" t="str">
        <f t="shared" si="20"/>
        <v>19001</v>
      </c>
    </row>
    <row r="1084" spans="3:3" x14ac:dyDescent="0.3">
      <c r="C1084" s="14" t="str">
        <f t="shared" si="20"/>
        <v>19001</v>
      </c>
    </row>
    <row r="1085" spans="3:3" x14ac:dyDescent="0.3">
      <c r="C1085" s="14" t="str">
        <f t="shared" si="20"/>
        <v>19001</v>
      </c>
    </row>
    <row r="1086" spans="3:3" x14ac:dyDescent="0.3">
      <c r="C1086" s="14" t="str">
        <f t="shared" si="20"/>
        <v>19001</v>
      </c>
    </row>
    <row r="1087" spans="3:3" x14ac:dyDescent="0.3">
      <c r="C1087" s="14" t="str">
        <f t="shared" si="20"/>
        <v>19001</v>
      </c>
    </row>
    <row r="1088" spans="3:3" x14ac:dyDescent="0.3">
      <c r="C1088" s="14" t="str">
        <f t="shared" si="20"/>
        <v>19001</v>
      </c>
    </row>
    <row r="1089" spans="3:3" x14ac:dyDescent="0.3">
      <c r="C1089" s="14" t="str">
        <f t="shared" si="20"/>
        <v>19001</v>
      </c>
    </row>
    <row r="1090" spans="3:3" x14ac:dyDescent="0.3">
      <c r="C1090" s="14" t="str">
        <f t="shared" si="20"/>
        <v>19001</v>
      </c>
    </row>
    <row r="1091" spans="3:3" x14ac:dyDescent="0.3">
      <c r="C1091" s="14" t="str">
        <f t="shared" si="20"/>
        <v>19001</v>
      </c>
    </row>
    <row r="1092" spans="3:3" x14ac:dyDescent="0.3">
      <c r="C1092" s="14" t="str">
        <f t="shared" si="20"/>
        <v>19001</v>
      </c>
    </row>
    <row r="1093" spans="3:3" x14ac:dyDescent="0.3">
      <c r="C1093" s="14" t="str">
        <f t="shared" si="20"/>
        <v>19001</v>
      </c>
    </row>
    <row r="1094" spans="3:3" x14ac:dyDescent="0.3">
      <c r="C1094" s="14" t="str">
        <f t="shared" si="20"/>
        <v>19001</v>
      </c>
    </row>
    <row r="1095" spans="3:3" x14ac:dyDescent="0.3">
      <c r="C1095" s="14" t="str">
        <f t="shared" si="20"/>
        <v>19001</v>
      </c>
    </row>
    <row r="1096" spans="3:3" x14ac:dyDescent="0.3">
      <c r="C1096" s="14" t="str">
        <f t="shared" ref="C1096:C1159" si="21">YEAR(D1096)&amp;MONTH(D1096)</f>
        <v>19001</v>
      </c>
    </row>
    <row r="1097" spans="3:3" x14ac:dyDescent="0.3">
      <c r="C1097" s="14" t="str">
        <f t="shared" si="21"/>
        <v>19001</v>
      </c>
    </row>
    <row r="1098" spans="3:3" x14ac:dyDescent="0.3">
      <c r="C1098" s="14" t="str">
        <f t="shared" si="21"/>
        <v>19001</v>
      </c>
    </row>
    <row r="1099" spans="3:3" x14ac:dyDescent="0.3">
      <c r="C1099" s="14" t="str">
        <f t="shared" si="21"/>
        <v>19001</v>
      </c>
    </row>
    <row r="1100" spans="3:3" x14ac:dyDescent="0.3">
      <c r="C1100" s="14" t="str">
        <f t="shared" si="21"/>
        <v>19001</v>
      </c>
    </row>
    <row r="1101" spans="3:3" x14ac:dyDescent="0.3">
      <c r="C1101" s="14" t="str">
        <f t="shared" si="21"/>
        <v>19001</v>
      </c>
    </row>
    <row r="1102" spans="3:3" x14ac:dyDescent="0.3">
      <c r="C1102" s="14" t="str">
        <f t="shared" si="21"/>
        <v>19001</v>
      </c>
    </row>
    <row r="1103" spans="3:3" x14ac:dyDescent="0.3">
      <c r="C1103" s="14" t="str">
        <f t="shared" si="21"/>
        <v>19001</v>
      </c>
    </row>
    <row r="1104" spans="3:3" x14ac:dyDescent="0.3">
      <c r="C1104" s="14" t="str">
        <f t="shared" si="21"/>
        <v>19001</v>
      </c>
    </row>
    <row r="1105" spans="3:3" x14ac:dyDescent="0.3">
      <c r="C1105" s="14" t="str">
        <f t="shared" si="21"/>
        <v>19001</v>
      </c>
    </row>
    <row r="1106" spans="3:3" x14ac:dyDescent="0.3">
      <c r="C1106" s="14" t="str">
        <f t="shared" si="21"/>
        <v>19001</v>
      </c>
    </row>
    <row r="1107" spans="3:3" x14ac:dyDescent="0.3">
      <c r="C1107" s="14" t="str">
        <f t="shared" si="21"/>
        <v>19001</v>
      </c>
    </row>
    <row r="1108" spans="3:3" x14ac:dyDescent="0.3">
      <c r="C1108" s="14" t="str">
        <f t="shared" si="21"/>
        <v>19001</v>
      </c>
    </row>
    <row r="1109" spans="3:3" x14ac:dyDescent="0.3">
      <c r="C1109" s="14" t="str">
        <f t="shared" si="21"/>
        <v>19001</v>
      </c>
    </row>
    <row r="1110" spans="3:3" x14ac:dyDescent="0.3">
      <c r="C1110" s="14" t="str">
        <f t="shared" si="21"/>
        <v>19001</v>
      </c>
    </row>
    <row r="1111" spans="3:3" x14ac:dyDescent="0.3">
      <c r="C1111" s="14" t="str">
        <f t="shared" si="21"/>
        <v>19001</v>
      </c>
    </row>
    <row r="1112" spans="3:3" x14ac:dyDescent="0.3">
      <c r="C1112" s="14" t="str">
        <f t="shared" si="21"/>
        <v>19001</v>
      </c>
    </row>
    <row r="1113" spans="3:3" x14ac:dyDescent="0.3">
      <c r="C1113" s="14" t="str">
        <f t="shared" si="21"/>
        <v>19001</v>
      </c>
    </row>
    <row r="1114" spans="3:3" x14ac:dyDescent="0.3">
      <c r="C1114" s="14" t="str">
        <f t="shared" si="21"/>
        <v>19001</v>
      </c>
    </row>
    <row r="1115" spans="3:3" x14ac:dyDescent="0.3">
      <c r="C1115" s="14" t="str">
        <f t="shared" si="21"/>
        <v>19001</v>
      </c>
    </row>
    <row r="1116" spans="3:3" x14ac:dyDescent="0.3">
      <c r="C1116" s="14" t="str">
        <f t="shared" si="21"/>
        <v>19001</v>
      </c>
    </row>
    <row r="1117" spans="3:3" x14ac:dyDescent="0.3">
      <c r="C1117" s="14" t="str">
        <f t="shared" si="21"/>
        <v>19001</v>
      </c>
    </row>
    <row r="1118" spans="3:3" x14ac:dyDescent="0.3">
      <c r="C1118" s="14" t="str">
        <f t="shared" si="21"/>
        <v>19001</v>
      </c>
    </row>
    <row r="1119" spans="3:3" x14ac:dyDescent="0.3">
      <c r="C1119" s="14" t="str">
        <f t="shared" si="21"/>
        <v>19001</v>
      </c>
    </row>
    <row r="1120" spans="3:3" x14ac:dyDescent="0.3">
      <c r="C1120" s="14" t="str">
        <f t="shared" si="21"/>
        <v>19001</v>
      </c>
    </row>
    <row r="1121" spans="3:3" x14ac:dyDescent="0.3">
      <c r="C1121" s="14" t="str">
        <f t="shared" si="21"/>
        <v>19001</v>
      </c>
    </row>
    <row r="1122" spans="3:3" x14ac:dyDescent="0.3">
      <c r="C1122" s="14" t="str">
        <f t="shared" si="21"/>
        <v>19001</v>
      </c>
    </row>
    <row r="1123" spans="3:3" x14ac:dyDescent="0.3">
      <c r="C1123" s="14" t="str">
        <f t="shared" si="21"/>
        <v>19001</v>
      </c>
    </row>
    <row r="1124" spans="3:3" x14ac:dyDescent="0.3">
      <c r="C1124" s="14" t="str">
        <f t="shared" si="21"/>
        <v>19001</v>
      </c>
    </row>
    <row r="1125" spans="3:3" x14ac:dyDescent="0.3">
      <c r="C1125" s="14" t="str">
        <f t="shared" si="21"/>
        <v>19001</v>
      </c>
    </row>
    <row r="1126" spans="3:3" x14ac:dyDescent="0.3">
      <c r="C1126" s="14" t="str">
        <f t="shared" si="21"/>
        <v>19001</v>
      </c>
    </row>
    <row r="1127" spans="3:3" x14ac:dyDescent="0.3">
      <c r="C1127" s="14" t="str">
        <f t="shared" si="21"/>
        <v>19001</v>
      </c>
    </row>
    <row r="1128" spans="3:3" x14ac:dyDescent="0.3">
      <c r="C1128" s="14" t="str">
        <f t="shared" si="21"/>
        <v>19001</v>
      </c>
    </row>
    <row r="1129" spans="3:3" x14ac:dyDescent="0.3">
      <c r="C1129" s="14" t="str">
        <f t="shared" si="21"/>
        <v>19001</v>
      </c>
    </row>
    <row r="1130" spans="3:3" x14ac:dyDescent="0.3">
      <c r="C1130" s="14" t="str">
        <f t="shared" si="21"/>
        <v>19001</v>
      </c>
    </row>
    <row r="1131" spans="3:3" x14ac:dyDescent="0.3">
      <c r="C1131" s="14" t="str">
        <f t="shared" si="21"/>
        <v>19001</v>
      </c>
    </row>
    <row r="1132" spans="3:3" x14ac:dyDescent="0.3">
      <c r="C1132" s="14" t="str">
        <f t="shared" si="21"/>
        <v>19001</v>
      </c>
    </row>
    <row r="1133" spans="3:3" x14ac:dyDescent="0.3">
      <c r="C1133" s="14" t="str">
        <f t="shared" si="21"/>
        <v>19001</v>
      </c>
    </row>
    <row r="1134" spans="3:3" x14ac:dyDescent="0.3">
      <c r="C1134" s="14" t="str">
        <f t="shared" si="21"/>
        <v>19001</v>
      </c>
    </row>
    <row r="1135" spans="3:3" x14ac:dyDescent="0.3">
      <c r="C1135" s="14" t="str">
        <f t="shared" si="21"/>
        <v>19001</v>
      </c>
    </row>
    <row r="1136" spans="3:3" x14ac:dyDescent="0.3">
      <c r="C1136" s="14" t="str">
        <f t="shared" si="21"/>
        <v>19001</v>
      </c>
    </row>
    <row r="1137" spans="3:3" x14ac:dyDescent="0.3">
      <c r="C1137" s="14" t="str">
        <f t="shared" si="21"/>
        <v>19001</v>
      </c>
    </row>
    <row r="1138" spans="3:3" x14ac:dyDescent="0.3">
      <c r="C1138" s="14" t="str">
        <f t="shared" si="21"/>
        <v>19001</v>
      </c>
    </row>
    <row r="1139" spans="3:3" x14ac:dyDescent="0.3">
      <c r="C1139" s="14" t="str">
        <f t="shared" si="21"/>
        <v>19001</v>
      </c>
    </row>
    <row r="1140" spans="3:3" x14ac:dyDescent="0.3">
      <c r="C1140" s="14" t="str">
        <f t="shared" si="21"/>
        <v>19001</v>
      </c>
    </row>
    <row r="1141" spans="3:3" x14ac:dyDescent="0.3">
      <c r="C1141" s="14" t="str">
        <f t="shared" si="21"/>
        <v>19001</v>
      </c>
    </row>
    <row r="1142" spans="3:3" x14ac:dyDescent="0.3">
      <c r="C1142" s="14" t="str">
        <f t="shared" si="21"/>
        <v>19001</v>
      </c>
    </row>
    <row r="1143" spans="3:3" x14ac:dyDescent="0.3">
      <c r="C1143" s="14" t="str">
        <f t="shared" si="21"/>
        <v>19001</v>
      </c>
    </row>
    <row r="1144" spans="3:3" x14ac:dyDescent="0.3">
      <c r="C1144" s="14" t="str">
        <f t="shared" si="21"/>
        <v>19001</v>
      </c>
    </row>
    <row r="1145" spans="3:3" x14ac:dyDescent="0.3">
      <c r="C1145" s="14" t="str">
        <f t="shared" si="21"/>
        <v>19001</v>
      </c>
    </row>
    <row r="1146" spans="3:3" x14ac:dyDescent="0.3">
      <c r="C1146" s="14" t="str">
        <f t="shared" si="21"/>
        <v>19001</v>
      </c>
    </row>
    <row r="1147" spans="3:3" x14ac:dyDescent="0.3">
      <c r="C1147" s="14" t="str">
        <f t="shared" si="21"/>
        <v>19001</v>
      </c>
    </row>
    <row r="1148" spans="3:3" x14ac:dyDescent="0.3">
      <c r="C1148" s="14" t="str">
        <f t="shared" si="21"/>
        <v>19001</v>
      </c>
    </row>
    <row r="1149" spans="3:3" x14ac:dyDescent="0.3">
      <c r="C1149" s="14" t="str">
        <f t="shared" si="21"/>
        <v>19001</v>
      </c>
    </row>
    <row r="1150" spans="3:3" x14ac:dyDescent="0.3">
      <c r="C1150" s="14" t="str">
        <f t="shared" si="21"/>
        <v>19001</v>
      </c>
    </row>
    <row r="1151" spans="3:3" x14ac:dyDescent="0.3">
      <c r="C1151" s="14" t="str">
        <f t="shared" si="21"/>
        <v>19001</v>
      </c>
    </row>
    <row r="1152" spans="3:3" x14ac:dyDescent="0.3">
      <c r="C1152" s="14" t="str">
        <f t="shared" si="21"/>
        <v>19001</v>
      </c>
    </row>
    <row r="1153" spans="3:3" x14ac:dyDescent="0.3">
      <c r="C1153" s="14" t="str">
        <f t="shared" si="21"/>
        <v>19001</v>
      </c>
    </row>
    <row r="1154" spans="3:3" x14ac:dyDescent="0.3">
      <c r="C1154" s="14" t="str">
        <f t="shared" si="21"/>
        <v>19001</v>
      </c>
    </row>
    <row r="1155" spans="3:3" x14ac:dyDescent="0.3">
      <c r="C1155" s="14" t="str">
        <f t="shared" si="21"/>
        <v>19001</v>
      </c>
    </row>
    <row r="1156" spans="3:3" x14ac:dyDescent="0.3">
      <c r="C1156" s="14" t="str">
        <f t="shared" si="21"/>
        <v>19001</v>
      </c>
    </row>
    <row r="1157" spans="3:3" x14ac:dyDescent="0.3">
      <c r="C1157" s="14" t="str">
        <f t="shared" si="21"/>
        <v>19001</v>
      </c>
    </row>
    <row r="1158" spans="3:3" x14ac:dyDescent="0.3">
      <c r="C1158" s="14" t="str">
        <f t="shared" si="21"/>
        <v>19001</v>
      </c>
    </row>
    <row r="1159" spans="3:3" x14ac:dyDescent="0.3">
      <c r="C1159" s="14" t="str">
        <f t="shared" si="21"/>
        <v>19001</v>
      </c>
    </row>
    <row r="1160" spans="3:3" x14ac:dyDescent="0.3">
      <c r="C1160" s="14" t="str">
        <f t="shared" ref="C1160:C1223" si="22">YEAR(D1160)&amp;MONTH(D1160)</f>
        <v>19001</v>
      </c>
    </row>
    <row r="1161" spans="3:3" x14ac:dyDescent="0.3">
      <c r="C1161" s="14" t="str">
        <f t="shared" si="22"/>
        <v>19001</v>
      </c>
    </row>
    <row r="1162" spans="3:3" x14ac:dyDescent="0.3">
      <c r="C1162" s="14" t="str">
        <f t="shared" si="22"/>
        <v>19001</v>
      </c>
    </row>
    <row r="1163" spans="3:3" x14ac:dyDescent="0.3">
      <c r="C1163" s="14" t="str">
        <f t="shared" si="22"/>
        <v>19001</v>
      </c>
    </row>
    <row r="1164" spans="3:3" x14ac:dyDescent="0.3">
      <c r="C1164" s="14" t="str">
        <f t="shared" si="22"/>
        <v>19001</v>
      </c>
    </row>
    <row r="1165" spans="3:3" x14ac:dyDescent="0.3">
      <c r="C1165" s="14" t="str">
        <f t="shared" si="22"/>
        <v>19001</v>
      </c>
    </row>
    <row r="1166" spans="3:3" x14ac:dyDescent="0.3">
      <c r="C1166" s="14" t="str">
        <f t="shared" si="22"/>
        <v>19001</v>
      </c>
    </row>
    <row r="1167" spans="3:3" x14ac:dyDescent="0.3">
      <c r="C1167" s="14" t="str">
        <f t="shared" si="22"/>
        <v>19001</v>
      </c>
    </row>
    <row r="1168" spans="3:3" x14ac:dyDescent="0.3">
      <c r="C1168" s="14" t="str">
        <f t="shared" si="22"/>
        <v>19001</v>
      </c>
    </row>
    <row r="1169" spans="3:3" x14ac:dyDescent="0.3">
      <c r="C1169" s="14" t="str">
        <f t="shared" si="22"/>
        <v>19001</v>
      </c>
    </row>
    <row r="1170" spans="3:3" x14ac:dyDescent="0.3">
      <c r="C1170" s="14" t="str">
        <f t="shared" si="22"/>
        <v>19001</v>
      </c>
    </row>
    <row r="1171" spans="3:3" x14ac:dyDescent="0.3">
      <c r="C1171" s="14" t="str">
        <f t="shared" si="22"/>
        <v>19001</v>
      </c>
    </row>
    <row r="1172" spans="3:3" x14ac:dyDescent="0.3">
      <c r="C1172" s="14" t="str">
        <f t="shared" si="22"/>
        <v>19001</v>
      </c>
    </row>
    <row r="1173" spans="3:3" x14ac:dyDescent="0.3">
      <c r="C1173" s="14" t="str">
        <f t="shared" si="22"/>
        <v>19001</v>
      </c>
    </row>
    <row r="1174" spans="3:3" x14ac:dyDescent="0.3">
      <c r="C1174" s="14" t="str">
        <f t="shared" si="22"/>
        <v>19001</v>
      </c>
    </row>
    <row r="1175" spans="3:3" x14ac:dyDescent="0.3">
      <c r="C1175" s="14" t="str">
        <f t="shared" si="22"/>
        <v>19001</v>
      </c>
    </row>
    <row r="1176" spans="3:3" x14ac:dyDescent="0.3">
      <c r="C1176" s="14" t="str">
        <f t="shared" si="22"/>
        <v>19001</v>
      </c>
    </row>
    <row r="1177" spans="3:3" x14ac:dyDescent="0.3">
      <c r="C1177" s="14" t="str">
        <f t="shared" si="22"/>
        <v>19001</v>
      </c>
    </row>
    <row r="1178" spans="3:3" x14ac:dyDescent="0.3">
      <c r="C1178" s="14" t="str">
        <f t="shared" si="22"/>
        <v>19001</v>
      </c>
    </row>
    <row r="1179" spans="3:3" x14ac:dyDescent="0.3">
      <c r="C1179" s="14" t="str">
        <f t="shared" si="22"/>
        <v>19001</v>
      </c>
    </row>
    <row r="1180" spans="3:3" x14ac:dyDescent="0.3">
      <c r="C1180" s="14" t="str">
        <f t="shared" si="22"/>
        <v>19001</v>
      </c>
    </row>
    <row r="1181" spans="3:3" x14ac:dyDescent="0.3">
      <c r="C1181" s="14" t="str">
        <f t="shared" si="22"/>
        <v>19001</v>
      </c>
    </row>
    <row r="1182" spans="3:3" x14ac:dyDescent="0.3">
      <c r="C1182" s="14" t="str">
        <f t="shared" si="22"/>
        <v>19001</v>
      </c>
    </row>
    <row r="1183" spans="3:3" x14ac:dyDescent="0.3">
      <c r="C1183" s="14" t="str">
        <f t="shared" si="22"/>
        <v>19001</v>
      </c>
    </row>
    <row r="1184" spans="3:3" x14ac:dyDescent="0.3">
      <c r="C1184" s="14" t="str">
        <f t="shared" si="22"/>
        <v>19001</v>
      </c>
    </row>
    <row r="1185" spans="3:3" x14ac:dyDescent="0.3">
      <c r="C1185" s="14" t="str">
        <f t="shared" si="22"/>
        <v>19001</v>
      </c>
    </row>
    <row r="1186" spans="3:3" x14ac:dyDescent="0.3">
      <c r="C1186" s="14" t="str">
        <f t="shared" si="22"/>
        <v>19001</v>
      </c>
    </row>
    <row r="1187" spans="3:3" x14ac:dyDescent="0.3">
      <c r="C1187" s="14" t="str">
        <f t="shared" si="22"/>
        <v>19001</v>
      </c>
    </row>
    <row r="1188" spans="3:3" x14ac:dyDescent="0.3">
      <c r="C1188" s="14" t="str">
        <f t="shared" si="22"/>
        <v>19001</v>
      </c>
    </row>
    <row r="1189" spans="3:3" x14ac:dyDescent="0.3">
      <c r="C1189" s="14" t="str">
        <f t="shared" si="22"/>
        <v>19001</v>
      </c>
    </row>
    <row r="1190" spans="3:3" x14ac:dyDescent="0.3">
      <c r="C1190" s="14" t="str">
        <f t="shared" si="22"/>
        <v>19001</v>
      </c>
    </row>
    <row r="1191" spans="3:3" x14ac:dyDescent="0.3">
      <c r="C1191" s="14" t="str">
        <f t="shared" si="22"/>
        <v>19001</v>
      </c>
    </row>
    <row r="1192" spans="3:3" x14ac:dyDescent="0.3">
      <c r="C1192" s="14" t="str">
        <f t="shared" si="22"/>
        <v>19001</v>
      </c>
    </row>
    <row r="1193" spans="3:3" x14ac:dyDescent="0.3">
      <c r="C1193" s="14" t="str">
        <f t="shared" si="22"/>
        <v>19001</v>
      </c>
    </row>
    <row r="1194" spans="3:3" x14ac:dyDescent="0.3">
      <c r="C1194" s="14" t="str">
        <f t="shared" si="22"/>
        <v>19001</v>
      </c>
    </row>
    <row r="1195" spans="3:3" x14ac:dyDescent="0.3">
      <c r="C1195" s="14" t="str">
        <f t="shared" si="22"/>
        <v>19001</v>
      </c>
    </row>
    <row r="1196" spans="3:3" x14ac:dyDescent="0.3">
      <c r="C1196" s="14" t="str">
        <f t="shared" si="22"/>
        <v>19001</v>
      </c>
    </row>
    <row r="1197" spans="3:3" x14ac:dyDescent="0.3">
      <c r="C1197" s="14" t="str">
        <f t="shared" si="22"/>
        <v>19001</v>
      </c>
    </row>
    <row r="1198" spans="3:3" x14ac:dyDescent="0.3">
      <c r="C1198" s="14" t="str">
        <f t="shared" si="22"/>
        <v>19001</v>
      </c>
    </row>
    <row r="1199" spans="3:3" x14ac:dyDescent="0.3">
      <c r="C1199" s="14" t="str">
        <f t="shared" si="22"/>
        <v>19001</v>
      </c>
    </row>
    <row r="1200" spans="3:3" x14ac:dyDescent="0.3">
      <c r="C1200" s="14" t="str">
        <f t="shared" si="22"/>
        <v>19001</v>
      </c>
    </row>
    <row r="1201" spans="3:3" x14ac:dyDescent="0.3">
      <c r="C1201" s="14" t="str">
        <f t="shared" si="22"/>
        <v>19001</v>
      </c>
    </row>
    <row r="1202" spans="3:3" x14ac:dyDescent="0.3">
      <c r="C1202" s="14" t="str">
        <f t="shared" si="22"/>
        <v>19001</v>
      </c>
    </row>
    <row r="1203" spans="3:3" x14ac:dyDescent="0.3">
      <c r="C1203" s="14" t="str">
        <f t="shared" si="22"/>
        <v>19001</v>
      </c>
    </row>
    <row r="1204" spans="3:3" x14ac:dyDescent="0.3">
      <c r="C1204" s="14" t="str">
        <f t="shared" si="22"/>
        <v>19001</v>
      </c>
    </row>
    <row r="1205" spans="3:3" x14ac:dyDescent="0.3">
      <c r="C1205" s="14" t="str">
        <f t="shared" si="22"/>
        <v>19001</v>
      </c>
    </row>
    <row r="1206" spans="3:3" x14ac:dyDescent="0.3">
      <c r="C1206" s="14" t="str">
        <f t="shared" si="22"/>
        <v>19001</v>
      </c>
    </row>
    <row r="1207" spans="3:3" x14ac:dyDescent="0.3">
      <c r="C1207" s="14" t="str">
        <f t="shared" si="22"/>
        <v>19001</v>
      </c>
    </row>
    <row r="1208" spans="3:3" x14ac:dyDescent="0.3">
      <c r="C1208" s="14" t="str">
        <f t="shared" si="22"/>
        <v>19001</v>
      </c>
    </row>
    <row r="1209" spans="3:3" x14ac:dyDescent="0.3">
      <c r="C1209" s="14" t="str">
        <f t="shared" si="22"/>
        <v>19001</v>
      </c>
    </row>
    <row r="1210" spans="3:3" x14ac:dyDescent="0.3">
      <c r="C1210" s="14" t="str">
        <f t="shared" si="22"/>
        <v>19001</v>
      </c>
    </row>
    <row r="1211" spans="3:3" x14ac:dyDescent="0.3">
      <c r="C1211" s="14" t="str">
        <f t="shared" si="22"/>
        <v>19001</v>
      </c>
    </row>
    <row r="1212" spans="3:3" x14ac:dyDescent="0.3">
      <c r="C1212" s="14" t="str">
        <f t="shared" si="22"/>
        <v>19001</v>
      </c>
    </row>
    <row r="1213" spans="3:3" x14ac:dyDescent="0.3">
      <c r="C1213" s="14" t="str">
        <f t="shared" si="22"/>
        <v>19001</v>
      </c>
    </row>
    <row r="1214" spans="3:3" x14ac:dyDescent="0.3">
      <c r="C1214" s="14" t="str">
        <f t="shared" si="22"/>
        <v>19001</v>
      </c>
    </row>
    <row r="1215" spans="3:3" x14ac:dyDescent="0.3">
      <c r="C1215" s="14" t="str">
        <f t="shared" si="22"/>
        <v>19001</v>
      </c>
    </row>
    <row r="1216" spans="3:3" x14ac:dyDescent="0.3">
      <c r="C1216" s="14" t="str">
        <f t="shared" si="22"/>
        <v>19001</v>
      </c>
    </row>
    <row r="1217" spans="3:3" x14ac:dyDescent="0.3">
      <c r="C1217" s="14" t="str">
        <f t="shared" si="22"/>
        <v>19001</v>
      </c>
    </row>
    <row r="1218" spans="3:3" x14ac:dyDescent="0.3">
      <c r="C1218" s="14" t="str">
        <f t="shared" si="22"/>
        <v>19001</v>
      </c>
    </row>
    <row r="1219" spans="3:3" x14ac:dyDescent="0.3">
      <c r="C1219" s="14" t="str">
        <f t="shared" si="22"/>
        <v>19001</v>
      </c>
    </row>
    <row r="1220" spans="3:3" x14ac:dyDescent="0.3">
      <c r="C1220" s="14" t="str">
        <f t="shared" si="22"/>
        <v>19001</v>
      </c>
    </row>
    <row r="1221" spans="3:3" x14ac:dyDescent="0.3">
      <c r="C1221" s="14" t="str">
        <f t="shared" si="22"/>
        <v>19001</v>
      </c>
    </row>
    <row r="1222" spans="3:3" x14ac:dyDescent="0.3">
      <c r="C1222" s="14" t="str">
        <f t="shared" si="22"/>
        <v>19001</v>
      </c>
    </row>
    <row r="1223" spans="3:3" x14ac:dyDescent="0.3">
      <c r="C1223" s="14" t="str">
        <f t="shared" si="22"/>
        <v>19001</v>
      </c>
    </row>
    <row r="1224" spans="3:3" x14ac:dyDescent="0.3">
      <c r="C1224" s="14" t="str">
        <f t="shared" ref="C1224:C1287" si="23">YEAR(D1224)&amp;MONTH(D1224)</f>
        <v>19001</v>
      </c>
    </row>
    <row r="1225" spans="3:3" x14ac:dyDescent="0.3">
      <c r="C1225" s="14" t="str">
        <f t="shared" si="23"/>
        <v>19001</v>
      </c>
    </row>
    <row r="1226" spans="3:3" x14ac:dyDescent="0.3">
      <c r="C1226" s="14" t="str">
        <f t="shared" si="23"/>
        <v>19001</v>
      </c>
    </row>
    <row r="1227" spans="3:3" x14ac:dyDescent="0.3">
      <c r="C1227" s="14" t="str">
        <f t="shared" si="23"/>
        <v>19001</v>
      </c>
    </row>
    <row r="1228" spans="3:3" x14ac:dyDescent="0.3">
      <c r="C1228" s="14" t="str">
        <f t="shared" si="23"/>
        <v>19001</v>
      </c>
    </row>
    <row r="1229" spans="3:3" x14ac:dyDescent="0.3">
      <c r="C1229" s="14" t="str">
        <f t="shared" si="23"/>
        <v>19001</v>
      </c>
    </row>
    <row r="1230" spans="3:3" x14ac:dyDescent="0.3">
      <c r="C1230" s="14" t="str">
        <f t="shared" si="23"/>
        <v>19001</v>
      </c>
    </row>
    <row r="1231" spans="3:3" x14ac:dyDescent="0.3">
      <c r="C1231" s="14" t="str">
        <f t="shared" si="23"/>
        <v>19001</v>
      </c>
    </row>
    <row r="1232" spans="3:3" x14ac:dyDescent="0.3">
      <c r="C1232" s="14" t="str">
        <f t="shared" si="23"/>
        <v>19001</v>
      </c>
    </row>
    <row r="1233" spans="3:3" x14ac:dyDescent="0.3">
      <c r="C1233" s="14" t="str">
        <f t="shared" si="23"/>
        <v>19001</v>
      </c>
    </row>
    <row r="1234" spans="3:3" x14ac:dyDescent="0.3">
      <c r="C1234" s="14" t="str">
        <f t="shared" si="23"/>
        <v>19001</v>
      </c>
    </row>
    <row r="1235" spans="3:3" x14ac:dyDescent="0.3">
      <c r="C1235" s="14" t="str">
        <f t="shared" si="23"/>
        <v>19001</v>
      </c>
    </row>
    <row r="1236" spans="3:3" x14ac:dyDescent="0.3">
      <c r="C1236" s="14" t="str">
        <f t="shared" si="23"/>
        <v>19001</v>
      </c>
    </row>
    <row r="1237" spans="3:3" x14ac:dyDescent="0.3">
      <c r="C1237" s="14" t="str">
        <f t="shared" si="23"/>
        <v>19001</v>
      </c>
    </row>
    <row r="1238" spans="3:3" x14ac:dyDescent="0.3">
      <c r="C1238" s="14" t="str">
        <f t="shared" si="23"/>
        <v>19001</v>
      </c>
    </row>
    <row r="1239" spans="3:3" x14ac:dyDescent="0.3">
      <c r="C1239" s="14" t="str">
        <f t="shared" si="23"/>
        <v>19001</v>
      </c>
    </row>
    <row r="1240" spans="3:3" x14ac:dyDescent="0.3">
      <c r="C1240" s="14" t="str">
        <f t="shared" si="23"/>
        <v>19001</v>
      </c>
    </row>
    <row r="1241" spans="3:3" x14ac:dyDescent="0.3">
      <c r="C1241" s="14" t="str">
        <f t="shared" si="23"/>
        <v>19001</v>
      </c>
    </row>
    <row r="1242" spans="3:3" x14ac:dyDescent="0.3">
      <c r="C1242" s="14" t="str">
        <f t="shared" si="23"/>
        <v>19001</v>
      </c>
    </row>
    <row r="1243" spans="3:3" x14ac:dyDescent="0.3">
      <c r="C1243" s="14" t="str">
        <f t="shared" si="23"/>
        <v>19001</v>
      </c>
    </row>
    <row r="1244" spans="3:3" x14ac:dyDescent="0.3">
      <c r="C1244" s="14" t="str">
        <f t="shared" si="23"/>
        <v>19001</v>
      </c>
    </row>
    <row r="1245" spans="3:3" x14ac:dyDescent="0.3">
      <c r="C1245" s="14" t="str">
        <f t="shared" si="23"/>
        <v>19001</v>
      </c>
    </row>
    <row r="1246" spans="3:3" x14ac:dyDescent="0.3">
      <c r="C1246" s="14" t="str">
        <f t="shared" si="23"/>
        <v>19001</v>
      </c>
    </row>
    <row r="1247" spans="3:3" x14ac:dyDescent="0.3">
      <c r="C1247" s="14" t="str">
        <f t="shared" si="23"/>
        <v>19001</v>
      </c>
    </row>
    <row r="1248" spans="3:3" x14ac:dyDescent="0.3">
      <c r="C1248" s="14" t="str">
        <f t="shared" si="23"/>
        <v>19001</v>
      </c>
    </row>
    <row r="1249" spans="3:3" x14ac:dyDescent="0.3">
      <c r="C1249" s="14" t="str">
        <f t="shared" si="23"/>
        <v>19001</v>
      </c>
    </row>
    <row r="1250" spans="3:3" x14ac:dyDescent="0.3">
      <c r="C1250" s="14" t="str">
        <f t="shared" si="23"/>
        <v>19001</v>
      </c>
    </row>
    <row r="1251" spans="3:3" x14ac:dyDescent="0.3">
      <c r="C1251" s="14" t="str">
        <f t="shared" si="23"/>
        <v>19001</v>
      </c>
    </row>
    <row r="1252" spans="3:3" x14ac:dyDescent="0.3">
      <c r="C1252" s="14" t="str">
        <f t="shared" si="23"/>
        <v>19001</v>
      </c>
    </row>
    <row r="1253" spans="3:3" x14ac:dyDescent="0.3">
      <c r="C1253" s="14" t="str">
        <f t="shared" si="23"/>
        <v>19001</v>
      </c>
    </row>
    <row r="1254" spans="3:3" x14ac:dyDescent="0.3">
      <c r="C1254" s="14" t="str">
        <f t="shared" si="23"/>
        <v>19001</v>
      </c>
    </row>
    <row r="1255" spans="3:3" x14ac:dyDescent="0.3">
      <c r="C1255" s="14" t="str">
        <f t="shared" si="23"/>
        <v>19001</v>
      </c>
    </row>
    <row r="1256" spans="3:3" x14ac:dyDescent="0.3">
      <c r="C1256" s="14" t="str">
        <f t="shared" si="23"/>
        <v>19001</v>
      </c>
    </row>
    <row r="1257" spans="3:3" x14ac:dyDescent="0.3">
      <c r="C1257" s="14" t="str">
        <f t="shared" si="23"/>
        <v>19001</v>
      </c>
    </row>
    <row r="1258" spans="3:3" x14ac:dyDescent="0.3">
      <c r="C1258" s="14" t="str">
        <f t="shared" si="23"/>
        <v>19001</v>
      </c>
    </row>
    <row r="1259" spans="3:3" x14ac:dyDescent="0.3">
      <c r="C1259" s="14" t="str">
        <f t="shared" si="23"/>
        <v>19001</v>
      </c>
    </row>
    <row r="1260" spans="3:3" x14ac:dyDescent="0.3">
      <c r="C1260" s="14" t="str">
        <f t="shared" si="23"/>
        <v>19001</v>
      </c>
    </row>
    <row r="1261" spans="3:3" x14ac:dyDescent="0.3">
      <c r="C1261" s="14" t="str">
        <f t="shared" si="23"/>
        <v>19001</v>
      </c>
    </row>
    <row r="1262" spans="3:3" x14ac:dyDescent="0.3">
      <c r="C1262" s="14" t="str">
        <f t="shared" si="23"/>
        <v>19001</v>
      </c>
    </row>
    <row r="1263" spans="3:3" x14ac:dyDescent="0.3">
      <c r="C1263" s="14" t="str">
        <f t="shared" si="23"/>
        <v>19001</v>
      </c>
    </row>
    <row r="1264" spans="3:3" x14ac:dyDescent="0.3">
      <c r="C1264" s="14" t="str">
        <f t="shared" si="23"/>
        <v>19001</v>
      </c>
    </row>
    <row r="1265" spans="3:3" x14ac:dyDescent="0.3">
      <c r="C1265" s="14" t="str">
        <f t="shared" si="23"/>
        <v>19001</v>
      </c>
    </row>
    <row r="1266" spans="3:3" x14ac:dyDescent="0.3">
      <c r="C1266" s="14" t="str">
        <f t="shared" si="23"/>
        <v>19001</v>
      </c>
    </row>
    <row r="1267" spans="3:3" x14ac:dyDescent="0.3">
      <c r="C1267" s="14" t="str">
        <f t="shared" si="23"/>
        <v>19001</v>
      </c>
    </row>
    <row r="1268" spans="3:3" x14ac:dyDescent="0.3">
      <c r="C1268" s="14" t="str">
        <f t="shared" si="23"/>
        <v>19001</v>
      </c>
    </row>
    <row r="1269" spans="3:3" x14ac:dyDescent="0.3">
      <c r="C1269" s="14" t="str">
        <f t="shared" si="23"/>
        <v>19001</v>
      </c>
    </row>
    <row r="1270" spans="3:3" x14ac:dyDescent="0.3">
      <c r="C1270" s="14" t="str">
        <f t="shared" si="23"/>
        <v>19001</v>
      </c>
    </row>
    <row r="1271" spans="3:3" x14ac:dyDescent="0.3">
      <c r="C1271" s="14" t="str">
        <f t="shared" si="23"/>
        <v>19001</v>
      </c>
    </row>
    <row r="1272" spans="3:3" x14ac:dyDescent="0.3">
      <c r="C1272" s="14" t="str">
        <f t="shared" si="23"/>
        <v>19001</v>
      </c>
    </row>
    <row r="1273" spans="3:3" x14ac:dyDescent="0.3">
      <c r="C1273" s="14" t="str">
        <f t="shared" si="23"/>
        <v>19001</v>
      </c>
    </row>
    <row r="1274" spans="3:3" x14ac:dyDescent="0.3">
      <c r="C1274" s="14" t="str">
        <f t="shared" si="23"/>
        <v>19001</v>
      </c>
    </row>
    <row r="1275" spans="3:3" x14ac:dyDescent="0.3">
      <c r="C1275" s="14" t="str">
        <f t="shared" si="23"/>
        <v>19001</v>
      </c>
    </row>
    <row r="1276" spans="3:3" x14ac:dyDescent="0.3">
      <c r="C1276" s="14" t="str">
        <f t="shared" si="23"/>
        <v>19001</v>
      </c>
    </row>
    <row r="1277" spans="3:3" x14ac:dyDescent="0.3">
      <c r="C1277" s="14" t="str">
        <f t="shared" si="23"/>
        <v>19001</v>
      </c>
    </row>
    <row r="1278" spans="3:3" x14ac:dyDescent="0.3">
      <c r="C1278" s="14" t="str">
        <f t="shared" si="23"/>
        <v>19001</v>
      </c>
    </row>
    <row r="1279" spans="3:3" x14ac:dyDescent="0.3">
      <c r="C1279" s="14" t="str">
        <f t="shared" si="23"/>
        <v>19001</v>
      </c>
    </row>
    <row r="1280" spans="3:3" x14ac:dyDescent="0.3">
      <c r="C1280" s="14" t="str">
        <f t="shared" si="23"/>
        <v>19001</v>
      </c>
    </row>
    <row r="1281" spans="3:3" x14ac:dyDescent="0.3">
      <c r="C1281" s="14" t="str">
        <f t="shared" si="23"/>
        <v>19001</v>
      </c>
    </row>
    <row r="1282" spans="3:3" x14ac:dyDescent="0.3">
      <c r="C1282" s="14" t="str">
        <f t="shared" si="23"/>
        <v>19001</v>
      </c>
    </row>
    <row r="1283" spans="3:3" x14ac:dyDescent="0.3">
      <c r="C1283" s="14" t="str">
        <f t="shared" si="23"/>
        <v>19001</v>
      </c>
    </row>
    <row r="1284" spans="3:3" x14ac:dyDescent="0.3">
      <c r="C1284" s="14" t="str">
        <f t="shared" si="23"/>
        <v>19001</v>
      </c>
    </row>
    <row r="1285" spans="3:3" x14ac:dyDescent="0.3">
      <c r="C1285" s="14" t="str">
        <f t="shared" si="23"/>
        <v>19001</v>
      </c>
    </row>
    <row r="1286" spans="3:3" x14ac:dyDescent="0.3">
      <c r="C1286" s="14" t="str">
        <f t="shared" si="23"/>
        <v>19001</v>
      </c>
    </row>
    <row r="1287" spans="3:3" x14ac:dyDescent="0.3">
      <c r="C1287" s="14" t="str">
        <f t="shared" si="23"/>
        <v>19001</v>
      </c>
    </row>
    <row r="1288" spans="3:3" x14ac:dyDescent="0.3">
      <c r="C1288" s="14" t="str">
        <f t="shared" ref="C1288:C1351" si="24">YEAR(D1288)&amp;MONTH(D1288)</f>
        <v>19001</v>
      </c>
    </row>
    <row r="1289" spans="3:3" x14ac:dyDescent="0.3">
      <c r="C1289" s="14" t="str">
        <f t="shared" si="24"/>
        <v>19001</v>
      </c>
    </row>
    <row r="1290" spans="3:3" x14ac:dyDescent="0.3">
      <c r="C1290" s="14" t="str">
        <f t="shared" si="24"/>
        <v>19001</v>
      </c>
    </row>
    <row r="1291" spans="3:3" x14ac:dyDescent="0.3">
      <c r="C1291" s="14" t="str">
        <f t="shared" si="24"/>
        <v>19001</v>
      </c>
    </row>
    <row r="1292" spans="3:3" x14ac:dyDescent="0.3">
      <c r="C1292" s="14" t="str">
        <f t="shared" si="24"/>
        <v>19001</v>
      </c>
    </row>
    <row r="1293" spans="3:3" x14ac:dyDescent="0.3">
      <c r="C1293" s="14" t="str">
        <f t="shared" si="24"/>
        <v>19001</v>
      </c>
    </row>
    <row r="1294" spans="3:3" x14ac:dyDescent="0.3">
      <c r="C1294" s="14" t="str">
        <f t="shared" si="24"/>
        <v>19001</v>
      </c>
    </row>
    <row r="1295" spans="3:3" x14ac:dyDescent="0.3">
      <c r="C1295" s="14" t="str">
        <f t="shared" si="24"/>
        <v>19001</v>
      </c>
    </row>
    <row r="1296" spans="3:3" x14ac:dyDescent="0.3">
      <c r="C1296" s="14" t="str">
        <f t="shared" si="24"/>
        <v>19001</v>
      </c>
    </row>
    <row r="1297" spans="3:3" x14ac:dyDescent="0.3">
      <c r="C1297" s="14" t="str">
        <f t="shared" si="24"/>
        <v>19001</v>
      </c>
    </row>
    <row r="1298" spans="3:3" x14ac:dyDescent="0.3">
      <c r="C1298" s="14" t="str">
        <f t="shared" si="24"/>
        <v>19001</v>
      </c>
    </row>
    <row r="1299" spans="3:3" x14ac:dyDescent="0.3">
      <c r="C1299" s="14" t="str">
        <f t="shared" si="24"/>
        <v>19001</v>
      </c>
    </row>
    <row r="1300" spans="3:3" x14ac:dyDescent="0.3">
      <c r="C1300" s="14" t="str">
        <f t="shared" si="24"/>
        <v>19001</v>
      </c>
    </row>
    <row r="1301" spans="3:3" x14ac:dyDescent="0.3">
      <c r="C1301" s="14" t="str">
        <f t="shared" si="24"/>
        <v>19001</v>
      </c>
    </row>
    <row r="1302" spans="3:3" x14ac:dyDescent="0.3">
      <c r="C1302" s="14" t="str">
        <f t="shared" si="24"/>
        <v>19001</v>
      </c>
    </row>
    <row r="1303" spans="3:3" x14ac:dyDescent="0.3">
      <c r="C1303" s="14" t="str">
        <f t="shared" si="24"/>
        <v>19001</v>
      </c>
    </row>
    <row r="1304" spans="3:3" x14ac:dyDescent="0.3">
      <c r="C1304" s="14" t="str">
        <f t="shared" si="24"/>
        <v>19001</v>
      </c>
    </row>
    <row r="1305" spans="3:3" x14ac:dyDescent="0.3">
      <c r="C1305" s="14" t="str">
        <f t="shared" si="24"/>
        <v>19001</v>
      </c>
    </row>
    <row r="1306" spans="3:3" x14ac:dyDescent="0.3">
      <c r="C1306" s="14" t="str">
        <f t="shared" si="24"/>
        <v>19001</v>
      </c>
    </row>
    <row r="1307" spans="3:3" x14ac:dyDescent="0.3">
      <c r="C1307" s="14" t="str">
        <f t="shared" si="24"/>
        <v>19001</v>
      </c>
    </row>
    <row r="1308" spans="3:3" x14ac:dyDescent="0.3">
      <c r="C1308" s="14" t="str">
        <f t="shared" si="24"/>
        <v>19001</v>
      </c>
    </row>
    <row r="1309" spans="3:3" x14ac:dyDescent="0.3">
      <c r="C1309" s="14" t="str">
        <f t="shared" si="24"/>
        <v>19001</v>
      </c>
    </row>
    <row r="1310" spans="3:3" x14ac:dyDescent="0.3">
      <c r="C1310" s="14" t="str">
        <f t="shared" si="24"/>
        <v>19001</v>
      </c>
    </row>
    <row r="1311" spans="3:3" x14ac:dyDescent="0.3">
      <c r="C1311" s="14" t="str">
        <f t="shared" si="24"/>
        <v>19001</v>
      </c>
    </row>
    <row r="1312" spans="3:3" x14ac:dyDescent="0.3">
      <c r="C1312" s="14" t="str">
        <f t="shared" si="24"/>
        <v>19001</v>
      </c>
    </row>
    <row r="1313" spans="3:3" x14ac:dyDescent="0.3">
      <c r="C1313" s="14" t="str">
        <f t="shared" si="24"/>
        <v>19001</v>
      </c>
    </row>
    <row r="1314" spans="3:3" x14ac:dyDescent="0.3">
      <c r="C1314" s="14" t="str">
        <f t="shared" si="24"/>
        <v>19001</v>
      </c>
    </row>
    <row r="1315" spans="3:3" x14ac:dyDescent="0.3">
      <c r="C1315" s="14" t="str">
        <f t="shared" si="24"/>
        <v>19001</v>
      </c>
    </row>
    <row r="1316" spans="3:3" x14ac:dyDescent="0.3">
      <c r="C1316" s="14" t="str">
        <f t="shared" si="24"/>
        <v>19001</v>
      </c>
    </row>
    <row r="1317" spans="3:3" x14ac:dyDescent="0.3">
      <c r="C1317" s="14" t="str">
        <f t="shared" si="24"/>
        <v>19001</v>
      </c>
    </row>
    <row r="1318" spans="3:3" x14ac:dyDescent="0.3">
      <c r="C1318" s="14" t="str">
        <f t="shared" si="24"/>
        <v>19001</v>
      </c>
    </row>
    <row r="1319" spans="3:3" x14ac:dyDescent="0.3">
      <c r="C1319" s="14" t="str">
        <f t="shared" si="24"/>
        <v>19001</v>
      </c>
    </row>
    <row r="1320" spans="3:3" x14ac:dyDescent="0.3">
      <c r="C1320" s="14" t="str">
        <f t="shared" si="24"/>
        <v>19001</v>
      </c>
    </row>
    <row r="1321" spans="3:3" x14ac:dyDescent="0.3">
      <c r="C1321" s="14" t="str">
        <f t="shared" si="24"/>
        <v>19001</v>
      </c>
    </row>
    <row r="1322" spans="3:3" x14ac:dyDescent="0.3">
      <c r="C1322" s="14" t="str">
        <f t="shared" si="24"/>
        <v>19001</v>
      </c>
    </row>
    <row r="1323" spans="3:3" x14ac:dyDescent="0.3">
      <c r="C1323" s="14" t="str">
        <f t="shared" si="24"/>
        <v>19001</v>
      </c>
    </row>
    <row r="1324" spans="3:3" x14ac:dyDescent="0.3">
      <c r="C1324" s="14" t="str">
        <f t="shared" si="24"/>
        <v>19001</v>
      </c>
    </row>
    <row r="1325" spans="3:3" x14ac:dyDescent="0.3">
      <c r="C1325" s="14" t="str">
        <f t="shared" si="24"/>
        <v>19001</v>
      </c>
    </row>
    <row r="1326" spans="3:3" x14ac:dyDescent="0.3">
      <c r="C1326" s="14" t="str">
        <f t="shared" si="24"/>
        <v>19001</v>
      </c>
    </row>
    <row r="1327" spans="3:3" x14ac:dyDescent="0.3">
      <c r="C1327" s="14" t="str">
        <f t="shared" si="24"/>
        <v>19001</v>
      </c>
    </row>
    <row r="1328" spans="3:3" x14ac:dyDescent="0.3">
      <c r="C1328" s="14" t="str">
        <f t="shared" si="24"/>
        <v>19001</v>
      </c>
    </row>
    <row r="1329" spans="3:3" x14ac:dyDescent="0.3">
      <c r="C1329" s="14" t="str">
        <f t="shared" si="24"/>
        <v>19001</v>
      </c>
    </row>
    <row r="1330" spans="3:3" x14ac:dyDescent="0.3">
      <c r="C1330" s="14" t="str">
        <f t="shared" si="24"/>
        <v>19001</v>
      </c>
    </row>
    <row r="1331" spans="3:3" x14ac:dyDescent="0.3">
      <c r="C1331" s="14" t="str">
        <f t="shared" si="24"/>
        <v>19001</v>
      </c>
    </row>
    <row r="1332" spans="3:3" x14ac:dyDescent="0.3">
      <c r="C1332" s="14" t="str">
        <f t="shared" si="24"/>
        <v>19001</v>
      </c>
    </row>
    <row r="1333" spans="3:3" x14ac:dyDescent="0.3">
      <c r="C1333" s="14" t="str">
        <f t="shared" si="24"/>
        <v>19001</v>
      </c>
    </row>
    <row r="1334" spans="3:3" x14ac:dyDescent="0.3">
      <c r="C1334" s="14" t="str">
        <f t="shared" si="24"/>
        <v>19001</v>
      </c>
    </row>
    <row r="1335" spans="3:3" x14ac:dyDescent="0.3">
      <c r="C1335" s="14" t="str">
        <f t="shared" si="24"/>
        <v>19001</v>
      </c>
    </row>
    <row r="1336" spans="3:3" x14ac:dyDescent="0.3">
      <c r="C1336" s="14" t="str">
        <f t="shared" si="24"/>
        <v>19001</v>
      </c>
    </row>
    <row r="1337" spans="3:3" x14ac:dyDescent="0.3">
      <c r="C1337" s="14" t="str">
        <f t="shared" si="24"/>
        <v>19001</v>
      </c>
    </row>
    <row r="1338" spans="3:3" x14ac:dyDescent="0.3">
      <c r="C1338" s="14" t="str">
        <f t="shared" si="24"/>
        <v>19001</v>
      </c>
    </row>
    <row r="1339" spans="3:3" x14ac:dyDescent="0.3">
      <c r="C1339" s="14" t="str">
        <f t="shared" si="24"/>
        <v>19001</v>
      </c>
    </row>
    <row r="1340" spans="3:3" x14ac:dyDescent="0.3">
      <c r="C1340" s="14" t="str">
        <f t="shared" si="24"/>
        <v>19001</v>
      </c>
    </row>
    <row r="1341" spans="3:3" x14ac:dyDescent="0.3">
      <c r="C1341" s="14" t="str">
        <f t="shared" si="24"/>
        <v>19001</v>
      </c>
    </row>
    <row r="1342" spans="3:3" x14ac:dyDescent="0.3">
      <c r="C1342" s="14" t="str">
        <f t="shared" si="24"/>
        <v>19001</v>
      </c>
    </row>
    <row r="1343" spans="3:3" x14ac:dyDescent="0.3">
      <c r="C1343" s="14" t="str">
        <f t="shared" si="24"/>
        <v>19001</v>
      </c>
    </row>
    <row r="1344" spans="3:3" x14ac:dyDescent="0.3">
      <c r="C1344" s="14" t="str">
        <f t="shared" si="24"/>
        <v>19001</v>
      </c>
    </row>
    <row r="1345" spans="3:3" x14ac:dyDescent="0.3">
      <c r="C1345" s="14" t="str">
        <f t="shared" si="24"/>
        <v>19001</v>
      </c>
    </row>
    <row r="1346" spans="3:3" x14ac:dyDescent="0.3">
      <c r="C1346" s="14" t="str">
        <f t="shared" si="24"/>
        <v>19001</v>
      </c>
    </row>
    <row r="1347" spans="3:3" x14ac:dyDescent="0.3">
      <c r="C1347" s="14" t="str">
        <f t="shared" si="24"/>
        <v>19001</v>
      </c>
    </row>
    <row r="1348" spans="3:3" x14ac:dyDescent="0.3">
      <c r="C1348" s="14" t="str">
        <f t="shared" si="24"/>
        <v>19001</v>
      </c>
    </row>
    <row r="1349" spans="3:3" x14ac:dyDescent="0.3">
      <c r="C1349" s="14" t="str">
        <f t="shared" si="24"/>
        <v>19001</v>
      </c>
    </row>
    <row r="1350" spans="3:3" x14ac:dyDescent="0.3">
      <c r="C1350" s="14" t="str">
        <f t="shared" si="24"/>
        <v>19001</v>
      </c>
    </row>
    <row r="1351" spans="3:3" x14ac:dyDescent="0.3">
      <c r="C1351" s="14" t="str">
        <f t="shared" si="24"/>
        <v>19001</v>
      </c>
    </row>
    <row r="1352" spans="3:3" x14ac:dyDescent="0.3">
      <c r="C1352" s="14" t="str">
        <f t="shared" ref="C1352:C1415" si="25">YEAR(D1352)&amp;MONTH(D1352)</f>
        <v>19001</v>
      </c>
    </row>
    <row r="1353" spans="3:3" x14ac:dyDescent="0.3">
      <c r="C1353" s="14" t="str">
        <f t="shared" si="25"/>
        <v>19001</v>
      </c>
    </row>
    <row r="1354" spans="3:3" x14ac:dyDescent="0.3">
      <c r="C1354" s="14" t="str">
        <f t="shared" si="25"/>
        <v>19001</v>
      </c>
    </row>
    <row r="1355" spans="3:3" x14ac:dyDescent="0.3">
      <c r="C1355" s="14" t="str">
        <f t="shared" si="25"/>
        <v>19001</v>
      </c>
    </row>
    <row r="1356" spans="3:3" x14ac:dyDescent="0.3">
      <c r="C1356" s="14" t="str">
        <f t="shared" si="25"/>
        <v>19001</v>
      </c>
    </row>
    <row r="1357" spans="3:3" x14ac:dyDescent="0.3">
      <c r="C1357" s="14" t="str">
        <f t="shared" si="25"/>
        <v>19001</v>
      </c>
    </row>
    <row r="1358" spans="3:3" x14ac:dyDescent="0.3">
      <c r="C1358" s="14" t="str">
        <f t="shared" si="25"/>
        <v>19001</v>
      </c>
    </row>
    <row r="1359" spans="3:3" x14ac:dyDescent="0.3">
      <c r="C1359" s="14" t="str">
        <f t="shared" si="25"/>
        <v>19001</v>
      </c>
    </row>
    <row r="1360" spans="3:3" x14ac:dyDescent="0.3">
      <c r="C1360" s="14" t="str">
        <f t="shared" si="25"/>
        <v>19001</v>
      </c>
    </row>
    <row r="1361" spans="3:3" x14ac:dyDescent="0.3">
      <c r="C1361" s="14" t="str">
        <f t="shared" si="25"/>
        <v>19001</v>
      </c>
    </row>
    <row r="1362" spans="3:3" x14ac:dyDescent="0.3">
      <c r="C1362" s="14" t="str">
        <f t="shared" si="25"/>
        <v>19001</v>
      </c>
    </row>
    <row r="1363" spans="3:3" x14ac:dyDescent="0.3">
      <c r="C1363" s="14" t="str">
        <f t="shared" si="25"/>
        <v>19001</v>
      </c>
    </row>
    <row r="1364" spans="3:3" x14ac:dyDescent="0.3">
      <c r="C1364" s="14" t="str">
        <f t="shared" si="25"/>
        <v>19001</v>
      </c>
    </row>
    <row r="1365" spans="3:3" x14ac:dyDescent="0.3">
      <c r="C1365" s="14" t="str">
        <f t="shared" si="25"/>
        <v>19001</v>
      </c>
    </row>
    <row r="1366" spans="3:3" x14ac:dyDescent="0.3">
      <c r="C1366" s="14" t="str">
        <f t="shared" si="25"/>
        <v>19001</v>
      </c>
    </row>
    <row r="1367" spans="3:3" x14ac:dyDescent="0.3">
      <c r="C1367" s="14" t="str">
        <f t="shared" si="25"/>
        <v>19001</v>
      </c>
    </row>
    <row r="1368" spans="3:3" x14ac:dyDescent="0.3">
      <c r="C1368" s="14" t="str">
        <f t="shared" si="25"/>
        <v>19001</v>
      </c>
    </row>
    <row r="1369" spans="3:3" x14ac:dyDescent="0.3">
      <c r="C1369" s="14" t="str">
        <f t="shared" si="25"/>
        <v>19001</v>
      </c>
    </row>
    <row r="1370" spans="3:3" x14ac:dyDescent="0.3">
      <c r="C1370" s="14" t="str">
        <f t="shared" si="25"/>
        <v>19001</v>
      </c>
    </row>
    <row r="1371" spans="3:3" x14ac:dyDescent="0.3">
      <c r="C1371" s="14" t="str">
        <f t="shared" si="25"/>
        <v>19001</v>
      </c>
    </row>
    <row r="1372" spans="3:3" x14ac:dyDescent="0.3">
      <c r="C1372" s="14" t="str">
        <f t="shared" si="25"/>
        <v>19001</v>
      </c>
    </row>
    <row r="1373" spans="3:3" x14ac:dyDescent="0.3">
      <c r="C1373" s="14" t="str">
        <f t="shared" si="25"/>
        <v>19001</v>
      </c>
    </row>
    <row r="1374" spans="3:3" x14ac:dyDescent="0.3">
      <c r="C1374" s="14" t="str">
        <f t="shared" si="25"/>
        <v>19001</v>
      </c>
    </row>
    <row r="1375" spans="3:3" x14ac:dyDescent="0.3">
      <c r="C1375" s="14" t="str">
        <f t="shared" si="25"/>
        <v>19001</v>
      </c>
    </row>
    <row r="1376" spans="3:3" x14ac:dyDescent="0.3">
      <c r="C1376" s="14" t="str">
        <f t="shared" si="25"/>
        <v>19001</v>
      </c>
    </row>
    <row r="1377" spans="3:3" x14ac:dyDescent="0.3">
      <c r="C1377" s="14" t="str">
        <f t="shared" si="25"/>
        <v>19001</v>
      </c>
    </row>
    <row r="1378" spans="3:3" x14ac:dyDescent="0.3">
      <c r="C1378" s="14" t="str">
        <f t="shared" si="25"/>
        <v>19001</v>
      </c>
    </row>
    <row r="1379" spans="3:3" x14ac:dyDescent="0.3">
      <c r="C1379" s="14" t="str">
        <f t="shared" si="25"/>
        <v>19001</v>
      </c>
    </row>
    <row r="1380" spans="3:3" x14ac:dyDescent="0.3">
      <c r="C1380" s="14" t="str">
        <f t="shared" si="25"/>
        <v>19001</v>
      </c>
    </row>
    <row r="1381" spans="3:3" x14ac:dyDescent="0.3">
      <c r="C1381" s="14" t="str">
        <f t="shared" si="25"/>
        <v>19001</v>
      </c>
    </row>
    <row r="1382" spans="3:3" x14ac:dyDescent="0.3">
      <c r="C1382" s="14" t="str">
        <f t="shared" si="25"/>
        <v>19001</v>
      </c>
    </row>
    <row r="1383" spans="3:3" x14ac:dyDescent="0.3">
      <c r="C1383" s="14" t="str">
        <f t="shared" si="25"/>
        <v>19001</v>
      </c>
    </row>
    <row r="1384" spans="3:3" x14ac:dyDescent="0.3">
      <c r="C1384" s="14" t="str">
        <f t="shared" si="25"/>
        <v>19001</v>
      </c>
    </row>
    <row r="1385" spans="3:3" x14ac:dyDescent="0.3">
      <c r="C1385" s="14" t="str">
        <f t="shared" si="25"/>
        <v>19001</v>
      </c>
    </row>
    <row r="1386" spans="3:3" x14ac:dyDescent="0.3">
      <c r="C1386" s="14" t="str">
        <f t="shared" si="25"/>
        <v>19001</v>
      </c>
    </row>
    <row r="1387" spans="3:3" x14ac:dyDescent="0.3">
      <c r="C1387" s="14" t="str">
        <f t="shared" si="25"/>
        <v>19001</v>
      </c>
    </row>
    <row r="1388" spans="3:3" x14ac:dyDescent="0.3">
      <c r="C1388" s="14" t="str">
        <f t="shared" si="25"/>
        <v>19001</v>
      </c>
    </row>
    <row r="1389" spans="3:3" x14ac:dyDescent="0.3">
      <c r="C1389" s="14" t="str">
        <f t="shared" si="25"/>
        <v>19001</v>
      </c>
    </row>
    <row r="1390" spans="3:3" x14ac:dyDescent="0.3">
      <c r="C1390" s="14" t="str">
        <f t="shared" si="25"/>
        <v>19001</v>
      </c>
    </row>
    <row r="1391" spans="3:3" x14ac:dyDescent="0.3">
      <c r="C1391" s="14" t="str">
        <f t="shared" si="25"/>
        <v>19001</v>
      </c>
    </row>
    <row r="1392" spans="3:3" x14ac:dyDescent="0.3">
      <c r="C1392" s="14" t="str">
        <f t="shared" si="25"/>
        <v>19001</v>
      </c>
    </row>
    <row r="1393" spans="3:3" x14ac:dyDescent="0.3">
      <c r="C1393" s="14" t="str">
        <f t="shared" si="25"/>
        <v>19001</v>
      </c>
    </row>
    <row r="1394" spans="3:3" x14ac:dyDescent="0.3">
      <c r="C1394" s="14" t="str">
        <f t="shared" si="25"/>
        <v>19001</v>
      </c>
    </row>
    <row r="1395" spans="3:3" x14ac:dyDescent="0.3">
      <c r="C1395" s="14" t="str">
        <f t="shared" si="25"/>
        <v>19001</v>
      </c>
    </row>
    <row r="1396" spans="3:3" x14ac:dyDescent="0.3">
      <c r="C1396" s="14" t="str">
        <f t="shared" si="25"/>
        <v>19001</v>
      </c>
    </row>
    <row r="1397" spans="3:3" x14ac:dyDescent="0.3">
      <c r="C1397" s="14" t="str">
        <f t="shared" si="25"/>
        <v>19001</v>
      </c>
    </row>
    <row r="1398" spans="3:3" x14ac:dyDescent="0.3">
      <c r="C1398" s="14" t="str">
        <f t="shared" si="25"/>
        <v>19001</v>
      </c>
    </row>
    <row r="1399" spans="3:3" x14ac:dyDescent="0.3">
      <c r="C1399" s="14" t="str">
        <f t="shared" si="25"/>
        <v>19001</v>
      </c>
    </row>
    <row r="1400" spans="3:3" x14ac:dyDescent="0.3">
      <c r="C1400" s="14" t="str">
        <f t="shared" si="25"/>
        <v>19001</v>
      </c>
    </row>
    <row r="1401" spans="3:3" x14ac:dyDescent="0.3">
      <c r="C1401" s="14" t="str">
        <f t="shared" si="25"/>
        <v>19001</v>
      </c>
    </row>
    <row r="1402" spans="3:3" x14ac:dyDescent="0.3">
      <c r="C1402" s="14" t="str">
        <f t="shared" si="25"/>
        <v>19001</v>
      </c>
    </row>
    <row r="1403" spans="3:3" x14ac:dyDescent="0.3">
      <c r="C1403" s="14" t="str">
        <f t="shared" si="25"/>
        <v>19001</v>
      </c>
    </row>
    <row r="1404" spans="3:3" x14ac:dyDescent="0.3">
      <c r="C1404" s="14" t="str">
        <f t="shared" si="25"/>
        <v>19001</v>
      </c>
    </row>
    <row r="1405" spans="3:3" x14ac:dyDescent="0.3">
      <c r="C1405" s="14" t="str">
        <f t="shared" si="25"/>
        <v>19001</v>
      </c>
    </row>
    <row r="1406" spans="3:3" x14ac:dyDescent="0.3">
      <c r="C1406" s="14" t="str">
        <f t="shared" si="25"/>
        <v>19001</v>
      </c>
    </row>
    <row r="1407" spans="3:3" x14ac:dyDescent="0.3">
      <c r="C1407" s="14" t="str">
        <f t="shared" si="25"/>
        <v>19001</v>
      </c>
    </row>
    <row r="1408" spans="3:3" x14ac:dyDescent="0.3">
      <c r="C1408" s="14" t="str">
        <f t="shared" si="25"/>
        <v>19001</v>
      </c>
    </row>
    <row r="1409" spans="3:3" x14ac:dyDescent="0.3">
      <c r="C1409" s="14" t="str">
        <f t="shared" si="25"/>
        <v>19001</v>
      </c>
    </row>
    <row r="1410" spans="3:3" x14ac:dyDescent="0.3">
      <c r="C1410" s="14" t="str">
        <f t="shared" si="25"/>
        <v>19001</v>
      </c>
    </row>
    <row r="1411" spans="3:3" x14ac:dyDescent="0.3">
      <c r="C1411" s="14" t="str">
        <f t="shared" si="25"/>
        <v>19001</v>
      </c>
    </row>
    <row r="1412" spans="3:3" x14ac:dyDescent="0.3">
      <c r="C1412" s="14" t="str">
        <f t="shared" si="25"/>
        <v>19001</v>
      </c>
    </row>
    <row r="1413" spans="3:3" x14ac:dyDescent="0.3">
      <c r="C1413" s="14" t="str">
        <f t="shared" si="25"/>
        <v>19001</v>
      </c>
    </row>
    <row r="1414" spans="3:3" x14ac:dyDescent="0.3">
      <c r="C1414" s="14" t="str">
        <f t="shared" si="25"/>
        <v>19001</v>
      </c>
    </row>
    <row r="1415" spans="3:3" x14ac:dyDescent="0.3">
      <c r="C1415" s="14" t="str">
        <f t="shared" si="25"/>
        <v>19001</v>
      </c>
    </row>
    <row r="1416" spans="3:3" x14ac:dyDescent="0.3">
      <c r="C1416" s="14" t="str">
        <f t="shared" ref="C1416:C1479" si="26">YEAR(D1416)&amp;MONTH(D1416)</f>
        <v>19001</v>
      </c>
    </row>
    <row r="1417" spans="3:3" x14ac:dyDescent="0.3">
      <c r="C1417" s="14" t="str">
        <f t="shared" si="26"/>
        <v>19001</v>
      </c>
    </row>
    <row r="1418" spans="3:3" x14ac:dyDescent="0.3">
      <c r="C1418" s="14" t="str">
        <f t="shared" si="26"/>
        <v>19001</v>
      </c>
    </row>
    <row r="1419" spans="3:3" x14ac:dyDescent="0.3">
      <c r="C1419" s="14" t="str">
        <f t="shared" si="26"/>
        <v>19001</v>
      </c>
    </row>
    <row r="1420" spans="3:3" x14ac:dyDescent="0.3">
      <c r="C1420" s="14" t="str">
        <f t="shared" si="26"/>
        <v>19001</v>
      </c>
    </row>
    <row r="1421" spans="3:3" x14ac:dyDescent="0.3">
      <c r="C1421" s="14" t="str">
        <f t="shared" si="26"/>
        <v>19001</v>
      </c>
    </row>
    <row r="1422" spans="3:3" x14ac:dyDescent="0.3">
      <c r="C1422" s="14" t="str">
        <f t="shared" si="26"/>
        <v>19001</v>
      </c>
    </row>
    <row r="1423" spans="3:3" x14ac:dyDescent="0.3">
      <c r="C1423" s="14" t="str">
        <f t="shared" si="26"/>
        <v>19001</v>
      </c>
    </row>
    <row r="1424" spans="3:3" x14ac:dyDescent="0.3">
      <c r="C1424" s="14" t="str">
        <f t="shared" si="26"/>
        <v>19001</v>
      </c>
    </row>
    <row r="1425" spans="3:3" x14ac:dyDescent="0.3">
      <c r="C1425" s="14" t="str">
        <f t="shared" si="26"/>
        <v>19001</v>
      </c>
    </row>
    <row r="1426" spans="3:3" x14ac:dyDescent="0.3">
      <c r="C1426" s="14" t="str">
        <f t="shared" si="26"/>
        <v>19001</v>
      </c>
    </row>
    <row r="1427" spans="3:3" x14ac:dyDescent="0.3">
      <c r="C1427" s="14" t="str">
        <f t="shared" si="26"/>
        <v>19001</v>
      </c>
    </row>
    <row r="1428" spans="3:3" x14ac:dyDescent="0.3">
      <c r="C1428" s="14" t="str">
        <f t="shared" si="26"/>
        <v>19001</v>
      </c>
    </row>
    <row r="1429" spans="3:3" x14ac:dyDescent="0.3">
      <c r="C1429" s="14" t="str">
        <f t="shared" si="26"/>
        <v>19001</v>
      </c>
    </row>
    <row r="1430" spans="3:3" x14ac:dyDescent="0.3">
      <c r="C1430" s="14" t="str">
        <f t="shared" si="26"/>
        <v>19001</v>
      </c>
    </row>
    <row r="1431" spans="3:3" x14ac:dyDescent="0.3">
      <c r="C1431" s="14" t="str">
        <f t="shared" si="26"/>
        <v>19001</v>
      </c>
    </row>
    <row r="1432" spans="3:3" x14ac:dyDescent="0.3">
      <c r="C1432" s="14" t="str">
        <f t="shared" si="26"/>
        <v>19001</v>
      </c>
    </row>
    <row r="1433" spans="3:3" x14ac:dyDescent="0.3">
      <c r="C1433" s="14" t="str">
        <f t="shared" si="26"/>
        <v>19001</v>
      </c>
    </row>
    <row r="1434" spans="3:3" x14ac:dyDescent="0.3">
      <c r="C1434" s="14" t="str">
        <f t="shared" si="26"/>
        <v>19001</v>
      </c>
    </row>
    <row r="1435" spans="3:3" x14ac:dyDescent="0.3">
      <c r="C1435" s="14" t="str">
        <f t="shared" si="26"/>
        <v>19001</v>
      </c>
    </row>
    <row r="1436" spans="3:3" x14ac:dyDescent="0.3">
      <c r="C1436" s="14" t="str">
        <f t="shared" si="26"/>
        <v>19001</v>
      </c>
    </row>
    <row r="1437" spans="3:3" x14ac:dyDescent="0.3">
      <c r="C1437" s="14" t="str">
        <f t="shared" si="26"/>
        <v>19001</v>
      </c>
    </row>
    <row r="1438" spans="3:3" x14ac:dyDescent="0.3">
      <c r="C1438" s="14" t="str">
        <f t="shared" si="26"/>
        <v>19001</v>
      </c>
    </row>
    <row r="1439" spans="3:3" x14ac:dyDescent="0.3">
      <c r="C1439" s="14" t="str">
        <f t="shared" si="26"/>
        <v>19001</v>
      </c>
    </row>
    <row r="1440" spans="3:3" x14ac:dyDescent="0.3">
      <c r="C1440" s="14" t="str">
        <f t="shared" si="26"/>
        <v>19001</v>
      </c>
    </row>
    <row r="1441" spans="3:3" x14ac:dyDescent="0.3">
      <c r="C1441" s="14" t="str">
        <f t="shared" si="26"/>
        <v>19001</v>
      </c>
    </row>
    <row r="1442" spans="3:3" x14ac:dyDescent="0.3">
      <c r="C1442" s="14" t="str">
        <f t="shared" si="26"/>
        <v>19001</v>
      </c>
    </row>
    <row r="1443" spans="3:3" x14ac:dyDescent="0.3">
      <c r="C1443" s="14" t="str">
        <f t="shared" si="26"/>
        <v>19001</v>
      </c>
    </row>
    <row r="1444" spans="3:3" x14ac:dyDescent="0.3">
      <c r="C1444" s="14" t="str">
        <f t="shared" si="26"/>
        <v>19001</v>
      </c>
    </row>
    <row r="1445" spans="3:3" x14ac:dyDescent="0.3">
      <c r="C1445" s="14" t="str">
        <f t="shared" si="26"/>
        <v>19001</v>
      </c>
    </row>
    <row r="1446" spans="3:3" x14ac:dyDescent="0.3">
      <c r="C1446" s="14" t="str">
        <f t="shared" si="26"/>
        <v>19001</v>
      </c>
    </row>
    <row r="1447" spans="3:3" x14ac:dyDescent="0.3">
      <c r="C1447" s="14" t="str">
        <f t="shared" si="26"/>
        <v>19001</v>
      </c>
    </row>
    <row r="1448" spans="3:3" x14ac:dyDescent="0.3">
      <c r="C1448" s="14" t="str">
        <f t="shared" si="26"/>
        <v>19001</v>
      </c>
    </row>
    <row r="1449" spans="3:3" x14ac:dyDescent="0.3">
      <c r="C1449" s="14" t="str">
        <f t="shared" si="26"/>
        <v>19001</v>
      </c>
    </row>
    <row r="1450" spans="3:3" x14ac:dyDescent="0.3">
      <c r="C1450" s="14" t="str">
        <f t="shared" si="26"/>
        <v>19001</v>
      </c>
    </row>
    <row r="1451" spans="3:3" x14ac:dyDescent="0.3">
      <c r="C1451" s="14" t="str">
        <f t="shared" si="26"/>
        <v>19001</v>
      </c>
    </row>
    <row r="1452" spans="3:3" x14ac:dyDescent="0.3">
      <c r="C1452" s="14" t="str">
        <f t="shared" si="26"/>
        <v>19001</v>
      </c>
    </row>
    <row r="1453" spans="3:3" x14ac:dyDescent="0.3">
      <c r="C1453" s="14" t="str">
        <f t="shared" si="26"/>
        <v>19001</v>
      </c>
    </row>
    <row r="1454" spans="3:3" x14ac:dyDescent="0.3">
      <c r="C1454" s="14" t="str">
        <f t="shared" si="26"/>
        <v>19001</v>
      </c>
    </row>
    <row r="1455" spans="3:3" x14ac:dyDescent="0.3">
      <c r="C1455" s="14" t="str">
        <f t="shared" si="26"/>
        <v>19001</v>
      </c>
    </row>
    <row r="1456" spans="3:3" x14ac:dyDescent="0.3">
      <c r="C1456" s="14" t="str">
        <f t="shared" si="26"/>
        <v>19001</v>
      </c>
    </row>
    <row r="1457" spans="3:3" x14ac:dyDescent="0.3">
      <c r="C1457" s="14" t="str">
        <f t="shared" si="26"/>
        <v>19001</v>
      </c>
    </row>
    <row r="1458" spans="3:3" x14ac:dyDescent="0.3">
      <c r="C1458" s="14" t="str">
        <f t="shared" si="26"/>
        <v>19001</v>
      </c>
    </row>
    <row r="1459" spans="3:3" x14ac:dyDescent="0.3">
      <c r="C1459" s="14" t="str">
        <f t="shared" si="26"/>
        <v>19001</v>
      </c>
    </row>
    <row r="1460" spans="3:3" x14ac:dyDescent="0.3">
      <c r="C1460" s="14" t="str">
        <f t="shared" si="26"/>
        <v>19001</v>
      </c>
    </row>
    <row r="1461" spans="3:3" x14ac:dyDescent="0.3">
      <c r="C1461" s="14" t="str">
        <f t="shared" si="26"/>
        <v>19001</v>
      </c>
    </row>
    <row r="1462" spans="3:3" x14ac:dyDescent="0.3">
      <c r="C1462" s="14" t="str">
        <f t="shared" si="26"/>
        <v>19001</v>
      </c>
    </row>
    <row r="1463" spans="3:3" x14ac:dyDescent="0.3">
      <c r="C1463" s="14" t="str">
        <f t="shared" si="26"/>
        <v>19001</v>
      </c>
    </row>
    <row r="1464" spans="3:3" x14ac:dyDescent="0.3">
      <c r="C1464" s="14" t="str">
        <f t="shared" si="26"/>
        <v>19001</v>
      </c>
    </row>
    <row r="1465" spans="3:3" x14ac:dyDescent="0.3">
      <c r="C1465" s="14" t="str">
        <f t="shared" si="26"/>
        <v>19001</v>
      </c>
    </row>
    <row r="1466" spans="3:3" x14ac:dyDescent="0.3">
      <c r="C1466" s="14" t="str">
        <f t="shared" si="26"/>
        <v>19001</v>
      </c>
    </row>
    <row r="1467" spans="3:3" x14ac:dyDescent="0.3">
      <c r="C1467" s="14" t="str">
        <f t="shared" si="26"/>
        <v>19001</v>
      </c>
    </row>
    <row r="1468" spans="3:3" x14ac:dyDescent="0.3">
      <c r="C1468" s="14" t="str">
        <f t="shared" si="26"/>
        <v>19001</v>
      </c>
    </row>
    <row r="1469" spans="3:3" x14ac:dyDescent="0.3">
      <c r="C1469" s="14" t="str">
        <f t="shared" si="26"/>
        <v>19001</v>
      </c>
    </row>
    <row r="1470" spans="3:3" x14ac:dyDescent="0.3">
      <c r="C1470" s="14" t="str">
        <f t="shared" si="26"/>
        <v>19001</v>
      </c>
    </row>
    <row r="1471" spans="3:3" x14ac:dyDescent="0.3">
      <c r="C1471" s="14" t="str">
        <f t="shared" si="26"/>
        <v>19001</v>
      </c>
    </row>
    <row r="1472" spans="3:3" x14ac:dyDescent="0.3">
      <c r="C1472" s="14" t="str">
        <f t="shared" si="26"/>
        <v>19001</v>
      </c>
    </row>
    <row r="1473" spans="3:3" x14ac:dyDescent="0.3">
      <c r="C1473" s="14" t="str">
        <f t="shared" si="26"/>
        <v>19001</v>
      </c>
    </row>
    <row r="1474" spans="3:3" x14ac:dyDescent="0.3">
      <c r="C1474" s="14" t="str">
        <f t="shared" si="26"/>
        <v>19001</v>
      </c>
    </row>
    <row r="1475" spans="3:3" x14ac:dyDescent="0.3">
      <c r="C1475" s="14" t="str">
        <f t="shared" si="26"/>
        <v>19001</v>
      </c>
    </row>
    <row r="1476" spans="3:3" x14ac:dyDescent="0.3">
      <c r="C1476" s="14" t="str">
        <f t="shared" si="26"/>
        <v>19001</v>
      </c>
    </row>
    <row r="1477" spans="3:3" x14ac:dyDescent="0.3">
      <c r="C1477" s="14" t="str">
        <f t="shared" si="26"/>
        <v>19001</v>
      </c>
    </row>
    <row r="1478" spans="3:3" x14ac:dyDescent="0.3">
      <c r="C1478" s="14" t="str">
        <f t="shared" si="26"/>
        <v>19001</v>
      </c>
    </row>
    <row r="1479" spans="3:3" x14ac:dyDescent="0.3">
      <c r="C1479" s="14" t="str">
        <f t="shared" si="26"/>
        <v>19001</v>
      </c>
    </row>
    <row r="1480" spans="3:3" x14ac:dyDescent="0.3">
      <c r="C1480" s="14" t="str">
        <f t="shared" ref="C1480:C1543" si="27">YEAR(D1480)&amp;MONTH(D1480)</f>
        <v>19001</v>
      </c>
    </row>
    <row r="1481" spans="3:3" x14ac:dyDescent="0.3">
      <c r="C1481" s="14" t="str">
        <f t="shared" si="27"/>
        <v>19001</v>
      </c>
    </row>
    <row r="1482" spans="3:3" x14ac:dyDescent="0.3">
      <c r="C1482" s="14" t="str">
        <f t="shared" si="27"/>
        <v>19001</v>
      </c>
    </row>
    <row r="1483" spans="3:3" x14ac:dyDescent="0.3">
      <c r="C1483" s="14" t="str">
        <f t="shared" si="27"/>
        <v>19001</v>
      </c>
    </row>
    <row r="1484" spans="3:3" x14ac:dyDescent="0.3">
      <c r="C1484" s="14" t="str">
        <f t="shared" si="27"/>
        <v>19001</v>
      </c>
    </row>
    <row r="1485" spans="3:3" x14ac:dyDescent="0.3">
      <c r="C1485" s="14" t="str">
        <f t="shared" si="27"/>
        <v>19001</v>
      </c>
    </row>
    <row r="1486" spans="3:3" x14ac:dyDescent="0.3">
      <c r="C1486" s="14" t="str">
        <f t="shared" si="27"/>
        <v>19001</v>
      </c>
    </row>
    <row r="1487" spans="3:3" x14ac:dyDescent="0.3">
      <c r="C1487" s="14" t="str">
        <f t="shared" si="27"/>
        <v>19001</v>
      </c>
    </row>
    <row r="1488" spans="3:3" x14ac:dyDescent="0.3">
      <c r="C1488" s="14" t="str">
        <f t="shared" si="27"/>
        <v>19001</v>
      </c>
    </row>
    <row r="1489" spans="3:3" x14ac:dyDescent="0.3">
      <c r="C1489" s="14" t="str">
        <f t="shared" si="27"/>
        <v>19001</v>
      </c>
    </row>
    <row r="1490" spans="3:3" x14ac:dyDescent="0.3">
      <c r="C1490" s="14" t="str">
        <f t="shared" si="27"/>
        <v>19001</v>
      </c>
    </row>
    <row r="1491" spans="3:3" x14ac:dyDescent="0.3">
      <c r="C1491" s="14" t="str">
        <f t="shared" si="27"/>
        <v>19001</v>
      </c>
    </row>
    <row r="1492" spans="3:3" x14ac:dyDescent="0.3">
      <c r="C1492" s="14" t="str">
        <f t="shared" si="27"/>
        <v>19001</v>
      </c>
    </row>
    <row r="1493" spans="3:3" x14ac:dyDescent="0.3">
      <c r="C1493" s="14" t="str">
        <f t="shared" si="27"/>
        <v>19001</v>
      </c>
    </row>
    <row r="1494" spans="3:3" x14ac:dyDescent="0.3">
      <c r="C1494" s="14" t="str">
        <f t="shared" si="27"/>
        <v>19001</v>
      </c>
    </row>
    <row r="1495" spans="3:3" x14ac:dyDescent="0.3">
      <c r="C1495" s="14" t="str">
        <f t="shared" si="27"/>
        <v>19001</v>
      </c>
    </row>
    <row r="1496" spans="3:3" x14ac:dyDescent="0.3">
      <c r="C1496" s="14" t="str">
        <f t="shared" si="27"/>
        <v>19001</v>
      </c>
    </row>
    <row r="1497" spans="3:3" x14ac:dyDescent="0.3">
      <c r="C1497" s="14" t="str">
        <f t="shared" si="27"/>
        <v>19001</v>
      </c>
    </row>
    <row r="1498" spans="3:3" x14ac:dyDescent="0.3">
      <c r="C1498" s="14" t="str">
        <f t="shared" si="27"/>
        <v>19001</v>
      </c>
    </row>
    <row r="1499" spans="3:3" x14ac:dyDescent="0.3">
      <c r="C1499" s="14" t="str">
        <f t="shared" si="27"/>
        <v>19001</v>
      </c>
    </row>
    <row r="1500" spans="3:3" x14ac:dyDescent="0.3">
      <c r="C1500" s="14" t="str">
        <f t="shared" si="27"/>
        <v>19001</v>
      </c>
    </row>
    <row r="1501" spans="3:3" x14ac:dyDescent="0.3">
      <c r="C1501" s="14" t="str">
        <f t="shared" si="27"/>
        <v>19001</v>
      </c>
    </row>
    <row r="1502" spans="3:3" x14ac:dyDescent="0.3">
      <c r="C1502" s="14" t="str">
        <f t="shared" si="27"/>
        <v>19001</v>
      </c>
    </row>
    <row r="1503" spans="3:3" x14ac:dyDescent="0.3">
      <c r="C1503" s="14" t="str">
        <f t="shared" si="27"/>
        <v>19001</v>
      </c>
    </row>
    <row r="1504" spans="3:3" x14ac:dyDescent="0.3">
      <c r="C1504" s="14" t="str">
        <f t="shared" si="27"/>
        <v>19001</v>
      </c>
    </row>
    <row r="1505" spans="3:3" x14ac:dyDescent="0.3">
      <c r="C1505" s="14" t="str">
        <f t="shared" si="27"/>
        <v>19001</v>
      </c>
    </row>
    <row r="1506" spans="3:3" x14ac:dyDescent="0.3">
      <c r="C1506" s="14" t="str">
        <f t="shared" si="27"/>
        <v>19001</v>
      </c>
    </row>
    <row r="1507" spans="3:3" x14ac:dyDescent="0.3">
      <c r="C1507" s="14" t="str">
        <f t="shared" si="27"/>
        <v>19001</v>
      </c>
    </row>
    <row r="1508" spans="3:3" x14ac:dyDescent="0.3">
      <c r="C1508" s="14" t="str">
        <f t="shared" si="27"/>
        <v>19001</v>
      </c>
    </row>
    <row r="1509" spans="3:3" x14ac:dyDescent="0.3">
      <c r="C1509" s="14" t="str">
        <f t="shared" si="27"/>
        <v>19001</v>
      </c>
    </row>
    <row r="1510" spans="3:3" x14ac:dyDescent="0.3">
      <c r="C1510" s="14" t="str">
        <f t="shared" si="27"/>
        <v>19001</v>
      </c>
    </row>
    <row r="1511" spans="3:3" x14ac:dyDescent="0.3">
      <c r="C1511" s="14" t="str">
        <f t="shared" si="27"/>
        <v>19001</v>
      </c>
    </row>
    <row r="1512" spans="3:3" x14ac:dyDescent="0.3">
      <c r="C1512" s="14" t="str">
        <f t="shared" si="27"/>
        <v>19001</v>
      </c>
    </row>
    <row r="1513" spans="3:3" x14ac:dyDescent="0.3">
      <c r="C1513" s="14" t="str">
        <f t="shared" si="27"/>
        <v>19001</v>
      </c>
    </row>
    <row r="1514" spans="3:3" x14ac:dyDescent="0.3">
      <c r="C1514" s="14" t="str">
        <f t="shared" si="27"/>
        <v>19001</v>
      </c>
    </row>
    <row r="1515" spans="3:3" x14ac:dyDescent="0.3">
      <c r="C1515" s="14" t="str">
        <f t="shared" si="27"/>
        <v>19001</v>
      </c>
    </row>
    <row r="1516" spans="3:3" x14ac:dyDescent="0.3">
      <c r="C1516" s="14" t="str">
        <f t="shared" si="27"/>
        <v>19001</v>
      </c>
    </row>
    <row r="1517" spans="3:3" x14ac:dyDescent="0.3">
      <c r="C1517" s="14" t="str">
        <f t="shared" si="27"/>
        <v>19001</v>
      </c>
    </row>
    <row r="1518" spans="3:3" x14ac:dyDescent="0.3">
      <c r="C1518" s="14" t="str">
        <f t="shared" si="27"/>
        <v>19001</v>
      </c>
    </row>
    <row r="1519" spans="3:3" x14ac:dyDescent="0.3">
      <c r="C1519" s="14" t="str">
        <f t="shared" si="27"/>
        <v>19001</v>
      </c>
    </row>
    <row r="1520" spans="3:3" x14ac:dyDescent="0.3">
      <c r="C1520" s="14" t="str">
        <f t="shared" si="27"/>
        <v>19001</v>
      </c>
    </row>
    <row r="1521" spans="3:3" x14ac:dyDescent="0.3">
      <c r="C1521" s="14" t="str">
        <f t="shared" si="27"/>
        <v>19001</v>
      </c>
    </row>
    <row r="1522" spans="3:3" x14ac:dyDescent="0.3">
      <c r="C1522" s="14" t="str">
        <f t="shared" si="27"/>
        <v>19001</v>
      </c>
    </row>
    <row r="1523" spans="3:3" x14ac:dyDescent="0.3">
      <c r="C1523" s="14" t="str">
        <f t="shared" si="27"/>
        <v>19001</v>
      </c>
    </row>
    <row r="1524" spans="3:3" x14ac:dyDescent="0.3">
      <c r="C1524" s="14" t="str">
        <f t="shared" si="27"/>
        <v>19001</v>
      </c>
    </row>
    <row r="1525" spans="3:3" x14ac:dyDescent="0.3">
      <c r="C1525" s="14" t="str">
        <f t="shared" si="27"/>
        <v>19001</v>
      </c>
    </row>
    <row r="1526" spans="3:3" x14ac:dyDescent="0.3">
      <c r="C1526" s="14" t="str">
        <f t="shared" si="27"/>
        <v>19001</v>
      </c>
    </row>
    <row r="1527" spans="3:3" x14ac:dyDescent="0.3">
      <c r="C1527" s="14" t="str">
        <f t="shared" si="27"/>
        <v>19001</v>
      </c>
    </row>
    <row r="1528" spans="3:3" x14ac:dyDescent="0.3">
      <c r="C1528" s="14" t="str">
        <f t="shared" si="27"/>
        <v>19001</v>
      </c>
    </row>
    <row r="1529" spans="3:3" x14ac:dyDescent="0.3">
      <c r="C1529" s="14" t="str">
        <f t="shared" si="27"/>
        <v>19001</v>
      </c>
    </row>
    <row r="1530" spans="3:3" x14ac:dyDescent="0.3">
      <c r="C1530" s="14" t="str">
        <f t="shared" si="27"/>
        <v>19001</v>
      </c>
    </row>
    <row r="1531" spans="3:3" x14ac:dyDescent="0.3">
      <c r="C1531" s="14" t="str">
        <f t="shared" si="27"/>
        <v>19001</v>
      </c>
    </row>
    <row r="1532" spans="3:3" x14ac:dyDescent="0.3">
      <c r="C1532" s="14" t="str">
        <f t="shared" si="27"/>
        <v>19001</v>
      </c>
    </row>
    <row r="1533" spans="3:3" x14ac:dyDescent="0.3">
      <c r="C1533" s="14" t="str">
        <f t="shared" si="27"/>
        <v>19001</v>
      </c>
    </row>
    <row r="1534" spans="3:3" x14ac:dyDescent="0.3">
      <c r="C1534" s="14" t="str">
        <f t="shared" si="27"/>
        <v>19001</v>
      </c>
    </row>
    <row r="1535" spans="3:3" x14ac:dyDescent="0.3">
      <c r="C1535" s="14" t="str">
        <f t="shared" si="27"/>
        <v>19001</v>
      </c>
    </row>
    <row r="1536" spans="3:3" x14ac:dyDescent="0.3">
      <c r="C1536" s="14" t="str">
        <f t="shared" si="27"/>
        <v>19001</v>
      </c>
    </row>
    <row r="1537" spans="3:3" x14ac:dyDescent="0.3">
      <c r="C1537" s="14" t="str">
        <f t="shared" si="27"/>
        <v>19001</v>
      </c>
    </row>
    <row r="1538" spans="3:3" x14ac:dyDescent="0.3">
      <c r="C1538" s="14" t="str">
        <f t="shared" si="27"/>
        <v>19001</v>
      </c>
    </row>
    <row r="1539" spans="3:3" x14ac:dyDescent="0.3">
      <c r="C1539" s="14" t="str">
        <f t="shared" si="27"/>
        <v>19001</v>
      </c>
    </row>
    <row r="1540" spans="3:3" x14ac:dyDescent="0.3">
      <c r="C1540" s="14" t="str">
        <f t="shared" si="27"/>
        <v>19001</v>
      </c>
    </row>
    <row r="1541" spans="3:3" x14ac:dyDescent="0.3">
      <c r="C1541" s="14" t="str">
        <f t="shared" si="27"/>
        <v>19001</v>
      </c>
    </row>
    <row r="1542" spans="3:3" x14ac:dyDescent="0.3">
      <c r="C1542" s="14" t="str">
        <f t="shared" si="27"/>
        <v>19001</v>
      </c>
    </row>
    <row r="1543" spans="3:3" x14ac:dyDescent="0.3">
      <c r="C1543" s="14" t="str">
        <f t="shared" si="27"/>
        <v>19001</v>
      </c>
    </row>
    <row r="1544" spans="3:3" x14ac:dyDescent="0.3">
      <c r="C1544" s="14" t="str">
        <f t="shared" ref="C1544:C1607" si="28">YEAR(D1544)&amp;MONTH(D1544)</f>
        <v>19001</v>
      </c>
    </row>
    <row r="1545" spans="3:3" x14ac:dyDescent="0.3">
      <c r="C1545" s="14" t="str">
        <f t="shared" si="28"/>
        <v>19001</v>
      </c>
    </row>
    <row r="1546" spans="3:3" x14ac:dyDescent="0.3">
      <c r="C1546" s="14" t="str">
        <f t="shared" si="28"/>
        <v>19001</v>
      </c>
    </row>
    <row r="1547" spans="3:3" x14ac:dyDescent="0.3">
      <c r="C1547" s="14" t="str">
        <f t="shared" si="28"/>
        <v>19001</v>
      </c>
    </row>
    <row r="1548" spans="3:3" x14ac:dyDescent="0.3">
      <c r="C1548" s="14" t="str">
        <f t="shared" si="28"/>
        <v>19001</v>
      </c>
    </row>
    <row r="1549" spans="3:3" x14ac:dyDescent="0.3">
      <c r="C1549" s="14" t="str">
        <f t="shared" si="28"/>
        <v>19001</v>
      </c>
    </row>
    <row r="1550" spans="3:3" x14ac:dyDescent="0.3">
      <c r="C1550" s="14" t="str">
        <f t="shared" si="28"/>
        <v>19001</v>
      </c>
    </row>
    <row r="1551" spans="3:3" x14ac:dyDescent="0.3">
      <c r="C1551" s="14" t="str">
        <f t="shared" si="28"/>
        <v>19001</v>
      </c>
    </row>
    <row r="1552" spans="3:3" x14ac:dyDescent="0.3">
      <c r="C1552" s="14" t="str">
        <f t="shared" si="28"/>
        <v>19001</v>
      </c>
    </row>
    <row r="1553" spans="3:3" x14ac:dyDescent="0.3">
      <c r="C1553" s="14" t="str">
        <f t="shared" si="28"/>
        <v>19001</v>
      </c>
    </row>
    <row r="1554" spans="3:3" x14ac:dyDescent="0.3">
      <c r="C1554" s="14" t="str">
        <f t="shared" si="28"/>
        <v>19001</v>
      </c>
    </row>
    <row r="1555" spans="3:3" x14ac:dyDescent="0.3">
      <c r="C1555" s="14" t="str">
        <f t="shared" si="28"/>
        <v>19001</v>
      </c>
    </row>
    <row r="1556" spans="3:3" x14ac:dyDescent="0.3">
      <c r="C1556" s="14" t="str">
        <f t="shared" si="28"/>
        <v>19001</v>
      </c>
    </row>
    <row r="1557" spans="3:3" x14ac:dyDescent="0.3">
      <c r="C1557" s="14" t="str">
        <f t="shared" si="28"/>
        <v>19001</v>
      </c>
    </row>
    <row r="1558" spans="3:3" x14ac:dyDescent="0.3">
      <c r="C1558" s="14" t="str">
        <f t="shared" si="28"/>
        <v>19001</v>
      </c>
    </row>
    <row r="1559" spans="3:3" x14ac:dyDescent="0.3">
      <c r="C1559" s="14" t="str">
        <f t="shared" si="28"/>
        <v>19001</v>
      </c>
    </row>
    <row r="1560" spans="3:3" x14ac:dyDescent="0.3">
      <c r="C1560" s="14" t="str">
        <f t="shared" si="28"/>
        <v>19001</v>
      </c>
    </row>
    <row r="1561" spans="3:3" x14ac:dyDescent="0.3">
      <c r="C1561" s="14" t="str">
        <f t="shared" si="28"/>
        <v>19001</v>
      </c>
    </row>
    <row r="1562" spans="3:3" x14ac:dyDescent="0.3">
      <c r="C1562" s="14" t="str">
        <f t="shared" si="28"/>
        <v>19001</v>
      </c>
    </row>
    <row r="1563" spans="3:3" x14ac:dyDescent="0.3">
      <c r="C1563" s="14" t="str">
        <f t="shared" si="28"/>
        <v>19001</v>
      </c>
    </row>
    <row r="1564" spans="3:3" x14ac:dyDescent="0.3">
      <c r="C1564" s="14" t="str">
        <f t="shared" si="28"/>
        <v>19001</v>
      </c>
    </row>
    <row r="1565" spans="3:3" x14ac:dyDescent="0.3">
      <c r="C1565" s="14" t="str">
        <f t="shared" si="28"/>
        <v>19001</v>
      </c>
    </row>
    <row r="1566" spans="3:3" x14ac:dyDescent="0.3">
      <c r="C1566" s="14" t="str">
        <f t="shared" si="28"/>
        <v>19001</v>
      </c>
    </row>
    <row r="1567" spans="3:3" x14ac:dyDescent="0.3">
      <c r="C1567" s="14" t="str">
        <f t="shared" si="28"/>
        <v>19001</v>
      </c>
    </row>
    <row r="1568" spans="3:3" x14ac:dyDescent="0.3">
      <c r="C1568" s="14" t="str">
        <f t="shared" si="28"/>
        <v>19001</v>
      </c>
    </row>
    <row r="1569" spans="3:3" x14ac:dyDescent="0.3">
      <c r="C1569" s="14" t="str">
        <f t="shared" si="28"/>
        <v>19001</v>
      </c>
    </row>
    <row r="1570" spans="3:3" x14ac:dyDescent="0.3">
      <c r="C1570" s="14" t="str">
        <f t="shared" si="28"/>
        <v>19001</v>
      </c>
    </row>
    <row r="1571" spans="3:3" x14ac:dyDescent="0.3">
      <c r="C1571" s="14" t="str">
        <f t="shared" si="28"/>
        <v>19001</v>
      </c>
    </row>
    <row r="1572" spans="3:3" x14ac:dyDescent="0.3">
      <c r="C1572" s="14" t="str">
        <f t="shared" si="28"/>
        <v>19001</v>
      </c>
    </row>
    <row r="1573" spans="3:3" x14ac:dyDescent="0.3">
      <c r="C1573" s="14" t="str">
        <f t="shared" si="28"/>
        <v>19001</v>
      </c>
    </row>
    <row r="1574" spans="3:3" x14ac:dyDescent="0.3">
      <c r="C1574" s="14" t="str">
        <f t="shared" si="28"/>
        <v>19001</v>
      </c>
    </row>
    <row r="1575" spans="3:3" x14ac:dyDescent="0.3">
      <c r="C1575" s="14" t="str">
        <f t="shared" si="28"/>
        <v>19001</v>
      </c>
    </row>
    <row r="1576" spans="3:3" x14ac:dyDescent="0.3">
      <c r="C1576" s="14" t="str">
        <f t="shared" si="28"/>
        <v>19001</v>
      </c>
    </row>
    <row r="1577" spans="3:3" x14ac:dyDescent="0.3">
      <c r="C1577" s="14" t="str">
        <f t="shared" si="28"/>
        <v>19001</v>
      </c>
    </row>
    <row r="1578" spans="3:3" x14ac:dyDescent="0.3">
      <c r="C1578" s="14" t="str">
        <f t="shared" si="28"/>
        <v>19001</v>
      </c>
    </row>
    <row r="1579" spans="3:3" x14ac:dyDescent="0.3">
      <c r="C1579" s="14" t="str">
        <f t="shared" si="28"/>
        <v>19001</v>
      </c>
    </row>
    <row r="1580" spans="3:3" x14ac:dyDescent="0.3">
      <c r="C1580" s="14" t="str">
        <f t="shared" si="28"/>
        <v>19001</v>
      </c>
    </row>
    <row r="1581" spans="3:3" x14ac:dyDescent="0.3">
      <c r="C1581" s="14" t="str">
        <f t="shared" si="28"/>
        <v>19001</v>
      </c>
    </row>
    <row r="1582" spans="3:3" x14ac:dyDescent="0.3">
      <c r="C1582" s="14" t="str">
        <f t="shared" si="28"/>
        <v>19001</v>
      </c>
    </row>
    <row r="1583" spans="3:3" x14ac:dyDescent="0.3">
      <c r="C1583" s="14" t="str">
        <f t="shared" si="28"/>
        <v>19001</v>
      </c>
    </row>
    <row r="1584" spans="3:3" x14ac:dyDescent="0.3">
      <c r="C1584" s="14" t="str">
        <f t="shared" si="28"/>
        <v>19001</v>
      </c>
    </row>
    <row r="1585" spans="3:3" x14ac:dyDescent="0.3">
      <c r="C1585" s="14" t="str">
        <f t="shared" si="28"/>
        <v>19001</v>
      </c>
    </row>
    <row r="1586" spans="3:3" x14ac:dyDescent="0.3">
      <c r="C1586" s="14" t="str">
        <f t="shared" si="28"/>
        <v>19001</v>
      </c>
    </row>
    <row r="1587" spans="3:3" x14ac:dyDescent="0.3">
      <c r="C1587" s="14" t="str">
        <f t="shared" si="28"/>
        <v>19001</v>
      </c>
    </row>
    <row r="1588" spans="3:3" x14ac:dyDescent="0.3">
      <c r="C1588" s="14" t="str">
        <f t="shared" si="28"/>
        <v>19001</v>
      </c>
    </row>
    <row r="1589" spans="3:3" x14ac:dyDescent="0.3">
      <c r="C1589" s="14" t="str">
        <f t="shared" si="28"/>
        <v>19001</v>
      </c>
    </row>
    <row r="1590" spans="3:3" x14ac:dyDescent="0.3">
      <c r="C1590" s="14" t="str">
        <f t="shared" si="28"/>
        <v>19001</v>
      </c>
    </row>
    <row r="1591" spans="3:3" x14ac:dyDescent="0.3">
      <c r="C1591" s="14" t="str">
        <f t="shared" si="28"/>
        <v>19001</v>
      </c>
    </row>
    <row r="1592" spans="3:3" x14ac:dyDescent="0.3">
      <c r="C1592" s="14" t="str">
        <f t="shared" si="28"/>
        <v>19001</v>
      </c>
    </row>
    <row r="1593" spans="3:3" x14ac:dyDescent="0.3">
      <c r="C1593" s="14" t="str">
        <f t="shared" si="28"/>
        <v>19001</v>
      </c>
    </row>
    <row r="1594" spans="3:3" x14ac:dyDescent="0.3">
      <c r="C1594" s="14" t="str">
        <f t="shared" si="28"/>
        <v>19001</v>
      </c>
    </row>
    <row r="1595" spans="3:3" x14ac:dyDescent="0.3">
      <c r="C1595" s="14" t="str">
        <f t="shared" si="28"/>
        <v>19001</v>
      </c>
    </row>
    <row r="1596" spans="3:3" x14ac:dyDescent="0.3">
      <c r="C1596" s="14" t="str">
        <f t="shared" si="28"/>
        <v>19001</v>
      </c>
    </row>
    <row r="1597" spans="3:3" x14ac:dyDescent="0.3">
      <c r="C1597" s="14" t="str">
        <f t="shared" si="28"/>
        <v>19001</v>
      </c>
    </row>
    <row r="1598" spans="3:3" x14ac:dyDescent="0.3">
      <c r="C1598" s="14" t="str">
        <f t="shared" si="28"/>
        <v>19001</v>
      </c>
    </row>
    <row r="1599" spans="3:3" x14ac:dyDescent="0.3">
      <c r="C1599" s="14" t="str">
        <f t="shared" si="28"/>
        <v>19001</v>
      </c>
    </row>
    <row r="1600" spans="3:3" x14ac:dyDescent="0.3">
      <c r="C1600" s="14" t="str">
        <f t="shared" si="28"/>
        <v>19001</v>
      </c>
    </row>
    <row r="1601" spans="3:3" x14ac:dyDescent="0.3">
      <c r="C1601" s="14" t="str">
        <f t="shared" si="28"/>
        <v>19001</v>
      </c>
    </row>
    <row r="1602" spans="3:3" x14ac:dyDescent="0.3">
      <c r="C1602" s="14" t="str">
        <f t="shared" si="28"/>
        <v>19001</v>
      </c>
    </row>
    <row r="1603" spans="3:3" x14ac:dyDescent="0.3">
      <c r="C1603" s="14" t="str">
        <f t="shared" si="28"/>
        <v>19001</v>
      </c>
    </row>
    <row r="1604" spans="3:3" x14ac:dyDescent="0.3">
      <c r="C1604" s="14" t="str">
        <f t="shared" si="28"/>
        <v>19001</v>
      </c>
    </row>
    <row r="1605" spans="3:3" x14ac:dyDescent="0.3">
      <c r="C1605" s="14" t="str">
        <f t="shared" si="28"/>
        <v>19001</v>
      </c>
    </row>
    <row r="1606" spans="3:3" x14ac:dyDescent="0.3">
      <c r="C1606" s="14" t="str">
        <f t="shared" si="28"/>
        <v>19001</v>
      </c>
    </row>
    <row r="1607" spans="3:3" x14ac:dyDescent="0.3">
      <c r="C1607" s="14" t="str">
        <f t="shared" si="28"/>
        <v>19001</v>
      </c>
    </row>
    <row r="1608" spans="3:3" x14ac:dyDescent="0.3">
      <c r="C1608" s="14" t="str">
        <f t="shared" ref="C1608:C1631" si="29">YEAR(D1608)&amp;MONTH(D1608)</f>
        <v>19001</v>
      </c>
    </row>
    <row r="1609" spans="3:3" x14ac:dyDescent="0.3">
      <c r="C1609" s="14" t="str">
        <f t="shared" si="29"/>
        <v>19001</v>
      </c>
    </row>
    <row r="1610" spans="3:3" x14ac:dyDescent="0.3">
      <c r="C1610" s="14" t="str">
        <f t="shared" si="29"/>
        <v>19001</v>
      </c>
    </row>
    <row r="1611" spans="3:3" x14ac:dyDescent="0.3">
      <c r="C1611" s="14" t="str">
        <f t="shared" si="29"/>
        <v>19001</v>
      </c>
    </row>
    <row r="1612" spans="3:3" x14ac:dyDescent="0.3">
      <c r="C1612" s="14" t="str">
        <f t="shared" si="29"/>
        <v>19001</v>
      </c>
    </row>
    <row r="1613" spans="3:3" x14ac:dyDescent="0.3">
      <c r="C1613" s="14" t="str">
        <f t="shared" si="29"/>
        <v>19001</v>
      </c>
    </row>
    <row r="1614" spans="3:3" x14ac:dyDescent="0.3">
      <c r="C1614" s="14" t="str">
        <f t="shared" si="29"/>
        <v>19001</v>
      </c>
    </row>
    <row r="1615" spans="3:3" x14ac:dyDescent="0.3">
      <c r="C1615" s="14" t="str">
        <f t="shared" si="29"/>
        <v>19001</v>
      </c>
    </row>
    <row r="1616" spans="3:3" x14ac:dyDescent="0.3">
      <c r="C1616" s="14" t="str">
        <f t="shared" si="29"/>
        <v>19001</v>
      </c>
    </row>
    <row r="1617" spans="3:3" x14ac:dyDescent="0.3">
      <c r="C1617" s="14" t="str">
        <f t="shared" si="29"/>
        <v>19001</v>
      </c>
    </row>
    <row r="1618" spans="3:3" x14ac:dyDescent="0.3">
      <c r="C1618" s="14" t="str">
        <f t="shared" si="29"/>
        <v>19001</v>
      </c>
    </row>
    <row r="1619" spans="3:3" x14ac:dyDescent="0.3">
      <c r="C1619" s="14" t="str">
        <f t="shared" si="29"/>
        <v>19001</v>
      </c>
    </row>
    <row r="1620" spans="3:3" x14ac:dyDescent="0.3">
      <c r="C1620" s="14" t="str">
        <f t="shared" si="29"/>
        <v>19001</v>
      </c>
    </row>
    <row r="1621" spans="3:3" x14ac:dyDescent="0.3">
      <c r="C1621" s="14" t="str">
        <f t="shared" si="29"/>
        <v>19001</v>
      </c>
    </row>
    <row r="1622" spans="3:3" x14ac:dyDescent="0.3">
      <c r="C1622" s="14" t="str">
        <f t="shared" si="29"/>
        <v>19001</v>
      </c>
    </row>
    <row r="1623" spans="3:3" x14ac:dyDescent="0.3">
      <c r="C1623" s="14" t="str">
        <f t="shared" si="29"/>
        <v>19001</v>
      </c>
    </row>
    <row r="1624" spans="3:3" x14ac:dyDescent="0.3">
      <c r="C1624" s="14" t="str">
        <f t="shared" si="29"/>
        <v>19001</v>
      </c>
    </row>
    <row r="1625" spans="3:3" x14ac:dyDescent="0.3">
      <c r="C1625" s="14" t="str">
        <f t="shared" si="29"/>
        <v>19001</v>
      </c>
    </row>
    <row r="1626" spans="3:3" x14ac:dyDescent="0.3">
      <c r="C1626" s="14" t="str">
        <f t="shared" si="29"/>
        <v>19001</v>
      </c>
    </row>
    <row r="1627" spans="3:3" x14ac:dyDescent="0.3">
      <c r="C1627" s="14" t="str">
        <f t="shared" si="29"/>
        <v>19001</v>
      </c>
    </row>
    <row r="1628" spans="3:3" x14ac:dyDescent="0.3">
      <c r="C1628" s="14" t="str">
        <f t="shared" si="29"/>
        <v>19001</v>
      </c>
    </row>
    <row r="1629" spans="3:3" x14ac:dyDescent="0.3">
      <c r="C1629" s="14" t="str">
        <f t="shared" si="29"/>
        <v>19001</v>
      </c>
    </row>
    <row r="1630" spans="3:3" x14ac:dyDescent="0.3">
      <c r="C1630" s="14" t="str">
        <f t="shared" si="29"/>
        <v>19001</v>
      </c>
    </row>
    <row r="1631" spans="3:3" x14ac:dyDescent="0.3">
      <c r="C1631" s="14" t="str">
        <f t="shared" si="29"/>
        <v>19001</v>
      </c>
    </row>
  </sheetData>
  <sortState xmlns:xlrd2="http://schemas.microsoft.com/office/spreadsheetml/2017/richdata2" ref="A7:A67">
    <sortCondition ref="A7:A67"/>
  </sortState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B323-100E-45DE-9285-DEA9230B9F9A}">
  <dimension ref="B1:BK65"/>
  <sheetViews>
    <sheetView tabSelected="1" topLeftCell="BD1" workbookViewId="0">
      <selection activeCell="BV6" sqref="BV6"/>
    </sheetView>
  </sheetViews>
  <sheetFormatPr defaultRowHeight="14.4" x14ac:dyDescent="0.3"/>
  <cols>
    <col min="1" max="1" width="3.5546875" customWidth="1"/>
    <col min="4" max="9" width="9.77734375" customWidth="1"/>
    <col min="10" max="10" width="3.5546875" customWidth="1"/>
    <col min="38" max="41" width="9.44140625" bestFit="1" customWidth="1"/>
    <col min="42" max="44" width="9.44140625" customWidth="1"/>
    <col min="46" max="46" width="9.44140625" bestFit="1" customWidth="1"/>
    <col min="59" max="59" width="10.21875" customWidth="1"/>
  </cols>
  <sheetData>
    <row r="1" spans="2:63" x14ac:dyDescent="0.3">
      <c r="D1" t="s">
        <v>382</v>
      </c>
      <c r="K1" s="45">
        <v>633</v>
      </c>
      <c r="L1" s="45">
        <v>477</v>
      </c>
      <c r="M1" s="45">
        <v>520</v>
      </c>
      <c r="N1" s="45">
        <v>590</v>
      </c>
      <c r="O1" s="45">
        <v>540</v>
      </c>
      <c r="P1" s="45">
        <v>207</v>
      </c>
      <c r="R1" s="45">
        <v>0.7</v>
      </c>
      <c r="S1" t="s">
        <v>368</v>
      </c>
      <c r="V1" s="49">
        <v>1.18</v>
      </c>
      <c r="W1" s="49">
        <v>1.3</v>
      </c>
      <c r="X1" s="49">
        <v>1.35</v>
      </c>
      <c r="Z1" t="s">
        <v>371</v>
      </c>
      <c r="AG1" s="40" t="s">
        <v>372</v>
      </c>
      <c r="AH1" s="40"/>
      <c r="AI1" s="40"/>
      <c r="AJ1" s="40"/>
      <c r="AL1" s="51" t="s">
        <v>381</v>
      </c>
      <c r="AM1" s="51"/>
      <c r="AN1" s="51"/>
      <c r="AO1" s="51"/>
      <c r="AP1" s="51"/>
      <c r="AQ1" s="51"/>
      <c r="AR1" s="51"/>
      <c r="AT1" s="52" t="s">
        <v>375</v>
      </c>
      <c r="AU1" s="52"/>
      <c r="AV1" s="52"/>
      <c r="AW1" s="52"/>
      <c r="AY1" t="s">
        <v>376</v>
      </c>
      <c r="BB1" s="54" t="s">
        <v>376</v>
      </c>
      <c r="BC1" s="54"/>
      <c r="BD1" s="54"/>
      <c r="BE1" s="54"/>
      <c r="BH1" s="54" t="s">
        <v>383</v>
      </c>
      <c r="BI1" s="54"/>
      <c r="BJ1" s="54"/>
      <c r="BK1" s="54"/>
    </row>
    <row r="2" spans="2:63" x14ac:dyDescent="0.3">
      <c r="B2" t="s">
        <v>210</v>
      </c>
      <c r="C2" t="s">
        <v>211</v>
      </c>
      <c r="D2" s="15" t="s">
        <v>233</v>
      </c>
      <c r="E2" s="15" t="s">
        <v>235</v>
      </c>
      <c r="F2" s="15" t="s">
        <v>365</v>
      </c>
      <c r="G2" s="15" t="s">
        <v>366</v>
      </c>
      <c r="H2" s="15" t="s">
        <v>367</v>
      </c>
      <c r="I2" s="47" t="s">
        <v>370</v>
      </c>
      <c r="K2" s="15" t="s">
        <v>233</v>
      </c>
      <c r="L2" s="15" t="s">
        <v>235</v>
      </c>
      <c r="M2" s="15" t="s">
        <v>365</v>
      </c>
      <c r="N2" s="15" t="s">
        <v>366</v>
      </c>
      <c r="O2" s="15" t="s">
        <v>367</v>
      </c>
      <c r="P2" s="15" t="s">
        <v>369</v>
      </c>
      <c r="R2">
        <v>200</v>
      </c>
      <c r="S2">
        <v>500</v>
      </c>
      <c r="T2">
        <v>600</v>
      </c>
      <c r="V2">
        <v>200</v>
      </c>
      <c r="W2">
        <v>500</v>
      </c>
      <c r="X2">
        <v>600</v>
      </c>
      <c r="Z2" s="50" t="s">
        <v>233</v>
      </c>
      <c r="AA2" s="50" t="s">
        <v>235</v>
      </c>
      <c r="AB2" s="50" t="s">
        <v>365</v>
      </c>
      <c r="AC2" s="50" t="s">
        <v>366</v>
      </c>
      <c r="AD2" s="50" t="s">
        <v>367</v>
      </c>
      <c r="AE2" s="50" t="s">
        <v>370</v>
      </c>
      <c r="AG2" s="40" t="s">
        <v>373</v>
      </c>
      <c r="AH2" s="40" t="s">
        <v>374</v>
      </c>
      <c r="AI2" s="40" t="s">
        <v>257</v>
      </c>
      <c r="AJ2" s="40" t="s">
        <v>236</v>
      </c>
      <c r="AL2" s="51" t="s">
        <v>373</v>
      </c>
      <c r="AM2" s="51" t="s">
        <v>374</v>
      </c>
      <c r="AN2" s="51" t="s">
        <v>257</v>
      </c>
      <c r="AO2" s="51" t="s">
        <v>236</v>
      </c>
      <c r="AP2" s="51" t="s">
        <v>374</v>
      </c>
      <c r="AQ2" s="51" t="s">
        <v>257</v>
      </c>
      <c r="AR2" s="51" t="s">
        <v>236</v>
      </c>
      <c r="AT2" s="52" t="s">
        <v>373</v>
      </c>
      <c r="AU2" s="52" t="s">
        <v>374</v>
      </c>
      <c r="AV2" s="52" t="s">
        <v>257</v>
      </c>
      <c r="AW2" s="52" t="s">
        <v>236</v>
      </c>
      <c r="AY2" t="s">
        <v>377</v>
      </c>
      <c r="AZ2" s="53">
        <v>0.19500000000000001</v>
      </c>
      <c r="BB2" s="54" t="s">
        <v>373</v>
      </c>
      <c r="BC2" s="54" t="s">
        <v>374</v>
      </c>
      <c r="BD2" s="54" t="s">
        <v>257</v>
      </c>
      <c r="BE2" s="54" t="s">
        <v>236</v>
      </c>
      <c r="BH2" s="54" t="s">
        <v>373</v>
      </c>
      <c r="BI2" s="54" t="s">
        <v>374</v>
      </c>
      <c r="BJ2" s="54" t="s">
        <v>257</v>
      </c>
      <c r="BK2" s="54" t="s">
        <v>236</v>
      </c>
    </row>
    <row r="3" spans="2:63" x14ac:dyDescent="0.3">
      <c r="B3" s="17" t="str">
        <f>YEAR(C3)&amp;MONTH(C3)</f>
        <v>20211</v>
      </c>
      <c r="C3" s="17">
        <v>44197</v>
      </c>
      <c r="D3" s="24">
        <f>VLOOKUP('Estudo PR'!B3,'Frete ESALQ'!$C$6:$BO$111,36,FALSE)</f>
        <v>86.07</v>
      </c>
      <c r="E3" s="24">
        <f>VLOOKUP('Estudo PR'!B3,'Frete ESALQ'!$C$6:$BO$111,47,FALSE)</f>
        <v>71.63</v>
      </c>
      <c r="F3" s="24">
        <f>VLOOKUP('Estudo PR'!B3,'Frete ESALQ'!$C$6:$BO$111,59,FALSE)</f>
        <v>57.36</v>
      </c>
      <c r="G3" s="24">
        <f>VLOOKUP('Estudo PR'!B3,'Frete ESALQ'!$C$6:$BO$111,18,FALSE)</f>
        <v>66.67</v>
      </c>
      <c r="H3" s="24">
        <f>VLOOKUP('Estudo PR'!B3,'Frete ESALQ'!$C$6:$BO$111,60,FALSE)</f>
        <v>64</v>
      </c>
      <c r="I3" s="48">
        <f>+$P$1*R3</f>
        <v>37.357972677217958</v>
      </c>
      <c r="K3" s="44">
        <f>+D3/K$1</f>
        <v>0.13597156398104265</v>
      </c>
      <c r="L3" s="44">
        <f>+E3/L$1</f>
        <v>0.15016771488469602</v>
      </c>
      <c r="M3" s="44">
        <f>+F3/M$1</f>
        <v>0.1103076923076923</v>
      </c>
      <c r="N3" s="44">
        <f>+G3/N$1</f>
        <v>0.113</v>
      </c>
      <c r="O3" s="44">
        <f>+H3/O$1</f>
        <v>0.11851851851851852</v>
      </c>
      <c r="P3" s="44">
        <f>+R3</f>
        <v>0.18047329795757469</v>
      </c>
      <c r="R3" s="44">
        <f>+S3/$R$1</f>
        <v>0.18047329795757469</v>
      </c>
      <c r="S3" s="46">
        <f>AVERAGE(L3:M3,O3)</f>
        <v>0.12633130857030228</v>
      </c>
      <c r="T3" s="46">
        <f>AVERAGE(N3,K3)</f>
        <v>0.12448578199052132</v>
      </c>
      <c r="V3" s="22">
        <f>+R3*V$1</f>
        <v>0.21295849158993813</v>
      </c>
      <c r="W3" s="22">
        <f t="shared" ref="W3:W65" si="0">+S3*W$1</f>
        <v>0.16423070114139296</v>
      </c>
      <c r="X3" s="22">
        <f t="shared" ref="X3:X65" si="1">+T3*X$1</f>
        <v>0.1680558056872038</v>
      </c>
      <c r="Z3" s="32">
        <f>+X3*K$1</f>
        <v>106.37932500000001</v>
      </c>
      <c r="AA3" s="32">
        <f>+W3*L$1</f>
        <v>78.338044444444435</v>
      </c>
      <c r="AB3" s="32">
        <f>+W3*M$1</f>
        <v>85.399964593524345</v>
      </c>
      <c r="AC3" s="32">
        <f>+X3*N$1</f>
        <v>99.152925355450236</v>
      </c>
      <c r="AD3" s="32">
        <f>+W3*O$1</f>
        <v>88.684578616352198</v>
      </c>
      <c r="AE3" s="32">
        <f>+V3*P$1</f>
        <v>44.082407759117189</v>
      </c>
      <c r="AG3" s="33">
        <f>+'Modelo Soja'!AJ3</f>
        <v>167.86500000000004</v>
      </c>
      <c r="AH3" s="32">
        <f ca="1">+'Modelo Soja'!AB3</f>
        <v>164.97649999999999</v>
      </c>
      <c r="AI3" s="32">
        <f ca="1">+'Modelo Soja'!AC3</f>
        <v>163.88200000000001</v>
      </c>
      <c r="AJ3" s="32">
        <f ca="1">+'Modelo Soja'!AD3</f>
        <v>160.97000000000006</v>
      </c>
      <c r="AL3" s="32">
        <f>+'Modelo Farelo'!R3</f>
        <v>2613.7496452555797</v>
      </c>
      <c r="AM3" s="32">
        <f ca="1">+'Modelo Farelo'!D3</f>
        <v>3028.8178571428575</v>
      </c>
      <c r="AN3" s="32">
        <f ca="1">+'Modelo Farelo'!E3</f>
        <v>3050.7015000000001</v>
      </c>
      <c r="AO3" s="32">
        <f ca="1">+'Modelo Farelo'!F3</f>
        <v>3212.5170000000003</v>
      </c>
      <c r="AP3" s="32">
        <f>+AL3-I3</f>
        <v>2576.391672578362</v>
      </c>
      <c r="AQ3" s="32">
        <f>+AL3-G3</f>
        <v>2547.0796452555796</v>
      </c>
      <c r="AR3" s="32">
        <f>+AL3-E3</f>
        <v>2542.1196452555796</v>
      </c>
      <c r="AT3" s="32">
        <f>+'Modelo Oleo'!E3</f>
        <v>5544.4026806526608</v>
      </c>
      <c r="AU3" s="33">
        <f>+AT3-AE3</f>
        <v>5500.3202728935439</v>
      </c>
      <c r="AV3" s="33">
        <f>+AT3-AC3</f>
        <v>5445.2497552972109</v>
      </c>
      <c r="AW3" s="33">
        <f>+AT3-AA3</f>
        <v>5466.0646362082161</v>
      </c>
      <c r="AY3" t="s">
        <v>378</v>
      </c>
      <c r="AZ3" s="38">
        <v>0.74</v>
      </c>
      <c r="BB3" s="55">
        <f>+(AT3*$AZ$2+AL3*$AZ$3)-(AG3/60*1000)</f>
        <v>217.58326021639778</v>
      </c>
      <c r="BC3" s="55">
        <f ca="1">+(AU3*$AZ$2+AM3*$AZ$3)-(AH3/60*1000)</f>
        <v>564.27933416662245</v>
      </c>
      <c r="BD3" s="55">
        <f ca="1">+(AV3*$AZ$2+AN3*$AZ$3)-(AI3/60*1000)</f>
        <v>587.97614561628961</v>
      </c>
      <c r="BE3" s="55">
        <f ca="1">+(AW3*$AZ$2+AO3*$AZ$3)-(AJ3/60*1000)</f>
        <v>760.31185072726794</v>
      </c>
      <c r="BH3" s="32">
        <f>+(AT3*$AZ$2+AL3*$AZ$3)-(AG3/60*1000)</f>
        <v>217.58326021639778</v>
      </c>
      <c r="BI3" s="32">
        <f ca="1">+(AU3*$AZ$2+(AM3*20%+AP3*80%)*$AZ$3)-(AH3/60*1000)</f>
        <v>296.44303290444122</v>
      </c>
      <c r="BJ3" s="32">
        <f ca="1">+(AV3*$AZ$2+(AN3*60%+AQ3*40%)*$AZ$3)-(AI3/60*1000)</f>
        <v>438.90407661194104</v>
      </c>
      <c r="BK3" s="32">
        <f ca="1">+(AW3*$AZ$2+(AO3*60%+AR3*40%)*$AZ$3)-(AJ3/60*1000)</f>
        <v>561.8742337229196</v>
      </c>
    </row>
    <row r="4" spans="2:63" x14ac:dyDescent="0.3">
      <c r="B4" s="17" t="str">
        <f t="shared" ref="B4:B65" si="2">YEAR(C4)&amp;MONTH(C4)</f>
        <v>20212</v>
      </c>
      <c r="C4" s="17">
        <f>EDATE(C3,1)</f>
        <v>44228</v>
      </c>
      <c r="D4" s="24">
        <f>VLOOKUP('Estudo PR'!B4,'Frete ESALQ'!$C$6:$BO$111,36,FALSE)</f>
        <v>131.08000000000001</v>
      </c>
      <c r="E4" s="24">
        <f>VLOOKUP('Estudo PR'!B4,'Frete ESALQ'!$C$6:$BO$111,47,FALSE)</f>
        <v>113.68</v>
      </c>
      <c r="F4" s="24">
        <f>VLOOKUP('Estudo PR'!B4,'Frete ESALQ'!$C$6:$BO$111,59,FALSE)</f>
        <v>118.25</v>
      </c>
      <c r="G4" s="24">
        <f>VLOOKUP('Estudo PR'!B4,'Frete ESALQ'!$C$6:$BO$111,18,FALSE)</f>
        <v>108.96</v>
      </c>
      <c r="H4" s="24">
        <f>VLOOKUP('Estudo PR'!B4,'Frete ESALQ'!$C$6:$BO$111,60,FALSE)</f>
        <v>130.94999999999999</v>
      </c>
      <c r="I4" s="48">
        <f t="shared" ref="I4:I65" si="3">+$P$1*R4</f>
        <v>69.81091730596448</v>
      </c>
      <c r="K4" s="44">
        <f t="shared" ref="K4:K65" si="4">+D4/K$1</f>
        <v>0.20707740916271725</v>
      </c>
      <c r="L4" s="44">
        <f>+E4/L$1</f>
        <v>0.23832285115303983</v>
      </c>
      <c r="M4" s="44">
        <f>+F4/M$1</f>
        <v>0.22740384615384615</v>
      </c>
      <c r="N4" s="44">
        <f>+G4/N$1</f>
        <v>0.1846779661016949</v>
      </c>
      <c r="O4" s="44">
        <f>+H4/O$1</f>
        <v>0.24249999999999997</v>
      </c>
      <c r="P4" s="44">
        <f t="shared" ref="P4:P65" si="5">+R4</f>
        <v>0.33725080824137427</v>
      </c>
      <c r="R4" s="44">
        <f t="shared" ref="R4:R65" si="6">+S4/$R$1</f>
        <v>0.33725080824137427</v>
      </c>
      <c r="S4" s="46">
        <f>AVERAGE(L4:M4,O4)</f>
        <v>0.23607556576896196</v>
      </c>
      <c r="T4" s="46">
        <f>AVERAGE(N4,K4)</f>
        <v>0.19587768763220609</v>
      </c>
      <c r="V4" s="22">
        <f t="shared" ref="V4:V65" si="7">+R4*V$1</f>
        <v>0.39795595372482162</v>
      </c>
      <c r="W4" s="22">
        <f t="shared" si="0"/>
        <v>0.30689823549965056</v>
      </c>
      <c r="X4" s="22">
        <f t="shared" si="1"/>
        <v>0.26443487830347823</v>
      </c>
      <c r="Z4" s="32">
        <f t="shared" ref="Z4:Z65" si="8">+X4*K$1</f>
        <v>167.38727796610172</v>
      </c>
      <c r="AA4" s="32">
        <f t="shared" ref="AA4:AA65" si="9">+W4*L$1</f>
        <v>146.39045833333333</v>
      </c>
      <c r="AB4" s="32">
        <f t="shared" ref="AB4:AB65" si="10">+W4*M$1</f>
        <v>159.5870824598183</v>
      </c>
      <c r="AC4" s="32">
        <f t="shared" ref="AC4:AC65" si="11">+X4*N$1</f>
        <v>156.01657819905216</v>
      </c>
      <c r="AD4" s="32">
        <f t="shared" ref="AD4:AD65" si="12">+W4*O$1</f>
        <v>165.72504716981129</v>
      </c>
      <c r="AE4" s="32">
        <f t="shared" ref="AE4:AE65" si="13">+V4*P$1</f>
        <v>82.376882421038076</v>
      </c>
      <c r="AG4" s="33">
        <f>+'Modelo Soja'!AJ4</f>
        <v>166.38333333333333</v>
      </c>
      <c r="AH4" s="32">
        <f ca="1">+'Modelo Soja'!AB4</f>
        <v>162.46</v>
      </c>
      <c r="AI4" s="32">
        <f ca="1">+'Modelo Soja'!AC4</f>
        <v>161.32666666666665</v>
      </c>
      <c r="AJ4" s="32">
        <f ca="1">+'Modelo Soja'!AD4</f>
        <v>158.51499999999999</v>
      </c>
      <c r="AL4" s="32">
        <f>+'Modelo Farelo'!R4</f>
        <v>2557.468522349769</v>
      </c>
      <c r="AM4" s="32">
        <f ca="1">+'Modelo Farelo'!D4</f>
        <v>3063.5233333333326</v>
      </c>
      <c r="AN4" s="32">
        <f ca="1">+'Modelo Farelo'!E4</f>
        <v>3131.5800000000004</v>
      </c>
      <c r="AO4" s="32">
        <f ca="1">+'Modelo Farelo'!F4</f>
        <v>3260.1672222222219</v>
      </c>
      <c r="AP4" s="32">
        <f t="shared" ref="AP4:AP65" si="14">+AL4-I4</f>
        <v>2487.6576050438048</v>
      </c>
      <c r="AQ4" s="32">
        <f t="shared" ref="AQ4:AQ65" si="15">+AL4-G4</f>
        <v>2448.508522349769</v>
      </c>
      <c r="AR4" s="32">
        <f t="shared" ref="AR4:AR65" si="16">+AL4-E4</f>
        <v>2443.7885223497692</v>
      </c>
      <c r="AT4" s="32">
        <f>+'Modelo Oleo'!E4</f>
        <v>5747.9166533795596</v>
      </c>
      <c r="AU4" s="33">
        <f>+AT4-AE4</f>
        <v>5665.5397709585213</v>
      </c>
      <c r="AV4" s="33">
        <f>+AT4-AC4</f>
        <v>5591.9000751805079</v>
      </c>
      <c r="AW4" s="33">
        <f>+AT4-AA4</f>
        <v>5601.5261950462263</v>
      </c>
      <c r="BB4" s="55">
        <f>+(AT4*$AZ$2+AL4*$AZ$3)-(AG4/60*1000)</f>
        <v>240.31489839228743</v>
      </c>
      <c r="BC4" s="55">
        <f ca="1">+(AU4*$AZ$2+AM4*$AZ$3)-(AH4/60*1000)</f>
        <v>664.12085533691061</v>
      </c>
      <c r="BD4" s="55">
        <f ca="1">+(AV4*$AZ$2+AN4*$AZ$3)-(AI4/60*1000)</f>
        <v>719.0119368824212</v>
      </c>
      <c r="BE4" s="55">
        <f ca="1">+(AW4*$AZ$2+AO4*$AZ$3)-(AJ4/60*1000)</f>
        <v>862.90468581179221</v>
      </c>
      <c r="BF4" t="s">
        <v>373</v>
      </c>
      <c r="BG4" t="s">
        <v>385</v>
      </c>
      <c r="BH4" s="32">
        <f t="shared" ref="BH4:BH65" si="17">+(AT4*$AZ$2+AL4*$AZ$3)-(AG4/60*1000)</f>
        <v>240.31489839228743</v>
      </c>
      <c r="BI4" s="32">
        <f t="shared" ref="BI4:BI65" ca="1" si="18">+(AU4*$AZ$2+(AM4*20%+AP4*80%)*$AZ$3)-(AH4/60*1000)</f>
        <v>323.20834418951063</v>
      </c>
      <c r="BJ4" s="32">
        <f t="shared" ref="BJ4:BJ65" ca="1" si="19">+(AV4*$AZ$2+(AN4*60%+AQ4*40%)*$AZ$3)-(AI4/60*1000)</f>
        <v>516.82277949795343</v>
      </c>
      <c r="BK4" s="32">
        <f t="shared" ref="BK4:BK65" ca="1" si="20">+(AW4*$AZ$2+(AO4*60%+AR4*40%)*$AZ$3)-(AJ4/60*1000)</f>
        <v>621.25659064954607</v>
      </c>
    </row>
    <row r="5" spans="2:63" x14ac:dyDescent="0.3">
      <c r="B5" s="17" t="str">
        <f t="shared" si="2"/>
        <v>20213</v>
      </c>
      <c r="C5" s="17">
        <f t="shared" ref="C5:C65" si="21">EDATE(C4,1)</f>
        <v>44256</v>
      </c>
      <c r="D5" s="24">
        <f>VLOOKUP('Estudo PR'!B5,'Frete ESALQ'!$C$6:$BO$111,36,FALSE)</f>
        <v>184.08</v>
      </c>
      <c r="E5" s="24">
        <f>VLOOKUP('Estudo PR'!B5,'Frete ESALQ'!$C$6:$BO$111,47,FALSE)</f>
        <v>151.22</v>
      </c>
      <c r="F5" s="24">
        <f>VLOOKUP('Estudo PR'!B5,'Frete ESALQ'!$C$6:$BO$111,59,FALSE)</f>
        <v>142.5</v>
      </c>
      <c r="G5" s="24">
        <f>VLOOKUP('Estudo PR'!B5,'Frete ESALQ'!$C$6:$BO$111,18,FALSE)</f>
        <v>160.83000000000001</v>
      </c>
      <c r="H5" s="24">
        <f>VLOOKUP('Estudo PR'!B5,'Frete ESALQ'!$C$6:$BO$111,60,FALSE)</f>
        <v>141.16999999999999</v>
      </c>
      <c r="I5" s="48">
        <f t="shared" si="3"/>
        <v>84.030905614301844</v>
      </c>
      <c r="K5" s="44">
        <f t="shared" si="4"/>
        <v>0.29080568720379146</v>
      </c>
      <c r="L5" s="44">
        <f>+E5/L$1</f>
        <v>0.31702306079664572</v>
      </c>
      <c r="M5" s="44">
        <f>+F5/M$1</f>
        <v>0.27403846153846156</v>
      </c>
      <c r="N5" s="44">
        <f>+G5/N$1</f>
        <v>0.27259322033898309</v>
      </c>
      <c r="O5" s="44">
        <f>+H5/O$1</f>
        <v>0.26142592592592589</v>
      </c>
      <c r="P5" s="44">
        <f t="shared" si="5"/>
        <v>0.40594640393382536</v>
      </c>
      <c r="R5" s="44">
        <f t="shared" si="6"/>
        <v>0.40594640393382536</v>
      </c>
      <c r="S5" s="46">
        <f>AVERAGE(L5:M5,O5)</f>
        <v>0.28416248275367773</v>
      </c>
      <c r="T5" s="46">
        <f>AVERAGE(N5,K5)</f>
        <v>0.28169945377138728</v>
      </c>
      <c r="V5" s="22">
        <f t="shared" si="7"/>
        <v>0.4790167566419139</v>
      </c>
      <c r="W5" s="22">
        <f t="shared" si="0"/>
        <v>0.36941122757978107</v>
      </c>
      <c r="X5" s="22">
        <f t="shared" si="1"/>
        <v>0.38029426259137283</v>
      </c>
      <c r="Z5" s="32">
        <f t="shared" si="8"/>
        <v>240.72626822033899</v>
      </c>
      <c r="AA5" s="32">
        <f t="shared" si="9"/>
        <v>176.20915555555555</v>
      </c>
      <c r="AB5" s="32">
        <f t="shared" si="10"/>
        <v>192.09383834148616</v>
      </c>
      <c r="AC5" s="32">
        <f t="shared" si="11"/>
        <v>224.37361492890997</v>
      </c>
      <c r="AD5" s="32">
        <f t="shared" si="12"/>
        <v>199.48206289308177</v>
      </c>
      <c r="AE5" s="32">
        <f t="shared" si="13"/>
        <v>99.156468624876183</v>
      </c>
      <c r="AG5" s="33">
        <f>+'Modelo Soja'!AJ5</f>
        <v>171.86652173913049</v>
      </c>
      <c r="AH5" s="32">
        <f ca="1">+'Modelo Soja'!AB5</f>
        <v>165.68565217391304</v>
      </c>
      <c r="AI5" s="32">
        <f ca="1">+'Modelo Soja'!AC5</f>
        <v>162.08043478260871</v>
      </c>
      <c r="AJ5" s="32">
        <f ca="1">+'Modelo Soja'!AD5</f>
        <v>160.95130434782607</v>
      </c>
      <c r="AL5" s="32">
        <f>+'Modelo Farelo'!R5</f>
        <v>2542.4854557076706</v>
      </c>
      <c r="AM5" s="32">
        <f ca="1">+'Modelo Farelo'!D5</f>
        <v>2522.387826086956</v>
      </c>
      <c r="AN5" s="32">
        <f ca="1">+'Modelo Farelo'!E5</f>
        <v>2613.3204347826086</v>
      </c>
      <c r="AO5" s="32">
        <f ca="1">+'Modelo Farelo'!F5</f>
        <v>2773.1330434782608</v>
      </c>
      <c r="AP5" s="32">
        <f t="shared" si="14"/>
        <v>2458.4545500933687</v>
      </c>
      <c r="AQ5" s="32">
        <f t="shared" si="15"/>
        <v>2381.6554557076706</v>
      </c>
      <c r="AR5" s="32">
        <f t="shared" si="16"/>
        <v>2391.2654557076708</v>
      </c>
      <c r="AT5" s="32">
        <f>+'Modelo Oleo'!E5</f>
        <v>6820.0369806721574</v>
      </c>
      <c r="AU5" s="33">
        <f>+AT5-AE5</f>
        <v>6720.8805120472816</v>
      </c>
      <c r="AV5" s="33">
        <f>+AT5-AC5</f>
        <v>6595.6633657432476</v>
      </c>
      <c r="AW5" s="33">
        <f>+AT5-AA5</f>
        <v>6643.8278251166021</v>
      </c>
      <c r="AY5" t="s">
        <v>375</v>
      </c>
      <c r="AZ5" t="s">
        <v>379</v>
      </c>
      <c r="BB5" s="55">
        <f>+(AT5*$AZ$2+AL5*$AZ$3)-(AG5/60*1000)</f>
        <v>346.90441946923875</v>
      </c>
      <c r="BC5" s="55">
        <f ca="1">+(AU5*$AZ$2+AM5*$AZ$3)-(AH5/60*1000)</f>
        <v>415.71115492168337</v>
      </c>
      <c r="BD5" s="55">
        <f ca="1">+(AV5*$AZ$2+AN5*$AZ$3)-(AI5/60*1000)</f>
        <v>518.6708983489184</v>
      </c>
      <c r="BE5" s="55">
        <f ca="1">+(AW5*$AZ$2+AO5*$AZ$3)-(AJ5/60*1000)</f>
        <v>665.14313894121597</v>
      </c>
      <c r="BF5" t="s">
        <v>374</v>
      </c>
      <c r="BG5" t="s">
        <v>384</v>
      </c>
      <c r="BH5" s="32">
        <f t="shared" si="17"/>
        <v>346.90441946923875</v>
      </c>
      <c r="BI5" s="32">
        <f t="shared" ca="1" si="18"/>
        <v>377.86265553347994</v>
      </c>
      <c r="BJ5" s="32">
        <f t="shared" ca="1" si="19"/>
        <v>450.09806454273667</v>
      </c>
      <c r="BK5" s="32">
        <f t="shared" ca="1" si="20"/>
        <v>552.110332961121</v>
      </c>
    </row>
    <row r="6" spans="2:63" x14ac:dyDescent="0.3">
      <c r="B6" s="17" t="str">
        <f t="shared" si="2"/>
        <v>20214</v>
      </c>
      <c r="C6" s="17">
        <f t="shared" si="21"/>
        <v>44287</v>
      </c>
      <c r="D6" s="24">
        <f>VLOOKUP('Estudo PR'!B6,'Frete ESALQ'!$C$6:$BO$111,36,FALSE)</f>
        <v>94.82</v>
      </c>
      <c r="E6" s="24">
        <f>VLOOKUP('Estudo PR'!B6,'Frete ESALQ'!$C$6:$BO$111,47,FALSE)</f>
        <v>123.97</v>
      </c>
      <c r="F6" s="24">
        <f>VLOOKUP('Estudo PR'!B6,'Frete ESALQ'!$C$6:$BO$111,59,FALSE)</f>
        <v>96.34</v>
      </c>
      <c r="G6" s="24">
        <f>VLOOKUP('Estudo PR'!B6,'Frete ESALQ'!$C$6:$BO$111,18,FALSE)</f>
        <v>110.52</v>
      </c>
      <c r="H6" s="24">
        <f>VLOOKUP('Estudo PR'!B6,'Frete ESALQ'!$C$6:$BO$111,60,FALSE)</f>
        <v>89.39</v>
      </c>
      <c r="I6" s="48">
        <f t="shared" si="3"/>
        <v>60.197713963185656</v>
      </c>
      <c r="K6" s="44">
        <f t="shared" si="4"/>
        <v>0.14979462875197472</v>
      </c>
      <c r="L6" s="44">
        <f>+E6/L$1</f>
        <v>0.25989517819706498</v>
      </c>
      <c r="M6" s="44">
        <f>+F6/M$1</f>
        <v>0.18526923076923077</v>
      </c>
      <c r="N6" s="44">
        <f>+G6/N$1</f>
        <v>0.18732203389830507</v>
      </c>
      <c r="O6" s="44">
        <f>+H6/O$1</f>
        <v>0.16553703703703704</v>
      </c>
      <c r="P6" s="44">
        <f t="shared" si="5"/>
        <v>0.2908102123825394</v>
      </c>
      <c r="R6" s="44">
        <f t="shared" si="6"/>
        <v>0.2908102123825394</v>
      </c>
      <c r="S6" s="46">
        <f>AVERAGE(L6:M6,O6)</f>
        <v>0.20356714866777759</v>
      </c>
      <c r="T6" s="46">
        <f>AVERAGE(N6,K6)</f>
        <v>0.16855833132513989</v>
      </c>
      <c r="V6" s="22">
        <f t="shared" si="7"/>
        <v>0.34315605061139648</v>
      </c>
      <c r="W6" s="22">
        <f t="shared" si="0"/>
        <v>0.26463729326811086</v>
      </c>
      <c r="X6" s="22">
        <f t="shared" si="1"/>
        <v>0.22755374728893887</v>
      </c>
      <c r="Z6" s="32">
        <f t="shared" si="8"/>
        <v>144.0415220338983</v>
      </c>
      <c r="AA6" s="32">
        <f t="shared" si="9"/>
        <v>126.23198888888888</v>
      </c>
      <c r="AB6" s="32">
        <f t="shared" si="10"/>
        <v>137.61139249941766</v>
      </c>
      <c r="AC6" s="32">
        <f t="shared" si="11"/>
        <v>134.25671090047393</v>
      </c>
      <c r="AD6" s="32">
        <f t="shared" si="12"/>
        <v>142.90413836477987</v>
      </c>
      <c r="AE6" s="32">
        <f t="shared" si="13"/>
        <v>71.033302476559072</v>
      </c>
      <c r="AG6" s="33">
        <f>+'Modelo Soja'!AJ6</f>
        <v>177.09800000000001</v>
      </c>
      <c r="AH6" s="32">
        <f ca="1">+'Modelo Soja'!AB6</f>
        <v>171.52</v>
      </c>
      <c r="AI6" s="32">
        <f ca="1">+'Modelo Soja'!AC6</f>
        <v>170.17699999999996</v>
      </c>
      <c r="AJ6" s="32">
        <f ca="1">+'Modelo Soja'!AD6</f>
        <v>167.03400000000002</v>
      </c>
      <c r="AL6" s="32">
        <f>+'Modelo Farelo'!R6</f>
        <v>2523.6890143080755</v>
      </c>
      <c r="AM6" s="32">
        <f ca="1">+'Modelo Farelo'!D6</f>
        <v>2504.8240000000001</v>
      </c>
      <c r="AN6" s="32">
        <f ca="1">+'Modelo Farelo'!E6</f>
        <v>2548.6319999999996</v>
      </c>
      <c r="AO6" s="32">
        <f ca="1">+'Modelo Farelo'!F6</f>
        <v>2601.4155000000001</v>
      </c>
      <c r="AP6" s="32">
        <f t="shared" si="14"/>
        <v>2463.4913003448896</v>
      </c>
      <c r="AQ6" s="32">
        <f t="shared" si="15"/>
        <v>2413.1690143080755</v>
      </c>
      <c r="AR6" s="32">
        <f t="shared" si="16"/>
        <v>2399.7190143080757</v>
      </c>
      <c r="AT6" s="32">
        <f>+'Modelo Oleo'!E6</f>
        <v>6947.0664672199982</v>
      </c>
      <c r="AU6" s="33">
        <f>+AT6-AE6</f>
        <v>6876.0331647434396</v>
      </c>
      <c r="AV6" s="33">
        <f>+AT6-AC6</f>
        <v>6812.8097563195242</v>
      </c>
      <c r="AW6" s="33">
        <f>+AT6-AA6</f>
        <v>6820.8344783311095</v>
      </c>
      <c r="AY6" t="s">
        <v>378</v>
      </c>
      <c r="AZ6" t="s">
        <v>380</v>
      </c>
      <c r="BB6" s="55">
        <f>+(AT6*$AZ$2+AL6*$AZ$3)-(AG6/60*1000)</f>
        <v>270.57449836254182</v>
      </c>
      <c r="BC6" s="55">
        <f ca="1">+(AU6*$AZ$2+AM6*$AZ$3)-(AH6/60*1000)</f>
        <v>335.7295604583046</v>
      </c>
      <c r="BD6" s="55">
        <f ca="1">+(AV6*$AZ$2+AN6*$AZ$3)-(AI6/60*1000)</f>
        <v>378.20224914897426</v>
      </c>
      <c r="BE6" s="55">
        <f ca="1">+(AW6*$AZ$2+AO6*$AZ$3)-(AJ6/60*1000)</f>
        <v>471.21019327456588</v>
      </c>
      <c r="BF6" t="s">
        <v>386</v>
      </c>
      <c r="BG6" t="s">
        <v>387</v>
      </c>
      <c r="BH6" s="32">
        <f t="shared" si="17"/>
        <v>270.57449836254182</v>
      </c>
      <c r="BI6" s="32">
        <f t="shared" ca="1" si="18"/>
        <v>311.2606022624791</v>
      </c>
      <c r="BJ6" s="32">
        <f t="shared" ca="1" si="19"/>
        <v>338.10520538416449</v>
      </c>
      <c r="BK6" s="32">
        <f t="shared" ca="1" si="20"/>
        <v>411.50803350975639</v>
      </c>
    </row>
    <row r="7" spans="2:63" x14ac:dyDescent="0.3">
      <c r="B7" s="17" t="str">
        <f t="shared" si="2"/>
        <v>20215</v>
      </c>
      <c r="C7" s="17">
        <f t="shared" si="21"/>
        <v>44317</v>
      </c>
      <c r="D7" s="24">
        <f>VLOOKUP('Estudo PR'!B7,'Frete ESALQ'!$C$6:$BO$111,36,FALSE)</f>
        <v>101.73</v>
      </c>
      <c r="E7" s="24">
        <f>VLOOKUP('Estudo PR'!B7,'Frete ESALQ'!$C$6:$BO$111,47,FALSE)</f>
        <v>104.75</v>
      </c>
      <c r="F7" s="24">
        <f>VLOOKUP('Estudo PR'!B7,'Frete ESALQ'!$C$6:$BO$111,59,FALSE)</f>
        <v>94.47</v>
      </c>
      <c r="G7" s="24">
        <f>VLOOKUP('Estudo PR'!B7,'Frete ESALQ'!$C$6:$BO$111,18,FALSE)</f>
        <v>99.09</v>
      </c>
      <c r="H7" s="24">
        <f>VLOOKUP('Estudo PR'!B7,'Frete ESALQ'!$C$6:$BO$111,60,FALSE)</f>
        <v>104.18</v>
      </c>
      <c r="I7" s="48">
        <f t="shared" si="3"/>
        <v>58.571209885502348</v>
      </c>
      <c r="K7" s="44">
        <f t="shared" si="4"/>
        <v>0.16071090047393366</v>
      </c>
      <c r="L7" s="44">
        <f>+E7/L$1</f>
        <v>0.21960167714884696</v>
      </c>
      <c r="M7" s="44">
        <f>+F7/M$1</f>
        <v>0.18167307692307691</v>
      </c>
      <c r="N7" s="44">
        <f>+G7/N$1</f>
        <v>0.16794915254237289</v>
      </c>
      <c r="O7" s="44">
        <f>+H7/O$1</f>
        <v>0.19292592592592595</v>
      </c>
      <c r="P7" s="44">
        <f t="shared" si="5"/>
        <v>0.28295270476088091</v>
      </c>
      <c r="R7" s="44">
        <f t="shared" si="6"/>
        <v>0.28295270476088091</v>
      </c>
      <c r="S7" s="46">
        <f>AVERAGE(L7:M7,O7)</f>
        <v>0.19806689333261662</v>
      </c>
      <c r="T7" s="46">
        <f>AVERAGE(N7,K7)</f>
        <v>0.16433002650815326</v>
      </c>
      <c r="V7" s="22">
        <f t="shared" si="7"/>
        <v>0.33388419161783944</v>
      </c>
      <c r="W7" s="22">
        <f t="shared" si="0"/>
        <v>0.25748696133240162</v>
      </c>
      <c r="X7" s="22">
        <f t="shared" si="1"/>
        <v>0.22184553578600691</v>
      </c>
      <c r="Z7" s="32">
        <f t="shared" si="8"/>
        <v>140.42822415254238</v>
      </c>
      <c r="AA7" s="32">
        <f t="shared" si="9"/>
        <v>122.82128055555557</v>
      </c>
      <c r="AB7" s="32">
        <f t="shared" si="10"/>
        <v>133.89321989284883</v>
      </c>
      <c r="AC7" s="32">
        <f t="shared" si="11"/>
        <v>130.88886611374409</v>
      </c>
      <c r="AD7" s="32">
        <f t="shared" si="12"/>
        <v>139.04295911949689</v>
      </c>
      <c r="AE7" s="32">
        <f t="shared" si="13"/>
        <v>69.11402766489276</v>
      </c>
      <c r="AG7" s="33">
        <f>+'Modelo Soja'!AJ7</f>
        <v>176.39380952380952</v>
      </c>
      <c r="AH7" s="32">
        <f ca="1">+'Modelo Soja'!AB7</f>
        <v>171.62571428571425</v>
      </c>
      <c r="AI7" s="32">
        <f ca="1">+'Modelo Soja'!AC7</f>
        <v>171.07714285714286</v>
      </c>
      <c r="AJ7" s="32">
        <f ca="1">+'Modelo Soja'!AD7</f>
        <v>168.5266666666667</v>
      </c>
      <c r="AL7" s="32">
        <f>+'Modelo Farelo'!R7</f>
        <v>2425.9164729738095</v>
      </c>
      <c r="AM7" s="32">
        <f ca="1">+'Modelo Farelo'!D7</f>
        <v>2425.9352380952382</v>
      </c>
      <c r="AN7" s="32">
        <f ca="1">+'Modelo Farelo'!E7</f>
        <v>2467.0247619047623</v>
      </c>
      <c r="AO7" s="32">
        <f ca="1">+'Modelo Farelo'!F7</f>
        <v>2546.0552380952381</v>
      </c>
      <c r="AP7" s="32">
        <f t="shared" si="14"/>
        <v>2367.3452630883071</v>
      </c>
      <c r="AQ7" s="32">
        <f t="shared" si="15"/>
        <v>2326.8264729738094</v>
      </c>
      <c r="AR7" s="32">
        <f t="shared" si="16"/>
        <v>2321.1664729738095</v>
      </c>
      <c r="AT7" s="32">
        <f>+'Modelo Oleo'!E7</f>
        <v>7124.9095481884588</v>
      </c>
      <c r="AU7" s="33">
        <f>+AT7-AE7</f>
        <v>7055.7955205235658</v>
      </c>
      <c r="AV7" s="33">
        <f>+AT7-AC7</f>
        <v>6994.0206820747144</v>
      </c>
      <c r="AW7" s="33">
        <f>+AT7-AA7</f>
        <v>7002.0882676329029</v>
      </c>
      <c r="BB7" s="55">
        <f>+(AT7*$AZ$2+AL7*$AZ$3)-(AG7/60*1000)</f>
        <v>244.63872650054327</v>
      </c>
      <c r="BC7" s="55">
        <f ca="1">+(AU7*$AZ$2+AM7*$AZ$3)-(AH7/60*1000)</f>
        <v>310.64363126400076</v>
      </c>
      <c r="BD7" s="55">
        <f ca="1">+(AV7*$AZ$2+AN7*$AZ$3)-(AI7/60*1000)</f>
        <v>338.14664252837929</v>
      </c>
      <c r="BE7" s="55">
        <f ca="1">+(AW7*$AZ$2+AO7*$AZ$3)-(AJ7/60*1000)</f>
        <v>440.71031060111409</v>
      </c>
      <c r="BF7" t="s">
        <v>388</v>
      </c>
      <c r="BG7" t="s">
        <v>387</v>
      </c>
      <c r="BH7" s="32">
        <f t="shared" si="17"/>
        <v>244.63872650054327</v>
      </c>
      <c r="BI7" s="32">
        <f t="shared" ca="1" si="18"/>
        <v>275.95836605989825</v>
      </c>
      <c r="BJ7" s="32">
        <f t="shared" ca="1" si="19"/>
        <v>296.64794900481729</v>
      </c>
      <c r="BK7" s="32">
        <f t="shared" ca="1" si="20"/>
        <v>374.14323612517137</v>
      </c>
    </row>
    <row r="8" spans="2:63" x14ac:dyDescent="0.3">
      <c r="B8" s="17" t="str">
        <f t="shared" si="2"/>
        <v>20216</v>
      </c>
      <c r="C8" s="17">
        <f t="shared" si="21"/>
        <v>44348</v>
      </c>
      <c r="D8" s="24">
        <f>VLOOKUP('Estudo PR'!B8,'Frete ESALQ'!$C$6:$BO$111,36,FALSE)</f>
        <v>96.49</v>
      </c>
      <c r="E8" s="24">
        <f>VLOOKUP('Estudo PR'!B8,'Frete ESALQ'!$C$6:$BO$111,47,FALSE)</f>
        <v>84.57</v>
      </c>
      <c r="F8" s="24">
        <f>VLOOKUP('Estudo PR'!B8,'Frete ESALQ'!$C$6:$BO$111,59,FALSE)</f>
        <v>86.18</v>
      </c>
      <c r="G8" s="24">
        <f>VLOOKUP('Estudo PR'!B8,'Frete ESALQ'!$C$6:$BO$111,18,FALSE)</f>
        <v>95.57</v>
      </c>
      <c r="H8" s="24">
        <f>VLOOKUP('Estudo PR'!B8,'Frete ESALQ'!$C$6:$BO$111,60,FALSE)</f>
        <v>98.22</v>
      </c>
      <c r="I8" s="48">
        <f t="shared" si="3"/>
        <v>51.741646623816436</v>
      </c>
      <c r="K8" s="44">
        <f t="shared" si="4"/>
        <v>0.15243285939968404</v>
      </c>
      <c r="L8" s="44">
        <f>+E8/L$1</f>
        <v>0.17729559748427673</v>
      </c>
      <c r="M8" s="44">
        <f>+F8/M$1</f>
        <v>0.16573076923076924</v>
      </c>
      <c r="N8" s="44">
        <f>+G8/N$1</f>
        <v>0.16198305084745762</v>
      </c>
      <c r="O8" s="44">
        <f>+H8/O$1</f>
        <v>0.18188888888888888</v>
      </c>
      <c r="P8" s="44">
        <f t="shared" si="5"/>
        <v>0.24995964552568328</v>
      </c>
      <c r="R8" s="44">
        <f t="shared" si="6"/>
        <v>0.24995964552568328</v>
      </c>
      <c r="S8" s="46">
        <f>AVERAGE(L8:M8,O8)</f>
        <v>0.17497175186797828</v>
      </c>
      <c r="T8" s="46">
        <f>AVERAGE(N8,K8)</f>
        <v>0.15720795512357083</v>
      </c>
      <c r="V8" s="22">
        <f t="shared" si="7"/>
        <v>0.29495238172030624</v>
      </c>
      <c r="W8" s="22">
        <f t="shared" si="0"/>
        <v>0.22746327742837177</v>
      </c>
      <c r="X8" s="22">
        <f t="shared" si="1"/>
        <v>0.21223073941682064</v>
      </c>
      <c r="Z8" s="32">
        <f t="shared" si="8"/>
        <v>134.34205805084747</v>
      </c>
      <c r="AA8" s="32">
        <f t="shared" si="9"/>
        <v>108.49998333333333</v>
      </c>
      <c r="AB8" s="32">
        <f t="shared" si="10"/>
        <v>118.28090426275332</v>
      </c>
      <c r="AC8" s="32">
        <f t="shared" si="11"/>
        <v>125.21613625592417</v>
      </c>
      <c r="AD8" s="32">
        <f t="shared" si="12"/>
        <v>122.83016981132076</v>
      </c>
      <c r="AE8" s="32">
        <f t="shared" si="13"/>
        <v>61.055143016103393</v>
      </c>
      <c r="AG8" s="33">
        <f>+'Modelo Soja'!AJ8</f>
        <v>162.0757142857143</v>
      </c>
      <c r="AH8" s="32">
        <f ca="1">+'Modelo Soja'!AB8</f>
        <v>158.25380952380954</v>
      </c>
      <c r="AI8" s="32">
        <f ca="1">+'Modelo Soja'!AC8</f>
        <v>156.69190476190477</v>
      </c>
      <c r="AJ8" s="32">
        <f ca="1">+'Modelo Soja'!AD8</f>
        <v>154.17761904761906</v>
      </c>
      <c r="AL8" s="32">
        <f>+'Modelo Farelo'!R8</f>
        <v>2071.6789391300513</v>
      </c>
      <c r="AM8" s="32">
        <f ca="1">+'Modelo Farelo'!D8</f>
        <v>2229.244285714286</v>
      </c>
      <c r="AN8" s="32">
        <f ca="1">+'Modelo Farelo'!E8</f>
        <v>2290.8747619047622</v>
      </c>
      <c r="AO8" s="32">
        <f ca="1">+'Modelo Farelo'!F8</f>
        <v>2356.437142857143</v>
      </c>
      <c r="AP8" s="32">
        <f t="shared" si="14"/>
        <v>2019.9372925062348</v>
      </c>
      <c r="AQ8" s="32">
        <f t="shared" si="15"/>
        <v>1976.1089391300513</v>
      </c>
      <c r="AR8" s="32">
        <f t="shared" si="16"/>
        <v>1987.1089391300513</v>
      </c>
      <c r="AT8" s="32">
        <f>+'Modelo Oleo'!E8</f>
        <v>5891.1729976659999</v>
      </c>
      <c r="AU8" s="33">
        <f>+AT8-AE8</f>
        <v>5830.1178546498968</v>
      </c>
      <c r="AV8" s="33">
        <f>+AT8-AC8</f>
        <v>5765.9568614100754</v>
      </c>
      <c r="AW8" s="33">
        <f>+AT8-AA8</f>
        <v>5782.6730143326668</v>
      </c>
      <c r="BB8" s="55">
        <f>+(AT8*$AZ$2+AL8*$AZ$3)-(AG8/60*1000)</f>
        <v>-19.440755260796777</v>
      </c>
      <c r="BC8" s="55">
        <f ca="1">+(AU8*$AZ$2+AM8*$AZ$3)-(AH8/60*1000)</f>
        <v>148.95026102180964</v>
      </c>
      <c r="BD8" s="55">
        <f ca="1">+(AV8*$AZ$2+AN8*$AZ$3)-(AI8/60*1000)</f>
        <v>208.07716575274253</v>
      </c>
      <c r="BE8" s="55">
        <f ca="1">+(AW8*$AZ$2+AO8*$AZ$3)-(AJ8/60*1000)</f>
        <v>301.75773938217208</v>
      </c>
      <c r="BH8" s="32">
        <f t="shared" si="17"/>
        <v>-19.440755260796777</v>
      </c>
      <c r="BI8" s="32">
        <f t="shared" ca="1" si="18"/>
        <v>25.040521042643377</v>
      </c>
      <c r="BJ8" s="32">
        <f t="shared" ca="1" si="19"/>
        <v>114.90648221142828</v>
      </c>
      <c r="BK8" s="32">
        <f t="shared" ca="1" si="20"/>
        <v>192.43659107895246</v>
      </c>
    </row>
    <row r="9" spans="2:63" x14ac:dyDescent="0.3">
      <c r="B9" s="17" t="str">
        <f t="shared" si="2"/>
        <v>20217</v>
      </c>
      <c r="C9" s="17">
        <f t="shared" si="21"/>
        <v>44378</v>
      </c>
      <c r="D9" s="24">
        <f>VLOOKUP('Estudo PR'!B9,'Frete ESALQ'!$C$6:$BO$111,36,FALSE)</f>
        <v>86.17</v>
      </c>
      <c r="E9" s="24">
        <f>VLOOKUP('Estudo PR'!B9,'Frete ESALQ'!$C$6:$BO$111,47,FALSE)</f>
        <v>80.75</v>
      </c>
      <c r="F9" s="24">
        <f>VLOOKUP('Estudo PR'!B9,'Frete ESALQ'!$C$6:$BO$111,59,FALSE)</f>
        <v>83.31</v>
      </c>
      <c r="G9" s="24">
        <f>VLOOKUP('Estudo PR'!B9,'Frete ESALQ'!$C$6:$BO$111,18,FALSE)</f>
        <v>91.53</v>
      </c>
      <c r="H9" s="24">
        <f>VLOOKUP('Estudo PR'!B9,'Frete ESALQ'!$C$6:$BO$111,60,FALSE)</f>
        <v>81.78</v>
      </c>
      <c r="I9" s="48">
        <f t="shared" si="3"/>
        <v>47.407257757965304</v>
      </c>
      <c r="K9" s="44">
        <f t="shared" si="4"/>
        <v>0.13612954186413903</v>
      </c>
      <c r="L9" s="44">
        <f>+E9/L$1</f>
        <v>0.16928721174004194</v>
      </c>
      <c r="M9" s="44">
        <f>+F9/M$1</f>
        <v>0.16021153846153846</v>
      </c>
      <c r="N9" s="44">
        <f>+G9/N$1</f>
        <v>0.15513559322033899</v>
      </c>
      <c r="O9" s="44">
        <f>+H9/O$1</f>
        <v>0.15144444444444444</v>
      </c>
      <c r="P9" s="44">
        <f t="shared" si="5"/>
        <v>0.22902056887905944</v>
      </c>
      <c r="R9" s="44">
        <f t="shared" si="6"/>
        <v>0.22902056887905944</v>
      </c>
      <c r="S9" s="46">
        <f>AVERAGE(L9:M9,O9)</f>
        <v>0.1603143982153416</v>
      </c>
      <c r="T9" s="46">
        <f>AVERAGE(N9,K9)</f>
        <v>0.14563256754223902</v>
      </c>
      <c r="V9" s="22">
        <f t="shared" si="7"/>
        <v>0.27024427127729012</v>
      </c>
      <c r="W9" s="22">
        <f t="shared" si="0"/>
        <v>0.20840871767994409</v>
      </c>
      <c r="X9" s="22">
        <f t="shared" si="1"/>
        <v>0.19660396618202269</v>
      </c>
      <c r="Z9" s="32">
        <f t="shared" si="8"/>
        <v>124.45031059322037</v>
      </c>
      <c r="AA9" s="32">
        <f t="shared" si="9"/>
        <v>99.410958333333326</v>
      </c>
      <c r="AB9" s="32">
        <f t="shared" si="10"/>
        <v>108.37253319357093</v>
      </c>
      <c r="AC9" s="32">
        <f t="shared" si="11"/>
        <v>115.99634004739339</v>
      </c>
      <c r="AD9" s="32">
        <f t="shared" si="12"/>
        <v>112.54070754716982</v>
      </c>
      <c r="AE9" s="32">
        <f t="shared" si="13"/>
        <v>55.940564154399055</v>
      </c>
      <c r="AG9" s="33">
        <f>+'Modelo Soja'!AJ9</f>
        <v>167.59681818181818</v>
      </c>
      <c r="AH9" s="32">
        <f ca="1">+'Modelo Soja'!AB9</f>
        <v>163.14772727272728</v>
      </c>
      <c r="AI9" s="32">
        <f ca="1">+'Modelo Soja'!AC9</f>
        <v>162.50227272727273</v>
      </c>
      <c r="AJ9" s="32">
        <f ca="1">+'Modelo Soja'!AD9</f>
        <v>159.80136363636359</v>
      </c>
      <c r="AL9" s="32">
        <f>+'Modelo Farelo'!R9</f>
        <v>2052.5639500420361</v>
      </c>
      <c r="AM9" s="32">
        <f ca="1">+'Modelo Farelo'!D9</f>
        <v>2284.0272727272732</v>
      </c>
      <c r="AN9" s="32">
        <f ca="1">+'Modelo Farelo'!E9</f>
        <v>2330.6477272727275</v>
      </c>
      <c r="AO9" s="32">
        <f ca="1">+'Modelo Farelo'!F9</f>
        <v>2409.3072727272734</v>
      </c>
      <c r="AP9" s="32">
        <f t="shared" si="14"/>
        <v>2005.1566922840709</v>
      </c>
      <c r="AQ9" s="32">
        <f t="shared" si="15"/>
        <v>1961.0339500420362</v>
      </c>
      <c r="AR9" s="32">
        <f t="shared" si="16"/>
        <v>1971.8139500420361</v>
      </c>
      <c r="AT9" s="32">
        <f>+'Modelo Oleo'!E9</f>
        <v>6499.823936111</v>
      </c>
      <c r="AU9" s="33">
        <f>+AT9-AE9</f>
        <v>6443.883371956601</v>
      </c>
      <c r="AV9" s="33">
        <f>+AT9-AC9</f>
        <v>6383.8275960636065</v>
      </c>
      <c r="AW9" s="33">
        <f>+AT9-AA9</f>
        <v>6400.412977777667</v>
      </c>
      <c r="BB9" s="55">
        <f>+(AT9*$AZ$2+AL9*$AZ$3)-(AG9/60*1000)</f>
        <v>-6.9173124575513611</v>
      </c>
      <c r="BC9" s="55">
        <f ca="1">+(AU9*$AZ$2+AM9*$AZ$3)-(AH9/60*1000)</f>
        <v>227.60865147093136</v>
      </c>
      <c r="BD9" s="55">
        <f ca="1">+(AV9*$AZ$2+AN9*$AZ$3)-(AI9/60*1000)</f>
        <v>261.15448729300988</v>
      </c>
      <c r="BE9" s="55">
        <f ca="1">+(AW9*$AZ$2+AO9*$AZ$3)-(AJ9/60*1000)</f>
        <v>367.61185187876708</v>
      </c>
      <c r="BH9" s="32">
        <f t="shared" si="17"/>
        <v>-6.9173124575513611</v>
      </c>
      <c r="BI9" s="32">
        <f t="shared" ca="1" si="18"/>
        <v>62.517267848556003</v>
      </c>
      <c r="BJ9" s="32">
        <f t="shared" ca="1" si="19"/>
        <v>151.74880923272485</v>
      </c>
      <c r="BK9" s="32">
        <f t="shared" ca="1" si="20"/>
        <v>238.11382836393705</v>
      </c>
    </row>
    <row r="10" spans="2:63" x14ac:dyDescent="0.3">
      <c r="B10" s="17" t="str">
        <f t="shared" si="2"/>
        <v>20218</v>
      </c>
      <c r="C10" s="17">
        <f t="shared" si="21"/>
        <v>44409</v>
      </c>
      <c r="D10" s="24">
        <f>VLOOKUP('Estudo PR'!B10,'Frete ESALQ'!$C$6:$BO$111,36,FALSE)</f>
        <v>80.27</v>
      </c>
      <c r="E10" s="24">
        <f>VLOOKUP('Estudo PR'!B10,'Frete ESALQ'!$C$6:$BO$111,47,FALSE)</f>
        <v>67.33</v>
      </c>
      <c r="F10" s="24">
        <f>VLOOKUP('Estudo PR'!B10,'Frete ESALQ'!$C$6:$BO$111,59,FALSE)</f>
        <v>82.41</v>
      </c>
      <c r="G10" s="24">
        <f>VLOOKUP('Estudo PR'!B10,'Frete ESALQ'!$C$6:$BO$111,18,FALSE)</f>
        <v>75.31</v>
      </c>
      <c r="H10" s="24">
        <f>VLOOKUP('Estudo PR'!B10,'Frete ESALQ'!$C$6:$BO$111,60,FALSE)</f>
        <v>77.760000000000005</v>
      </c>
      <c r="I10" s="48">
        <f t="shared" si="3"/>
        <v>43.729618321929649</v>
      </c>
      <c r="K10" s="44">
        <f t="shared" si="4"/>
        <v>0.1268088467614534</v>
      </c>
      <c r="L10" s="44">
        <f>+E10/L$1</f>
        <v>0.14115303983228511</v>
      </c>
      <c r="M10" s="44">
        <f>+F10/M$1</f>
        <v>0.15848076923076923</v>
      </c>
      <c r="N10" s="44">
        <f>+G10/N$1</f>
        <v>0.12764406779661017</v>
      </c>
      <c r="O10" s="44">
        <f>+H10/O$1</f>
        <v>0.14400000000000002</v>
      </c>
      <c r="P10" s="44">
        <f t="shared" si="5"/>
        <v>0.21125419479193067</v>
      </c>
      <c r="R10" s="44">
        <f t="shared" si="6"/>
        <v>0.21125419479193067</v>
      </c>
      <c r="S10" s="46">
        <f>AVERAGE(L10:M10,O10)</f>
        <v>0.14787793635435145</v>
      </c>
      <c r="T10" s="46">
        <f>AVERAGE(N10,K10)</f>
        <v>0.12722645727903178</v>
      </c>
      <c r="V10" s="22">
        <f t="shared" si="7"/>
        <v>0.24927994985447818</v>
      </c>
      <c r="W10" s="22">
        <f t="shared" si="0"/>
        <v>0.19224131726065691</v>
      </c>
      <c r="X10" s="22">
        <f t="shared" si="1"/>
        <v>0.17175571732669292</v>
      </c>
      <c r="Z10" s="32">
        <f t="shared" si="8"/>
        <v>108.72136906779662</v>
      </c>
      <c r="AA10" s="32">
        <f t="shared" si="9"/>
        <v>91.699108333333342</v>
      </c>
      <c r="AB10" s="32">
        <f t="shared" si="10"/>
        <v>99.965484975541585</v>
      </c>
      <c r="AC10" s="32">
        <f t="shared" si="11"/>
        <v>101.33587322274883</v>
      </c>
      <c r="AD10" s="32">
        <f t="shared" si="12"/>
        <v>103.81031132075474</v>
      </c>
      <c r="AE10" s="32">
        <f t="shared" si="13"/>
        <v>51.600949619876985</v>
      </c>
      <c r="AG10" s="33">
        <f>+'Modelo Soja'!AJ10</f>
        <v>171.05772727272731</v>
      </c>
      <c r="AH10" s="32">
        <f ca="1">+'Modelo Soja'!AB10</f>
        <v>168.5259090909091</v>
      </c>
      <c r="AI10" s="32">
        <f ca="1">+'Modelo Soja'!AC10</f>
        <v>166.52772727272725</v>
      </c>
      <c r="AJ10" s="32">
        <f ca="1">+'Modelo Soja'!AD10</f>
        <v>167.36681818181819</v>
      </c>
      <c r="AL10" s="32">
        <f>+'Modelo Farelo'!R10</f>
        <v>2052.726469675622</v>
      </c>
      <c r="AM10" s="32">
        <f ca="1">+'Modelo Farelo'!D10</f>
        <v>2303.3672727272728</v>
      </c>
      <c r="AN10" s="32">
        <f ca="1">+'Modelo Farelo'!E10</f>
        <v>2374.6759090909086</v>
      </c>
      <c r="AO10" s="32">
        <f ca="1">+'Modelo Farelo'!F10</f>
        <v>2414.3772727272731</v>
      </c>
      <c r="AP10" s="32">
        <f t="shared" si="14"/>
        <v>2008.9968513536924</v>
      </c>
      <c r="AQ10" s="32">
        <f t="shared" si="15"/>
        <v>1977.416469675622</v>
      </c>
      <c r="AR10" s="32">
        <f t="shared" si="16"/>
        <v>1985.396469675622</v>
      </c>
      <c r="AT10" s="32">
        <f>+'Modelo Oleo'!E10</f>
        <v>6851.8666896382983</v>
      </c>
      <c r="AU10" s="33">
        <f>+AT10-AE10</f>
        <v>6800.2657400184216</v>
      </c>
      <c r="AV10" s="33">
        <f>+AT10-AC10</f>
        <v>6750.5308164155495</v>
      </c>
      <c r="AW10" s="33">
        <f>+AT10-AA10</f>
        <v>6760.1675813049651</v>
      </c>
      <c r="BB10" s="55">
        <f>+(AT10*$AZ$2+AL10*$AZ$3)-(AG10/60*1000)</f>
        <v>4.1694708273066681</v>
      </c>
      <c r="BC10" s="55">
        <f ca="1">+(AU10*$AZ$2+AM10*$AZ$3)-(AH10/60*1000)</f>
        <v>221.77844960662287</v>
      </c>
      <c r="BD10" s="55">
        <f ca="1">+(AV10*$AZ$2+AN10*$AZ$3)-(AI10/60*1000)</f>
        <v>298.15156071618367</v>
      </c>
      <c r="BE10" s="55">
        <f ca="1">+(AW10*$AZ$2+AO10*$AZ$3)-(AJ10/60*1000)</f>
        <v>315.42489047568097</v>
      </c>
      <c r="BH10" s="32">
        <f t="shared" si="17"/>
        <v>4.1694708273066681</v>
      </c>
      <c r="BI10" s="32">
        <f t="shared" ca="1" si="18"/>
        <v>47.511160153463152</v>
      </c>
      <c r="BJ10" s="32">
        <f t="shared" ca="1" si="19"/>
        <v>180.56276664925917</v>
      </c>
      <c r="BK10" s="32">
        <f t="shared" ca="1" si="20"/>
        <v>188.4465727723923</v>
      </c>
    </row>
    <row r="11" spans="2:63" x14ac:dyDescent="0.3">
      <c r="B11" s="17" t="str">
        <f t="shared" si="2"/>
        <v>20219</v>
      </c>
      <c r="C11" s="17">
        <f t="shared" si="21"/>
        <v>44440</v>
      </c>
      <c r="D11" s="24">
        <f>VLOOKUP('Estudo PR'!B11,'Frete ESALQ'!$C$6:$BO$111,36,FALSE)</f>
        <v>68</v>
      </c>
      <c r="E11" s="24">
        <f>VLOOKUP('Estudo PR'!B11,'Frete ESALQ'!$C$6:$BO$111,47,FALSE)</f>
        <v>68</v>
      </c>
      <c r="F11" s="24">
        <f>VLOOKUP('Estudo PR'!B11,'Frete ESALQ'!$C$6:$BO$111,59,FALSE)</f>
        <v>75.430000000000007</v>
      </c>
      <c r="G11" s="24">
        <f>VLOOKUP('Estudo PR'!B11,'Frete ESALQ'!$C$6:$BO$111,18,FALSE)</f>
        <v>80.11</v>
      </c>
      <c r="H11" s="24">
        <f>VLOOKUP('Estudo PR'!B11,'Frete ESALQ'!$C$6:$BO$111,60,FALSE)</f>
        <v>79.5</v>
      </c>
      <c r="I11" s="48">
        <f t="shared" si="3"/>
        <v>42.862560128550705</v>
      </c>
      <c r="K11" s="44">
        <f t="shared" si="4"/>
        <v>0.10742496050552923</v>
      </c>
      <c r="L11" s="44">
        <f>+E11/L$1</f>
        <v>0.14255765199161424</v>
      </c>
      <c r="M11" s="44">
        <f>+F11/M$1</f>
        <v>0.14505769230769233</v>
      </c>
      <c r="N11" s="44">
        <f>+G11/N$1</f>
        <v>0.13577966101694916</v>
      </c>
      <c r="O11" s="44">
        <f>+H11/O$1</f>
        <v>0.14722222222222223</v>
      </c>
      <c r="P11" s="44">
        <f t="shared" si="5"/>
        <v>0.20706550786739469</v>
      </c>
      <c r="R11" s="44">
        <f t="shared" si="6"/>
        <v>0.20706550786739469</v>
      </c>
      <c r="S11" s="46">
        <f>AVERAGE(L11:M11,O11)</f>
        <v>0.14494585550717629</v>
      </c>
      <c r="T11" s="46">
        <f>AVERAGE(N11,K11)</f>
        <v>0.1216023107612392</v>
      </c>
      <c r="V11" s="22">
        <f t="shared" si="7"/>
        <v>0.24433729928352574</v>
      </c>
      <c r="W11" s="22">
        <f t="shared" si="0"/>
        <v>0.18842961215932919</v>
      </c>
      <c r="X11" s="22">
        <f t="shared" si="1"/>
        <v>0.16416311952767293</v>
      </c>
      <c r="Z11" s="32">
        <f t="shared" si="8"/>
        <v>103.91525466101696</v>
      </c>
      <c r="AA11" s="32">
        <f t="shared" si="9"/>
        <v>89.880925000000019</v>
      </c>
      <c r="AB11" s="32">
        <f t="shared" si="10"/>
        <v>97.983398322851173</v>
      </c>
      <c r="AC11" s="32">
        <f t="shared" si="11"/>
        <v>96.856240521327024</v>
      </c>
      <c r="AD11" s="32">
        <f t="shared" si="12"/>
        <v>101.75199056603776</v>
      </c>
      <c r="AE11" s="32">
        <f t="shared" si="13"/>
        <v>50.57782095168983</v>
      </c>
      <c r="AG11" s="33">
        <f>+'Modelo Soja'!AJ11</f>
        <v>172.7342857142857</v>
      </c>
      <c r="AH11" s="32">
        <f ca="1">+'Modelo Soja'!AB11</f>
        <v>169.85952380952381</v>
      </c>
      <c r="AI11" s="32">
        <f ca="1">+'Modelo Soja'!AC11</f>
        <v>168.7233333333333</v>
      </c>
      <c r="AJ11" s="32">
        <f ca="1">+'Modelo Soja'!AD11</f>
        <v>168.46666666666664</v>
      </c>
      <c r="AL11" s="32">
        <f>+'Modelo Farelo'!R11</f>
        <v>1966.26754903092</v>
      </c>
      <c r="AM11" s="32">
        <f ca="1">+'Modelo Farelo'!D11</f>
        <v>2327.034285714285</v>
      </c>
      <c r="AN11" s="32">
        <f ca="1">+'Modelo Farelo'!E11</f>
        <v>2366.0133333333324</v>
      </c>
      <c r="AO11" s="32">
        <f ca="1">+'Modelo Farelo'!F11</f>
        <v>2379.5999999999995</v>
      </c>
      <c r="AP11" s="32">
        <f t="shared" si="14"/>
        <v>1923.4049889023693</v>
      </c>
      <c r="AQ11" s="32">
        <f t="shared" si="15"/>
        <v>1886.1575490309201</v>
      </c>
      <c r="AR11" s="32">
        <f t="shared" si="16"/>
        <v>1898.26754903092</v>
      </c>
      <c r="AT11" s="32">
        <f>+'Modelo Oleo'!E11</f>
        <v>6866.8014408916988</v>
      </c>
      <c r="AU11" s="33">
        <f>+AT11-AE11</f>
        <v>6816.2236199400086</v>
      </c>
      <c r="AV11" s="33">
        <f>+AT11-AC11</f>
        <v>6769.9452003703718</v>
      </c>
      <c r="AW11" s="33">
        <f>+AT11-AA11</f>
        <v>6776.9205158916984</v>
      </c>
      <c r="BB11" s="55">
        <f>+(AT11*$AZ$2+AL11*$AZ$3)-(AG11/60*1000)</f>
        <v>-84.840494648000004</v>
      </c>
      <c r="BC11" s="55">
        <f ca="1">+(AU11*$AZ$2+AM11*$AZ$3)-(AH11/60*1000)</f>
        <v>220.17691382480962</v>
      </c>
      <c r="BD11" s="55">
        <f ca="1">+(AV11*$AZ$2+AN11*$AZ$3)-(AI11/60*1000)</f>
        <v>258.93362518333379</v>
      </c>
      <c r="BE11" s="55">
        <f ca="1">+(AW11*$AZ$2+AO11*$AZ$3)-(AJ11/60*1000)</f>
        <v>274.62572282110341</v>
      </c>
      <c r="BH11" s="32">
        <f t="shared" si="17"/>
        <v>-84.840494648000004</v>
      </c>
      <c r="BI11" s="32">
        <f t="shared" ca="1" si="18"/>
        <v>-18.771629887844483</v>
      </c>
      <c r="BJ11" s="32">
        <f t="shared" ca="1" si="19"/>
        <v>116.89631302981979</v>
      </c>
      <c r="BK11" s="32">
        <f t="shared" ca="1" si="20"/>
        <v>132.15131733425551</v>
      </c>
    </row>
    <row r="12" spans="2:63" x14ac:dyDescent="0.3">
      <c r="B12" s="17" t="str">
        <f t="shared" si="2"/>
        <v>202110</v>
      </c>
      <c r="C12" s="17">
        <f t="shared" si="21"/>
        <v>44470</v>
      </c>
      <c r="D12" s="24">
        <f>VLOOKUP('Estudo PR'!B12,'Frete ESALQ'!$C$6:$BO$111,36,FALSE)</f>
        <v>68</v>
      </c>
      <c r="E12" s="24">
        <f>VLOOKUP('Estudo PR'!B12,'Frete ESALQ'!$C$6:$BO$111,47,FALSE)</f>
        <v>72</v>
      </c>
      <c r="F12" s="24">
        <f>VLOOKUP('Estudo PR'!B12,'Frete ESALQ'!$C$6:$BO$111,59,FALSE)</f>
        <v>72</v>
      </c>
      <c r="G12" s="24">
        <f>VLOOKUP('Estudo PR'!B12,'Frete ESALQ'!$C$6:$BO$111,18,FALSE)</f>
        <v>81.25</v>
      </c>
      <c r="H12" s="24">
        <f>VLOOKUP('Estudo PR'!B12,'Frete ESALQ'!$C$6:$BO$111,60,FALSE)</f>
        <v>78</v>
      </c>
      <c r="I12" s="48">
        <f t="shared" si="3"/>
        <v>42.765153085907805</v>
      </c>
      <c r="K12" s="44">
        <f t="shared" si="4"/>
        <v>0.10742496050552923</v>
      </c>
      <c r="L12" s="44">
        <f>+E12/L$1</f>
        <v>0.15094339622641509</v>
      </c>
      <c r="M12" s="44">
        <f>+F12/M$1</f>
        <v>0.13846153846153847</v>
      </c>
      <c r="N12" s="44">
        <f>+G12/N$1</f>
        <v>0.13771186440677965</v>
      </c>
      <c r="O12" s="44">
        <f>+H12/O$1</f>
        <v>0.14444444444444443</v>
      </c>
      <c r="P12" s="44">
        <f t="shared" si="5"/>
        <v>0.20659494244399906</v>
      </c>
      <c r="R12" s="44">
        <f t="shared" si="6"/>
        <v>0.20659494244399906</v>
      </c>
      <c r="S12" s="46">
        <f>AVERAGE(L12:M12,O12)</f>
        <v>0.14461645971079934</v>
      </c>
      <c r="T12" s="46">
        <f>AVERAGE(N12,K12)</f>
        <v>0.12256841245615444</v>
      </c>
      <c r="V12" s="22">
        <f t="shared" si="7"/>
        <v>0.24378203208391888</v>
      </c>
      <c r="W12" s="22">
        <f t="shared" si="0"/>
        <v>0.18800139762403914</v>
      </c>
      <c r="X12" s="22">
        <f t="shared" si="1"/>
        <v>0.16546735681580849</v>
      </c>
      <c r="Z12" s="32">
        <f t="shared" si="8"/>
        <v>104.74083686440677</v>
      </c>
      <c r="AA12" s="32">
        <f t="shared" si="9"/>
        <v>89.676666666666677</v>
      </c>
      <c r="AB12" s="32">
        <f t="shared" si="10"/>
        <v>97.760726764500347</v>
      </c>
      <c r="AC12" s="32">
        <f t="shared" si="11"/>
        <v>97.625740521327003</v>
      </c>
      <c r="AD12" s="32">
        <f t="shared" si="12"/>
        <v>101.52075471698113</v>
      </c>
      <c r="AE12" s="32">
        <f t="shared" si="13"/>
        <v>50.462880641371207</v>
      </c>
      <c r="AG12" s="33">
        <f>+'Modelo Soja'!AJ12</f>
        <v>171.167</v>
      </c>
      <c r="AH12" s="32">
        <f ca="1">+'Modelo Soja'!AB12</f>
        <v>169.1885</v>
      </c>
      <c r="AI12" s="32">
        <f ca="1">+'Modelo Soja'!AC12</f>
        <v>167.59049999999996</v>
      </c>
      <c r="AJ12" s="32">
        <f ca="1">+'Modelo Soja'!AD12</f>
        <v>166.60849999999999</v>
      </c>
      <c r="AL12" s="32">
        <f>+'Modelo Farelo'!R12</f>
        <v>1968.2664233370474</v>
      </c>
      <c r="AM12" s="32">
        <f ca="1">+'Modelo Farelo'!D12</f>
        <v>2292.9160000000002</v>
      </c>
      <c r="AN12" s="32">
        <f ca="1">+'Modelo Farelo'!E12</f>
        <v>2256.4605000000001</v>
      </c>
      <c r="AO12" s="32">
        <f ca="1">+'Modelo Farelo'!F12</f>
        <v>2335.9014999999995</v>
      </c>
      <c r="AP12" s="32">
        <f t="shared" si="14"/>
        <v>1925.5012702511397</v>
      </c>
      <c r="AQ12" s="32">
        <f t="shared" si="15"/>
        <v>1887.0164233370474</v>
      </c>
      <c r="AR12" s="32">
        <f t="shared" si="16"/>
        <v>1896.2664233370474</v>
      </c>
      <c r="AT12" s="32">
        <f>+'Modelo Oleo'!E12</f>
        <v>7634.1253795460752</v>
      </c>
      <c r="AU12" s="33">
        <f>+AT12-AE12</f>
        <v>7583.6624989047041</v>
      </c>
      <c r="AV12" s="33">
        <f>+AT12-AC12</f>
        <v>7536.4996390247479</v>
      </c>
      <c r="AW12" s="33">
        <f>+AT12-AA12</f>
        <v>7544.448712879409</v>
      </c>
      <c r="BB12" s="55">
        <f>+(AT12*$AZ$2+AL12*$AZ$3)-(AG12/60*1000)</f>
        <v>92.388268947566303</v>
      </c>
      <c r="BC12" s="55">
        <f ca="1">+(AU12*$AZ$2+AM12*$AZ$3)-(AH12/60*1000)</f>
        <v>355.76369395308393</v>
      </c>
      <c r="BD12" s="55">
        <f ca="1">+(AV12*$AZ$2+AN12*$AZ$3)-(AI12/60*1000)</f>
        <v>346.22319960982668</v>
      </c>
      <c r="BE12" s="55">
        <f ca="1">+(AW12*$AZ$2+AO12*$AZ$3)-(AJ12/60*1000)</f>
        <v>422.92627567815089</v>
      </c>
      <c r="BH12" s="32">
        <f t="shared" si="17"/>
        <v>92.388268947566303</v>
      </c>
      <c r="BI12" s="32">
        <f t="shared" ca="1" si="18"/>
        <v>138.25417394175838</v>
      </c>
      <c r="BJ12" s="32">
        <f t="shared" ca="1" si="19"/>
        <v>236.8677529175925</v>
      </c>
      <c r="BK12" s="32">
        <f t="shared" ca="1" si="20"/>
        <v>292.79429298591731</v>
      </c>
    </row>
    <row r="13" spans="2:63" x14ac:dyDescent="0.3">
      <c r="B13" s="17" t="str">
        <f t="shared" si="2"/>
        <v>202111</v>
      </c>
      <c r="C13" s="17">
        <f t="shared" si="21"/>
        <v>44501</v>
      </c>
      <c r="D13" s="24">
        <f>VLOOKUP('Estudo PR'!B13,'Frete ESALQ'!$C$6:$BO$111,36,FALSE)</f>
        <v>68</v>
      </c>
      <c r="E13" s="24">
        <f>VLOOKUP('Estudo PR'!B13,'Frete ESALQ'!$C$6:$BO$111,47,FALSE)</f>
        <v>70</v>
      </c>
      <c r="F13" s="24">
        <f>VLOOKUP('Estudo PR'!B13,'Frete ESALQ'!$C$6:$BO$111,59,FALSE)</f>
        <v>72</v>
      </c>
      <c r="G13" s="24">
        <f>VLOOKUP('Estudo PR'!B13,'Frete ESALQ'!$C$6:$BO$111,18,FALSE)</f>
        <v>86</v>
      </c>
      <c r="H13" s="24">
        <f>VLOOKUP('Estudo PR'!B13,'Frete ESALQ'!$C$6:$BO$111,60,FALSE)</f>
        <v>80</v>
      </c>
      <c r="I13" s="48">
        <f t="shared" si="3"/>
        <v>42.716935056557702</v>
      </c>
      <c r="K13" s="44">
        <f t="shared" si="4"/>
        <v>0.10742496050552923</v>
      </c>
      <c r="L13" s="44">
        <f>+E13/L$1</f>
        <v>0.14675052410901468</v>
      </c>
      <c r="M13" s="44">
        <f>+F13/M$1</f>
        <v>0.13846153846153847</v>
      </c>
      <c r="N13" s="44">
        <f>+G13/N$1</f>
        <v>0.14576271186440679</v>
      </c>
      <c r="O13" s="44">
        <f>+H13/O$1</f>
        <v>0.14814814814814814</v>
      </c>
      <c r="P13" s="44">
        <f t="shared" si="5"/>
        <v>0.20636200510414349</v>
      </c>
      <c r="R13" s="44">
        <f t="shared" si="6"/>
        <v>0.20636200510414349</v>
      </c>
      <c r="S13" s="46">
        <f>AVERAGE(L13:M13,O13)</f>
        <v>0.14445340357290043</v>
      </c>
      <c r="T13" s="46">
        <f>AVERAGE(N13,K13)</f>
        <v>0.126593836184968</v>
      </c>
      <c r="V13" s="22">
        <f t="shared" si="7"/>
        <v>0.2435071660228893</v>
      </c>
      <c r="W13" s="22">
        <f t="shared" si="0"/>
        <v>0.18778942464477055</v>
      </c>
      <c r="X13" s="22">
        <f t="shared" si="1"/>
        <v>0.17090167884970681</v>
      </c>
      <c r="Z13" s="32">
        <f t="shared" si="8"/>
        <v>108.1807627118644</v>
      </c>
      <c r="AA13" s="32">
        <f t="shared" si="9"/>
        <v>89.575555555555553</v>
      </c>
      <c r="AB13" s="32">
        <f t="shared" si="10"/>
        <v>97.650500815280694</v>
      </c>
      <c r="AC13" s="32">
        <f t="shared" si="11"/>
        <v>100.83199052132701</v>
      </c>
      <c r="AD13" s="32">
        <f t="shared" si="12"/>
        <v>101.4062893081761</v>
      </c>
      <c r="AE13" s="32">
        <f t="shared" si="13"/>
        <v>50.405983366738084</v>
      </c>
      <c r="AG13" s="33">
        <f>+'Modelo Soja'!AJ13</f>
        <v>165.79350000000005</v>
      </c>
      <c r="AH13" s="32">
        <f ca="1">+'Modelo Soja'!AB13</f>
        <v>162.59099999999998</v>
      </c>
      <c r="AI13" s="32">
        <f ca="1">+'Modelo Soja'!AC13</f>
        <v>161.86949999999999</v>
      </c>
      <c r="AJ13" s="32">
        <f ca="1">+'Modelo Soja'!AD13</f>
        <v>160.60650000000001</v>
      </c>
      <c r="AL13" s="32">
        <f>+'Modelo Farelo'!R13</f>
        <v>2157.8617712765567</v>
      </c>
      <c r="AM13" s="32">
        <f ca="1">+'Modelo Farelo'!D13</f>
        <v>2168.8784999999998</v>
      </c>
      <c r="AN13" s="32">
        <f ca="1">+'Modelo Farelo'!E13</f>
        <v>2158.4420000000005</v>
      </c>
      <c r="AO13" s="32">
        <f ca="1">+'Modelo Farelo'!F13</f>
        <v>2237.8654999999999</v>
      </c>
      <c r="AP13" s="32">
        <f t="shared" si="14"/>
        <v>2115.144836219999</v>
      </c>
      <c r="AQ13" s="32">
        <f t="shared" si="15"/>
        <v>2071.8617712765567</v>
      </c>
      <c r="AR13" s="32">
        <f t="shared" si="16"/>
        <v>2087.8617712765567</v>
      </c>
      <c r="AT13" s="32">
        <f>+'Modelo Oleo'!E13</f>
        <v>7635.589871343499</v>
      </c>
      <c r="AU13" s="33">
        <f>+AT13-AE13</f>
        <v>7585.1838879767611</v>
      </c>
      <c r="AV13" s="33">
        <f>+AT13-AC13</f>
        <v>7534.7578808221724</v>
      </c>
      <c r="AW13" s="33">
        <f>+AT13-AA13</f>
        <v>7546.0143157879438</v>
      </c>
      <c r="BB13" s="55">
        <f>+(AT13*$AZ$2+AL13*$AZ$3)-(AG13/60*1000)</f>
        <v>322.53273565663358</v>
      </c>
      <c r="BC13" s="55">
        <f ca="1">+(AU13*$AZ$2+AM13*$AZ$3)-(AH13/60*1000)</f>
        <v>374.23094815546801</v>
      </c>
      <c r="BD13" s="55">
        <f ca="1">+(AV13*$AZ$2+AN13*$AZ$3)-(AI13/60*1000)</f>
        <v>368.69986676032386</v>
      </c>
      <c r="BE13" s="55">
        <f ca="1">+(AW13*$AZ$2+AO13*$AZ$3)-(AJ13/60*1000)</f>
        <v>450.71826157864916</v>
      </c>
      <c r="BH13" s="32">
        <f t="shared" si="17"/>
        <v>322.53273565663358</v>
      </c>
      <c r="BI13" s="32">
        <f t="shared" ca="1" si="18"/>
        <v>342.42061919770777</v>
      </c>
      <c r="BJ13" s="32">
        <f t="shared" ca="1" si="19"/>
        <v>343.07211905818485</v>
      </c>
      <c r="BK13" s="32">
        <f t="shared" ca="1" si="20"/>
        <v>406.31715787651001</v>
      </c>
    </row>
    <row r="14" spans="2:63" x14ac:dyDescent="0.3">
      <c r="B14" s="17" t="str">
        <f t="shared" si="2"/>
        <v>202112</v>
      </c>
      <c r="C14" s="17">
        <f t="shared" si="21"/>
        <v>44531</v>
      </c>
      <c r="D14" s="24">
        <f>VLOOKUP('Estudo PR'!B14,'Frete ESALQ'!$C$6:$BO$111,36,FALSE)</f>
        <v>76.2</v>
      </c>
      <c r="E14" s="24">
        <f>VLOOKUP('Estudo PR'!B14,'Frete ESALQ'!$C$6:$BO$111,47,FALSE)</f>
        <v>67.67</v>
      </c>
      <c r="F14" s="24">
        <f>VLOOKUP('Estudo PR'!B14,'Frete ESALQ'!$C$6:$BO$111,59,FALSE)</f>
        <v>66.67</v>
      </c>
      <c r="G14" s="24">
        <f>VLOOKUP('Estudo PR'!B14,'Frete ESALQ'!$C$6:$BO$111,18,FALSE)</f>
        <v>82.9</v>
      </c>
      <c r="H14" s="24">
        <f>VLOOKUP('Estudo PR'!B14,'Frete ESALQ'!$C$6:$BO$111,60,FALSE)</f>
        <v>84.4</v>
      </c>
      <c r="I14" s="48">
        <f t="shared" si="3"/>
        <v>42.028261052364826</v>
      </c>
      <c r="K14" s="44">
        <f t="shared" si="4"/>
        <v>0.12037914691943129</v>
      </c>
      <c r="L14" s="44">
        <f>+E14/L$1</f>
        <v>0.14186582809224318</v>
      </c>
      <c r="M14" s="44">
        <f>+F14/M$1</f>
        <v>0.12821153846153846</v>
      </c>
      <c r="N14" s="44">
        <f>+G14/N$1</f>
        <v>0.14050847457627119</v>
      </c>
      <c r="O14" s="44">
        <f>+H14/O$1</f>
        <v>0.15629629629629629</v>
      </c>
      <c r="P14" s="44">
        <f t="shared" si="5"/>
        <v>0.20303507754765618</v>
      </c>
      <c r="R14" s="44">
        <f t="shared" si="6"/>
        <v>0.20303507754765618</v>
      </c>
      <c r="S14" s="46">
        <f>AVERAGE(L14:M14,O14)</f>
        <v>0.14212455428335932</v>
      </c>
      <c r="T14" s="46">
        <f>AVERAGE(N14,K14)</f>
        <v>0.13044381074785125</v>
      </c>
      <c r="V14" s="22">
        <f t="shared" si="7"/>
        <v>0.23958139150623428</v>
      </c>
      <c r="W14" s="22">
        <f t="shared" si="0"/>
        <v>0.18476192056836713</v>
      </c>
      <c r="X14" s="22">
        <f t="shared" si="1"/>
        <v>0.17609914450959918</v>
      </c>
      <c r="Z14" s="32">
        <f t="shared" si="8"/>
        <v>111.47075847457629</v>
      </c>
      <c r="AA14" s="32">
        <f t="shared" si="9"/>
        <v>88.131436111111114</v>
      </c>
      <c r="AB14" s="32">
        <f t="shared" si="10"/>
        <v>96.0761986955509</v>
      </c>
      <c r="AC14" s="32">
        <f t="shared" si="11"/>
        <v>103.89849526066352</v>
      </c>
      <c r="AD14" s="32">
        <f t="shared" si="12"/>
        <v>99.771437106918242</v>
      </c>
      <c r="AE14" s="32">
        <f t="shared" si="13"/>
        <v>49.593348041790499</v>
      </c>
      <c r="AG14" s="33">
        <f>+'Modelo Soja'!AJ14</f>
        <v>170.25190476190477</v>
      </c>
      <c r="AH14" s="32">
        <f ca="1">+'Modelo Soja'!AB14</f>
        <v>166.92428571428573</v>
      </c>
      <c r="AI14" s="32">
        <f ca="1">+'Modelo Soja'!AC14</f>
        <v>165.8909523809524</v>
      </c>
      <c r="AJ14" s="32">
        <f ca="1">+'Modelo Soja'!AD14</f>
        <v>165.33523809523808</v>
      </c>
      <c r="AL14" s="32">
        <f>+'Modelo Farelo'!R14</f>
        <v>2403.8593851231813</v>
      </c>
      <c r="AM14" s="32">
        <f ca="1">+'Modelo Farelo'!D14</f>
        <v>2360.8785714285714</v>
      </c>
      <c r="AN14" s="32">
        <f ca="1">+'Modelo Farelo'!E14</f>
        <v>2290.9566666666669</v>
      </c>
      <c r="AO14" s="32">
        <f ca="1">+'Modelo Farelo'!F14</f>
        <v>2374.2295238095235</v>
      </c>
      <c r="AP14" s="32">
        <f t="shared" si="14"/>
        <v>2361.8311240708163</v>
      </c>
      <c r="AQ14" s="32">
        <f t="shared" si="15"/>
        <v>2320.9593851231812</v>
      </c>
      <c r="AR14" s="32">
        <f t="shared" si="16"/>
        <v>2336.1893851231812</v>
      </c>
      <c r="AT14" s="32">
        <f>+'Modelo Oleo'!E14</f>
        <v>7476.6046034584351</v>
      </c>
      <c r="AU14" s="33">
        <f>+AT14-AE14</f>
        <v>7427.0112554166444</v>
      </c>
      <c r="AV14" s="33">
        <f>+AT14-AC14</f>
        <v>7372.7061081977718</v>
      </c>
      <c r="AW14" s="33">
        <f>+AT14-AA14</f>
        <v>7388.4731673473243</v>
      </c>
      <c r="BB14" s="55">
        <f>+(AT14*$AZ$2+AL14*$AZ$3)-(AG14/60*1000)</f>
        <v>399.26209663380314</v>
      </c>
      <c r="BC14" s="55">
        <f ca="1">+(AU14*$AZ$2+AM14*$AZ$3)-(AH14/60*1000)</f>
        <v>413.24590909195967</v>
      </c>
      <c r="BD14" s="55">
        <f ca="1">+(AV14*$AZ$2+AN14*$AZ$3)-(AI14/60*1000)</f>
        <v>368.13641808269222</v>
      </c>
      <c r="BE14" s="55">
        <f ca="1">+(AW14*$AZ$2+AO14*$AZ$3)-(AJ14/60*1000)</f>
        <v>442.09481366447426</v>
      </c>
      <c r="BH14" s="32">
        <f t="shared" si="17"/>
        <v>399.26209663380314</v>
      </c>
      <c r="BI14" s="32">
        <f t="shared" ca="1" si="18"/>
        <v>413.80982025616913</v>
      </c>
      <c r="BJ14" s="32">
        <f t="shared" ca="1" si="19"/>
        <v>377.01722274582062</v>
      </c>
      <c r="BK14" s="32">
        <f t="shared" ca="1" si="20"/>
        <v>430.8349326133166</v>
      </c>
    </row>
    <row r="15" spans="2:63" x14ac:dyDescent="0.3">
      <c r="B15" s="17" t="str">
        <f t="shared" si="2"/>
        <v>20221</v>
      </c>
      <c r="C15" s="17">
        <f t="shared" si="21"/>
        <v>44562</v>
      </c>
      <c r="D15" s="24">
        <f>VLOOKUP('Estudo PR'!B15,'Frete ESALQ'!$C$6:$BO$111,36,FALSE)</f>
        <v>74.849999999999994</v>
      </c>
      <c r="E15" s="24">
        <f>VLOOKUP('Estudo PR'!B15,'Frete ESALQ'!$C$6:$BO$111,47,FALSE)</f>
        <v>71.75</v>
      </c>
      <c r="F15" s="24">
        <f>VLOOKUP('Estudo PR'!B15,'Frete ESALQ'!$C$6:$BO$111,59,FALSE)</f>
        <v>58.43</v>
      </c>
      <c r="G15" s="24">
        <f>VLOOKUP('Estudo PR'!B15,'Frete ESALQ'!$C$6:$BO$111,18,FALSE)</f>
        <v>76</v>
      </c>
      <c r="H15" s="24">
        <f>VLOOKUP('Estudo PR'!B15,'Frete ESALQ'!$C$6:$BO$111,60,FALSE)</f>
        <v>81.5</v>
      </c>
      <c r="I15" s="48">
        <f t="shared" si="3"/>
        <v>40.780044635657845</v>
      </c>
      <c r="K15" s="44">
        <f t="shared" si="4"/>
        <v>0.11824644549763032</v>
      </c>
      <c r="L15" s="44">
        <f>+E15/L$1</f>
        <v>0.15041928721174005</v>
      </c>
      <c r="M15" s="44">
        <f>+F15/M$1</f>
        <v>0.11236538461538462</v>
      </c>
      <c r="N15" s="44">
        <f>+G15/N$1</f>
        <v>0.12881355932203389</v>
      </c>
      <c r="O15" s="44">
        <f>+H15/O$1</f>
        <v>0.15092592592592594</v>
      </c>
      <c r="P15" s="44">
        <f t="shared" si="5"/>
        <v>0.19700504654907172</v>
      </c>
      <c r="R15" s="44">
        <f t="shared" si="6"/>
        <v>0.19700504654907172</v>
      </c>
      <c r="S15" s="46">
        <f>AVERAGE(L15:M15,O15)</f>
        <v>0.1379035325843502</v>
      </c>
      <c r="T15" s="46">
        <f>AVERAGE(N15,K15)</f>
        <v>0.12353000240983211</v>
      </c>
      <c r="V15" s="22">
        <f t="shared" si="7"/>
        <v>0.23246595492790462</v>
      </c>
      <c r="W15" s="22">
        <f t="shared" si="0"/>
        <v>0.17927459235965526</v>
      </c>
      <c r="X15" s="22">
        <f t="shared" si="1"/>
        <v>0.16676550325327336</v>
      </c>
      <c r="Z15" s="32">
        <f t="shared" si="8"/>
        <v>105.56256355932203</v>
      </c>
      <c r="AA15" s="32">
        <f t="shared" si="9"/>
        <v>85.513980555555563</v>
      </c>
      <c r="AB15" s="32">
        <f t="shared" si="10"/>
        <v>93.222788027020741</v>
      </c>
      <c r="AC15" s="32">
        <f t="shared" si="11"/>
        <v>98.391646919431281</v>
      </c>
      <c r="AD15" s="32">
        <f t="shared" si="12"/>
        <v>96.808279874213838</v>
      </c>
      <c r="AE15" s="32">
        <f t="shared" si="13"/>
        <v>48.120452670076254</v>
      </c>
      <c r="AG15" s="33">
        <f>+'Modelo Soja'!AJ15</f>
        <v>179.6652380952381</v>
      </c>
      <c r="AH15" s="32">
        <f ca="1">+'Modelo Soja'!AB15</f>
        <v>177.30904761904762</v>
      </c>
      <c r="AI15" s="32">
        <f ca="1">+'Modelo Soja'!AC15</f>
        <v>175.35619047619051</v>
      </c>
      <c r="AJ15" s="32">
        <f ca="1">+'Modelo Soja'!AD15</f>
        <v>174.68380952380951</v>
      </c>
      <c r="AL15" s="32">
        <f>+'Modelo Farelo'!R15</f>
        <v>2524.2430187110449</v>
      </c>
      <c r="AM15" s="32">
        <f ca="1">+'Modelo Farelo'!D15</f>
        <v>2719.9128571428573</v>
      </c>
      <c r="AN15" s="32">
        <f ca="1">+'Modelo Farelo'!E15</f>
        <v>2666.9542857142851</v>
      </c>
      <c r="AO15" s="32">
        <f ca="1">+'Modelo Farelo'!F15</f>
        <v>2679.0433333333335</v>
      </c>
      <c r="AP15" s="32">
        <f t="shared" si="14"/>
        <v>2483.4629740753871</v>
      </c>
      <c r="AQ15" s="32">
        <f t="shared" si="15"/>
        <v>2448.2430187110449</v>
      </c>
      <c r="AR15" s="32">
        <f t="shared" si="16"/>
        <v>2452.4930187110449</v>
      </c>
      <c r="AT15" s="32">
        <f>+'Modelo Oleo'!E15</f>
        <v>7510.4032746190478</v>
      </c>
      <c r="AU15" s="33">
        <f>+AT15-AE15</f>
        <v>7462.2828219489711</v>
      </c>
      <c r="AV15" s="33">
        <f>+AT15-AC15</f>
        <v>7412.0116276996168</v>
      </c>
      <c r="AW15" s="33">
        <f>+AT15-AA15</f>
        <v>7424.8892940634923</v>
      </c>
      <c r="BB15" s="55">
        <f>+(AT15*$AZ$2+AL15*$AZ$3)-(AG15/60*1000)</f>
        <v>338.04783747625243</v>
      </c>
      <c r="BC15" s="55">
        <f ca="1">+(AU15*$AZ$2+AM15*$AZ$3)-(AH15/60*1000)</f>
        <v>512.72987091496998</v>
      </c>
      <c r="BD15" s="55">
        <f ca="1">+(AV15*$AZ$2+AN15*$AZ$3)-(AI15/60*1000)</f>
        <v>496.28526422682125</v>
      </c>
      <c r="BE15" s="55">
        <f ca="1">+(AW15*$AZ$2+AO15*$AZ$3)-(AJ15/60*1000)</f>
        <v>518.94865361222219</v>
      </c>
      <c r="BH15" s="32">
        <f t="shared" si="17"/>
        <v>338.04783747625243</v>
      </c>
      <c r="BI15" s="32">
        <f t="shared" ca="1" si="18"/>
        <v>372.75154013902784</v>
      </c>
      <c r="BJ15" s="32">
        <f t="shared" ca="1" si="19"/>
        <v>431.54672919386212</v>
      </c>
      <c r="BK15" s="32">
        <f t="shared" ca="1" si="20"/>
        <v>451.88976048402492</v>
      </c>
    </row>
    <row r="16" spans="2:63" x14ac:dyDescent="0.3">
      <c r="B16" s="17" t="str">
        <f t="shared" si="2"/>
        <v>20222</v>
      </c>
      <c r="C16" s="17">
        <f t="shared" si="21"/>
        <v>44593</v>
      </c>
      <c r="D16" s="24">
        <f>VLOOKUP('Estudo PR'!B16,'Frete ESALQ'!$C$6:$BO$111,36,FALSE)</f>
        <v>99.95</v>
      </c>
      <c r="E16" s="24">
        <f>VLOOKUP('Estudo PR'!B16,'Frete ESALQ'!$C$6:$BO$111,47,FALSE)</f>
        <v>70</v>
      </c>
      <c r="F16" s="24">
        <f>VLOOKUP('Estudo PR'!B16,'Frete ESALQ'!$C$6:$BO$111,59,FALSE)</f>
        <v>74.33</v>
      </c>
      <c r="G16" s="24">
        <f>VLOOKUP('Estudo PR'!B16,'Frete ESALQ'!$C$6:$BO$111,18,FALSE)</f>
        <v>94.48</v>
      </c>
      <c r="H16" s="24">
        <f>VLOOKUP('Estudo PR'!B16,'Frete ESALQ'!$C$6:$BO$111,60,FALSE)</f>
        <v>93</v>
      </c>
      <c r="I16" s="48">
        <f t="shared" si="3"/>
        <v>45.5316267537494</v>
      </c>
      <c r="K16" s="44">
        <f t="shared" si="4"/>
        <v>0.15789889415481834</v>
      </c>
      <c r="L16" s="44">
        <f>+E16/L$1</f>
        <v>0.14675052410901468</v>
      </c>
      <c r="M16" s="44">
        <f>+F16/M$1</f>
        <v>0.1429423076923077</v>
      </c>
      <c r="N16" s="44">
        <f>+G16/N$1</f>
        <v>0.16013559322033899</v>
      </c>
      <c r="O16" s="44">
        <f>+H16/O$1</f>
        <v>0.17222222222222222</v>
      </c>
      <c r="P16" s="44">
        <f t="shared" si="5"/>
        <v>0.21995954953502125</v>
      </c>
      <c r="R16" s="44">
        <f t="shared" si="6"/>
        <v>0.21995954953502125</v>
      </c>
      <c r="S16" s="46">
        <f>AVERAGE(L16:M16,O16)</f>
        <v>0.15397168467451486</v>
      </c>
      <c r="T16" s="46">
        <f>AVERAGE(N16,K16)</f>
        <v>0.15901724368757866</v>
      </c>
      <c r="V16" s="22">
        <f t="shared" si="7"/>
        <v>0.25955226845132506</v>
      </c>
      <c r="W16" s="22">
        <f t="shared" si="0"/>
        <v>0.20016319007686934</v>
      </c>
      <c r="X16" s="22">
        <f t="shared" si="1"/>
        <v>0.21467327897823121</v>
      </c>
      <c r="Z16" s="32">
        <f t="shared" si="8"/>
        <v>135.88818559322036</v>
      </c>
      <c r="AA16" s="32">
        <f t="shared" si="9"/>
        <v>95.477841666666677</v>
      </c>
      <c r="AB16" s="32">
        <f t="shared" si="10"/>
        <v>104.08485883997206</v>
      </c>
      <c r="AC16" s="32">
        <f t="shared" si="11"/>
        <v>126.65723459715642</v>
      </c>
      <c r="AD16" s="32">
        <f t="shared" si="12"/>
        <v>108.08812264150944</v>
      </c>
      <c r="AE16" s="32">
        <f t="shared" si="13"/>
        <v>53.727319569424289</v>
      </c>
      <c r="AG16" s="33">
        <f>+'Modelo Soja'!AJ16</f>
        <v>195.02</v>
      </c>
      <c r="AH16" s="32">
        <f ca="1">+'Modelo Soja'!AB16</f>
        <v>192.25684210526319</v>
      </c>
      <c r="AI16" s="32">
        <f ca="1">+'Modelo Soja'!AC16</f>
        <v>192.11421052631576</v>
      </c>
      <c r="AJ16" s="32">
        <f ca="1">+'Modelo Soja'!AD16</f>
        <v>189.49894736842103</v>
      </c>
      <c r="AL16" s="32">
        <f>+'Modelo Farelo'!R16</f>
        <v>2577.8314428112094</v>
      </c>
      <c r="AM16" s="32">
        <f ca="1">+'Modelo Farelo'!D16</f>
        <v>2919.0226315789473</v>
      </c>
      <c r="AN16" s="32">
        <f ca="1">+'Modelo Farelo'!E16</f>
        <v>3009.302105263158</v>
      </c>
      <c r="AO16" s="32">
        <f ca="1">+'Modelo Farelo'!F16</f>
        <v>3035.7478947368422</v>
      </c>
      <c r="AP16" s="32">
        <f t="shared" si="14"/>
        <v>2532.2998160574598</v>
      </c>
      <c r="AQ16" s="32">
        <f t="shared" si="15"/>
        <v>2483.3514428112094</v>
      </c>
      <c r="AR16" s="32">
        <f t="shared" si="16"/>
        <v>2507.8314428112094</v>
      </c>
      <c r="AT16" s="32">
        <f>+'Modelo Oleo'!E16</f>
        <v>7888.8914828499983</v>
      </c>
      <c r="AU16" s="33">
        <f>+AT16-AE16</f>
        <v>7835.164163280574</v>
      </c>
      <c r="AV16" s="33">
        <f>+AT16-AC16</f>
        <v>7762.234248252842</v>
      </c>
      <c r="AW16" s="33">
        <f>+AT16-AA16</f>
        <v>7793.4136411833315</v>
      </c>
      <c r="BB16" s="55">
        <f>+(AT16*$AZ$2+AL16*$AZ$3)-(AG16/60*1000)</f>
        <v>195.59577350271093</v>
      </c>
      <c r="BC16" s="55">
        <f ca="1">+(AU16*$AZ$2+AM16*$AZ$3)-(AH16/60*1000)</f>
        <v>483.65305745374644</v>
      </c>
      <c r="BD16" s="55">
        <f ca="1">+(AV16*$AZ$2+AN16*$AZ$3)-(AI16/60*1000)</f>
        <v>538.61572753211203</v>
      </c>
      <c r="BE16" s="55">
        <f ca="1">+(AW16*$AZ$2+AO16*$AZ$3)-(AJ16/60*1000)</f>
        <v>607.85331266232924</v>
      </c>
      <c r="BH16" s="32">
        <f t="shared" si="17"/>
        <v>195.59577350271093</v>
      </c>
      <c r="BI16" s="32">
        <f t="shared" ca="1" si="18"/>
        <v>254.71315066502621</v>
      </c>
      <c r="BJ16" s="32">
        <f t="shared" ca="1" si="19"/>
        <v>382.93433144633491</v>
      </c>
      <c r="BK16" s="32">
        <f t="shared" ca="1" si="20"/>
        <v>451.5900428923419</v>
      </c>
    </row>
    <row r="17" spans="2:63" x14ac:dyDescent="0.3">
      <c r="B17" s="17" t="str">
        <f t="shared" si="2"/>
        <v>20223</v>
      </c>
      <c r="C17" s="17">
        <f t="shared" si="21"/>
        <v>44621</v>
      </c>
      <c r="D17" s="24">
        <f>VLOOKUP('Estudo PR'!B17,'Frete ESALQ'!$C$6:$BO$111,36,FALSE)</f>
        <v>146.59</v>
      </c>
      <c r="E17" s="24">
        <f>VLOOKUP('Estudo PR'!B17,'Frete ESALQ'!$C$6:$BO$111,47,FALSE)</f>
        <v>118.4</v>
      </c>
      <c r="F17" s="24">
        <f>VLOOKUP('Estudo PR'!B17,'Frete ESALQ'!$C$6:$BO$111,59,FALSE)</f>
        <v>112.43</v>
      </c>
      <c r="G17" s="24">
        <f>VLOOKUP('Estudo PR'!B17,'Frete ESALQ'!$C$6:$BO$111,18,FALSE)</f>
        <v>121.29</v>
      </c>
      <c r="H17" s="24">
        <f>VLOOKUP('Estudo PR'!B17,'Frete ESALQ'!$C$6:$BO$111,60,FALSE)</f>
        <v>123</v>
      </c>
      <c r="I17" s="48">
        <f t="shared" si="3"/>
        <v>68.231866922385791</v>
      </c>
      <c r="K17" s="44">
        <f t="shared" si="4"/>
        <v>0.23157977883096367</v>
      </c>
      <c r="L17" s="44">
        <f>+E17/L$1</f>
        <v>0.24821802935010484</v>
      </c>
      <c r="M17" s="44">
        <f>+F17/M$1</f>
        <v>0.21621153846153848</v>
      </c>
      <c r="N17" s="44">
        <f>+G17/N$1</f>
        <v>0.2055762711864407</v>
      </c>
      <c r="O17" s="44">
        <f>+H17/O$1</f>
        <v>0.22777777777777777</v>
      </c>
      <c r="P17" s="44">
        <f t="shared" si="5"/>
        <v>0.32962254551877196</v>
      </c>
      <c r="R17" s="44">
        <f t="shared" si="6"/>
        <v>0.32962254551877196</v>
      </c>
      <c r="S17" s="46">
        <f>AVERAGE(L17:M17,O17)</f>
        <v>0.23073578186314037</v>
      </c>
      <c r="T17" s="46">
        <f>AVERAGE(N17,K17)</f>
        <v>0.21857802500870219</v>
      </c>
      <c r="V17" s="22">
        <f t="shared" si="7"/>
        <v>0.3889546037121509</v>
      </c>
      <c r="W17" s="22">
        <f t="shared" si="0"/>
        <v>0.29995651642208249</v>
      </c>
      <c r="X17" s="22">
        <f t="shared" si="1"/>
        <v>0.29508033376174797</v>
      </c>
      <c r="Z17" s="32">
        <f t="shared" si="8"/>
        <v>186.78585127118646</v>
      </c>
      <c r="AA17" s="32">
        <f t="shared" si="9"/>
        <v>143.07925833333334</v>
      </c>
      <c r="AB17" s="32">
        <f t="shared" si="10"/>
        <v>155.97738853948289</v>
      </c>
      <c r="AC17" s="32">
        <f t="shared" si="11"/>
        <v>174.0973969194313</v>
      </c>
      <c r="AD17" s="32">
        <f t="shared" si="12"/>
        <v>161.97651886792454</v>
      </c>
      <c r="AE17" s="32">
        <f t="shared" si="13"/>
        <v>80.513602968415242</v>
      </c>
      <c r="AG17" s="33">
        <f>+'Modelo Soja'!AJ17</f>
        <v>199.60227272727272</v>
      </c>
      <c r="AH17" s="32">
        <f ca="1">+'Modelo Soja'!AB17</f>
        <v>196.94000000000003</v>
      </c>
      <c r="AI17" s="32">
        <f ca="1">+'Modelo Soja'!AC17</f>
        <v>195.18772727272724</v>
      </c>
      <c r="AJ17" s="32">
        <f ca="1">+'Modelo Soja'!AD17</f>
        <v>193.66772727272729</v>
      </c>
      <c r="AL17" s="32">
        <f>+'Modelo Farelo'!R17</f>
        <v>2630.1723887619341</v>
      </c>
      <c r="AM17" s="32">
        <f ca="1">+'Modelo Farelo'!D17</f>
        <v>2976.1709090909089</v>
      </c>
      <c r="AN17" s="32">
        <f ca="1">+'Modelo Farelo'!E17</f>
        <v>3015.8872727272728</v>
      </c>
      <c r="AO17" s="32">
        <f ca="1">+'Modelo Farelo'!F17</f>
        <v>3116.2468181818181</v>
      </c>
      <c r="AP17" s="32">
        <f t="shared" si="14"/>
        <v>2561.9405218395482</v>
      </c>
      <c r="AQ17" s="32">
        <f t="shared" si="15"/>
        <v>2508.8823887619342</v>
      </c>
      <c r="AR17" s="32">
        <f t="shared" si="16"/>
        <v>2511.7723887619341</v>
      </c>
      <c r="AT17" s="32">
        <f>+'Modelo Oleo'!E17</f>
        <v>8650.622948695649</v>
      </c>
      <c r="AU17" s="33">
        <f>+AT17-AE17</f>
        <v>8570.1093457272345</v>
      </c>
      <c r="AV17" s="33">
        <f>+AT17-AC17</f>
        <v>8476.525551776218</v>
      </c>
      <c r="AW17" s="33">
        <f>+AT17-AA17</f>
        <v>8507.5436903623158</v>
      </c>
      <c r="BB17" s="55">
        <f>+(AT17*$AZ$2+AL17*$AZ$3)-(AG17/60*1000)</f>
        <v>306.49449722493728</v>
      </c>
      <c r="BC17" s="55">
        <f ca="1">+(AU17*$AZ$2+AM17*$AZ$3)-(AH17/60*1000)</f>
        <v>591.20446181074931</v>
      </c>
      <c r="BD17" s="55">
        <f ca="1">+(AV17*$AZ$2+AN17*$AZ$3)-(AI17/60*1000)</f>
        <v>631.55027653575735</v>
      </c>
      <c r="BE17" s="55">
        <f ca="1">+(AW17*$AZ$2+AO17*$AZ$3)-(AJ17/60*1000)</f>
        <v>737.19821052974203</v>
      </c>
      <c r="BH17" s="32">
        <f t="shared" si="17"/>
        <v>306.49449722493728</v>
      </c>
      <c r="BI17" s="32">
        <f t="shared" ca="1" si="18"/>
        <v>345.98007255794437</v>
      </c>
      <c r="BJ17" s="32">
        <f t="shared" ca="1" si="19"/>
        <v>481.47683088201711</v>
      </c>
      <c r="BK17" s="32">
        <f t="shared" ca="1" si="20"/>
        <v>558.27377942145586</v>
      </c>
    </row>
    <row r="18" spans="2:63" x14ac:dyDescent="0.3">
      <c r="B18" s="17" t="str">
        <f t="shared" si="2"/>
        <v>20224</v>
      </c>
      <c r="C18" s="17">
        <f t="shared" si="21"/>
        <v>44652</v>
      </c>
      <c r="D18" s="24">
        <f>VLOOKUP('Estudo PR'!B18,'Frete ESALQ'!$C$6:$BO$111,36,FALSE)</f>
        <v>127.59</v>
      </c>
      <c r="E18" s="24">
        <f>VLOOKUP('Estudo PR'!B18,'Frete ESALQ'!$C$6:$BO$111,47,FALSE)</f>
        <v>105.25</v>
      </c>
      <c r="F18" s="24">
        <f>VLOOKUP('Estudo PR'!B18,'Frete ESALQ'!$C$6:$BO$111,59,FALSE)</f>
        <v>109.5</v>
      </c>
      <c r="G18" s="24">
        <f>VLOOKUP('Estudo PR'!B18,'Frete ESALQ'!$C$6:$BO$111,18,FALSE)</f>
        <v>97.25</v>
      </c>
      <c r="H18" s="24">
        <f>VLOOKUP('Estudo PR'!B18,'Frete ESALQ'!$C$6:$BO$111,60,FALSE)</f>
        <v>101.75</v>
      </c>
      <c r="I18" s="48">
        <f t="shared" si="3"/>
        <v>61.080056212131687</v>
      </c>
      <c r="K18" s="44">
        <f t="shared" si="4"/>
        <v>0.20156398104265402</v>
      </c>
      <c r="L18" s="44">
        <f>+E18/L$1</f>
        <v>0.22064989517819705</v>
      </c>
      <c r="M18" s="44">
        <f>+F18/M$1</f>
        <v>0.21057692307692308</v>
      </c>
      <c r="N18" s="44">
        <f>+G18/N$1</f>
        <v>0.16483050847457628</v>
      </c>
      <c r="O18" s="44">
        <f>+H18/O$1</f>
        <v>0.18842592592592591</v>
      </c>
      <c r="P18" s="44">
        <f t="shared" si="5"/>
        <v>0.29507273532430767</v>
      </c>
      <c r="R18" s="44">
        <f t="shared" si="6"/>
        <v>0.29507273532430767</v>
      </c>
      <c r="S18" s="46">
        <f>AVERAGE(L18:M18,O18)</f>
        <v>0.20655091472701534</v>
      </c>
      <c r="T18" s="46">
        <f>AVERAGE(N18,K18)</f>
        <v>0.18319724475861515</v>
      </c>
      <c r="V18" s="22">
        <f t="shared" si="7"/>
        <v>0.34818582768268302</v>
      </c>
      <c r="W18" s="22">
        <f t="shared" si="0"/>
        <v>0.26851618914511993</v>
      </c>
      <c r="X18" s="22">
        <f t="shared" si="1"/>
        <v>0.24731628042413048</v>
      </c>
      <c r="Z18" s="32">
        <f t="shared" si="8"/>
        <v>156.5512055084746</v>
      </c>
      <c r="AA18" s="32">
        <f t="shared" si="9"/>
        <v>128.08222222222221</v>
      </c>
      <c r="AB18" s="32">
        <f t="shared" si="10"/>
        <v>139.62841835546237</v>
      </c>
      <c r="AC18" s="32">
        <f t="shared" si="11"/>
        <v>145.91660545023697</v>
      </c>
      <c r="AD18" s="32">
        <f t="shared" si="12"/>
        <v>144.99874213836478</v>
      </c>
      <c r="AE18" s="32">
        <f t="shared" si="13"/>
        <v>72.074466330315389</v>
      </c>
      <c r="AG18" s="33">
        <f>+'Modelo Soja'!AJ18</f>
        <v>186.36210526315796</v>
      </c>
      <c r="AH18" s="32">
        <f ca="1">+'Modelo Soja'!AB18</f>
        <v>183.36105263157893</v>
      </c>
      <c r="AI18" s="32">
        <f ca="1">+'Modelo Soja'!AC18</f>
        <v>180.02578947368426</v>
      </c>
      <c r="AJ18" s="32">
        <f ca="1">+'Modelo Soja'!AD18</f>
        <v>180.4105263157895</v>
      </c>
      <c r="AL18" s="32">
        <f>+'Modelo Farelo'!R18</f>
        <v>2395.1168718551157</v>
      </c>
      <c r="AM18" s="32">
        <f ca="1">+'Modelo Farelo'!D18</f>
        <v>2637.5810526315786</v>
      </c>
      <c r="AN18" s="32">
        <f ca="1">+'Modelo Farelo'!E18</f>
        <v>2670.988947368422</v>
      </c>
      <c r="AO18" s="32">
        <f ca="1">+'Modelo Farelo'!F18</f>
        <v>2763.2694444444442</v>
      </c>
      <c r="AP18" s="32">
        <f t="shared" si="14"/>
        <v>2334.036815642984</v>
      </c>
      <c r="AQ18" s="32">
        <f t="shared" si="15"/>
        <v>2297.8668718551157</v>
      </c>
      <c r="AR18" s="32">
        <f t="shared" si="16"/>
        <v>2289.8668718551157</v>
      </c>
      <c r="AT18" s="32">
        <f>+'Modelo Oleo'!E18</f>
        <v>8622.7853803333328</v>
      </c>
      <c r="AU18" s="33">
        <f>+AT18-AE18</f>
        <v>8550.710914003017</v>
      </c>
      <c r="AV18" s="33">
        <f>+AT18-AC18</f>
        <v>8476.8687748830962</v>
      </c>
      <c r="AW18" s="33">
        <f>+AT18-AA18</f>
        <v>8494.7031581111114</v>
      </c>
      <c r="BB18" s="55">
        <f>+(AT18*$AZ$2+AL18*$AZ$3)-(AG18/60*1000)</f>
        <v>347.79454661848649</v>
      </c>
      <c r="BC18" s="55">
        <f ca="1">+(AU18*$AZ$2+AM18*$AZ$3)-(AH18/60*1000)</f>
        <v>563.18106331830813</v>
      </c>
      <c r="BD18" s="55">
        <f ca="1">+(AV18*$AZ$2+AN18*$AZ$3)-(AI18/60*1000)</f>
        <v>629.091407593432</v>
      </c>
      <c r="BE18" s="55">
        <f ca="1">+(AW18*$AZ$2+AO18*$AZ$3)-(AJ18/60*1000)</f>
        <v>694.44439945739714</v>
      </c>
      <c r="BH18" s="32">
        <f t="shared" si="17"/>
        <v>347.79454661848649</v>
      </c>
      <c r="BI18" s="32">
        <f t="shared" ca="1" si="18"/>
        <v>383.48287502106041</v>
      </c>
      <c r="BJ18" s="32">
        <f t="shared" ca="1" si="19"/>
        <v>518.64727324149362</v>
      </c>
      <c r="BK18" s="32">
        <f t="shared" ca="1" si="20"/>
        <v>554.31723797095583</v>
      </c>
    </row>
    <row r="19" spans="2:63" x14ac:dyDescent="0.3">
      <c r="B19" s="17" t="str">
        <f t="shared" si="2"/>
        <v>20225</v>
      </c>
      <c r="C19" s="17">
        <f t="shared" si="21"/>
        <v>44682</v>
      </c>
      <c r="D19" s="24">
        <f>VLOOKUP('Estudo PR'!B19,'Frete ESALQ'!$C$6:$BO$111,36,FALSE)</f>
        <v>127.5</v>
      </c>
      <c r="E19" s="24">
        <f>VLOOKUP('Estudo PR'!B19,'Frete ESALQ'!$C$6:$BO$111,47,FALSE)</f>
        <v>109.2</v>
      </c>
      <c r="F19" s="24">
        <f>VLOOKUP('Estudo PR'!B19,'Frete ESALQ'!$C$6:$BO$111,59,FALSE)</f>
        <v>104.83</v>
      </c>
      <c r="G19" s="24">
        <f>VLOOKUP('Estudo PR'!B19,'Frete ESALQ'!$C$6:$BO$111,18,FALSE)</f>
        <v>100</v>
      </c>
      <c r="H19" s="24">
        <f>VLOOKUP('Estudo PR'!B19,'Frete ESALQ'!$C$6:$BO$111,60,FALSE)</f>
        <v>108</v>
      </c>
      <c r="I19" s="48">
        <f t="shared" si="3"/>
        <v>62.151944329255649</v>
      </c>
      <c r="K19" s="44">
        <f t="shared" si="4"/>
        <v>0.2014218009478673</v>
      </c>
      <c r="L19" s="44">
        <f t="shared" ref="L19:L65" si="22">+E19/L$1</f>
        <v>0.2289308176100629</v>
      </c>
      <c r="M19" s="44">
        <f t="shared" ref="M19:M65" si="23">+F19/M$1</f>
        <v>0.20159615384615384</v>
      </c>
      <c r="N19" s="44">
        <f t="shared" ref="N19:N65" si="24">+G19/N$1</f>
        <v>0.16949152542372881</v>
      </c>
      <c r="O19" s="44">
        <f t="shared" ref="O19:O65" si="25">+H19/O$1</f>
        <v>0.2</v>
      </c>
      <c r="P19" s="44">
        <f t="shared" si="5"/>
        <v>0.30025093878867465</v>
      </c>
      <c r="R19" s="44">
        <f t="shared" si="6"/>
        <v>0.30025093878867465</v>
      </c>
      <c r="S19" s="46">
        <f>AVERAGE(L19:M19,O19)</f>
        <v>0.21017565715207223</v>
      </c>
      <c r="T19" s="46">
        <f>AVERAGE(N19,K19)</f>
        <v>0.18545666318579807</v>
      </c>
      <c r="V19" s="22">
        <f t="shared" si="7"/>
        <v>0.35429610777063608</v>
      </c>
      <c r="W19" s="22">
        <f t="shared" si="0"/>
        <v>0.27322835429769393</v>
      </c>
      <c r="X19" s="22">
        <f t="shared" si="1"/>
        <v>0.25036649530082739</v>
      </c>
      <c r="Z19" s="32">
        <f t="shared" si="8"/>
        <v>158.48199152542372</v>
      </c>
      <c r="AA19" s="32">
        <f t="shared" si="9"/>
        <v>130.329925</v>
      </c>
      <c r="AB19" s="32">
        <f t="shared" si="10"/>
        <v>142.07874423480084</v>
      </c>
      <c r="AC19" s="32">
        <f t="shared" si="11"/>
        <v>147.71623222748815</v>
      </c>
      <c r="AD19" s="32">
        <f t="shared" si="12"/>
        <v>147.54331132075473</v>
      </c>
      <c r="AE19" s="32">
        <f t="shared" si="13"/>
        <v>73.339294308521673</v>
      </c>
      <c r="AG19" s="33">
        <f>+'Modelo Soja'!AJ19</f>
        <v>193.38090909090914</v>
      </c>
      <c r="AH19" s="32">
        <f ca="1">+'Modelo Soja'!AB19</f>
        <v>189.33181818181819</v>
      </c>
      <c r="AI19" s="32">
        <f ca="1">+'Modelo Soja'!AC19</f>
        <v>187.32136363636363</v>
      </c>
      <c r="AJ19" s="32">
        <f ca="1">+'Modelo Soja'!AD19</f>
        <v>187.31454545454545</v>
      </c>
      <c r="AL19" s="32">
        <f>+'Modelo Farelo'!R19</f>
        <v>2293.7508342536007</v>
      </c>
      <c r="AM19" s="32">
        <f ca="1">+'Modelo Farelo'!D19</f>
        <v>2451.4359090909093</v>
      </c>
      <c r="AN19" s="32">
        <f ca="1">+'Modelo Farelo'!E19</f>
        <v>2502.9959090909088</v>
      </c>
      <c r="AO19" s="32">
        <f ca="1">+'Modelo Farelo'!F19</f>
        <v>2542.2681818181823</v>
      </c>
      <c r="AP19" s="32">
        <f t="shared" si="14"/>
        <v>2231.5988899243453</v>
      </c>
      <c r="AQ19" s="32">
        <f t="shared" si="15"/>
        <v>2193.7508342536007</v>
      </c>
      <c r="AR19" s="32">
        <f t="shared" si="16"/>
        <v>2184.5508342536009</v>
      </c>
      <c r="AT19" s="32">
        <f>+'Modelo Oleo'!E19</f>
        <v>9140.9271790909097</v>
      </c>
      <c r="AU19" s="33">
        <f>+AT19-AE19</f>
        <v>9067.5878847823878</v>
      </c>
      <c r="AV19" s="33">
        <f>+AT19-AC19</f>
        <v>8993.2109468634208</v>
      </c>
      <c r="AW19" s="33">
        <f>+AT19-AA19</f>
        <v>9010.5972540909097</v>
      </c>
      <c r="BB19" s="55">
        <f>+(AT19*$AZ$2+AL19*$AZ$3)-(AG19/60*1000)</f>
        <v>256.84126575523987</v>
      </c>
      <c r="BC19" s="55">
        <f ca="1">+(AU19*$AZ$2+AM19*$AZ$3)-(AH19/60*1000)</f>
        <v>426.71190722953497</v>
      </c>
      <c r="BD19" s="55">
        <f ca="1">+(AV19*$AZ$2+AN19*$AZ$3)-(AI19/60*1000)</f>
        <v>483.87038009291246</v>
      </c>
      <c r="BE19" s="55">
        <f ca="1">+(AW19*$AZ$2+AO19*$AZ$3)-(AJ19/60*1000)</f>
        <v>516.43582818409141</v>
      </c>
      <c r="BH19" s="32">
        <f t="shared" si="17"/>
        <v>256.84126575523987</v>
      </c>
      <c r="BI19" s="32">
        <f t="shared" ca="1" si="18"/>
        <v>296.56839188292952</v>
      </c>
      <c r="BJ19" s="32">
        <f t="shared" ca="1" si="19"/>
        <v>392.33383794106931</v>
      </c>
      <c r="BK19" s="32">
        <f t="shared" ca="1" si="20"/>
        <v>410.55149330497534</v>
      </c>
    </row>
    <row r="20" spans="2:63" x14ac:dyDescent="0.3">
      <c r="B20" s="17" t="str">
        <f t="shared" si="2"/>
        <v>20226</v>
      </c>
      <c r="C20" s="17">
        <f t="shared" si="21"/>
        <v>44713</v>
      </c>
      <c r="D20" s="24">
        <f>VLOOKUP('Estudo PR'!B20,'Frete ESALQ'!$C$6:$BO$111,36,FALSE)</f>
        <v>110</v>
      </c>
      <c r="E20" s="24">
        <f>VLOOKUP('Estudo PR'!B20,'Frete ESALQ'!$C$6:$BO$111,47,FALSE)</f>
        <v>115.3</v>
      </c>
      <c r="F20" s="24">
        <f>VLOOKUP('Estudo PR'!B20,'Frete ESALQ'!$C$6:$BO$111,59,FALSE)</f>
        <v>118.1</v>
      </c>
      <c r="G20" s="24">
        <f>VLOOKUP('Estudo PR'!B20,'Frete ESALQ'!$C$6:$BO$111,18,FALSE)</f>
        <v>113.8</v>
      </c>
      <c r="H20" s="24">
        <f>VLOOKUP('Estudo PR'!B20,'Frete ESALQ'!$C$6:$BO$111,60,FALSE)</f>
        <v>115.57</v>
      </c>
      <c r="I20" s="48">
        <f t="shared" si="3"/>
        <v>67.309793812057961</v>
      </c>
      <c r="K20" s="44">
        <f t="shared" si="4"/>
        <v>0.17377567140600317</v>
      </c>
      <c r="L20" s="44">
        <f t="shared" si="22"/>
        <v>0.24171907756813416</v>
      </c>
      <c r="M20" s="44">
        <f t="shared" si="23"/>
        <v>0.22711538461538461</v>
      </c>
      <c r="N20" s="44">
        <f t="shared" si="24"/>
        <v>0.19288135593220337</v>
      </c>
      <c r="O20" s="44">
        <f t="shared" si="25"/>
        <v>0.2140185185185185</v>
      </c>
      <c r="P20" s="44">
        <f t="shared" si="5"/>
        <v>0.32516808604858921</v>
      </c>
      <c r="R20" s="44">
        <f t="shared" si="6"/>
        <v>0.32516808604858921</v>
      </c>
      <c r="S20" s="46">
        <f>AVERAGE(L20:M20,O20)</f>
        <v>0.22761766023401242</v>
      </c>
      <c r="T20" s="46">
        <f>AVERAGE(N20,K20)</f>
        <v>0.18332851366910327</v>
      </c>
      <c r="V20" s="22">
        <f t="shared" si="7"/>
        <v>0.38369834153733523</v>
      </c>
      <c r="W20" s="22">
        <f t="shared" si="0"/>
        <v>0.29590295830421615</v>
      </c>
      <c r="X20" s="22">
        <f t="shared" si="1"/>
        <v>0.24749349345328944</v>
      </c>
      <c r="Z20" s="32">
        <f t="shared" si="8"/>
        <v>156.66338135593222</v>
      </c>
      <c r="AA20" s="32">
        <f t="shared" si="9"/>
        <v>141.1457111111111</v>
      </c>
      <c r="AB20" s="32">
        <f t="shared" si="10"/>
        <v>153.86953831819238</v>
      </c>
      <c r="AC20" s="32">
        <f t="shared" si="11"/>
        <v>146.02116113744077</v>
      </c>
      <c r="AD20" s="32">
        <f t="shared" si="12"/>
        <v>159.78759748427672</v>
      </c>
      <c r="AE20" s="32">
        <f t="shared" si="13"/>
        <v>79.425556698228391</v>
      </c>
      <c r="AG20" s="33">
        <f>+'Modelo Soja'!AJ20</f>
        <v>194.96952380952379</v>
      </c>
      <c r="AH20" s="32">
        <f ca="1">+'Modelo Soja'!AB20</f>
        <v>190.44238095238094</v>
      </c>
      <c r="AI20" s="32">
        <f ca="1">+'Modelo Soja'!AC20</f>
        <v>187.9942857142857</v>
      </c>
      <c r="AJ20" s="32">
        <f ca="1">+'Modelo Soja'!AD20</f>
        <v>187.74238095238096</v>
      </c>
      <c r="AL20" s="32">
        <f>+'Modelo Farelo'!R20</f>
        <v>2388.5785086919377</v>
      </c>
      <c r="AM20" s="32">
        <f ca="1">+'Modelo Farelo'!D20</f>
        <v>2454.2833333333338</v>
      </c>
      <c r="AN20" s="32">
        <f ca="1">+'Modelo Farelo'!E20</f>
        <v>2386.5814285714278</v>
      </c>
      <c r="AO20" s="32">
        <f ca="1">+'Modelo Farelo'!F20</f>
        <v>2423.5833333333339</v>
      </c>
      <c r="AP20" s="32">
        <f t="shared" si="14"/>
        <v>2321.2687148798796</v>
      </c>
      <c r="AQ20" s="32">
        <f t="shared" si="15"/>
        <v>2274.7785086919375</v>
      </c>
      <c r="AR20" s="32">
        <f t="shared" si="16"/>
        <v>2273.2785086919375</v>
      </c>
      <c r="AT20" s="32">
        <f>+'Modelo Oleo'!E20</f>
        <v>8097.9163633636381</v>
      </c>
      <c r="AU20" s="33">
        <f>+AT20-AE20</f>
        <v>8018.4908066654098</v>
      </c>
      <c r="AV20" s="33">
        <f>+AT20-AC20</f>
        <v>7951.8952022261974</v>
      </c>
      <c r="AW20" s="33">
        <f>+AT20-AA20</f>
        <v>7956.7706522525268</v>
      </c>
      <c r="BB20" s="55">
        <f>+(AT20*$AZ$2+AL20*$AZ$3)-(AG20/60*1000)</f>
        <v>97.149723795880163</v>
      </c>
      <c r="BC20" s="55">
        <f ca="1">+(AU20*$AZ$2+AM20*$AZ$3)-(AH20/60*1000)</f>
        <v>205.73569142673978</v>
      </c>
      <c r="BD20" s="55">
        <f ca="1">+(AV20*$AZ$2+AN20*$AZ$3)-(AI20/60*1000)</f>
        <v>183.45172633887069</v>
      </c>
      <c r="BE20" s="55">
        <f ca="1">+(AW20*$AZ$2+AO20*$AZ$3)-(AJ20/60*1000)</f>
        <v>215.98226131622687</v>
      </c>
      <c r="BH20" s="32">
        <f t="shared" si="17"/>
        <v>97.149723795880163</v>
      </c>
      <c r="BI20" s="32">
        <f t="shared" ca="1" si="18"/>
        <v>126.99103730229444</v>
      </c>
      <c r="BJ20" s="32">
        <f t="shared" ca="1" si="19"/>
        <v>150.35806205454173</v>
      </c>
      <c r="BK20" s="32">
        <f t="shared" ca="1" si="20"/>
        <v>171.49203322237372</v>
      </c>
    </row>
    <row r="21" spans="2:63" x14ac:dyDescent="0.3">
      <c r="B21" s="17" t="str">
        <f t="shared" si="2"/>
        <v>20227</v>
      </c>
      <c r="C21" s="17">
        <f t="shared" si="21"/>
        <v>44743</v>
      </c>
      <c r="D21" s="24">
        <f>VLOOKUP('Estudo PR'!B21,'Frete ESALQ'!$C$6:$BO$111,36,FALSE)</f>
        <v>147.75</v>
      </c>
      <c r="E21" s="24">
        <f>VLOOKUP('Estudo PR'!B21,'Frete ESALQ'!$C$6:$BO$111,47,FALSE)</f>
        <v>125</v>
      </c>
      <c r="F21" s="24">
        <f>VLOOKUP('Estudo PR'!B21,'Frete ESALQ'!$C$6:$BO$111,59,FALSE)</f>
        <v>127.29</v>
      </c>
      <c r="G21" s="24">
        <f>VLOOKUP('Estudo PR'!B21,'Frete ESALQ'!$C$6:$BO$111,18,FALSE)</f>
        <v>143.33000000000001</v>
      </c>
      <c r="H21" s="24">
        <f>VLOOKUP('Estudo PR'!B21,'Frete ESALQ'!$C$6:$BO$111,60,FALSE)</f>
        <v>152.66999999999999</v>
      </c>
      <c r="I21" s="48">
        <f t="shared" si="3"/>
        <v>77.828568836823564</v>
      </c>
      <c r="K21" s="44">
        <f t="shared" si="4"/>
        <v>0.23341232227488151</v>
      </c>
      <c r="L21" s="44">
        <f t="shared" si="22"/>
        <v>0.26205450733752622</v>
      </c>
      <c r="M21" s="44">
        <f t="shared" si="23"/>
        <v>0.24478846153846154</v>
      </c>
      <c r="N21" s="44">
        <f t="shared" si="24"/>
        <v>0.24293220338983054</v>
      </c>
      <c r="O21" s="44">
        <f t="shared" si="25"/>
        <v>0.28272222222222221</v>
      </c>
      <c r="P21" s="44">
        <f t="shared" si="5"/>
        <v>0.375983424332481</v>
      </c>
      <c r="R21" s="44">
        <f t="shared" si="6"/>
        <v>0.375983424332481</v>
      </c>
      <c r="S21" s="46">
        <f>AVERAGE(L21:M21,O21)</f>
        <v>0.26318839703273667</v>
      </c>
      <c r="T21" s="46">
        <f>AVERAGE(N21,K21)</f>
        <v>0.23817226283235604</v>
      </c>
      <c r="V21" s="22">
        <f t="shared" si="7"/>
        <v>0.44366044071232758</v>
      </c>
      <c r="W21" s="22">
        <f t="shared" si="0"/>
        <v>0.34214491614255765</v>
      </c>
      <c r="X21" s="22">
        <f t="shared" si="1"/>
        <v>0.32153255482368065</v>
      </c>
      <c r="Z21" s="32">
        <f t="shared" si="8"/>
        <v>203.53010720338986</v>
      </c>
      <c r="AA21" s="32">
        <f t="shared" si="9"/>
        <v>163.203125</v>
      </c>
      <c r="AB21" s="32">
        <f t="shared" si="10"/>
        <v>177.91535639412999</v>
      </c>
      <c r="AC21" s="32">
        <f t="shared" si="11"/>
        <v>189.70420734597158</v>
      </c>
      <c r="AD21" s="32">
        <f t="shared" si="12"/>
        <v>184.75825471698113</v>
      </c>
      <c r="AE21" s="32">
        <f t="shared" si="13"/>
        <v>91.837711227451805</v>
      </c>
      <c r="AG21" s="33">
        <f>+'Modelo Soja'!AJ21</f>
        <v>190.74428571428575</v>
      </c>
      <c r="AH21" s="32">
        <f ca="1">+'Modelo Soja'!AB21</f>
        <v>185.39238095238099</v>
      </c>
      <c r="AI21" s="32">
        <f ca="1">+'Modelo Soja'!AC21</f>
        <v>182.46952380952382</v>
      </c>
      <c r="AJ21" s="32">
        <f ca="1">+'Modelo Soja'!AD21</f>
        <v>182.38142857142859</v>
      </c>
      <c r="AL21" s="32">
        <f>+'Modelo Farelo'!R21</f>
        <v>2742.8562761209787</v>
      </c>
      <c r="AM21" s="32">
        <f ca="1">+'Modelo Farelo'!D21</f>
        <v>2601.7633333333333</v>
      </c>
      <c r="AN21" s="32">
        <f ca="1">+'Modelo Farelo'!E21</f>
        <v>2497.6319047619045</v>
      </c>
      <c r="AO21" s="32">
        <f ca="1">+'Modelo Farelo'!F21</f>
        <v>2566.2480952380956</v>
      </c>
      <c r="AP21" s="32">
        <f t="shared" si="14"/>
        <v>2665.027707284155</v>
      </c>
      <c r="AQ21" s="32">
        <f t="shared" si="15"/>
        <v>2599.5262761209788</v>
      </c>
      <c r="AR21" s="32">
        <f t="shared" si="16"/>
        <v>2617.8562761209787</v>
      </c>
      <c r="AT21" s="32">
        <f>+'Modelo Oleo'!E21</f>
        <v>7066.7722575238095</v>
      </c>
      <c r="AU21" s="33">
        <f>+AT21-AE21</f>
        <v>6974.9345462963574</v>
      </c>
      <c r="AV21" s="33">
        <f>+AT21-AC21</f>
        <v>6877.0680501778379</v>
      </c>
      <c r="AW21" s="33">
        <f>+AT21-AA21</f>
        <v>6903.5691325238095</v>
      </c>
      <c r="BB21" s="55">
        <f>+(AT21*$AZ$2+AL21*$AZ$3)-(AG21/60*1000)</f>
        <v>228.66280597523792</v>
      </c>
      <c r="BC21" s="55">
        <f ca="1">+(AU21*$AZ$2+AM21*$AZ$3)-(AH21/60*1000)</f>
        <v>195.54408732143975</v>
      </c>
      <c r="BD21" s="55">
        <f ca="1">+(AV21*$AZ$2+AN21*$AZ$3)-(AI21/60*1000)</f>
        <v>148.11714914975755</v>
      </c>
      <c r="BE21" s="55">
        <f ca="1">+(AW21*$AZ$2+AO21*$AZ$3)-(AJ21/60*1000)</f>
        <v>205.52909512785709</v>
      </c>
      <c r="BH21" s="32">
        <f t="shared" si="17"/>
        <v>228.66280597523792</v>
      </c>
      <c r="BI21" s="32">
        <f t="shared" ca="1" si="18"/>
        <v>232.99659670032634</v>
      </c>
      <c r="BJ21" s="32">
        <f t="shared" ca="1" si="19"/>
        <v>178.27788307204355</v>
      </c>
      <c r="BK21" s="32">
        <f t="shared" ca="1" si="20"/>
        <v>220.80511666919074</v>
      </c>
    </row>
    <row r="22" spans="2:63" x14ac:dyDescent="0.3">
      <c r="B22" s="17" t="str">
        <f t="shared" si="2"/>
        <v>20228</v>
      </c>
      <c r="C22" s="17">
        <f t="shared" si="21"/>
        <v>44774</v>
      </c>
      <c r="D22" s="24">
        <f>VLOOKUP('Estudo PR'!B22,'Frete ESALQ'!$C$6:$BO$111,36,FALSE)</f>
        <v>140.82</v>
      </c>
      <c r="E22" s="24">
        <f>VLOOKUP('Estudo PR'!B22,'Frete ESALQ'!$C$6:$BO$111,47,FALSE)</f>
        <v>126.75</v>
      </c>
      <c r="F22" s="24">
        <f>VLOOKUP('Estudo PR'!B22,'Frete ESALQ'!$C$6:$BO$111,59,FALSE)</f>
        <v>118.5</v>
      </c>
      <c r="G22" s="24">
        <f>VLOOKUP('Estudo PR'!B22,'Frete ESALQ'!$C$6:$BO$111,18,FALSE)</f>
        <v>128.33000000000001</v>
      </c>
      <c r="H22" s="24">
        <f>VLOOKUP('Estudo PR'!B22,'Frete ESALQ'!$C$6:$BO$111,60,FALSE)</f>
        <v>132</v>
      </c>
      <c r="I22" s="48">
        <f t="shared" si="3"/>
        <v>72.750872555117851</v>
      </c>
      <c r="K22" s="44">
        <f t="shared" si="4"/>
        <v>0.22246445497630329</v>
      </c>
      <c r="L22" s="44">
        <f t="shared" si="22"/>
        <v>0.26572327044025157</v>
      </c>
      <c r="M22" s="44">
        <f t="shared" si="23"/>
        <v>0.22788461538461538</v>
      </c>
      <c r="N22" s="44">
        <f t="shared" si="24"/>
        <v>0.2175084745762712</v>
      </c>
      <c r="O22" s="44">
        <f t="shared" si="25"/>
        <v>0.24444444444444444</v>
      </c>
      <c r="P22" s="44">
        <f t="shared" si="5"/>
        <v>0.35145349060443404</v>
      </c>
      <c r="R22" s="44">
        <f t="shared" si="6"/>
        <v>0.35145349060443404</v>
      </c>
      <c r="S22" s="46">
        <f>AVERAGE(L22:M22,O22)</f>
        <v>0.2460174434231038</v>
      </c>
      <c r="T22" s="46">
        <f>AVERAGE(N22,K22)</f>
        <v>0.21998646477628725</v>
      </c>
      <c r="V22" s="22">
        <f t="shared" si="7"/>
        <v>0.41471511891323215</v>
      </c>
      <c r="W22" s="22">
        <f t="shared" si="0"/>
        <v>0.31982267645003498</v>
      </c>
      <c r="X22" s="22">
        <f t="shared" si="1"/>
        <v>0.29698172744798779</v>
      </c>
      <c r="Z22" s="32">
        <f t="shared" si="8"/>
        <v>187.98943347457626</v>
      </c>
      <c r="AA22" s="32">
        <f t="shared" si="9"/>
        <v>152.55541666666667</v>
      </c>
      <c r="AB22" s="32">
        <f t="shared" si="10"/>
        <v>166.30779175401818</v>
      </c>
      <c r="AC22" s="32">
        <f t="shared" si="11"/>
        <v>175.21921919431279</v>
      </c>
      <c r="AD22" s="32">
        <f t="shared" si="12"/>
        <v>172.70424528301888</v>
      </c>
      <c r="AE22" s="32">
        <f t="shared" si="13"/>
        <v>85.846029615039058</v>
      </c>
      <c r="AG22" s="33">
        <f>+'Modelo Soja'!AJ22</f>
        <v>187.17956521739134</v>
      </c>
      <c r="AH22" s="32">
        <f ca="1">+'Modelo Soja'!AB22</f>
        <v>182.79695652173916</v>
      </c>
      <c r="AI22" s="32">
        <f ca="1">+'Modelo Soja'!AC22</f>
        <v>180.71130434782614</v>
      </c>
      <c r="AJ22" s="32">
        <f ca="1">+'Modelo Soja'!AD22</f>
        <v>179.62434782608693</v>
      </c>
      <c r="AL22" s="32">
        <f>+'Modelo Farelo'!R22</f>
        <v>2711.2846626936857</v>
      </c>
      <c r="AM22" s="32">
        <f ca="1">+'Modelo Farelo'!D22</f>
        <v>2602.5086956521745</v>
      </c>
      <c r="AN22" s="32">
        <f ca="1">+'Modelo Farelo'!E22</f>
        <v>2584.1973913043475</v>
      </c>
      <c r="AO22" s="32">
        <f ca="1">+'Modelo Farelo'!F22</f>
        <v>2632.4791304347832</v>
      </c>
      <c r="AP22" s="32">
        <f t="shared" si="14"/>
        <v>2638.5337901385678</v>
      </c>
      <c r="AQ22" s="32">
        <f t="shared" si="15"/>
        <v>2582.9546626936858</v>
      </c>
      <c r="AR22" s="32">
        <f t="shared" si="16"/>
        <v>2584.5346626936857</v>
      </c>
      <c r="AT22" s="32">
        <f>+'Modelo Oleo'!E22</f>
        <v>7096.3803166956504</v>
      </c>
      <c r="AU22" s="33">
        <f>+AT22-AE22</f>
        <v>7010.5342870806116</v>
      </c>
      <c r="AV22" s="33">
        <f>+AT22-AC22</f>
        <v>6921.1610975013373</v>
      </c>
      <c r="AW22" s="33">
        <f>+AT22-AA22</f>
        <v>6943.8249000289834</v>
      </c>
      <c r="BB22" s="55">
        <f>+(AT22*$AZ$2+AL22*$AZ$3)-(AG22/60*1000)</f>
        <v>270.48539185912341</v>
      </c>
      <c r="BC22" s="55">
        <f ca="1">+(AU22*$AZ$2+AM22*$AZ$3)-(AH22/60*1000)</f>
        <v>246.2946787343426</v>
      </c>
      <c r="BD22" s="55">
        <f ca="1">+(AV22*$AZ$2+AN22*$AZ$3)-(AI22/60*1000)</f>
        <v>250.0774111142091</v>
      </c>
      <c r="BE22" s="55">
        <f ca="1">+(AW22*$AZ$2+AO22*$AZ$3)-(AJ22/60*1000)</f>
        <v>308.34128159260945</v>
      </c>
      <c r="BH22" s="32">
        <f t="shared" si="17"/>
        <v>270.48539185912341</v>
      </c>
      <c r="BI22" s="32">
        <f t="shared" ca="1" si="18"/>
        <v>267.62153467028747</v>
      </c>
      <c r="BJ22" s="32">
        <f t="shared" ca="1" si="19"/>
        <v>249.70956344545311</v>
      </c>
      <c r="BK22" s="32">
        <f t="shared" ca="1" si="20"/>
        <v>294.14971914124453</v>
      </c>
    </row>
    <row r="23" spans="2:63" x14ac:dyDescent="0.3">
      <c r="B23" s="17" t="str">
        <f t="shared" si="2"/>
        <v>20229</v>
      </c>
      <c r="C23" s="17">
        <f t="shared" si="21"/>
        <v>44805</v>
      </c>
      <c r="D23" s="29">
        <f>(D22+D24)/2</f>
        <v>138.12</v>
      </c>
      <c r="E23" s="29">
        <f t="shared" ref="E23:H23" si="26">(E22+E24)/2</f>
        <v>111.375</v>
      </c>
      <c r="F23" s="29">
        <f t="shared" si="26"/>
        <v>111.625</v>
      </c>
      <c r="G23" s="29">
        <f t="shared" si="26"/>
        <v>110.86500000000001</v>
      </c>
      <c r="H23" s="29">
        <f t="shared" si="26"/>
        <v>119.875</v>
      </c>
      <c r="I23" s="48">
        <f t="shared" si="3"/>
        <v>66.057127162669616</v>
      </c>
      <c r="K23" s="44">
        <f t="shared" si="4"/>
        <v>0.21819905213270144</v>
      </c>
      <c r="L23" s="44">
        <f t="shared" si="22"/>
        <v>0.23349056603773585</v>
      </c>
      <c r="M23" s="44">
        <f t="shared" si="23"/>
        <v>0.21466346153846153</v>
      </c>
      <c r="N23" s="44">
        <f t="shared" si="24"/>
        <v>0.18790677966101696</v>
      </c>
      <c r="O23" s="44">
        <f t="shared" si="25"/>
        <v>0.22199074074074074</v>
      </c>
      <c r="P23" s="44">
        <f t="shared" si="5"/>
        <v>0.31911655634139913</v>
      </c>
      <c r="R23" s="44">
        <f t="shared" si="6"/>
        <v>0.31911655634139913</v>
      </c>
      <c r="S23" s="46">
        <f>AVERAGE(L23:M23,O23)</f>
        <v>0.22338158943897937</v>
      </c>
      <c r="T23" s="46">
        <f>AVERAGE(N23,K23)</f>
        <v>0.2030529158968592</v>
      </c>
      <c r="V23" s="22">
        <f t="shared" si="7"/>
        <v>0.37655753648285095</v>
      </c>
      <c r="W23" s="22">
        <f t="shared" si="0"/>
        <v>0.29039606627067321</v>
      </c>
      <c r="X23" s="22">
        <f t="shared" si="1"/>
        <v>0.27412143646075993</v>
      </c>
      <c r="Z23" s="32">
        <f t="shared" si="8"/>
        <v>173.51886927966103</v>
      </c>
      <c r="AA23" s="32">
        <f t="shared" si="9"/>
        <v>138.51892361111112</v>
      </c>
      <c r="AB23" s="32">
        <f t="shared" si="10"/>
        <v>151.00595446075008</v>
      </c>
      <c r="AC23" s="32">
        <f t="shared" si="11"/>
        <v>161.73164751184837</v>
      </c>
      <c r="AD23" s="32">
        <f t="shared" si="12"/>
        <v>156.81387578616355</v>
      </c>
      <c r="AE23" s="32">
        <f t="shared" si="13"/>
        <v>77.947410051950143</v>
      </c>
      <c r="AG23" s="33">
        <f>+'Modelo Soja'!AJ23</f>
        <v>187.26380952380947</v>
      </c>
      <c r="AH23" s="32">
        <f ca="1">+'Modelo Soja'!AB23</f>
        <v>182.28142857142856</v>
      </c>
      <c r="AI23" s="32">
        <f ca="1">+'Modelo Soja'!AC23</f>
        <v>180.66476190476189</v>
      </c>
      <c r="AJ23" s="32">
        <f ca="1">+'Modelo Soja'!AD23</f>
        <v>179.56428571428566</v>
      </c>
      <c r="AL23" s="32">
        <f>+'Modelo Farelo'!R23</f>
        <v>2533.1054845380227</v>
      </c>
      <c r="AM23" s="32">
        <f ca="1">+'Modelo Farelo'!D23</f>
        <v>2672.0966666666668</v>
      </c>
      <c r="AN23" s="32">
        <f ca="1">+'Modelo Farelo'!E23</f>
        <v>2688.7538095238097</v>
      </c>
      <c r="AO23" s="32">
        <f ca="1">+'Modelo Farelo'!F23</f>
        <v>2730.5228571428574</v>
      </c>
      <c r="AP23" s="32">
        <f t="shared" si="14"/>
        <v>2467.0483573753531</v>
      </c>
      <c r="AQ23" s="32">
        <f t="shared" si="15"/>
        <v>2422.2404845380224</v>
      </c>
      <c r="AR23" s="32">
        <f t="shared" si="16"/>
        <v>2421.7304845380227</v>
      </c>
      <c r="AT23" s="32">
        <f>+'Modelo Oleo'!E23</f>
        <v>6397.7521325000007</v>
      </c>
      <c r="AU23" s="33">
        <f>+AT23-AE23</f>
        <v>6319.8047224480506</v>
      </c>
      <c r="AV23" s="33">
        <f>+AT23-AC23</f>
        <v>6236.020484988152</v>
      </c>
      <c r="AW23" s="33">
        <f>+AT23-AA23</f>
        <v>6259.2332088888897</v>
      </c>
      <c r="BB23" s="55">
        <f>+(AT23*$AZ$2+AL23*$AZ$3)-(AG23/60*1000)</f>
        <v>0.99623233214606444</v>
      </c>
      <c r="BC23" s="55">
        <f ca="1">+(AU23*$AZ$2+AM23*$AZ$3)-(AH23/60*1000)</f>
        <v>171.6896446868941</v>
      </c>
      <c r="BD23" s="55">
        <f ca="1">+(AV23*$AZ$2+AN23*$AZ$3)-(AI23/60*1000)</f>
        <v>194.62244854094388</v>
      </c>
      <c r="BE23" s="55">
        <f ca="1">+(AW23*$AZ$2+AO23*$AZ$3)-(AJ23/60*1000)</f>
        <v>248.39929478095382</v>
      </c>
      <c r="BH23" s="32">
        <f t="shared" si="17"/>
        <v>0.99623233214606444</v>
      </c>
      <c r="BI23" s="32">
        <f t="shared" ca="1" si="18"/>
        <v>50.30104558643643</v>
      </c>
      <c r="BJ23" s="32">
        <f t="shared" ca="1" si="19"/>
        <v>115.73450434515053</v>
      </c>
      <c r="BK23" s="32">
        <f t="shared" ca="1" si="20"/>
        <v>156.99675248992253</v>
      </c>
    </row>
    <row r="24" spans="2:63" x14ac:dyDescent="0.3">
      <c r="B24" s="17" t="str">
        <f t="shared" si="2"/>
        <v>202210</v>
      </c>
      <c r="C24" s="17">
        <f t="shared" si="21"/>
        <v>44835</v>
      </c>
      <c r="D24" s="24">
        <f>VLOOKUP('Estudo PR'!B24,'Frete ESALQ'!$C$6:$BO$111,36,FALSE)</f>
        <v>135.41999999999999</v>
      </c>
      <c r="E24" s="24">
        <f>VLOOKUP('Estudo PR'!B24,'Frete ESALQ'!$C$6:$BO$111,47,FALSE)</f>
        <v>96</v>
      </c>
      <c r="F24" s="24">
        <f>VLOOKUP('Estudo PR'!B24,'Frete ESALQ'!$C$6:$BO$111,59,FALSE)</f>
        <v>104.75</v>
      </c>
      <c r="G24" s="24">
        <f>VLOOKUP('Estudo PR'!B24,'Frete ESALQ'!$C$6:$BO$111,18,FALSE)</f>
        <v>93.4</v>
      </c>
      <c r="H24" s="24">
        <f>VLOOKUP('Estudo PR'!B24,'Frete ESALQ'!$C$6:$BO$111,60,FALSE)</f>
        <v>107.75</v>
      </c>
      <c r="I24" s="48">
        <f t="shared" si="3"/>
        <v>59.363381770221402</v>
      </c>
      <c r="K24" s="44">
        <f t="shared" si="4"/>
        <v>0.2139336492890995</v>
      </c>
      <c r="L24" s="44">
        <f t="shared" si="22"/>
        <v>0.20125786163522014</v>
      </c>
      <c r="M24" s="44">
        <f t="shared" si="23"/>
        <v>0.2014423076923077</v>
      </c>
      <c r="N24" s="44">
        <f t="shared" si="24"/>
        <v>0.15830508474576271</v>
      </c>
      <c r="O24" s="44">
        <f t="shared" si="25"/>
        <v>0.19953703703703704</v>
      </c>
      <c r="P24" s="44">
        <f t="shared" si="5"/>
        <v>0.28677962207836427</v>
      </c>
      <c r="R24" s="44">
        <f t="shared" si="6"/>
        <v>0.28677962207836427</v>
      </c>
      <c r="S24" s="46">
        <f>AVERAGE(L24:M24,O24)</f>
        <v>0.20074573545485497</v>
      </c>
      <c r="T24" s="46">
        <f>AVERAGE(N24,K24)</f>
        <v>0.18611936701743109</v>
      </c>
      <c r="V24" s="22">
        <f t="shared" si="7"/>
        <v>0.33839995405246981</v>
      </c>
      <c r="W24" s="22">
        <f t="shared" si="0"/>
        <v>0.26096945609131145</v>
      </c>
      <c r="X24" s="22">
        <f t="shared" si="1"/>
        <v>0.25126114547353201</v>
      </c>
      <c r="Z24" s="32">
        <f t="shared" si="8"/>
        <v>159.04830508474575</v>
      </c>
      <c r="AA24" s="32">
        <f t="shared" si="9"/>
        <v>124.48243055555557</v>
      </c>
      <c r="AB24" s="32">
        <f t="shared" si="10"/>
        <v>135.70411716748194</v>
      </c>
      <c r="AC24" s="32">
        <f t="shared" si="11"/>
        <v>148.24407582938389</v>
      </c>
      <c r="AD24" s="32">
        <f t="shared" si="12"/>
        <v>140.92350628930819</v>
      </c>
      <c r="AE24" s="32">
        <f t="shared" si="13"/>
        <v>70.048790488861243</v>
      </c>
      <c r="AG24" s="33">
        <f>+'Modelo Soja'!AJ24</f>
        <v>183.72800000000001</v>
      </c>
      <c r="AH24" s="32">
        <f ca="1">+'Modelo Soja'!AB24</f>
        <v>181.452</v>
      </c>
      <c r="AI24" s="32">
        <f ca="1">+'Modelo Soja'!AC24</f>
        <v>178.71449999999999</v>
      </c>
      <c r="AJ24" s="32">
        <f ca="1">+'Modelo Soja'!AD24</f>
        <v>177.57499999999999</v>
      </c>
      <c r="AL24" s="32">
        <f>+'Modelo Farelo'!R24</f>
        <v>2382.6913647180254</v>
      </c>
      <c r="AM24" s="32">
        <f ca="1">+'Modelo Farelo'!D24</f>
        <v>2776.7205000000004</v>
      </c>
      <c r="AN24" s="32">
        <f ca="1">+'Modelo Farelo'!E24</f>
        <v>2839.2804999999994</v>
      </c>
      <c r="AO24" s="32">
        <f ca="1">+'Modelo Farelo'!F24</f>
        <v>2871.7585000000008</v>
      </c>
      <c r="AP24" s="32">
        <f t="shared" si="14"/>
        <v>2323.3279829478038</v>
      </c>
      <c r="AQ24" s="32">
        <f t="shared" si="15"/>
        <v>2289.2913647180253</v>
      </c>
      <c r="AR24" s="32">
        <f t="shared" si="16"/>
        <v>2286.6913647180254</v>
      </c>
      <c r="AT24" s="32">
        <f>+'Modelo Oleo'!E24</f>
        <v>6730.8277140476175</v>
      </c>
      <c r="AU24" s="33">
        <f>+AT24-AE24</f>
        <v>6660.7789235587561</v>
      </c>
      <c r="AV24" s="33">
        <f>+AT24-AC24</f>
        <v>6582.5836382182333</v>
      </c>
      <c r="AW24" s="33">
        <f>+AT24-AA24</f>
        <v>6606.3452834920618</v>
      </c>
      <c r="BB24" s="55">
        <f>+(AT24*$AZ$2+AL24*$AZ$3)-(AG24/60*1000)</f>
        <v>13.569680797290403</v>
      </c>
      <c r="BC24" s="55">
        <f ca="1">+(AU24*$AZ$2+AM24*$AZ$3)-(AH24/60*1000)</f>
        <v>329.42506009395811</v>
      </c>
      <c r="BD24" s="55">
        <f ca="1">+(AV24*$AZ$2+AN24*$AZ$3)-(AI24/60*1000)</f>
        <v>406.09637945255554</v>
      </c>
      <c r="BE24" s="55">
        <f ca="1">+(AW24*$AZ$2+AO24*$AZ$3)-(AJ24/60*1000)</f>
        <v>453.75528694761942</v>
      </c>
      <c r="BH24" s="32">
        <f t="shared" si="17"/>
        <v>13.569680797290403</v>
      </c>
      <c r="BI24" s="32">
        <f t="shared" ca="1" si="18"/>
        <v>61.016689999057689</v>
      </c>
      <c r="BJ24" s="32">
        <f t="shared" ca="1" si="19"/>
        <v>243.29959540909113</v>
      </c>
      <c r="BK24" s="32">
        <f t="shared" ca="1" si="20"/>
        <v>280.57541490415497</v>
      </c>
    </row>
    <row r="25" spans="2:63" x14ac:dyDescent="0.3">
      <c r="B25" s="17" t="str">
        <f t="shared" si="2"/>
        <v>202211</v>
      </c>
      <c r="C25" s="17">
        <f t="shared" si="21"/>
        <v>44866</v>
      </c>
      <c r="D25" s="24">
        <f>VLOOKUP('Estudo PR'!B25,'Frete ESALQ'!$C$6:$BO$111,36,FALSE)</f>
        <v>120</v>
      </c>
      <c r="E25" s="24">
        <f>VLOOKUP('Estudo PR'!B25,'Frete ESALQ'!$C$6:$BO$111,47,FALSE)</f>
        <v>97.5</v>
      </c>
      <c r="F25" s="24">
        <f>VLOOKUP('Estudo PR'!B25,'Frete ESALQ'!$C$6:$BO$111,59,FALSE)</f>
        <v>99</v>
      </c>
      <c r="G25" s="24">
        <f>VLOOKUP('Estudo PR'!B25,'Frete ESALQ'!$C$6:$BO$111,18,FALSE)</f>
        <v>98.33</v>
      </c>
      <c r="H25" s="24">
        <f>VLOOKUP('Estudo PR'!B25,'Frete ESALQ'!$C$6:$BO$111,60,FALSE)</f>
        <v>112</v>
      </c>
      <c r="I25" s="48">
        <f t="shared" si="3"/>
        <v>59.359175939364626</v>
      </c>
      <c r="K25" s="44">
        <f t="shared" si="4"/>
        <v>0.1895734597156398</v>
      </c>
      <c r="L25" s="44">
        <f t="shared" si="22"/>
        <v>0.20440251572327045</v>
      </c>
      <c r="M25" s="44">
        <f t="shared" si="23"/>
        <v>0.19038461538461537</v>
      </c>
      <c r="N25" s="44">
        <f t="shared" si="24"/>
        <v>0.16666101694915253</v>
      </c>
      <c r="O25" s="44">
        <f t="shared" si="25"/>
        <v>0.2074074074074074</v>
      </c>
      <c r="P25" s="44">
        <f t="shared" si="5"/>
        <v>0.28675930405490158</v>
      </c>
      <c r="R25" s="44">
        <f t="shared" si="6"/>
        <v>0.28675930405490158</v>
      </c>
      <c r="S25" s="46">
        <f>AVERAGE(L25:M25,O25)</f>
        <v>0.20073151283843108</v>
      </c>
      <c r="T25" s="46">
        <f>AVERAGE(N25,K25)</f>
        <v>0.17811723833239618</v>
      </c>
      <c r="V25" s="22">
        <f t="shared" si="7"/>
        <v>0.33837597878478382</v>
      </c>
      <c r="W25" s="22">
        <f t="shared" si="0"/>
        <v>0.26095096668996043</v>
      </c>
      <c r="X25" s="22">
        <f t="shared" si="1"/>
        <v>0.24045827174873485</v>
      </c>
      <c r="Z25" s="32">
        <f t="shared" si="8"/>
        <v>152.21008601694916</v>
      </c>
      <c r="AA25" s="32">
        <f t="shared" si="9"/>
        <v>124.47361111111113</v>
      </c>
      <c r="AB25" s="32">
        <f t="shared" si="10"/>
        <v>135.69450267877943</v>
      </c>
      <c r="AC25" s="32">
        <f t="shared" si="11"/>
        <v>141.87038033175355</v>
      </c>
      <c r="AD25" s="32">
        <f t="shared" si="12"/>
        <v>140.91352201257862</v>
      </c>
      <c r="AE25" s="32">
        <f t="shared" si="13"/>
        <v>70.043827608450243</v>
      </c>
      <c r="AG25" s="33">
        <f>+'Modelo Soja'!AJ25</f>
        <v>186.1275</v>
      </c>
      <c r="AH25" s="32">
        <f ca="1">+'Modelo Soja'!AB25</f>
        <v>185.39999999999995</v>
      </c>
      <c r="AI25" s="32">
        <f ca="1">+'Modelo Soja'!AC25</f>
        <v>180.39450000000002</v>
      </c>
      <c r="AJ25" s="32">
        <f ca="1">+'Modelo Soja'!AD25</f>
        <v>179.61849999999998</v>
      </c>
      <c r="AL25" s="32">
        <f>+'Modelo Farelo'!R25</f>
        <v>2400.7084880036882</v>
      </c>
      <c r="AM25" s="32">
        <f ca="1">+'Modelo Farelo'!D25</f>
        <v>2707.0574999999999</v>
      </c>
      <c r="AN25" s="32">
        <f ca="1">+'Modelo Farelo'!E25</f>
        <v>2811.9474999999993</v>
      </c>
      <c r="AO25" s="32">
        <f ca="1">+'Modelo Farelo'!F25</f>
        <v>2825.8052631578953</v>
      </c>
      <c r="AP25" s="32">
        <f t="shared" si="14"/>
        <v>2341.3493120643234</v>
      </c>
      <c r="AQ25" s="32">
        <f t="shared" si="15"/>
        <v>2302.3784880036883</v>
      </c>
      <c r="AR25" s="32">
        <f t="shared" si="16"/>
        <v>2303.2084880036882</v>
      </c>
      <c r="AT25" s="32">
        <f>+'Modelo Oleo'!E25</f>
        <v>7114.3804593181812</v>
      </c>
      <c r="AU25" s="33">
        <f>+AT25-AE25</f>
        <v>7044.3366317097307</v>
      </c>
      <c r="AV25" s="33">
        <f>+AT25-AC25</f>
        <v>6972.5100789864273</v>
      </c>
      <c r="AW25" s="33">
        <f>+AT25-AA25</f>
        <v>6989.9068482070697</v>
      </c>
      <c r="BB25" s="55">
        <f>+(AT25*$AZ$2+AL25*$AZ$3)-(AG25/60*1000)</f>
        <v>61.703470689774804</v>
      </c>
      <c r="BC25" s="55">
        <f ca="1">+(AU25*$AZ$2+AM25*$AZ$3)-(AH25/60*1000)</f>
        <v>286.86819318339849</v>
      </c>
      <c r="BD25" s="55">
        <f ca="1">+(AV25*$AZ$2+AN25*$AZ$3)-(AI25/60*1000)</f>
        <v>433.9056154023524</v>
      </c>
      <c r="BE25" s="55">
        <f ca="1">+(AW25*$AZ$2+AO25*$AZ$3)-(AJ25/60*1000)</f>
        <v>460.48606347055465</v>
      </c>
      <c r="BH25" s="32">
        <f t="shared" si="17"/>
        <v>61.703470689774804</v>
      </c>
      <c r="BI25" s="32">
        <f t="shared" ca="1" si="18"/>
        <v>70.368945925478329</v>
      </c>
      <c r="BJ25" s="32">
        <f t="shared" ca="1" si="19"/>
        <v>283.07318785144435</v>
      </c>
      <c r="BK25" s="32">
        <f t="shared" ca="1" si="20"/>
        <v>305.79741802490935</v>
      </c>
    </row>
    <row r="26" spans="2:63" x14ac:dyDescent="0.3">
      <c r="B26" s="17" t="str">
        <f t="shared" si="2"/>
        <v>202212</v>
      </c>
      <c r="C26" s="17">
        <f t="shared" si="21"/>
        <v>44896</v>
      </c>
      <c r="D26" s="29">
        <f t="shared" ref="D26" si="27">+(D25*2+D28)/3</f>
        <v>131.63999999999999</v>
      </c>
      <c r="E26" s="29">
        <f t="shared" ref="E26" si="28">+(E25*2+E28)/3</f>
        <v>111.66666666666667</v>
      </c>
      <c r="F26" s="29">
        <f t="shared" ref="F26" si="29">+(F25*2+F28)/3</f>
        <v>124.66666666666667</v>
      </c>
      <c r="G26" s="29">
        <f t="shared" ref="G26" si="30">+(G25*2+G28)/3</f>
        <v>115.31</v>
      </c>
      <c r="H26" s="29">
        <f t="shared" ref="H26" si="31">+(H25*2+H28)/3</f>
        <v>122.75666666666666</v>
      </c>
      <c r="I26" s="48">
        <f t="shared" si="3"/>
        <v>69.115602283809835</v>
      </c>
      <c r="K26" s="44">
        <f t="shared" si="4"/>
        <v>0.20796208530805685</v>
      </c>
      <c r="L26" s="44">
        <f t="shared" si="22"/>
        <v>0.23410202655485676</v>
      </c>
      <c r="M26" s="44">
        <f t="shared" si="23"/>
        <v>0.23974358974358975</v>
      </c>
      <c r="N26" s="44">
        <f t="shared" si="24"/>
        <v>0.19544067796610171</v>
      </c>
      <c r="O26" s="44">
        <f t="shared" si="25"/>
        <v>0.22732716049382715</v>
      </c>
      <c r="P26" s="44">
        <f t="shared" si="5"/>
        <v>0.33389179847251127</v>
      </c>
      <c r="R26" s="44">
        <f t="shared" si="6"/>
        <v>0.33389179847251127</v>
      </c>
      <c r="S26" s="46">
        <f>AVERAGE(L26:M26,O26)</f>
        <v>0.23372425893075788</v>
      </c>
      <c r="T26" s="46">
        <f>AVERAGE(N26,K26)</f>
        <v>0.20170138163707929</v>
      </c>
      <c r="V26" s="22">
        <f t="shared" si="7"/>
        <v>0.3939923221975633</v>
      </c>
      <c r="W26" s="22">
        <f t="shared" si="0"/>
        <v>0.30384153660998525</v>
      </c>
      <c r="X26" s="22">
        <f t="shared" si="1"/>
        <v>0.27229686521005708</v>
      </c>
      <c r="Z26" s="32">
        <f t="shared" si="8"/>
        <v>172.36391567796613</v>
      </c>
      <c r="AA26" s="32">
        <f t="shared" si="9"/>
        <v>144.93241296296296</v>
      </c>
      <c r="AB26" s="32">
        <f t="shared" si="10"/>
        <v>157.99759903719234</v>
      </c>
      <c r="AC26" s="32">
        <f t="shared" si="11"/>
        <v>160.65515047393367</v>
      </c>
      <c r="AD26" s="32">
        <f t="shared" si="12"/>
        <v>164.07442976939203</v>
      </c>
      <c r="AE26" s="32">
        <f t="shared" si="13"/>
        <v>81.556410694895604</v>
      </c>
      <c r="AG26" s="33">
        <f>+'Modelo Soja'!AJ26</f>
        <v>182.05333333333331</v>
      </c>
      <c r="AH26" s="32">
        <f ca="1">+'Modelo Soja'!AB26</f>
        <v>179.96809523809526</v>
      </c>
      <c r="AI26" s="32">
        <f ca="1">+'Modelo Soja'!AC26</f>
        <v>176.61761904761903</v>
      </c>
      <c r="AJ26" s="32">
        <f ca="1">+'Modelo Soja'!AD26</f>
        <v>173.51047619047617</v>
      </c>
      <c r="AL26" s="32">
        <f>+'Modelo Farelo'!R26</f>
        <v>2625.4234514759551</v>
      </c>
      <c r="AM26" s="32">
        <f ca="1">+'Modelo Farelo'!D26</f>
        <v>2860.2373684210529</v>
      </c>
      <c r="AN26" s="32">
        <f ca="1">+'Modelo Farelo'!E26</f>
        <v>2798.3231578947366</v>
      </c>
      <c r="AO26" s="32">
        <f ca="1">+'Modelo Farelo'!F26</f>
        <v>2928.21052631579</v>
      </c>
      <c r="AP26" s="32">
        <f t="shared" si="14"/>
        <v>2556.3078491921451</v>
      </c>
      <c r="AQ26" s="32">
        <f t="shared" si="15"/>
        <v>2510.1134514759551</v>
      </c>
      <c r="AR26" s="32">
        <f t="shared" si="16"/>
        <v>2513.7567848092885</v>
      </c>
      <c r="AT26" s="32">
        <f>+'Modelo Oleo'!E26</f>
        <v>6456.5643112727294</v>
      </c>
      <c r="AU26" s="33">
        <f>+AT26-AE26</f>
        <v>6375.0079005778334</v>
      </c>
      <c r="AV26" s="33">
        <f>+AT26-AC26</f>
        <v>6295.9091607987957</v>
      </c>
      <c r="AW26" s="33">
        <f>+AT26-AA26</f>
        <v>6311.6318983097663</v>
      </c>
      <c r="BB26" s="55">
        <f>+(AT26*$AZ$2+AL26*$AZ$3)-(AG26/60*1000)</f>
        <v>167.62117256816737</v>
      </c>
      <c r="BC26" s="55">
        <f ca="1">+(AU26*$AZ$2+AM26*$AZ$3)-(AH26/60*1000)</f>
        <v>360.23393927600227</v>
      </c>
      <c r="BD26" s="55">
        <f ca="1">+(AV26*$AZ$2+AN26*$AZ$3)-(AI26/60*1000)</f>
        <v>354.83443907088622</v>
      </c>
      <c r="BE26" s="55">
        <f ca="1">+(AW26*$AZ$2+AO26*$AZ$3)-(AJ26/60*1000)</f>
        <v>505.80273980281936</v>
      </c>
      <c r="BH26" s="32">
        <f t="shared" si="17"/>
        <v>167.62117256816737</v>
      </c>
      <c r="BI26" s="32">
        <f t="shared" ca="1" si="18"/>
        <v>180.30766389248947</v>
      </c>
      <c r="BJ26" s="32">
        <f t="shared" ca="1" si="19"/>
        <v>269.52436597092674</v>
      </c>
      <c r="BK26" s="32">
        <f t="shared" ca="1" si="20"/>
        <v>383.1244323168944</v>
      </c>
    </row>
    <row r="27" spans="2:63" x14ac:dyDescent="0.3">
      <c r="B27" s="17" t="str">
        <f t="shared" si="2"/>
        <v>20231</v>
      </c>
      <c r="C27" s="17">
        <f t="shared" si="21"/>
        <v>44927</v>
      </c>
      <c r="D27" s="29">
        <f t="shared" ref="D27" si="32">+(D28*2+D25)/3</f>
        <v>143.28</v>
      </c>
      <c r="E27" s="29">
        <f t="shared" ref="E27" si="33">+(E28*2+E25)/3</f>
        <v>125.83333333333333</v>
      </c>
      <c r="F27" s="29">
        <f t="shared" ref="F27" si="34">+(F28*2+F25)/3</f>
        <v>150.33333333333334</v>
      </c>
      <c r="G27" s="29">
        <f t="shared" ref="G27" si="35">+(G28*2+G25)/3</f>
        <v>132.29</v>
      </c>
      <c r="H27" s="29">
        <f t="shared" ref="H27" si="36">+(H28*2+H25)/3</f>
        <v>133.51333333333335</v>
      </c>
      <c r="I27" s="48">
        <f t="shared" si="3"/>
        <v>78.872028628255052</v>
      </c>
      <c r="K27" s="44">
        <f t="shared" si="4"/>
        <v>0.22635071090047393</v>
      </c>
      <c r="L27" s="44">
        <f t="shared" si="22"/>
        <v>0.26380153738644302</v>
      </c>
      <c r="M27" s="44">
        <f t="shared" si="23"/>
        <v>0.28910256410256413</v>
      </c>
      <c r="N27" s="44">
        <f t="shared" si="24"/>
        <v>0.22422033898305083</v>
      </c>
      <c r="O27" s="44">
        <f t="shared" si="25"/>
        <v>0.24724691358024695</v>
      </c>
      <c r="P27" s="44">
        <f t="shared" si="5"/>
        <v>0.38102429289012102</v>
      </c>
      <c r="R27" s="44">
        <f t="shared" si="6"/>
        <v>0.38102429289012102</v>
      </c>
      <c r="S27" s="46">
        <f>AVERAGE(L27:M27,O27)</f>
        <v>0.26671700502308471</v>
      </c>
      <c r="T27" s="46">
        <f>AVERAGE(N27,K27)</f>
        <v>0.22528552494176238</v>
      </c>
      <c r="V27" s="22">
        <f t="shared" si="7"/>
        <v>0.44960866561034279</v>
      </c>
      <c r="W27" s="22">
        <f t="shared" si="0"/>
        <v>0.34673210653001013</v>
      </c>
      <c r="X27" s="22">
        <f t="shared" si="1"/>
        <v>0.30413545867137926</v>
      </c>
      <c r="Z27" s="32">
        <f t="shared" si="8"/>
        <v>192.51774533898308</v>
      </c>
      <c r="AA27" s="32">
        <f t="shared" si="9"/>
        <v>165.39121481481484</v>
      </c>
      <c r="AB27" s="32">
        <f t="shared" si="10"/>
        <v>180.30069539560526</v>
      </c>
      <c r="AC27" s="32">
        <f t="shared" si="11"/>
        <v>179.43992061611377</v>
      </c>
      <c r="AD27" s="32">
        <f t="shared" si="12"/>
        <v>187.23533752620548</v>
      </c>
      <c r="AE27" s="32">
        <f t="shared" si="13"/>
        <v>93.068993781340964</v>
      </c>
      <c r="AG27" s="33">
        <f>+'Modelo Soja'!AJ27</f>
        <v>177.03181818181818</v>
      </c>
      <c r="AH27" s="32">
        <f ca="1">+'Modelo Soja'!AB27</f>
        <v>172.83454545454541</v>
      </c>
      <c r="AI27" s="32">
        <f ca="1">+'Modelo Soja'!AC27</f>
        <v>168.98772727272728</v>
      </c>
      <c r="AJ27" s="32">
        <f ca="1">+'Modelo Soja'!AD27</f>
        <v>167.72272727272724</v>
      </c>
      <c r="AL27" s="32">
        <f>+'Modelo Farelo'!R27</f>
        <v>2772.4346029854751</v>
      </c>
      <c r="AM27" s="32">
        <f ca="1">+'Modelo Farelo'!D27</f>
        <v>2964.9645454545457</v>
      </c>
      <c r="AN27" s="32">
        <f ca="1">+'Modelo Farelo'!E27</f>
        <v>2826.4881818181816</v>
      </c>
      <c r="AO27" s="32">
        <f ca="1">+'Modelo Farelo'!F27</f>
        <v>3005.6577272727268</v>
      </c>
      <c r="AP27" s="32">
        <f t="shared" si="14"/>
        <v>2693.56257435722</v>
      </c>
      <c r="AQ27" s="32">
        <f t="shared" si="15"/>
        <v>2640.1446029854751</v>
      </c>
      <c r="AR27" s="32">
        <f t="shared" si="16"/>
        <v>2646.6012696521416</v>
      </c>
      <c r="AT27" s="32">
        <f>+'Modelo Oleo'!E27</f>
        <v>6101.9268512727258</v>
      </c>
      <c r="AU27" s="33">
        <f>+AT27-AE27</f>
        <v>6008.8578574913845</v>
      </c>
      <c r="AV27" s="33">
        <f>+AT27-AC27</f>
        <v>5922.4869306566125</v>
      </c>
      <c r="AW27" s="33">
        <f>+AT27-AA27</f>
        <v>5936.5356364579111</v>
      </c>
      <c r="BB27" s="55">
        <f>+(AT27*$AZ$2+AL27*$AZ$3)-(AG27/60*1000)</f>
        <v>290.94703917713014</v>
      </c>
      <c r="BC27" s="55">
        <f ca="1">+(AU27*$AZ$2+AM27*$AZ$3)-(AH27/60*1000)</f>
        <v>485.22528827142696</v>
      </c>
      <c r="BD27" s="55">
        <f ca="1">+(AV27*$AZ$2+AN27*$AZ$3)-(AI27/60*1000)</f>
        <v>430.02408481137218</v>
      </c>
      <c r="BE27" s="55">
        <f ca="1">+(AW27*$AZ$2+AO27*$AZ$3)-(AJ27/60*1000)</f>
        <v>586.43237941232337</v>
      </c>
      <c r="BH27" s="32">
        <f t="shared" si="17"/>
        <v>290.94703917713014</v>
      </c>
      <c r="BI27" s="32">
        <f t="shared" ca="1" si="18"/>
        <v>324.55532138181024</v>
      </c>
      <c r="BJ27" s="32">
        <f t="shared" ca="1" si="19"/>
        <v>374.86638547689154</v>
      </c>
      <c r="BK27" s="32">
        <f t="shared" ca="1" si="20"/>
        <v>480.15166795662981</v>
      </c>
    </row>
    <row r="28" spans="2:63" x14ac:dyDescent="0.3">
      <c r="B28" s="17" t="str">
        <f t="shared" si="2"/>
        <v>20232</v>
      </c>
      <c r="C28" s="17">
        <f t="shared" si="21"/>
        <v>44958</v>
      </c>
      <c r="D28" s="24">
        <f>VLOOKUP('Estudo PR'!B28,'Frete ESALQ'!$C$6:$BO$111,36,FALSE)</f>
        <v>154.91999999999999</v>
      </c>
      <c r="E28" s="24">
        <f>VLOOKUP('Estudo PR'!B28,'Frete ESALQ'!$C$6:$BO$111,47,FALSE)</f>
        <v>140</v>
      </c>
      <c r="F28" s="24">
        <f>VLOOKUP('Estudo PR'!B28,'Frete ESALQ'!$C$6:$BO$111,59,FALSE)</f>
        <v>176</v>
      </c>
      <c r="G28" s="24">
        <f>VLOOKUP('Estudo PR'!B28,'Frete ESALQ'!$C$6:$BO$111,18,FALSE)</f>
        <v>149.27000000000001</v>
      </c>
      <c r="H28" s="24">
        <f>VLOOKUP('Estudo PR'!B28,'Frete ESALQ'!$C$6:$BO$111,60,FALSE)</f>
        <v>144.27000000000001</v>
      </c>
      <c r="I28" s="48">
        <f t="shared" si="3"/>
        <v>88.628454972700254</v>
      </c>
      <c r="K28" s="44">
        <f t="shared" si="4"/>
        <v>0.24473933649289098</v>
      </c>
      <c r="L28" s="44">
        <f t="shared" si="22"/>
        <v>0.29350104821802936</v>
      </c>
      <c r="M28" s="44">
        <f t="shared" si="23"/>
        <v>0.33846153846153848</v>
      </c>
      <c r="N28" s="44">
        <f t="shared" si="24"/>
        <v>0.253</v>
      </c>
      <c r="O28" s="44">
        <f t="shared" si="25"/>
        <v>0.26716666666666666</v>
      </c>
      <c r="P28" s="44">
        <f t="shared" si="5"/>
        <v>0.42815678730773071</v>
      </c>
      <c r="R28" s="44">
        <f t="shared" si="6"/>
        <v>0.42815678730773071</v>
      </c>
      <c r="S28" s="46">
        <f>AVERAGE(L28:M28,O28)</f>
        <v>0.29970975111541148</v>
      </c>
      <c r="T28" s="46">
        <f>AVERAGE(N28,K28)</f>
        <v>0.24886966824644549</v>
      </c>
      <c r="V28" s="22">
        <f t="shared" si="7"/>
        <v>0.50522500902312217</v>
      </c>
      <c r="W28" s="22">
        <f t="shared" si="0"/>
        <v>0.38962267645003495</v>
      </c>
      <c r="X28" s="22">
        <f t="shared" si="1"/>
        <v>0.33597405213270143</v>
      </c>
      <c r="Z28" s="32">
        <f t="shared" si="8"/>
        <v>212.67157499999999</v>
      </c>
      <c r="AA28" s="32">
        <f t="shared" si="9"/>
        <v>185.85001666666668</v>
      </c>
      <c r="AB28" s="32">
        <f t="shared" si="10"/>
        <v>202.60379175401818</v>
      </c>
      <c r="AC28" s="32">
        <f t="shared" si="11"/>
        <v>198.22469075829383</v>
      </c>
      <c r="AD28" s="32">
        <f t="shared" si="12"/>
        <v>210.39624528301889</v>
      </c>
      <c r="AE28" s="32">
        <f t="shared" si="13"/>
        <v>104.5815768677863</v>
      </c>
      <c r="AG28" s="33">
        <f>+'Modelo Soja'!AJ28</f>
        <v>172.60611111111112</v>
      </c>
      <c r="AH28" s="32">
        <f ca="1">+'Modelo Soja'!AB28</f>
        <v>167.40222222222224</v>
      </c>
      <c r="AI28" s="32">
        <f ca="1">+'Modelo Soja'!AC28</f>
        <v>161.69055555555553</v>
      </c>
      <c r="AJ28" s="32">
        <f ca="1">+'Modelo Soja'!AD28</f>
        <v>162.79277777777776</v>
      </c>
      <c r="AL28" s="32">
        <f>+'Modelo Farelo'!R28</f>
        <v>2813.2167373503307</v>
      </c>
      <c r="AM28" s="32">
        <f ca="1">+'Modelo Farelo'!D28</f>
        <v>2962.64</v>
      </c>
      <c r="AN28" s="32">
        <f ca="1">+'Modelo Farelo'!E28</f>
        <v>2854.3866666666672</v>
      </c>
      <c r="AO28" s="32">
        <f ca="1">+'Modelo Farelo'!F28</f>
        <v>2965.8816666666676</v>
      </c>
      <c r="AP28" s="32">
        <f t="shared" si="14"/>
        <v>2724.5882823776305</v>
      </c>
      <c r="AQ28" s="32">
        <f t="shared" si="15"/>
        <v>2663.9467373503307</v>
      </c>
      <c r="AR28" s="32">
        <f t="shared" si="16"/>
        <v>2673.2167373503307</v>
      </c>
      <c r="AT28" s="32">
        <f>+'Modelo Oleo'!E28</f>
        <v>5932.9275063000005</v>
      </c>
      <c r="AU28" s="33">
        <f>+AT28-AE28</f>
        <v>5828.3459294322138</v>
      </c>
      <c r="AV28" s="33">
        <f>+AT28-AC28</f>
        <v>5734.7028155417065</v>
      </c>
      <c r="AW28" s="33">
        <f>+AT28-AA28</f>
        <v>5747.0774896333342</v>
      </c>
      <c r="BB28" s="55">
        <f>+(AT28*$AZ$2+AL28*$AZ$3)-(AG28/60*1000)</f>
        <v>361.93273084922612</v>
      </c>
      <c r="BC28" s="55">
        <f ca="1">+(AU28*$AZ$2+AM28*$AZ$3)-(AH28/60*1000)</f>
        <v>538.84401920224445</v>
      </c>
      <c r="BD28" s="55">
        <f ca="1">+(AV28*$AZ$2+AN28*$AZ$3)-(AI28/60*1000)</f>
        <v>535.67058977137413</v>
      </c>
      <c r="BE28" s="55">
        <f ca="1">+(AW28*$AZ$2+AO28*$AZ$3)-(AJ28/60*1000)</f>
        <v>602.21958084887137</v>
      </c>
      <c r="BH28" s="32">
        <f t="shared" si="17"/>
        <v>361.93273084922612</v>
      </c>
      <c r="BI28" s="32">
        <f t="shared" ca="1" si="18"/>
        <v>397.91740236980149</v>
      </c>
      <c r="BJ28" s="32">
        <f t="shared" ca="1" si="19"/>
        <v>479.30037069373884</v>
      </c>
      <c r="BK28" s="32">
        <f t="shared" ca="1" si="20"/>
        <v>515.59076177123552</v>
      </c>
    </row>
    <row r="29" spans="2:63" x14ac:dyDescent="0.3">
      <c r="B29" s="17" t="str">
        <f t="shared" si="2"/>
        <v>20233</v>
      </c>
      <c r="C29" s="17">
        <f t="shared" si="21"/>
        <v>44986</v>
      </c>
      <c r="D29" s="24">
        <f>VLOOKUP('Estudo PR'!B29,'Frete ESALQ'!$C$6:$BO$111,36,FALSE)</f>
        <v>181.34</v>
      </c>
      <c r="E29" s="24">
        <f>VLOOKUP('Estudo PR'!B29,'Frete ESALQ'!$C$6:$BO$111,47,FALSE)</f>
        <v>184.33</v>
      </c>
      <c r="F29" s="24">
        <f>VLOOKUP('Estudo PR'!B29,'Frete ESALQ'!$C$6:$BO$111,59,FALSE)</f>
        <v>176</v>
      </c>
      <c r="G29" s="24">
        <f>VLOOKUP('Estudo PR'!B29,'Frete ESALQ'!$C$6:$BO$111,18,FALSE)</f>
        <v>174.79</v>
      </c>
      <c r="H29" s="24">
        <f>VLOOKUP('Estudo PR'!B29,'Frete ESALQ'!$C$6:$BO$111,60,FALSE)</f>
        <v>165.88</v>
      </c>
      <c r="I29" s="48">
        <f t="shared" si="3"/>
        <v>101.73387425991201</v>
      </c>
      <c r="K29" s="44">
        <f t="shared" si="4"/>
        <v>0.28647709320695103</v>
      </c>
      <c r="L29" s="44">
        <f t="shared" si="22"/>
        <v>0.38643605870020969</v>
      </c>
      <c r="M29" s="44">
        <f t="shared" si="23"/>
        <v>0.33846153846153848</v>
      </c>
      <c r="N29" s="44">
        <f t="shared" si="24"/>
        <v>0.2962542372881356</v>
      </c>
      <c r="O29" s="44">
        <f t="shared" si="25"/>
        <v>0.30718518518518517</v>
      </c>
      <c r="P29" s="44">
        <f t="shared" si="5"/>
        <v>0.49146799159377785</v>
      </c>
      <c r="R29" s="44">
        <f t="shared" si="6"/>
        <v>0.49146799159377785</v>
      </c>
      <c r="S29" s="46">
        <f>AVERAGE(L29:M29,O29)</f>
        <v>0.34402759411564449</v>
      </c>
      <c r="T29" s="46">
        <f>AVERAGE(N29,K29)</f>
        <v>0.29136566524754332</v>
      </c>
      <c r="V29" s="22">
        <f t="shared" si="7"/>
        <v>0.57993223008065786</v>
      </c>
      <c r="W29" s="22">
        <f t="shared" si="0"/>
        <v>0.44723587235033785</v>
      </c>
      <c r="X29" s="22">
        <f t="shared" si="1"/>
        <v>0.39334364808418348</v>
      </c>
      <c r="Z29" s="32">
        <f t="shared" si="8"/>
        <v>248.98652923728815</v>
      </c>
      <c r="AA29" s="32">
        <f t="shared" si="9"/>
        <v>213.33151111111115</v>
      </c>
      <c r="AB29" s="32">
        <f t="shared" si="10"/>
        <v>232.56265362217567</v>
      </c>
      <c r="AC29" s="32">
        <f t="shared" si="11"/>
        <v>232.07275236966825</v>
      </c>
      <c r="AD29" s="32">
        <f t="shared" si="12"/>
        <v>241.50737106918243</v>
      </c>
      <c r="AE29" s="32">
        <f t="shared" si="13"/>
        <v>120.04597162669617</v>
      </c>
      <c r="AG29" s="33">
        <f>+'Modelo Soja'!AJ29</f>
        <v>162.12478260869568</v>
      </c>
      <c r="AH29" s="32">
        <f ca="1">+'Modelo Soja'!AB29</f>
        <v>157.77434782608694</v>
      </c>
      <c r="AI29" s="32">
        <f ca="1">+'Modelo Soja'!AC29</f>
        <v>151.45956521739129</v>
      </c>
      <c r="AJ29" s="32">
        <f ca="1">+'Modelo Soja'!AD29</f>
        <v>152.01347826086959</v>
      </c>
      <c r="AL29" s="32">
        <f>+'Modelo Farelo'!R29</f>
        <v>2725.8818327769586</v>
      </c>
      <c r="AM29" s="32">
        <f ca="1">+'Modelo Farelo'!D29</f>
        <v>2759.22</v>
      </c>
      <c r="AN29" s="32">
        <f ca="1">+'Modelo Farelo'!E29</f>
        <v>2777.8869565217392</v>
      </c>
      <c r="AO29" s="32">
        <f ca="1">+'Modelo Farelo'!F29</f>
        <v>2801.63</v>
      </c>
      <c r="AP29" s="32">
        <f t="shared" si="14"/>
        <v>2624.1479585170464</v>
      </c>
      <c r="AQ29" s="32">
        <f t="shared" si="15"/>
        <v>2551.0918327769587</v>
      </c>
      <c r="AR29" s="32">
        <f t="shared" si="16"/>
        <v>2541.5518327769587</v>
      </c>
      <c r="AT29" s="32">
        <f>+'Modelo Oleo'!E29</f>
        <v>5400.8614693913041</v>
      </c>
      <c r="AU29" s="33">
        <f>+AT29-AE29</f>
        <v>5280.8154977646082</v>
      </c>
      <c r="AV29" s="33">
        <f>+AT29-AC29</f>
        <v>5168.7887170216363</v>
      </c>
      <c r="AW29" s="33">
        <f>+AT29-AA29</f>
        <v>5187.5299582801927</v>
      </c>
      <c r="BB29" s="55">
        <f>+(AT29*$AZ$2+AL29*$AZ$3)-(AG29/60*1000)</f>
        <v>368.24083264132605</v>
      </c>
      <c r="BC29" s="55">
        <f ca="1">+(AU29*$AZ$2+AM29*$AZ$3)-(AH29/60*1000)</f>
        <v>442.00935829598302</v>
      </c>
      <c r="BD29" s="55">
        <f ca="1">+(AV29*$AZ$2+AN29*$AZ$3)-(AI29/60*1000)</f>
        <v>539.22406068878445</v>
      </c>
      <c r="BE29" s="55">
        <f ca="1">+(AW29*$AZ$2+AO29*$AZ$3)-(AJ29/60*1000)</f>
        <v>551.21657085014431</v>
      </c>
      <c r="BH29" s="32">
        <f t="shared" si="17"/>
        <v>368.24083264132605</v>
      </c>
      <c r="BI29" s="32">
        <f t="shared" ca="1" si="18"/>
        <v>362.0467097380747</v>
      </c>
      <c r="BJ29" s="32">
        <f t="shared" ca="1" si="19"/>
        <v>472.09270406032965</v>
      </c>
      <c r="BK29" s="32">
        <f t="shared" ca="1" si="20"/>
        <v>474.23343335212394</v>
      </c>
    </row>
    <row r="30" spans="2:63" x14ac:dyDescent="0.3">
      <c r="B30" s="17" t="str">
        <f t="shared" si="2"/>
        <v>20234</v>
      </c>
      <c r="C30" s="17">
        <f t="shared" si="21"/>
        <v>45017</v>
      </c>
      <c r="D30" s="24">
        <f>VLOOKUP('Estudo PR'!B30,'Frete ESALQ'!$C$6:$BO$111,36,FALSE)</f>
        <v>193.29</v>
      </c>
      <c r="E30" s="24">
        <f>VLOOKUP('Estudo PR'!B30,'Frete ESALQ'!$C$6:$BO$111,47,FALSE)</f>
        <v>162.6</v>
      </c>
      <c r="F30" s="24">
        <f>VLOOKUP('Estudo PR'!B30,'Frete ESALQ'!$C$6:$BO$111,59,FALSE)</f>
        <v>142.5</v>
      </c>
      <c r="G30" s="24">
        <f>VLOOKUP('Estudo PR'!B30,'Frete ESALQ'!$C$6:$BO$111,18,FALSE)</f>
        <v>156.16999999999999</v>
      </c>
      <c r="H30" s="24">
        <f>VLOOKUP('Estudo PR'!B30,'Frete ESALQ'!$C$6:$BO$111,60,FALSE)</f>
        <v>158.33000000000001</v>
      </c>
      <c r="I30" s="48">
        <f t="shared" si="3"/>
        <v>89.514948740986483</v>
      </c>
      <c r="K30" s="44">
        <f t="shared" si="4"/>
        <v>0.30535545023696681</v>
      </c>
      <c r="L30" s="44">
        <f t="shared" si="22"/>
        <v>0.34088050314465407</v>
      </c>
      <c r="M30" s="44">
        <f t="shared" si="23"/>
        <v>0.27403846153846156</v>
      </c>
      <c r="N30" s="44">
        <f t="shared" si="24"/>
        <v>0.26469491525423727</v>
      </c>
      <c r="O30" s="44">
        <f t="shared" si="25"/>
        <v>0.29320370370370374</v>
      </c>
      <c r="P30" s="44">
        <f t="shared" si="5"/>
        <v>0.43243936589848542</v>
      </c>
      <c r="R30" s="44">
        <f t="shared" si="6"/>
        <v>0.43243936589848542</v>
      </c>
      <c r="S30" s="46">
        <f>AVERAGE(L30:M30,O30)</f>
        <v>0.30270755612893979</v>
      </c>
      <c r="T30" s="46">
        <f>AVERAGE(N30,K30)</f>
        <v>0.28502518274560207</v>
      </c>
      <c r="V30" s="22">
        <f t="shared" si="7"/>
        <v>0.5102784517602128</v>
      </c>
      <c r="W30" s="22">
        <f t="shared" si="0"/>
        <v>0.39351982296762172</v>
      </c>
      <c r="X30" s="22">
        <f t="shared" si="1"/>
        <v>0.38478399670656283</v>
      </c>
      <c r="Z30" s="32">
        <f t="shared" si="8"/>
        <v>243.56826991525426</v>
      </c>
      <c r="AA30" s="32">
        <f t="shared" si="9"/>
        <v>187.70895555555558</v>
      </c>
      <c r="AB30" s="32">
        <f t="shared" si="10"/>
        <v>204.6303079431633</v>
      </c>
      <c r="AC30" s="32">
        <f t="shared" si="11"/>
        <v>227.02255805687207</v>
      </c>
      <c r="AD30" s="32">
        <f t="shared" si="12"/>
        <v>212.50070440251574</v>
      </c>
      <c r="AE30" s="32">
        <f t="shared" si="13"/>
        <v>105.62763951436405</v>
      </c>
      <c r="AG30" s="33">
        <f>+'Modelo Soja'!AJ30</f>
        <v>145.23666666666665</v>
      </c>
      <c r="AH30" s="32">
        <f ca="1">+'Modelo Soja'!AB30</f>
        <v>140.78111111111107</v>
      </c>
      <c r="AI30" s="32">
        <f ca="1">+'Modelo Soja'!AC30</f>
        <v>135.59111111111108</v>
      </c>
      <c r="AJ30" s="32">
        <f ca="1">+'Modelo Soja'!AD30</f>
        <v>136.76777777777778</v>
      </c>
      <c r="AL30" s="32">
        <f>+'Modelo Farelo'!R30</f>
        <v>2491.5327570052254</v>
      </c>
      <c r="AM30" s="32">
        <f ca="1">+'Modelo Farelo'!D30</f>
        <v>2478.6938888888894</v>
      </c>
      <c r="AN30" s="32">
        <f ca="1">+'Modelo Farelo'!E30</f>
        <v>2503.0844444444442</v>
      </c>
      <c r="AO30" s="32">
        <f ca="1">+'Modelo Farelo'!F30</f>
        <v>2539.7683333333325</v>
      </c>
      <c r="AP30" s="32">
        <f t="shared" si="14"/>
        <v>2402.0178082642387</v>
      </c>
      <c r="AQ30" s="32">
        <f t="shared" si="15"/>
        <v>2335.3627570052254</v>
      </c>
      <c r="AR30" s="32">
        <f t="shared" si="16"/>
        <v>2328.9327570052255</v>
      </c>
      <c r="AT30" s="32">
        <f>+'Modelo Oleo'!E30</f>
        <v>4724.0803943999999</v>
      </c>
      <c r="AU30" s="33">
        <f>+AT30-AE30</f>
        <v>4618.4527548856358</v>
      </c>
      <c r="AV30" s="33">
        <f>+AT30-AC30</f>
        <v>4497.0578363431277</v>
      </c>
      <c r="AW30" s="33">
        <f>+AT30-AA30</f>
        <v>4536.3714388444441</v>
      </c>
      <c r="BB30" s="55">
        <f>+(AT30*$AZ$2+AL30*$AZ$3)-(AG30/60*1000)</f>
        <v>344.31880598075577</v>
      </c>
      <c r="BC30" s="55">
        <f ca="1">+(AU30*$AZ$2+AM30*$AZ$3)-(AH30/60*1000)</f>
        <v>388.47991312862587</v>
      </c>
      <c r="BD30" s="55">
        <f ca="1">+(AV30*$AZ$2+AN30*$AZ$3)-(AI30/60*1000)</f>
        <v>469.3569151239476</v>
      </c>
      <c r="BE30" s="55">
        <f ca="1">+(AW30*$AZ$2+AO30*$AZ$3)-(AJ30/60*1000)</f>
        <v>484.55803427837009</v>
      </c>
      <c r="BH30" s="32">
        <f t="shared" si="17"/>
        <v>344.31880598075577</v>
      </c>
      <c r="BI30" s="32">
        <f t="shared" ca="1" si="18"/>
        <v>343.08767339883298</v>
      </c>
      <c r="BJ30" s="32">
        <f t="shared" ca="1" si="19"/>
        <v>419.71129564193825</v>
      </c>
      <c r="BK30" s="32">
        <f t="shared" ca="1" si="20"/>
        <v>422.15070368525085</v>
      </c>
    </row>
    <row r="31" spans="2:63" x14ac:dyDescent="0.3">
      <c r="B31" s="17" t="str">
        <f t="shared" si="2"/>
        <v>20235</v>
      </c>
      <c r="C31" s="17">
        <f t="shared" si="21"/>
        <v>45047</v>
      </c>
      <c r="D31" s="29">
        <f t="shared" ref="D31" si="37">(D30+D32)/2</f>
        <v>176.5</v>
      </c>
      <c r="E31" s="29">
        <f t="shared" ref="E31" si="38">(E30+E32)/2</f>
        <v>154.63499999999999</v>
      </c>
      <c r="F31" s="29">
        <f t="shared" ref="F31" si="39">(F30+F32)/2</f>
        <v>145.82</v>
      </c>
      <c r="G31" s="29">
        <f t="shared" ref="G31" si="40">(G30+G32)/2</f>
        <v>156.77499999999998</v>
      </c>
      <c r="H31" s="29">
        <f t="shared" ref="H31" si="41">(H30+H32)/2</f>
        <v>161.35500000000002</v>
      </c>
      <c r="I31" s="48">
        <f t="shared" si="3"/>
        <v>89.050515066694317</v>
      </c>
      <c r="K31" s="44">
        <f t="shared" si="4"/>
        <v>0.27883096366508686</v>
      </c>
      <c r="L31" s="44">
        <f t="shared" si="22"/>
        <v>0.32418238993710691</v>
      </c>
      <c r="M31" s="44">
        <f t="shared" si="23"/>
        <v>0.28042307692307689</v>
      </c>
      <c r="N31" s="44">
        <f t="shared" si="24"/>
        <v>0.26572033898305081</v>
      </c>
      <c r="O31" s="44">
        <f t="shared" si="25"/>
        <v>0.2988055555555556</v>
      </c>
      <c r="P31" s="44">
        <f t="shared" si="5"/>
        <v>0.4301957249598759</v>
      </c>
      <c r="R31" s="44">
        <f t="shared" si="6"/>
        <v>0.4301957249598759</v>
      </c>
      <c r="S31" s="46">
        <f>AVERAGE(L31:M31,O31)</f>
        <v>0.30113700747191313</v>
      </c>
      <c r="T31" s="46">
        <f>AVERAGE(N31,K31)</f>
        <v>0.27227565132406883</v>
      </c>
      <c r="V31" s="22">
        <f t="shared" si="7"/>
        <v>0.50763095545265358</v>
      </c>
      <c r="W31" s="22">
        <f t="shared" si="0"/>
        <v>0.39147810971348707</v>
      </c>
      <c r="X31" s="22">
        <f t="shared" si="1"/>
        <v>0.36757212928749294</v>
      </c>
      <c r="Z31" s="32">
        <f t="shared" si="8"/>
        <v>232.67315783898303</v>
      </c>
      <c r="AA31" s="32">
        <f t="shared" si="9"/>
        <v>186.73505833333334</v>
      </c>
      <c r="AB31" s="32">
        <f t="shared" si="10"/>
        <v>203.56861705101326</v>
      </c>
      <c r="AC31" s="32">
        <f t="shared" si="11"/>
        <v>216.86755627962083</v>
      </c>
      <c r="AD31" s="32">
        <f t="shared" si="12"/>
        <v>211.39817924528302</v>
      </c>
      <c r="AE31" s="32">
        <f t="shared" si="13"/>
        <v>105.07960777869928</v>
      </c>
      <c r="AG31" s="33">
        <f>+'Modelo Soja'!AJ31</f>
        <v>138.10909090909092</v>
      </c>
      <c r="AH31" s="32">
        <f ca="1">+'Modelo Soja'!AB31</f>
        <v>132.12818181818182</v>
      </c>
      <c r="AI31" s="32">
        <f ca="1">+'Modelo Soja'!AC31</f>
        <v>129.28727272727272</v>
      </c>
      <c r="AJ31" s="32">
        <f ca="1">+'Modelo Soja'!AD31</f>
        <v>127.80318181818183</v>
      </c>
      <c r="AL31" s="32">
        <f>+'Modelo Farelo'!R31</f>
        <v>2289.2019975989529</v>
      </c>
      <c r="AM31" s="32">
        <f ca="1">+'Modelo Farelo'!D31</f>
        <v>2341.9790909090912</v>
      </c>
      <c r="AN31" s="32">
        <f ca="1">+'Modelo Farelo'!E31</f>
        <v>2339.3140909090916</v>
      </c>
      <c r="AO31" s="32">
        <f ca="1">+'Modelo Farelo'!F31</f>
        <v>2351.4613636363629</v>
      </c>
      <c r="AP31" s="32">
        <f t="shared" si="14"/>
        <v>2200.1514825322583</v>
      </c>
      <c r="AQ31" s="32">
        <f t="shared" si="15"/>
        <v>2132.4269975989528</v>
      </c>
      <c r="AR31" s="32">
        <f t="shared" si="16"/>
        <v>2134.5669975989531</v>
      </c>
      <c r="AT31" s="32">
        <f>+'Modelo Oleo'!E31</f>
        <v>4464.729038391305</v>
      </c>
      <c r="AU31" s="33">
        <f>+AT31-AE31</f>
        <v>4359.649430612606</v>
      </c>
      <c r="AV31" s="33">
        <f>+AT31-AC31</f>
        <v>4247.8614821116844</v>
      </c>
      <c r="AW31" s="33">
        <f>+AT31-AA31</f>
        <v>4277.9939800579714</v>
      </c>
      <c r="BB31" s="55">
        <f>+(AT31*$AZ$2+AL31*$AZ$3)-(AG31/60*1000)</f>
        <v>262.81345889134764</v>
      </c>
      <c r="BC31" s="55">
        <f ca="1">+(AU31*$AZ$2+AM31*$AZ$3)-(AH31/60*1000)</f>
        <v>381.05980260582191</v>
      </c>
      <c r="BD31" s="55">
        <f ca="1">+(AV31*$AZ$2+AN31*$AZ$3)-(AI31/60*1000)</f>
        <v>404.63753749662783</v>
      </c>
      <c r="BE31" s="55">
        <f ca="1">+(AW31*$AZ$2+AO31*$AZ$3)-(AJ31/60*1000)</f>
        <v>444.23720489918242</v>
      </c>
      <c r="BH31" s="32">
        <f t="shared" si="17"/>
        <v>262.81345889134764</v>
      </c>
      <c r="BI31" s="32">
        <f t="shared" ca="1" si="18"/>
        <v>297.09785844673706</v>
      </c>
      <c r="BJ31" s="32">
        <f t="shared" ca="1" si="19"/>
        <v>343.39895787682644</v>
      </c>
      <c r="BK31" s="32">
        <f t="shared" ca="1" si="20"/>
        <v>380.03647255210899</v>
      </c>
    </row>
    <row r="32" spans="2:63" x14ac:dyDescent="0.3">
      <c r="B32" s="17" t="str">
        <f t="shared" si="2"/>
        <v>20236</v>
      </c>
      <c r="C32" s="17">
        <f t="shared" si="21"/>
        <v>45078</v>
      </c>
      <c r="D32" s="24">
        <f>VLOOKUP('Estudo PR'!B32,'Frete ESALQ'!$C$6:$BO$111,36,FALSE)</f>
        <v>159.71</v>
      </c>
      <c r="E32" s="24">
        <f>VLOOKUP('Estudo PR'!B32,'Frete ESALQ'!$C$6:$BO$111,47,FALSE)</f>
        <v>146.66999999999999</v>
      </c>
      <c r="F32" s="24">
        <f>VLOOKUP('Estudo PR'!B32,'Frete ESALQ'!$C$6:$BO$111,59,FALSE)</f>
        <v>149.13999999999999</v>
      </c>
      <c r="G32" s="24">
        <f>VLOOKUP('Estudo PR'!B32,'Frete ESALQ'!$C$6:$BO$111,18,FALSE)</f>
        <v>157.38</v>
      </c>
      <c r="H32" s="24">
        <f>VLOOKUP('Estudo PR'!B32,'Frete ESALQ'!$C$6:$BO$111,60,FALSE)</f>
        <v>164.38</v>
      </c>
      <c r="I32" s="48">
        <f t="shared" si="3"/>
        <v>88.586081392402136</v>
      </c>
      <c r="K32" s="44">
        <f t="shared" si="4"/>
        <v>0.25230647709320697</v>
      </c>
      <c r="L32" s="44">
        <f t="shared" si="22"/>
        <v>0.30748427672955975</v>
      </c>
      <c r="M32" s="44">
        <f t="shared" si="23"/>
        <v>0.28680769230769226</v>
      </c>
      <c r="N32" s="44">
        <f t="shared" si="24"/>
        <v>0.2667457627118644</v>
      </c>
      <c r="O32" s="44">
        <f t="shared" si="25"/>
        <v>0.3044074074074074</v>
      </c>
      <c r="P32" s="44">
        <f t="shared" si="5"/>
        <v>0.42795208402126639</v>
      </c>
      <c r="R32" s="44">
        <f t="shared" si="6"/>
        <v>0.42795208402126639</v>
      </c>
      <c r="S32" s="46">
        <f>AVERAGE(L32:M32,O32)</f>
        <v>0.29956645881488647</v>
      </c>
      <c r="T32" s="46">
        <f>AVERAGE(N32,K32)</f>
        <v>0.25952611990253571</v>
      </c>
      <c r="V32" s="22">
        <f t="shared" si="7"/>
        <v>0.50498345914509435</v>
      </c>
      <c r="W32" s="22">
        <f t="shared" si="0"/>
        <v>0.38943639645935241</v>
      </c>
      <c r="X32" s="22">
        <f t="shared" si="1"/>
        <v>0.35036026186842323</v>
      </c>
      <c r="Z32" s="32">
        <f t="shared" si="8"/>
        <v>221.77804576271191</v>
      </c>
      <c r="AA32" s="32">
        <f t="shared" si="9"/>
        <v>185.76116111111111</v>
      </c>
      <c r="AB32" s="32">
        <f t="shared" si="10"/>
        <v>202.50692615886325</v>
      </c>
      <c r="AC32" s="32">
        <f t="shared" si="11"/>
        <v>206.7125545023697</v>
      </c>
      <c r="AD32" s="32">
        <f t="shared" si="12"/>
        <v>210.2956540880503</v>
      </c>
      <c r="AE32" s="32">
        <f t="shared" si="13"/>
        <v>104.53157604303453</v>
      </c>
      <c r="AG32" s="33">
        <f>+'Modelo Soja'!AJ32</f>
        <v>136.45238095238093</v>
      </c>
      <c r="AH32" s="32">
        <f ca="1">+'Modelo Soja'!AB32</f>
        <v>129.66952380952381</v>
      </c>
      <c r="AI32" s="32">
        <f ca="1">+'Modelo Soja'!AC32</f>
        <v>125.83761904761903</v>
      </c>
      <c r="AJ32" s="32">
        <f ca="1">+'Modelo Soja'!AD32</f>
        <v>124.43142857142857</v>
      </c>
      <c r="AL32" s="32">
        <f>+'Modelo Farelo'!R32</f>
        <v>2171.3305425146509</v>
      </c>
      <c r="AM32" s="32">
        <f ca="1">+'Modelo Farelo'!D32</f>
        <v>2264.1080952380953</v>
      </c>
      <c r="AN32" s="32">
        <f ca="1">+'Modelo Farelo'!E32</f>
        <v>2240.1295238095236</v>
      </c>
      <c r="AO32" s="32">
        <f ca="1">+'Modelo Farelo'!F32</f>
        <v>2267.1076190476188</v>
      </c>
      <c r="AP32" s="32">
        <f t="shared" si="14"/>
        <v>2082.7444611222486</v>
      </c>
      <c r="AQ32" s="32">
        <f t="shared" si="15"/>
        <v>2013.9505425146508</v>
      </c>
      <c r="AR32" s="32">
        <f t="shared" si="16"/>
        <v>2024.6605425146508</v>
      </c>
      <c r="AT32" s="32">
        <f>+'Modelo Oleo'!E32</f>
        <v>4540.7592626818196</v>
      </c>
      <c r="AU32" s="33">
        <f>+AT32-AE32</f>
        <v>4436.2276866387847</v>
      </c>
      <c r="AV32" s="33">
        <f>+AT32-AC32</f>
        <v>4334.0467081794495</v>
      </c>
      <c r="AW32" s="33">
        <f>+AT32-AA32</f>
        <v>4354.9981015707081</v>
      </c>
      <c r="BB32" s="55">
        <f>+(AT32*$AZ$2+AL32*$AZ$3)-(AG32/60*1000)</f>
        <v>218.02630847744786</v>
      </c>
      <c r="BC32" s="55">
        <f ca="1">+(AU32*$AZ$2+AM32*$AZ$3)-(AH32/60*1000)</f>
        <v>379.34565921202329</v>
      </c>
      <c r="BD32" s="55">
        <f ca="1">+(AV32*$AZ$2+AN32*$AZ$3)-(AI32/60*1000)</f>
        <v>405.54130492038939</v>
      </c>
      <c r="BE32" s="55">
        <f ca="1">+(AW32*$AZ$2+AO32*$AZ$3)-(AJ32/60*1000)</f>
        <v>453.02712504438341</v>
      </c>
      <c r="BH32" s="32">
        <f t="shared" si="17"/>
        <v>218.02630847744786</v>
      </c>
      <c r="BI32" s="32">
        <f t="shared" ca="1" si="18"/>
        <v>271.97838781544215</v>
      </c>
      <c r="BJ32" s="32">
        <f t="shared" ca="1" si="19"/>
        <v>338.59232645710699</v>
      </c>
      <c r="BK32" s="32">
        <f t="shared" ca="1" si="20"/>
        <v>381.26279039062456</v>
      </c>
    </row>
    <row r="33" spans="2:63" x14ac:dyDescent="0.3">
      <c r="B33" s="17" t="str">
        <f t="shared" si="2"/>
        <v>20237</v>
      </c>
      <c r="C33" s="17">
        <f t="shared" si="21"/>
        <v>45108</v>
      </c>
      <c r="D33" s="24">
        <f>VLOOKUP('Estudo PR'!B33,'Frete ESALQ'!$C$6:$BO$111,36,FALSE)</f>
        <v>159.71</v>
      </c>
      <c r="E33" s="24">
        <f>VLOOKUP('Estudo PR'!B33,'Frete ESALQ'!$C$6:$BO$111,47,FALSE)</f>
        <v>146.66999999999999</v>
      </c>
      <c r="F33" s="24">
        <f>VLOOKUP('Estudo PR'!B33,'Frete ESALQ'!$C$6:$BO$111,59,FALSE)</f>
        <v>149.13999999999999</v>
      </c>
      <c r="G33" s="24">
        <f>VLOOKUP('Estudo PR'!B33,'Frete ESALQ'!$C$6:$BO$111,18,FALSE)</f>
        <v>157.38</v>
      </c>
      <c r="H33" s="24">
        <f>VLOOKUP('Estudo PR'!B33,'Frete ESALQ'!$C$6:$BO$111,60,FALSE)</f>
        <v>164.38</v>
      </c>
      <c r="I33" s="48">
        <f t="shared" si="3"/>
        <v>88.586081392402136</v>
      </c>
      <c r="K33" s="44">
        <f t="shared" si="4"/>
        <v>0.25230647709320697</v>
      </c>
      <c r="L33" s="44">
        <f t="shared" si="22"/>
        <v>0.30748427672955975</v>
      </c>
      <c r="M33" s="44">
        <f t="shared" si="23"/>
        <v>0.28680769230769226</v>
      </c>
      <c r="N33" s="44">
        <f t="shared" si="24"/>
        <v>0.2667457627118644</v>
      </c>
      <c r="O33" s="44">
        <f t="shared" si="25"/>
        <v>0.3044074074074074</v>
      </c>
      <c r="P33" s="44">
        <f t="shared" si="5"/>
        <v>0.42795208402126639</v>
      </c>
      <c r="R33" s="44">
        <f t="shared" si="6"/>
        <v>0.42795208402126639</v>
      </c>
      <c r="S33" s="46">
        <f>AVERAGE(L33:M33,O33)</f>
        <v>0.29956645881488647</v>
      </c>
      <c r="T33" s="46">
        <f>AVERAGE(N33,K33)</f>
        <v>0.25952611990253571</v>
      </c>
      <c r="V33" s="22">
        <f t="shared" si="7"/>
        <v>0.50498345914509435</v>
      </c>
      <c r="W33" s="22">
        <f t="shared" si="0"/>
        <v>0.38943639645935241</v>
      </c>
      <c r="X33" s="22">
        <f t="shared" si="1"/>
        <v>0.35036026186842323</v>
      </c>
      <c r="Z33" s="32">
        <f t="shared" si="8"/>
        <v>221.77804576271191</v>
      </c>
      <c r="AA33" s="32">
        <f t="shared" si="9"/>
        <v>185.76116111111111</v>
      </c>
      <c r="AB33" s="32">
        <f t="shared" si="10"/>
        <v>202.50692615886325</v>
      </c>
      <c r="AC33" s="32">
        <f t="shared" si="11"/>
        <v>206.7125545023697</v>
      </c>
      <c r="AD33" s="32">
        <f t="shared" si="12"/>
        <v>210.2956540880503</v>
      </c>
      <c r="AE33" s="32">
        <f t="shared" si="13"/>
        <v>104.53157604303453</v>
      </c>
      <c r="AG33" s="33">
        <f>+'Modelo Soja'!AJ33</f>
        <v>146.84047619047618</v>
      </c>
      <c r="AH33" s="32">
        <f ca="1">+'Modelo Soja'!AB33</f>
        <v>138.87333333333333</v>
      </c>
      <c r="AI33" s="32">
        <f ca="1">+'Modelo Soja'!AC33</f>
        <v>135.43714285714285</v>
      </c>
      <c r="AJ33" s="32">
        <f ca="1">+'Modelo Soja'!AD33</f>
        <v>131.80809523809526</v>
      </c>
      <c r="AL33" s="32">
        <f>+'Modelo Farelo'!R33</f>
        <v>2307.780937315953</v>
      </c>
      <c r="AM33" s="32">
        <f ca="1">+'Modelo Farelo'!D33</f>
        <v>2363.6966666666667</v>
      </c>
      <c r="AN33" s="32">
        <f ca="1">+'Modelo Farelo'!E33</f>
        <v>2285.3338095238091</v>
      </c>
      <c r="AO33" s="32">
        <f ca="1">+'Modelo Farelo'!F33</f>
        <v>2352.8852380952371</v>
      </c>
      <c r="AP33" s="32">
        <f t="shared" si="14"/>
        <v>2219.1948559235507</v>
      </c>
      <c r="AQ33" s="32">
        <f t="shared" si="15"/>
        <v>2150.4009373159529</v>
      </c>
      <c r="AR33" s="32">
        <f t="shared" si="16"/>
        <v>2161.1109373159529</v>
      </c>
      <c r="AT33" s="32">
        <f>+'Modelo Oleo'!E33</f>
        <v>4731.067068095238</v>
      </c>
      <c r="AU33" s="33">
        <f>+AT33-AE33</f>
        <v>4626.5354920522032</v>
      </c>
      <c r="AV33" s="33">
        <f>+AT33-AC33</f>
        <v>4524.354513592868</v>
      </c>
      <c r="AW33" s="33">
        <f>+AT33-AA33</f>
        <v>4545.3059069841265</v>
      </c>
      <c r="BB33" s="55">
        <f>+(AT33*$AZ$2+AL33*$AZ$3)-(AG33/60*1000)</f>
        <v>182.97470205110722</v>
      </c>
      <c r="BC33" s="55">
        <f ca="1">+(AU33*$AZ$2+AM33*$AZ$3)-(AH33/60*1000)</f>
        <v>336.75439872795732</v>
      </c>
      <c r="BD33" s="55">
        <f ca="1">+(AV33*$AZ$2+AN33*$AZ$3)-(AI33/60*1000)</f>
        <v>316.11043491251394</v>
      </c>
      <c r="BE33" s="55">
        <f ca="1">+(AW33*$AZ$2+AO33*$AZ$3)-(AJ33/60*1000)</f>
        <v>430.66814075079265</v>
      </c>
      <c r="BH33" s="32">
        <f t="shared" si="17"/>
        <v>182.97470205110722</v>
      </c>
      <c r="BI33" s="32">
        <f t="shared" ca="1" si="18"/>
        <v>251.2093267680325</v>
      </c>
      <c r="BJ33" s="32">
        <f t="shared" ca="1" si="19"/>
        <v>276.17030473898831</v>
      </c>
      <c r="BK33" s="32">
        <f t="shared" ca="1" si="20"/>
        <v>373.90294772012476</v>
      </c>
    </row>
    <row r="34" spans="2:63" x14ac:dyDescent="0.3">
      <c r="B34" s="17" t="str">
        <f t="shared" si="2"/>
        <v>20238</v>
      </c>
      <c r="C34" s="17">
        <f t="shared" si="21"/>
        <v>45139</v>
      </c>
      <c r="D34" s="24">
        <f>VLOOKUP('Estudo PR'!B34,'Frete ESALQ'!$C$6:$BO$111,36,FALSE)</f>
        <v>193.11</v>
      </c>
      <c r="E34" s="24">
        <f>VLOOKUP('Estudo PR'!B34,'Frete ESALQ'!$C$6:$BO$111,47,FALSE)</f>
        <v>172.58</v>
      </c>
      <c r="F34" s="24">
        <f>VLOOKUP('Estudo PR'!B34,'Frete ESALQ'!$C$6:$BO$111,59,FALSE)</f>
        <v>174</v>
      </c>
      <c r="G34" s="24">
        <f>VLOOKUP('Estudo PR'!B34,'Frete ESALQ'!$C$6:$BO$111,18,FALSE)</f>
        <v>189.73</v>
      </c>
      <c r="H34" s="24">
        <f>VLOOKUP('Estudo PR'!B34,'Frete ESALQ'!$C$6:$BO$111,60,FALSE)</f>
        <v>199</v>
      </c>
      <c r="I34" s="48">
        <f t="shared" si="3"/>
        <v>104.97234547423227</v>
      </c>
      <c r="K34" s="44">
        <f t="shared" si="4"/>
        <v>0.30507109004739341</v>
      </c>
      <c r="L34" s="44">
        <f t="shared" si="22"/>
        <v>0.36180293501048222</v>
      </c>
      <c r="M34" s="44">
        <f t="shared" si="23"/>
        <v>0.33461538461538459</v>
      </c>
      <c r="N34" s="44">
        <f t="shared" si="24"/>
        <v>0.32157627118644067</v>
      </c>
      <c r="O34" s="44">
        <f t="shared" si="25"/>
        <v>0.36851851851851852</v>
      </c>
      <c r="P34" s="44">
        <f t="shared" si="5"/>
        <v>0.50711278006875493</v>
      </c>
      <c r="R34" s="44">
        <f t="shared" si="6"/>
        <v>0.50711278006875493</v>
      </c>
      <c r="S34" s="46">
        <f>AVERAGE(L34:M34,O34)</f>
        <v>0.35497894604812846</v>
      </c>
      <c r="T34" s="46">
        <f>AVERAGE(N34,K34)</f>
        <v>0.31332368061691707</v>
      </c>
      <c r="V34" s="22">
        <f t="shared" si="7"/>
        <v>0.59839308048113082</v>
      </c>
      <c r="W34" s="22">
        <f t="shared" si="0"/>
        <v>0.46147262986256704</v>
      </c>
      <c r="X34" s="22">
        <f t="shared" si="1"/>
        <v>0.4229869688328381</v>
      </c>
      <c r="Z34" s="32">
        <f t="shared" si="8"/>
        <v>267.75075127118652</v>
      </c>
      <c r="AA34" s="32">
        <f t="shared" si="9"/>
        <v>220.12244444444448</v>
      </c>
      <c r="AB34" s="32">
        <f t="shared" si="10"/>
        <v>239.96576752853485</v>
      </c>
      <c r="AC34" s="32">
        <f t="shared" si="11"/>
        <v>249.56231161137447</v>
      </c>
      <c r="AD34" s="32">
        <f t="shared" si="12"/>
        <v>249.19522012578619</v>
      </c>
      <c r="AE34" s="32">
        <f t="shared" si="13"/>
        <v>123.86736765959408</v>
      </c>
      <c r="AG34" s="33">
        <f>+'Modelo Soja'!AJ34</f>
        <v>148.5486956521739</v>
      </c>
      <c r="AH34" s="32">
        <f ca="1">+'Modelo Soja'!AB34</f>
        <v>140.73173913043479</v>
      </c>
      <c r="AI34" s="32">
        <f ca="1">+'Modelo Soja'!AC34</f>
        <v>138.45913043478262</v>
      </c>
      <c r="AJ34" s="32">
        <f ca="1">+'Modelo Soja'!AD34</f>
        <v>134.97652173913045</v>
      </c>
      <c r="AL34" s="32">
        <f>+'Modelo Farelo'!R34</f>
        <v>2307.3844223052129</v>
      </c>
      <c r="AM34" s="32">
        <f ca="1">+'Modelo Farelo'!D34</f>
        <v>2347.5668181818182</v>
      </c>
      <c r="AN34" s="32">
        <f ca="1">+'Modelo Farelo'!E34</f>
        <v>2270.8708695652172</v>
      </c>
      <c r="AO34" s="32">
        <f ca="1">+'Modelo Farelo'!F34</f>
        <v>2331.7086363636354</v>
      </c>
      <c r="AP34" s="32">
        <f t="shared" si="14"/>
        <v>2202.4120768309804</v>
      </c>
      <c r="AQ34" s="32">
        <f t="shared" si="15"/>
        <v>2117.6544223052128</v>
      </c>
      <c r="AR34" s="32">
        <f t="shared" si="16"/>
        <v>2134.8044223052129</v>
      </c>
      <c r="AT34" s="32">
        <f>+'Modelo Oleo'!E34</f>
        <v>4722.7573432608697</v>
      </c>
      <c r="AU34" s="33">
        <f>+AT34-AE34</f>
        <v>4598.8899756012752</v>
      </c>
      <c r="AV34" s="33">
        <f>+AT34-AC34</f>
        <v>4473.1950316494949</v>
      </c>
      <c r="AW34" s="33">
        <f>+AT34-AA34</f>
        <v>4502.6348988164254</v>
      </c>
      <c r="BB34" s="55">
        <f>+(AT34*$AZ$2+AL34*$AZ$3)-(AG34/60*1000)</f>
        <v>152.59056023882886</v>
      </c>
      <c r="BC34" s="55">
        <f ca="1">+(AU34*$AZ$2+AM34*$AZ$3)-(AH34/60*1000)</f>
        <v>288.45400518954784</v>
      </c>
      <c r="BD34" s="55">
        <f ca="1">+(AV34*$AZ$2+AN34*$AZ$3)-(AI34/60*1000)</f>
        <v>245.06530073686872</v>
      </c>
      <c r="BE34" s="55">
        <f ca="1">+(AW34*$AZ$2+AO34*$AZ$3)-(AJ34/60*1000)</f>
        <v>353.86950052611883</v>
      </c>
      <c r="BH34" s="32">
        <f t="shared" si="17"/>
        <v>152.59056023882886</v>
      </c>
      <c r="BI34" s="32">
        <f t="shared" ca="1" si="18"/>
        <v>202.52239830985172</v>
      </c>
      <c r="BJ34" s="32">
        <f t="shared" ca="1" si="19"/>
        <v>199.71323234790771</v>
      </c>
      <c r="BK34" s="32">
        <f t="shared" ca="1" si="20"/>
        <v>295.5858531648264</v>
      </c>
    </row>
    <row r="35" spans="2:63" x14ac:dyDescent="0.3">
      <c r="B35" s="17" t="str">
        <f t="shared" si="2"/>
        <v>20239</v>
      </c>
      <c r="C35" s="17">
        <f t="shared" si="21"/>
        <v>45170</v>
      </c>
      <c r="D35" s="24">
        <f>VLOOKUP('Estudo PR'!B35,'Frete ESALQ'!$C$6:$BO$111,36,FALSE)</f>
        <v>182.6</v>
      </c>
      <c r="E35" s="24">
        <f>VLOOKUP('Estudo PR'!B35,'Frete ESALQ'!$C$6:$BO$111,47,FALSE)</f>
        <v>197.5</v>
      </c>
      <c r="F35" s="24">
        <f>VLOOKUP('Estudo PR'!B35,'Frete ESALQ'!$C$6:$BO$111,59,FALSE)</f>
        <v>179.64</v>
      </c>
      <c r="G35" s="24">
        <f>VLOOKUP('Estudo PR'!B35,'Frete ESALQ'!$C$6:$BO$111,18,FALSE)</f>
        <v>188.9</v>
      </c>
      <c r="H35" s="24">
        <f>VLOOKUP('Estudo PR'!B35,'Frete ESALQ'!$C$6:$BO$111,60,FALSE)</f>
        <v>203</v>
      </c>
      <c r="I35" s="48">
        <f t="shared" si="3"/>
        <v>111.92131061810309</v>
      </c>
      <c r="K35" s="44">
        <f t="shared" si="4"/>
        <v>0.28846761453396524</v>
      </c>
      <c r="L35" s="44">
        <f t="shared" si="22"/>
        <v>0.41404612159329141</v>
      </c>
      <c r="M35" s="44">
        <f t="shared" si="23"/>
        <v>0.34546153846153843</v>
      </c>
      <c r="N35" s="44">
        <f t="shared" si="24"/>
        <v>0.32016949152542373</v>
      </c>
      <c r="O35" s="44">
        <f t="shared" si="25"/>
        <v>0.37592592592592594</v>
      </c>
      <c r="P35" s="44">
        <f t="shared" si="5"/>
        <v>0.5406826599908362</v>
      </c>
      <c r="R35" s="44">
        <f t="shared" si="6"/>
        <v>0.5406826599908362</v>
      </c>
      <c r="S35" s="46">
        <f>AVERAGE(L35:M35,O35)</f>
        <v>0.3784778619935853</v>
      </c>
      <c r="T35" s="46">
        <f>AVERAGE(N35,K35)</f>
        <v>0.30431855302969446</v>
      </c>
      <c r="V35" s="22">
        <f t="shared" si="7"/>
        <v>0.63800553878918664</v>
      </c>
      <c r="W35" s="22">
        <f t="shared" si="0"/>
        <v>0.49202122059166092</v>
      </c>
      <c r="X35" s="22">
        <f t="shared" si="1"/>
        <v>0.41083004659008754</v>
      </c>
      <c r="Z35" s="32">
        <f t="shared" si="8"/>
        <v>260.05541949152541</v>
      </c>
      <c r="AA35" s="32">
        <f t="shared" si="9"/>
        <v>234.69412222222226</v>
      </c>
      <c r="AB35" s="32">
        <f t="shared" si="10"/>
        <v>255.85103470766367</v>
      </c>
      <c r="AC35" s="32">
        <f t="shared" si="11"/>
        <v>242.38972748815164</v>
      </c>
      <c r="AD35" s="32">
        <f t="shared" si="12"/>
        <v>265.69145911949693</v>
      </c>
      <c r="AE35" s="32">
        <f t="shared" si="13"/>
        <v>132.06714652936162</v>
      </c>
      <c r="AG35" s="33">
        <f>+'Modelo Soja'!AJ35</f>
        <v>147.19149999999999</v>
      </c>
      <c r="AH35" s="32">
        <f ca="1">+'Modelo Soja'!AB35</f>
        <v>140.268</v>
      </c>
      <c r="AI35" s="32">
        <f ca="1">+'Modelo Soja'!AC35</f>
        <v>136.50300000000001</v>
      </c>
      <c r="AJ35" s="32">
        <f ca="1">+'Modelo Soja'!AD35</f>
        <v>135.21350000000001</v>
      </c>
      <c r="AL35" s="32">
        <f>+'Modelo Farelo'!R35</f>
        <v>2169.4969686280556</v>
      </c>
      <c r="AM35" s="32">
        <f ca="1">+'Modelo Farelo'!D35</f>
        <v>2337.1465000000003</v>
      </c>
      <c r="AN35" s="32">
        <f ca="1">+'Modelo Farelo'!E35</f>
        <v>2257.4810000000002</v>
      </c>
      <c r="AO35" s="32">
        <f ca="1">+'Modelo Farelo'!F35</f>
        <v>2307.5255000000002</v>
      </c>
      <c r="AP35" s="32">
        <f t="shared" si="14"/>
        <v>2057.5756580099523</v>
      </c>
      <c r="AQ35" s="32">
        <f t="shared" si="15"/>
        <v>1980.5969686280555</v>
      </c>
      <c r="AR35" s="32">
        <f t="shared" si="16"/>
        <v>1971.9969686280556</v>
      </c>
      <c r="AT35" s="32">
        <f>+'Modelo Oleo'!E35</f>
        <v>4538.5485531904769</v>
      </c>
      <c r="AU35" s="33">
        <f>+AT35-AE35</f>
        <v>4406.4814066611152</v>
      </c>
      <c r="AV35" s="33">
        <f>+AT35-AC35</f>
        <v>4296.158825702325</v>
      </c>
      <c r="AW35" s="33">
        <f>+AT35-AA35</f>
        <v>4303.8544309682547</v>
      </c>
      <c r="BB35" s="55">
        <f>+(AT35*$AZ$2+AL35*$AZ$3)-(AG35/60*1000)</f>
        <v>37.253057990237721</v>
      </c>
      <c r="BC35" s="55">
        <f ca="1">+(AU35*$AZ$2+AM35*$AZ$3)-(AH35/60*1000)</f>
        <v>250.95228429891722</v>
      </c>
      <c r="BD35" s="55">
        <f ca="1">+(AV35*$AZ$2+AN35*$AZ$3)-(AI35/60*1000)</f>
        <v>233.23691101195345</v>
      </c>
      <c r="BE35" s="55">
        <f ca="1">+(AW35*$AZ$2+AO35*$AZ$3)-(AJ35/60*1000)</f>
        <v>293.26215070547642</v>
      </c>
      <c r="BH35" s="32">
        <f t="shared" si="17"/>
        <v>37.253057990237721</v>
      </c>
      <c r="BI35" s="32">
        <f t="shared" ca="1" si="18"/>
        <v>85.446345840809045</v>
      </c>
      <c r="BJ35" s="32">
        <f t="shared" ca="1" si="19"/>
        <v>151.27923772585791</v>
      </c>
      <c r="BK35" s="32">
        <f t="shared" ca="1" si="20"/>
        <v>193.94570541938083</v>
      </c>
    </row>
    <row r="36" spans="2:63" x14ac:dyDescent="0.3">
      <c r="B36" s="17" t="str">
        <f t="shared" si="2"/>
        <v>202310</v>
      </c>
      <c r="C36" s="17">
        <f t="shared" si="21"/>
        <v>45200</v>
      </c>
      <c r="D36" s="24">
        <f>VLOOKUP('Estudo PR'!B36,'Frete ESALQ'!$C$6:$BO$111,36,FALSE)</f>
        <v>167.75</v>
      </c>
      <c r="E36" s="24">
        <f>VLOOKUP('Estudo PR'!B36,'Frete ESALQ'!$C$6:$BO$111,47,FALSE)</f>
        <v>150</v>
      </c>
      <c r="F36" s="24">
        <f>VLOOKUP('Estudo PR'!B36,'Frete ESALQ'!$C$6:$BO$111,59,FALSE)</f>
        <v>145</v>
      </c>
      <c r="G36" s="24">
        <f>VLOOKUP('Estudo PR'!B36,'Frete ESALQ'!$C$6:$BO$111,18,FALSE)</f>
        <v>120</v>
      </c>
      <c r="H36" s="24">
        <f>VLOOKUP('Estudo PR'!B36,'Frete ESALQ'!$C$6:$BO$111,60,FALSE)</f>
        <v>135</v>
      </c>
      <c r="I36" s="48">
        <f t="shared" si="3"/>
        <v>83.126425461331138</v>
      </c>
      <c r="K36" s="44">
        <f t="shared" si="4"/>
        <v>0.26500789889415483</v>
      </c>
      <c r="L36" s="44">
        <f t="shared" si="22"/>
        <v>0.31446540880503143</v>
      </c>
      <c r="M36" s="44">
        <f t="shared" si="23"/>
        <v>0.27884615384615385</v>
      </c>
      <c r="N36" s="44">
        <f t="shared" si="24"/>
        <v>0.20338983050847459</v>
      </c>
      <c r="O36" s="44">
        <f t="shared" si="25"/>
        <v>0.25</v>
      </c>
      <c r="P36" s="44">
        <f t="shared" si="5"/>
        <v>0.40157693459580257</v>
      </c>
      <c r="R36" s="44">
        <f t="shared" si="6"/>
        <v>0.40157693459580257</v>
      </c>
      <c r="S36" s="46">
        <f>AVERAGE(L36:M36,O36)</f>
        <v>0.2811038542170618</v>
      </c>
      <c r="T36" s="46">
        <f>AVERAGE(N36,K36)</f>
        <v>0.23419886470131471</v>
      </c>
      <c r="V36" s="22">
        <f t="shared" si="7"/>
        <v>0.473860782823047</v>
      </c>
      <c r="W36" s="22">
        <f t="shared" si="0"/>
        <v>0.36543501048218036</v>
      </c>
      <c r="X36" s="22">
        <f t="shared" si="1"/>
        <v>0.3161684673467749</v>
      </c>
      <c r="Z36" s="32">
        <f t="shared" si="8"/>
        <v>200.13463983050852</v>
      </c>
      <c r="AA36" s="32">
        <f t="shared" si="9"/>
        <v>174.31250000000003</v>
      </c>
      <c r="AB36" s="32">
        <f t="shared" si="10"/>
        <v>190.02620545073378</v>
      </c>
      <c r="AC36" s="32">
        <f t="shared" si="11"/>
        <v>186.53939573459718</v>
      </c>
      <c r="AD36" s="32">
        <f t="shared" si="12"/>
        <v>197.33490566037739</v>
      </c>
      <c r="AE36" s="32">
        <f t="shared" si="13"/>
        <v>98.08918204437073</v>
      </c>
      <c r="AG36" s="33">
        <f>+'Modelo Soja'!AJ36</f>
        <v>144.09428571428572</v>
      </c>
      <c r="AH36" s="32">
        <f ca="1">+'Modelo Soja'!AB36</f>
        <v>138.99761904761903</v>
      </c>
      <c r="AI36" s="32">
        <f ca="1">+'Modelo Soja'!AC36</f>
        <v>133.81428571428569</v>
      </c>
      <c r="AJ36" s="32">
        <f ca="1">+'Modelo Soja'!AD36</f>
        <v>133.13095238095241</v>
      </c>
      <c r="AL36" s="32">
        <f>+'Modelo Farelo'!R36</f>
        <v>2231.3823275388513</v>
      </c>
      <c r="AM36" s="32">
        <f ca="1">+'Modelo Farelo'!D36</f>
        <v>2373.7452380952377</v>
      </c>
      <c r="AN36" s="32">
        <f ca="1">+'Modelo Farelo'!E36</f>
        <v>2286.434285714286</v>
      </c>
      <c r="AO36" s="32">
        <f ca="1">+'Modelo Farelo'!F36</f>
        <v>2335.4209523809523</v>
      </c>
      <c r="AP36" s="32">
        <f t="shared" si="14"/>
        <v>2148.2559020775202</v>
      </c>
      <c r="AQ36" s="32">
        <f t="shared" si="15"/>
        <v>2111.3823275388513</v>
      </c>
      <c r="AR36" s="32">
        <f t="shared" si="16"/>
        <v>2081.3823275388513</v>
      </c>
      <c r="AT36" s="32">
        <f>+'Modelo Oleo'!E36</f>
        <v>4544.2165025909107</v>
      </c>
      <c r="AU36" s="33">
        <f>+AT36-AE36</f>
        <v>4446.1273205465404</v>
      </c>
      <c r="AV36" s="33">
        <f>+AT36-AC36</f>
        <v>4357.6771068563139</v>
      </c>
      <c r="AW36" s="33">
        <f>+AT36-AA36</f>
        <v>4369.9040025909107</v>
      </c>
      <c r="BB36" s="55">
        <f>+(AT36*$AZ$2+AL36*$AZ$3)-(AG36/60*1000)</f>
        <v>135.77371181254875</v>
      </c>
      <c r="BC36" s="55">
        <f ca="1">+(AU36*$AZ$2+AM36*$AZ$3)-(AH36/60*1000)</f>
        <v>306.93931957006771</v>
      </c>
      <c r="BD36" s="55">
        <f ca="1">+(AV36*$AZ$2+AN36*$AZ$3)-(AI36/60*1000)</f>
        <v>311.47031202745848</v>
      </c>
      <c r="BE36" s="55">
        <f ca="1">+(AW36*$AZ$2+AO36*$AZ$3)-(AJ36/60*1000)</f>
        <v>361.49357891792579</v>
      </c>
      <c r="BH36" s="32">
        <f t="shared" si="17"/>
        <v>135.77371181254875</v>
      </c>
      <c r="BI36" s="32">
        <f t="shared" ca="1" si="18"/>
        <v>173.44963264757916</v>
      </c>
      <c r="BJ36" s="32">
        <f t="shared" ca="1" si="19"/>
        <v>259.65493240752949</v>
      </c>
      <c r="BK36" s="32">
        <f t="shared" ca="1" si="20"/>
        <v>286.29814596466349</v>
      </c>
    </row>
    <row r="37" spans="2:63" x14ac:dyDescent="0.3">
      <c r="B37" s="17" t="str">
        <f t="shared" si="2"/>
        <v>202311</v>
      </c>
      <c r="C37" s="17">
        <f t="shared" si="21"/>
        <v>45231</v>
      </c>
      <c r="D37" s="29">
        <f>(D36+D38)/2</f>
        <v>166.375</v>
      </c>
      <c r="E37" s="29">
        <f t="shared" ref="E37:H37" si="42">(E36+E38)/2</f>
        <v>152.5</v>
      </c>
      <c r="F37" s="29">
        <f t="shared" si="42"/>
        <v>148.125</v>
      </c>
      <c r="G37" s="29">
        <f t="shared" si="42"/>
        <v>137.25</v>
      </c>
      <c r="H37" s="29">
        <f t="shared" si="42"/>
        <v>148.75</v>
      </c>
      <c r="I37" s="48">
        <f t="shared" si="3"/>
        <v>86.745344212914958</v>
      </c>
      <c r="K37" s="44">
        <f t="shared" si="4"/>
        <v>0.26283570300157977</v>
      </c>
      <c r="L37" s="44">
        <f t="shared" si="22"/>
        <v>0.31970649895178199</v>
      </c>
      <c r="M37" s="44">
        <f t="shared" si="23"/>
        <v>0.28485576923076922</v>
      </c>
      <c r="N37" s="44">
        <f t="shared" si="24"/>
        <v>0.23262711864406779</v>
      </c>
      <c r="O37" s="44">
        <f t="shared" si="25"/>
        <v>0.27546296296296297</v>
      </c>
      <c r="P37" s="44">
        <f t="shared" si="5"/>
        <v>0.41905963387881623</v>
      </c>
      <c r="R37" s="44">
        <f t="shared" si="6"/>
        <v>0.41905963387881623</v>
      </c>
      <c r="S37" s="46">
        <f>AVERAGE(L37:M37,O37)</f>
        <v>0.29334174371517135</v>
      </c>
      <c r="T37" s="46">
        <f>AVERAGE(N37,K37)</f>
        <v>0.24773141082282379</v>
      </c>
      <c r="V37" s="22">
        <f t="shared" si="7"/>
        <v>0.49449036797700313</v>
      </c>
      <c r="W37" s="22">
        <f t="shared" si="0"/>
        <v>0.38134426682972278</v>
      </c>
      <c r="X37" s="22">
        <f t="shared" si="1"/>
        <v>0.33443740461081212</v>
      </c>
      <c r="Z37" s="32">
        <f t="shared" si="8"/>
        <v>211.69887711864408</v>
      </c>
      <c r="AA37" s="32">
        <f t="shared" si="9"/>
        <v>181.90121527777777</v>
      </c>
      <c r="AB37" s="32">
        <f t="shared" si="10"/>
        <v>198.29901875145583</v>
      </c>
      <c r="AC37" s="32">
        <f t="shared" si="11"/>
        <v>197.31806872037916</v>
      </c>
      <c r="AD37" s="32">
        <f t="shared" si="12"/>
        <v>205.92590408805029</v>
      </c>
      <c r="AE37" s="32">
        <f t="shared" si="13"/>
        <v>102.35950617123964</v>
      </c>
      <c r="AG37" s="33">
        <f>+'Modelo Soja'!AJ37</f>
        <v>144.04450000000003</v>
      </c>
      <c r="AH37" s="32">
        <f ca="1">+'Modelo Soja'!AB37</f>
        <v>140.001</v>
      </c>
      <c r="AI37" s="32">
        <f ca="1">+'Modelo Soja'!AC37</f>
        <v>136.10150000000002</v>
      </c>
      <c r="AJ37" s="32">
        <f ca="1">+'Modelo Soja'!AD37</f>
        <v>134.8835</v>
      </c>
      <c r="AL37" s="32">
        <f>+'Modelo Farelo'!R37</f>
        <v>2441.6322817228483</v>
      </c>
      <c r="AM37" s="32">
        <f ca="1">+'Modelo Farelo'!D37</f>
        <v>2554.6889999999999</v>
      </c>
      <c r="AN37" s="32">
        <f ca="1">+'Modelo Farelo'!E37</f>
        <v>2458.1340000000005</v>
      </c>
      <c r="AO37" s="32">
        <f ca="1">+'Modelo Farelo'!F37</f>
        <v>2512.3739999999998</v>
      </c>
      <c r="AP37" s="32">
        <f t="shared" si="14"/>
        <v>2354.8869375099334</v>
      </c>
      <c r="AQ37" s="32">
        <f t="shared" si="15"/>
        <v>2304.3822817228483</v>
      </c>
      <c r="AR37" s="32">
        <f t="shared" si="16"/>
        <v>2289.1322817228483</v>
      </c>
      <c r="AT37" s="32">
        <f>+'Modelo Oleo'!E37</f>
        <v>4815.356968363636</v>
      </c>
      <c r="AU37" s="33">
        <f>+AT37-AE37</f>
        <v>4712.9974621923966</v>
      </c>
      <c r="AV37" s="33">
        <f>+AT37-AC37</f>
        <v>4618.0388996432566</v>
      </c>
      <c r="AW37" s="33">
        <f>+AT37-AA37</f>
        <v>4633.4557530858583</v>
      </c>
      <c r="BB37" s="55">
        <f>+(AT37*$AZ$2+AL37*$AZ$3)-(AG37/60*1000)</f>
        <v>345.06083063914957</v>
      </c>
      <c r="BC37" s="55">
        <f ca="1">+(AU37*$AZ$2+AM37*$AZ$3)-(AH37/60*1000)</f>
        <v>476.15436512751694</v>
      </c>
      <c r="BD37" s="55">
        <f ca="1">+(AV37*$AZ$2+AN37*$AZ$3)-(AI37/60*1000)</f>
        <v>451.1784120971015</v>
      </c>
      <c r="BE37" s="55">
        <f ca="1">+(AW37*$AZ$2+AO37*$AZ$3)-(AJ37/60*1000)</f>
        <v>514.62229851840902</v>
      </c>
      <c r="BH37" s="32">
        <f t="shared" si="17"/>
        <v>345.06083063914957</v>
      </c>
      <c r="BI37" s="32">
        <f t="shared" ca="1" si="18"/>
        <v>357.87154413339749</v>
      </c>
      <c r="BJ37" s="32">
        <f t="shared" ca="1" si="19"/>
        <v>405.6679034870649</v>
      </c>
      <c r="BK37" s="32">
        <f t="shared" ca="1" si="20"/>
        <v>448.54274990837212</v>
      </c>
    </row>
    <row r="38" spans="2:63" x14ac:dyDescent="0.3">
      <c r="B38" s="17" t="str">
        <f t="shared" si="2"/>
        <v>202312</v>
      </c>
      <c r="C38" s="17">
        <f t="shared" si="21"/>
        <v>45261</v>
      </c>
      <c r="D38" s="24">
        <f>VLOOKUP('Estudo PR'!B38,'Frete ESALQ'!$C$6:$BO$111,36,FALSE)</f>
        <v>165</v>
      </c>
      <c r="E38" s="24">
        <f>VLOOKUP('Estudo PR'!B38,'Frete ESALQ'!$C$6:$BO$111,47,FALSE)</f>
        <v>155</v>
      </c>
      <c r="F38" s="24">
        <f>VLOOKUP('Estudo PR'!B38,'Frete ESALQ'!$C$6:$BO$111,59,FALSE)</f>
        <v>151.25</v>
      </c>
      <c r="G38" s="24">
        <f>VLOOKUP('Estudo PR'!B38,'Frete ESALQ'!$C$6:$BO$111,18,FALSE)</f>
        <v>154.5</v>
      </c>
      <c r="H38" s="24">
        <f>VLOOKUP('Estudo PR'!B38,'Frete ESALQ'!$C$6:$BO$111,60,FALSE)</f>
        <v>162.5</v>
      </c>
      <c r="I38" s="48">
        <f t="shared" si="3"/>
        <v>90.36426296449882</v>
      </c>
      <c r="K38" s="44">
        <f t="shared" si="4"/>
        <v>0.26066350710900477</v>
      </c>
      <c r="L38" s="44">
        <f t="shared" si="22"/>
        <v>0.3249475890985325</v>
      </c>
      <c r="M38" s="44">
        <f t="shared" si="23"/>
        <v>0.29086538461538464</v>
      </c>
      <c r="N38" s="44">
        <f t="shared" si="24"/>
        <v>0.261864406779661</v>
      </c>
      <c r="O38" s="44">
        <f t="shared" si="25"/>
        <v>0.30092592592592593</v>
      </c>
      <c r="P38" s="44">
        <f t="shared" si="5"/>
        <v>0.43654233316183005</v>
      </c>
      <c r="R38" s="44">
        <f t="shared" si="6"/>
        <v>0.43654233316183005</v>
      </c>
      <c r="S38" s="46">
        <f>AVERAGE(L38:M38,O38)</f>
        <v>0.30557963321328102</v>
      </c>
      <c r="T38" s="46">
        <f>AVERAGE(N38,K38)</f>
        <v>0.26126395694433291</v>
      </c>
      <c r="V38" s="22">
        <f t="shared" si="7"/>
        <v>0.51511995313095948</v>
      </c>
      <c r="W38" s="22">
        <f t="shared" si="0"/>
        <v>0.39725352317726537</v>
      </c>
      <c r="X38" s="22">
        <f t="shared" si="1"/>
        <v>0.35270634187484945</v>
      </c>
      <c r="Z38" s="32">
        <f t="shared" si="8"/>
        <v>223.26311440677969</v>
      </c>
      <c r="AA38" s="32">
        <f t="shared" si="9"/>
        <v>189.48993055555559</v>
      </c>
      <c r="AB38" s="32">
        <f t="shared" si="10"/>
        <v>206.571832052178</v>
      </c>
      <c r="AC38" s="32">
        <f t="shared" si="11"/>
        <v>208.09674170616117</v>
      </c>
      <c r="AD38" s="32">
        <f t="shared" si="12"/>
        <v>214.5169025157233</v>
      </c>
      <c r="AE38" s="32">
        <f t="shared" si="13"/>
        <v>106.62983029810862</v>
      </c>
      <c r="AG38" s="33">
        <f>+'Modelo Soja'!AJ38</f>
        <v>145.97052631578944</v>
      </c>
      <c r="AH38" s="32">
        <f ca="1">+'Modelo Soja'!AB38</f>
        <v>139.1642105263158</v>
      </c>
      <c r="AI38" s="32">
        <f ca="1">+'Modelo Soja'!AC38</f>
        <v>136.45473684210529</v>
      </c>
      <c r="AJ38" s="32">
        <f ca="1">+'Modelo Soja'!AD38</f>
        <v>136.84105263157895</v>
      </c>
      <c r="AL38" s="32">
        <f>+'Modelo Farelo'!R38</f>
        <v>2227.0014808055103</v>
      </c>
      <c r="AM38" s="32">
        <f ca="1">+'Modelo Farelo'!D38</f>
        <v>2458.7852631578949</v>
      </c>
      <c r="AN38" s="32">
        <f ca="1">+'Modelo Farelo'!E38</f>
        <v>2505.4215789473687</v>
      </c>
      <c r="AO38" s="32">
        <f ca="1">+'Modelo Farelo'!F38</f>
        <v>2503.9336842105258</v>
      </c>
      <c r="AP38" s="32">
        <f t="shared" si="14"/>
        <v>2136.6372178410115</v>
      </c>
      <c r="AQ38" s="32">
        <f t="shared" si="15"/>
        <v>2072.5014808055103</v>
      </c>
      <c r="AR38" s="32">
        <f t="shared" si="16"/>
        <v>2072.0014808055103</v>
      </c>
      <c r="AT38" s="32">
        <f>+'Modelo Oleo'!E38</f>
        <v>4335.490083857143</v>
      </c>
      <c r="AU38" s="33">
        <f>+AT38-AE38</f>
        <v>4228.8602535590344</v>
      </c>
      <c r="AV38" s="33">
        <f>+AT38-AC38</f>
        <v>4127.3933421509819</v>
      </c>
      <c r="AW38" s="33">
        <f>+AT38-AA38</f>
        <v>4146.0001533015875</v>
      </c>
      <c r="BB38" s="55">
        <f>+(AT38*$AZ$2+AL38*$AZ$3)-(AG38/60*1000)</f>
        <v>60.559556885063103</v>
      </c>
      <c r="BC38" s="55">
        <f ca="1">+(AU38*$AZ$2+AM38*$AZ$3)-(AH38/60*1000)</f>
        <v>324.72533540892391</v>
      </c>
      <c r="BD38" s="55">
        <f ca="1">+(AV38*$AZ$2+AN38*$AZ$3)-(AI38/60*1000)</f>
        <v>384.60805610540638</v>
      </c>
      <c r="BE38" s="55">
        <f ca="1">+(AW38*$AZ$2+AO38*$AZ$3)-(AJ38/60*1000)</f>
        <v>380.69674568328264</v>
      </c>
      <c r="BH38" s="32">
        <f t="shared" si="17"/>
        <v>60.559556885063103</v>
      </c>
      <c r="BI38" s="32">
        <f t="shared" ca="1" si="18"/>
        <v>134.013692581329</v>
      </c>
      <c r="BJ38" s="32">
        <f t="shared" ca="1" si="19"/>
        <v>256.46370705541585</v>
      </c>
      <c r="BK38" s="32">
        <f t="shared" ca="1" si="20"/>
        <v>252.8448134753985</v>
      </c>
    </row>
    <row r="39" spans="2:63" x14ac:dyDescent="0.3">
      <c r="B39" s="17" t="str">
        <f t="shared" si="2"/>
        <v>20241</v>
      </c>
      <c r="C39" s="17">
        <f t="shared" si="21"/>
        <v>45292</v>
      </c>
      <c r="D39" s="24">
        <f>VLOOKUP('Estudo PR'!B39,'Frete ESALQ'!$C$6:$BO$111,36,FALSE)</f>
        <v>180.2</v>
      </c>
      <c r="E39" s="24">
        <f>VLOOKUP('Estudo PR'!B39,'Frete ESALQ'!$C$6:$BO$111,47,FALSE)</f>
        <v>160</v>
      </c>
      <c r="F39" s="24">
        <f>VLOOKUP('Estudo PR'!B39,'Frete ESALQ'!$C$6:$BO$111,59,FALSE)</f>
        <v>155.02000000000001</v>
      </c>
      <c r="G39" s="24">
        <f>VLOOKUP('Estudo PR'!B39,'Frete ESALQ'!$C$6:$BO$111,18,FALSE)</f>
        <v>169.1</v>
      </c>
      <c r="H39" s="24">
        <f>VLOOKUP('Estudo PR'!B39,'Frete ESALQ'!$C$6:$BO$111,60,FALSE)</f>
        <v>185</v>
      </c>
      <c r="I39" s="48">
        <f t="shared" si="3"/>
        <v>96.219292164858217</v>
      </c>
      <c r="K39" s="44">
        <f t="shared" si="4"/>
        <v>0.28467614533965241</v>
      </c>
      <c r="L39" s="44">
        <f t="shared" si="22"/>
        <v>0.33542976939203356</v>
      </c>
      <c r="M39" s="44">
        <f t="shared" si="23"/>
        <v>0.29811538461538462</v>
      </c>
      <c r="N39" s="44">
        <f t="shared" si="24"/>
        <v>0.2866101694915254</v>
      </c>
      <c r="O39" s="44">
        <f t="shared" si="25"/>
        <v>0.34259259259259262</v>
      </c>
      <c r="P39" s="44">
        <f t="shared" si="5"/>
        <v>0.46482749838095755</v>
      </c>
      <c r="R39" s="44">
        <f t="shared" si="6"/>
        <v>0.46482749838095755</v>
      </c>
      <c r="S39" s="46">
        <f>AVERAGE(L39:M39,O39)</f>
        <v>0.32537924886667025</v>
      </c>
      <c r="T39" s="46">
        <f>AVERAGE(N39,K39)</f>
        <v>0.28564315741558888</v>
      </c>
      <c r="V39" s="22">
        <f t="shared" si="7"/>
        <v>0.54849644808952991</v>
      </c>
      <c r="W39" s="22">
        <f t="shared" si="0"/>
        <v>0.42299302352667134</v>
      </c>
      <c r="X39" s="22">
        <f t="shared" si="1"/>
        <v>0.38561826251104503</v>
      </c>
      <c r="Z39" s="32">
        <f t="shared" si="8"/>
        <v>244.0963601694915</v>
      </c>
      <c r="AA39" s="32">
        <f t="shared" si="9"/>
        <v>201.76767222222222</v>
      </c>
      <c r="AB39" s="32">
        <f t="shared" si="10"/>
        <v>219.9563722338691</v>
      </c>
      <c r="AC39" s="32">
        <f t="shared" si="11"/>
        <v>227.51477488151656</v>
      </c>
      <c r="AD39" s="32">
        <f t="shared" si="12"/>
        <v>228.41623270440252</v>
      </c>
      <c r="AE39" s="32">
        <f t="shared" si="13"/>
        <v>113.53876475453269</v>
      </c>
      <c r="AG39" s="33">
        <f>+'Modelo Soja'!AJ39</f>
        <v>126.93272727272728</v>
      </c>
      <c r="AH39" s="32">
        <f ca="1">+'Modelo Soja'!AB39</f>
        <v>123.43090909090911</v>
      </c>
      <c r="AI39" s="32">
        <f ca="1">+'Modelo Soja'!AC39</f>
        <v>116.62272727272729</v>
      </c>
      <c r="AJ39" s="32">
        <f ca="1">+'Modelo Soja'!AD39</f>
        <v>119.24545454545455</v>
      </c>
      <c r="AL39" s="32">
        <f>+'Modelo Farelo'!R39</f>
        <v>1969.9257230001815</v>
      </c>
      <c r="AM39" s="32">
        <f ca="1">+'Modelo Farelo'!D39</f>
        <v>2273.8850000000002</v>
      </c>
      <c r="AN39" s="32">
        <f ca="1">+'Modelo Farelo'!E39</f>
        <v>2274.9536363636366</v>
      </c>
      <c r="AO39" s="32">
        <f ca="1">+'Modelo Farelo'!F39</f>
        <v>2277.9381818181823</v>
      </c>
      <c r="AP39" s="32">
        <f t="shared" si="14"/>
        <v>1873.7064308353233</v>
      </c>
      <c r="AQ39" s="32">
        <f t="shared" si="15"/>
        <v>1800.8257230001816</v>
      </c>
      <c r="AR39" s="32">
        <f t="shared" si="16"/>
        <v>1809.9257230001815</v>
      </c>
      <c r="AT39" s="32">
        <f>+'Modelo Oleo'!E39</f>
        <v>4076.5912183043483</v>
      </c>
      <c r="AU39" s="33">
        <f>+AT39-AE39</f>
        <v>3963.0524535498157</v>
      </c>
      <c r="AV39" s="33">
        <f>+AT39-AC39</f>
        <v>3849.0764434228317</v>
      </c>
      <c r="AW39" s="33">
        <f>+AT39-AA39</f>
        <v>3874.8235460821261</v>
      </c>
      <c r="BB39" s="55">
        <f>+(AT39*$AZ$2+AL39*$AZ$3)-(AG39/60*1000)</f>
        <v>137.13486804402783</v>
      </c>
      <c r="BC39" s="55">
        <f ca="1">+(AU39*$AZ$2+AM39*$AZ$3)-(AH39/60*1000)</f>
        <v>398.28831026039597</v>
      </c>
      <c r="BD39" s="55">
        <f ca="1">+(AV39*$AZ$2+AN39*$AZ$3)-(AI39/60*1000)</f>
        <v>490.32347616442212</v>
      </c>
      <c r="BE39" s="55">
        <f ca="1">+(AW39*$AZ$2+AO39*$AZ$3)-(AJ39/60*1000)</f>
        <v>453.84060360722697</v>
      </c>
      <c r="BH39" s="32">
        <f t="shared" si="17"/>
        <v>137.13486804402783</v>
      </c>
      <c r="BI39" s="32">
        <f t="shared" ca="1" si="18"/>
        <v>161.38259731490734</v>
      </c>
      <c r="BJ39" s="32">
        <f t="shared" ca="1" si="19"/>
        <v>349.98161380883903</v>
      </c>
      <c r="BK39" s="32">
        <f t="shared" ca="1" si="20"/>
        <v>315.30891579709851</v>
      </c>
    </row>
    <row r="40" spans="2:63" x14ac:dyDescent="0.3">
      <c r="B40" s="17" t="str">
        <f t="shared" si="2"/>
        <v>20242</v>
      </c>
      <c r="C40" s="17">
        <f t="shared" si="21"/>
        <v>45323</v>
      </c>
      <c r="D40" s="24">
        <f>VLOOKUP('Estudo PR'!B40,'Frete ESALQ'!$C$6:$BO$111,36,FALSE)</f>
        <v>149.99</v>
      </c>
      <c r="E40" s="24">
        <f>VLOOKUP('Estudo PR'!B40,'Frete ESALQ'!$C$6:$BO$111,47,FALSE)</f>
        <v>133.5</v>
      </c>
      <c r="F40" s="24">
        <f>VLOOKUP('Estudo PR'!B40,'Frete ESALQ'!$C$6:$BO$111,59,FALSE)</f>
        <v>147.22999999999999</v>
      </c>
      <c r="G40" s="24">
        <f>VLOOKUP('Estudo PR'!B40,'Frete ESALQ'!$C$6:$BO$111,18,FALSE)</f>
        <v>140.56</v>
      </c>
      <c r="H40" s="24">
        <f>VLOOKUP('Estudo PR'!B40,'Frete ESALQ'!$C$6:$BO$111,60,FALSE)</f>
        <v>146.66999999999999</v>
      </c>
      <c r="I40" s="48">
        <f t="shared" si="3"/>
        <v>82.269679832745851</v>
      </c>
      <c r="K40" s="44">
        <f t="shared" si="4"/>
        <v>0.23695102685624014</v>
      </c>
      <c r="L40" s="44">
        <f t="shared" si="22"/>
        <v>0.27987421383647798</v>
      </c>
      <c r="M40" s="44">
        <f t="shared" si="23"/>
        <v>0.28313461538461537</v>
      </c>
      <c r="N40" s="44">
        <f t="shared" si="24"/>
        <v>0.23823728813559322</v>
      </c>
      <c r="O40" s="44">
        <f t="shared" si="25"/>
        <v>0.27161111111111108</v>
      </c>
      <c r="P40" s="44">
        <f t="shared" si="5"/>
        <v>0.39743806682485922</v>
      </c>
      <c r="R40" s="44">
        <f t="shared" si="6"/>
        <v>0.39743806682485922</v>
      </c>
      <c r="S40" s="46">
        <f>AVERAGE(L40:M40,O40)</f>
        <v>0.27820664677740142</v>
      </c>
      <c r="T40" s="46">
        <f>AVERAGE(N40,K40)</f>
        <v>0.23759415749591667</v>
      </c>
      <c r="V40" s="22">
        <f t="shared" si="7"/>
        <v>0.46897691885333387</v>
      </c>
      <c r="W40" s="22">
        <f t="shared" si="0"/>
        <v>0.36166864081062189</v>
      </c>
      <c r="X40" s="22">
        <f t="shared" si="1"/>
        <v>0.32075211261948755</v>
      </c>
      <c r="Z40" s="32">
        <f t="shared" si="8"/>
        <v>203.03608728813563</v>
      </c>
      <c r="AA40" s="32">
        <f t="shared" si="9"/>
        <v>172.51594166666663</v>
      </c>
      <c r="AB40" s="32">
        <f t="shared" si="10"/>
        <v>188.06769322152337</v>
      </c>
      <c r="AC40" s="32">
        <f t="shared" si="11"/>
        <v>189.24374644549766</v>
      </c>
      <c r="AD40" s="32">
        <f t="shared" si="12"/>
        <v>195.30106603773581</v>
      </c>
      <c r="AE40" s="32">
        <f t="shared" si="13"/>
        <v>97.078222202640106</v>
      </c>
      <c r="AG40" s="33">
        <f>+'Modelo Soja'!AJ40</f>
        <v>117.63526315789473</v>
      </c>
      <c r="AH40" s="32">
        <f ca="1">+'Modelo Soja'!AB40</f>
        <v>113.38526315789474</v>
      </c>
      <c r="AI40" s="32">
        <f ca="1">+'Modelo Soja'!AC40</f>
        <v>108.88894736842104</v>
      </c>
      <c r="AJ40" s="32">
        <f ca="1">+'Modelo Soja'!AD40</f>
        <v>109.43789473684211</v>
      </c>
      <c r="AL40" s="32">
        <f>+'Modelo Farelo'!R40</f>
        <v>1883.6724678989524</v>
      </c>
      <c r="AM40" s="32">
        <f ca="1">+'Modelo Farelo'!D40</f>
        <v>2173.5273684210529</v>
      </c>
      <c r="AN40" s="32">
        <f ca="1">+'Modelo Farelo'!E40</f>
        <v>2172.0336842105271</v>
      </c>
      <c r="AO40" s="32">
        <f ca="1">+'Modelo Farelo'!F40</f>
        <v>2213.6405263157899</v>
      </c>
      <c r="AP40" s="32">
        <f t="shared" si="14"/>
        <v>1801.4027880662065</v>
      </c>
      <c r="AQ40" s="32">
        <f t="shared" si="15"/>
        <v>1743.1124678989524</v>
      </c>
      <c r="AR40" s="32">
        <f t="shared" si="16"/>
        <v>1750.1724678989524</v>
      </c>
      <c r="AT40" s="32">
        <f>+'Modelo Oleo'!E40</f>
        <v>4048.8421695238089</v>
      </c>
      <c r="AU40" s="33">
        <f>+AT40-AE40</f>
        <v>3951.7639473211689</v>
      </c>
      <c r="AV40" s="33">
        <f>+AT40-AC40</f>
        <v>3859.5984230783115</v>
      </c>
      <c r="AW40" s="33">
        <f>+AT40-AA40</f>
        <v>3876.3262278571424</v>
      </c>
      <c r="BB40" s="55">
        <f>+(AT40*$AZ$2+AL40*$AZ$3)-(AG40/60*1000)</f>
        <v>222.85413000412223</v>
      </c>
      <c r="BC40" s="55">
        <f ca="1">+(AU40*$AZ$2+AM40*$AZ$3)-(AH40/60*1000)</f>
        <v>489.24983639429479</v>
      </c>
      <c r="BD40" s="55">
        <f ca="1">+(AV40*$AZ$2+AN40*$AZ$3)-(AI40/60*1000)</f>
        <v>545.11082934237675</v>
      </c>
      <c r="BE40" s="55">
        <f ca="1">+(AW40*$AZ$2+AO40*$AZ$3)-(AJ40/60*1000)</f>
        <v>570.01269162512563</v>
      </c>
      <c r="BH40" s="32">
        <f t="shared" si="17"/>
        <v>222.85413000412223</v>
      </c>
      <c r="BI40" s="32">
        <f t="shared" ca="1" si="18"/>
        <v>268.95208482422572</v>
      </c>
      <c r="BJ40" s="32">
        <f t="shared" ca="1" si="19"/>
        <v>418.15014931415044</v>
      </c>
      <c r="BK40" s="32">
        <f t="shared" ca="1" si="20"/>
        <v>432.82614633374169</v>
      </c>
    </row>
    <row r="41" spans="2:63" x14ac:dyDescent="0.3">
      <c r="B41" s="17" t="str">
        <f t="shared" si="2"/>
        <v>20243</v>
      </c>
      <c r="C41" s="17">
        <f t="shared" si="21"/>
        <v>45352</v>
      </c>
      <c r="D41" s="24">
        <f>VLOOKUP('Estudo PR'!B41,'Frete ESALQ'!$C$6:$BO$111,36,FALSE)</f>
        <v>145.56</v>
      </c>
      <c r="E41" s="24">
        <f>VLOOKUP('Estudo PR'!B41,'Frete ESALQ'!$C$6:$BO$111,47,FALSE)</f>
        <v>132.24</v>
      </c>
      <c r="F41" s="24">
        <f>VLOOKUP('Estudo PR'!B41,'Frete ESALQ'!$C$6:$BO$111,59,FALSE)</f>
        <v>134.33000000000001</v>
      </c>
      <c r="G41" s="24">
        <f>VLOOKUP('Estudo PR'!B41,'Frete ESALQ'!$C$6:$BO$111,18,FALSE)</f>
        <v>131.24</v>
      </c>
      <c r="H41" s="24">
        <f>VLOOKUP('Estudo PR'!B41,'Frete ESALQ'!$C$6:$BO$111,60,FALSE)</f>
        <v>150.61000000000001</v>
      </c>
      <c r="I41" s="48">
        <f t="shared" si="3"/>
        <v>80.283179153132011</v>
      </c>
      <c r="K41" s="44">
        <f t="shared" si="4"/>
        <v>0.22995260663507108</v>
      </c>
      <c r="L41" s="44">
        <f t="shared" si="22"/>
        <v>0.27723270440251574</v>
      </c>
      <c r="M41" s="44">
        <f t="shared" si="23"/>
        <v>0.25832692307692312</v>
      </c>
      <c r="N41" s="44">
        <f t="shared" si="24"/>
        <v>0.2224406779661017</v>
      </c>
      <c r="O41" s="44">
        <f t="shared" si="25"/>
        <v>0.27890740740740744</v>
      </c>
      <c r="P41" s="44">
        <f t="shared" si="5"/>
        <v>0.3878414451842126</v>
      </c>
      <c r="R41" s="44">
        <f t="shared" si="6"/>
        <v>0.3878414451842126</v>
      </c>
      <c r="S41" s="46">
        <f>AVERAGE(L41:M41,O41)</f>
        <v>0.27148901162894878</v>
      </c>
      <c r="T41" s="46">
        <f>AVERAGE(N41,K41)</f>
        <v>0.22619664230058639</v>
      </c>
      <c r="V41" s="22">
        <f t="shared" si="7"/>
        <v>0.45765290531737085</v>
      </c>
      <c r="W41" s="22">
        <f t="shared" si="0"/>
        <v>0.35293571511763344</v>
      </c>
      <c r="X41" s="22">
        <f t="shared" si="1"/>
        <v>0.30536546710579165</v>
      </c>
      <c r="Z41" s="32">
        <f t="shared" si="8"/>
        <v>193.29634067796613</v>
      </c>
      <c r="AA41" s="32">
        <f t="shared" si="9"/>
        <v>168.35033611111115</v>
      </c>
      <c r="AB41" s="32">
        <f t="shared" si="10"/>
        <v>183.5265718611694</v>
      </c>
      <c r="AC41" s="32">
        <f t="shared" si="11"/>
        <v>180.16562559241709</v>
      </c>
      <c r="AD41" s="32">
        <f t="shared" si="12"/>
        <v>190.58528616352206</v>
      </c>
      <c r="AE41" s="32">
        <f t="shared" si="13"/>
        <v>94.734151400695765</v>
      </c>
      <c r="AG41" s="33">
        <f>+'Modelo Soja'!AJ41</f>
        <v>121.90649999999998</v>
      </c>
      <c r="AH41" s="32">
        <f ca="1">+'Modelo Soja'!AB41</f>
        <v>118.40349999999998</v>
      </c>
      <c r="AI41" s="32">
        <f ca="1">+'Modelo Soja'!AC41</f>
        <v>113.92849999999999</v>
      </c>
      <c r="AJ41" s="32">
        <f ca="1">+'Modelo Soja'!AD41</f>
        <v>115.9365</v>
      </c>
      <c r="AL41" s="32">
        <f>+'Modelo Farelo'!R41</f>
        <v>1849.1879883658307</v>
      </c>
      <c r="AM41" s="32">
        <f ca="1">+'Modelo Farelo'!D41</f>
        <v>2082.9445000000005</v>
      </c>
      <c r="AN41" s="32">
        <f ca="1">+'Modelo Farelo'!E41</f>
        <v>2119.7865000000006</v>
      </c>
      <c r="AO41" s="32">
        <f ca="1">+'Modelo Farelo'!F41</f>
        <v>2149.7505000000006</v>
      </c>
      <c r="AP41" s="32">
        <f t="shared" si="14"/>
        <v>1768.9048092126986</v>
      </c>
      <c r="AQ41" s="32">
        <f t="shared" si="15"/>
        <v>1717.9479883658307</v>
      </c>
      <c r="AR41" s="32">
        <f t="shared" si="16"/>
        <v>1716.9479883658307</v>
      </c>
      <c r="AT41" s="32">
        <f>+'Modelo Oleo'!E41</f>
        <v>4486.3089558095235</v>
      </c>
      <c r="AU41" s="33">
        <f>+AT41-AE41</f>
        <v>4391.5748044088277</v>
      </c>
      <c r="AV41" s="33">
        <f>+AT41-AC41</f>
        <v>4306.1433302171063</v>
      </c>
      <c r="AW41" s="33">
        <f>+AT41-AA41</f>
        <v>4317.9586196984119</v>
      </c>
      <c r="BB41" s="55">
        <f>+(AT41*$AZ$2+AL41*$AZ$3)-(AG41/60*1000)</f>
        <v>211.45435777357216</v>
      </c>
      <c r="BC41" s="55">
        <f ca="1">+(AU41*$AZ$2+AM41*$AZ$3)-(AH41/60*1000)</f>
        <v>424.34435019305511</v>
      </c>
      <c r="BD41" s="55">
        <f ca="1">+(AV41*$AZ$2+AN41*$AZ$3)-(AI41/60*1000)</f>
        <v>509.53162605900343</v>
      </c>
      <c r="BE41" s="55">
        <f ca="1">+(AW41*$AZ$2+AO41*$AZ$3)-(AJ41/60*1000)</f>
        <v>500.54230084119104</v>
      </c>
      <c r="BH41" s="32">
        <f t="shared" si="17"/>
        <v>211.45435777357216</v>
      </c>
      <c r="BI41" s="32">
        <f t="shared" ca="1" si="18"/>
        <v>238.43285324697263</v>
      </c>
      <c r="BJ41" s="32">
        <f t="shared" ca="1" si="19"/>
        <v>390.58742661528913</v>
      </c>
      <c r="BK41" s="32">
        <f t="shared" ca="1" si="20"/>
        <v>372.43275739747628</v>
      </c>
    </row>
    <row r="42" spans="2:63" x14ac:dyDescent="0.3">
      <c r="B42" s="17" t="str">
        <f t="shared" si="2"/>
        <v>20244</v>
      </c>
      <c r="C42" s="17">
        <f t="shared" si="21"/>
        <v>45383</v>
      </c>
      <c r="D42" s="24">
        <f>VLOOKUP('Estudo PR'!B42,'Frete ESALQ'!$C$6:$BO$111,36,FALSE)</f>
        <v>122.5</v>
      </c>
      <c r="E42" s="24">
        <f>VLOOKUP('Estudo PR'!B42,'Frete ESALQ'!$C$6:$BO$111,47,FALSE)</f>
        <v>117.45</v>
      </c>
      <c r="F42" s="24">
        <f>VLOOKUP('Estudo PR'!B42,'Frete ESALQ'!$C$6:$BO$111,59,FALSE)</f>
        <v>119.17</v>
      </c>
      <c r="G42" s="24">
        <f>VLOOKUP('Estudo PR'!B42,'Frete ESALQ'!$C$6:$BO$111,18,FALSE)</f>
        <v>119.91</v>
      </c>
      <c r="H42" s="24">
        <f>VLOOKUP('Estudo PR'!B42,'Frete ESALQ'!$C$6:$BO$111,60,FALSE)</f>
        <v>131.54</v>
      </c>
      <c r="I42" s="48">
        <f t="shared" si="3"/>
        <v>70.87207691155804</v>
      </c>
      <c r="K42" s="44">
        <f t="shared" si="4"/>
        <v>0.19352290679304898</v>
      </c>
      <c r="L42" s="44">
        <f t="shared" si="22"/>
        <v>0.24622641509433962</v>
      </c>
      <c r="M42" s="44">
        <f t="shared" si="23"/>
        <v>0.22917307692307692</v>
      </c>
      <c r="N42" s="44">
        <f t="shared" si="24"/>
        <v>0.20323728813559322</v>
      </c>
      <c r="O42" s="44">
        <f t="shared" si="25"/>
        <v>0.24359259259259258</v>
      </c>
      <c r="P42" s="44">
        <f t="shared" si="5"/>
        <v>0.34237718314762339</v>
      </c>
      <c r="R42" s="44">
        <f t="shared" si="6"/>
        <v>0.34237718314762339</v>
      </c>
      <c r="S42" s="46">
        <f>AVERAGE(L42:M42,O42)</f>
        <v>0.23966402820333635</v>
      </c>
      <c r="T42" s="46">
        <f>AVERAGE(N42,K42)</f>
        <v>0.19838009746432111</v>
      </c>
      <c r="V42" s="22">
        <f t="shared" si="7"/>
        <v>0.40400507611419556</v>
      </c>
      <c r="W42" s="22">
        <f t="shared" si="0"/>
        <v>0.31156323666433727</v>
      </c>
      <c r="X42" s="22">
        <f t="shared" si="1"/>
        <v>0.26781313157683351</v>
      </c>
      <c r="Z42" s="32">
        <f t="shared" si="8"/>
        <v>169.52571228813562</v>
      </c>
      <c r="AA42" s="32">
        <f t="shared" si="9"/>
        <v>148.61566388888889</v>
      </c>
      <c r="AB42" s="32">
        <f t="shared" si="10"/>
        <v>162.01288306545538</v>
      </c>
      <c r="AC42" s="32">
        <f t="shared" si="11"/>
        <v>158.00974763033176</v>
      </c>
      <c r="AD42" s="32">
        <f t="shared" si="12"/>
        <v>168.24414779874212</v>
      </c>
      <c r="AE42" s="32">
        <f t="shared" si="13"/>
        <v>83.629050755638474</v>
      </c>
      <c r="AG42" s="33">
        <f>+'Modelo Soja'!AJ42</f>
        <v>126.79363636363638</v>
      </c>
      <c r="AH42" s="32">
        <f ca="1">+'Modelo Soja'!AB42</f>
        <v>123.43636363636364</v>
      </c>
      <c r="AI42" s="32">
        <f ca="1">+'Modelo Soja'!AC42</f>
        <v>119.8459090909091</v>
      </c>
      <c r="AJ42" s="32">
        <f ca="1">+'Modelo Soja'!AD42</f>
        <v>121.41818181818181</v>
      </c>
      <c r="AL42" s="32">
        <f>+'Modelo Farelo'!R42</f>
        <v>1913.2935555537738</v>
      </c>
      <c r="AM42" s="32">
        <f ca="1">+'Modelo Farelo'!D42</f>
        <v>2062.5913636363634</v>
      </c>
      <c r="AN42" s="32">
        <f ca="1">+'Modelo Farelo'!E42</f>
        <v>2060.6045454545456</v>
      </c>
      <c r="AO42" s="32">
        <f ca="1">+'Modelo Farelo'!F42</f>
        <v>2077.6722727272722</v>
      </c>
      <c r="AP42" s="32">
        <f t="shared" si="14"/>
        <v>1842.4214786422158</v>
      </c>
      <c r="AQ42" s="32">
        <f t="shared" si="15"/>
        <v>1793.3835555537737</v>
      </c>
      <c r="AR42" s="32">
        <f t="shared" si="16"/>
        <v>1795.8435555537737</v>
      </c>
      <c r="AT42" s="32">
        <f>+'Modelo Oleo'!E42</f>
        <v>4568.5571288181818</v>
      </c>
      <c r="AU42" s="33">
        <f>+AT42-AE42</f>
        <v>4484.9280780625431</v>
      </c>
      <c r="AV42" s="33">
        <f>+AT42-AC42</f>
        <v>4410.5473811878501</v>
      </c>
      <c r="AW42" s="33">
        <f>+AT42-AA42</f>
        <v>4419.941464929293</v>
      </c>
      <c r="BB42" s="55">
        <f>+(AT42*$AZ$2+AL42*$AZ$3)-(AG42/60*1000)</f>
        <v>193.47859850206532</v>
      </c>
      <c r="BC42" s="55">
        <f ca="1">+(AU42*$AZ$2+AM42*$AZ$3)-(AH42/60*1000)</f>
        <v>343.60585704037794</v>
      </c>
      <c r="BD42" s="55">
        <f ca="1">+(AV42*$AZ$2+AN42*$AZ$3)-(AI42/60*1000)</f>
        <v>387.47228478617626</v>
      </c>
      <c r="BE42" s="55">
        <f ca="1">+(AW42*$AZ$2+AO42*$AZ$3)-(AJ42/60*1000)</f>
        <v>375.72970384303017</v>
      </c>
      <c r="BH42" s="32">
        <f t="shared" si="17"/>
        <v>193.47859850206532</v>
      </c>
      <c r="BI42" s="32">
        <f t="shared" ca="1" si="18"/>
        <v>213.2652851238422</v>
      </c>
      <c r="BJ42" s="32">
        <f t="shared" ca="1" si="19"/>
        <v>308.37487177554749</v>
      </c>
      <c r="BK42" s="32">
        <f t="shared" ca="1" si="20"/>
        <v>292.30840355967439</v>
      </c>
    </row>
    <row r="43" spans="2:63" x14ac:dyDescent="0.3">
      <c r="B43" s="17" t="str">
        <f t="shared" si="2"/>
        <v>20245</v>
      </c>
      <c r="C43" s="17">
        <f t="shared" si="21"/>
        <v>45413</v>
      </c>
      <c r="D43" s="29">
        <f>(D42+D44)/2</f>
        <v>145.63499999999999</v>
      </c>
      <c r="E43" s="29">
        <f t="shared" ref="E43:H43" si="43">(E42+E44)/2</f>
        <v>128.155</v>
      </c>
      <c r="F43" s="29">
        <f t="shared" si="43"/>
        <v>131.66999999999999</v>
      </c>
      <c r="G43" s="29">
        <f t="shared" si="43"/>
        <v>142.93</v>
      </c>
      <c r="H43" s="29">
        <f t="shared" si="43"/>
        <v>146.94999999999999</v>
      </c>
      <c r="I43" s="48">
        <f t="shared" si="3"/>
        <v>78.26669321768378</v>
      </c>
      <c r="K43" s="44">
        <f t="shared" si="4"/>
        <v>0.23007109004739335</v>
      </c>
      <c r="L43" s="44">
        <f t="shared" si="22"/>
        <v>0.26866876310272536</v>
      </c>
      <c r="M43" s="44">
        <f t="shared" si="23"/>
        <v>0.25321153846153843</v>
      </c>
      <c r="N43" s="44">
        <f t="shared" si="24"/>
        <v>0.24225423728813561</v>
      </c>
      <c r="O43" s="44">
        <f t="shared" si="25"/>
        <v>0.27212962962962961</v>
      </c>
      <c r="P43" s="44">
        <f t="shared" si="5"/>
        <v>0.37809996723518735</v>
      </c>
      <c r="R43" s="44">
        <f t="shared" si="6"/>
        <v>0.37809996723518735</v>
      </c>
      <c r="S43" s="46">
        <f>AVERAGE(L43:M43,O43)</f>
        <v>0.26466997706463113</v>
      </c>
      <c r="T43" s="46">
        <f>AVERAGE(N43,K43)</f>
        <v>0.23616266366776448</v>
      </c>
      <c r="V43" s="22">
        <f t="shared" si="7"/>
        <v>0.44615796133752106</v>
      </c>
      <c r="W43" s="22">
        <f t="shared" si="0"/>
        <v>0.3440709701840205</v>
      </c>
      <c r="X43" s="22">
        <f t="shared" si="1"/>
        <v>0.31881959595148207</v>
      </c>
      <c r="Z43" s="32">
        <f t="shared" si="8"/>
        <v>201.81280423728816</v>
      </c>
      <c r="AA43" s="32">
        <f t="shared" si="9"/>
        <v>164.12185277777778</v>
      </c>
      <c r="AB43" s="32">
        <f t="shared" si="10"/>
        <v>178.91690449569066</v>
      </c>
      <c r="AC43" s="32">
        <f t="shared" si="11"/>
        <v>188.10356161137443</v>
      </c>
      <c r="AD43" s="32">
        <f t="shared" si="12"/>
        <v>185.79832389937107</v>
      </c>
      <c r="AE43" s="32">
        <f t="shared" si="13"/>
        <v>92.354697996866861</v>
      </c>
      <c r="AG43" s="33">
        <f>+'Modelo Soja'!AJ43</f>
        <v>136.00428571428571</v>
      </c>
      <c r="AH43" s="32">
        <f ca="1">+'Modelo Soja'!AB43</f>
        <v>131.55285714285714</v>
      </c>
      <c r="AI43" s="32">
        <f ca="1">+'Modelo Soja'!AC43</f>
        <v>127.77047619047619</v>
      </c>
      <c r="AJ43" s="32">
        <f ca="1">+'Modelo Soja'!AD43</f>
        <v>129.57285714285712</v>
      </c>
      <c r="AL43" s="32">
        <f>+'Modelo Farelo'!R43</f>
        <v>2093.972211327341</v>
      </c>
      <c r="AM43" s="32">
        <f ca="1">+'Modelo Farelo'!D43</f>
        <v>2242.818571428571</v>
      </c>
      <c r="AN43" s="32">
        <f ca="1">+'Modelo Farelo'!E43</f>
        <v>2247.2757142857145</v>
      </c>
      <c r="AO43" s="32">
        <f ca="1">+'Modelo Farelo'!F43</f>
        <v>2211.7390476190485</v>
      </c>
      <c r="AP43" s="32">
        <f t="shared" si="14"/>
        <v>2015.7055181096573</v>
      </c>
      <c r="AQ43" s="32">
        <f t="shared" si="15"/>
        <v>1951.042211327341</v>
      </c>
      <c r="AR43" s="32">
        <f t="shared" si="16"/>
        <v>1965.8172113273411</v>
      </c>
      <c r="AT43" s="32">
        <f>+'Modelo Oleo'!E43</f>
        <v>4590.199785652173</v>
      </c>
      <c r="AU43" s="33">
        <f>+AT43-AE43</f>
        <v>4497.8450876553061</v>
      </c>
      <c r="AV43" s="33">
        <f>+AT43-AC43</f>
        <v>4402.0962240407989</v>
      </c>
      <c r="AW43" s="33">
        <f>+AT43-AA43</f>
        <v>4426.0779328743956</v>
      </c>
      <c r="BB43" s="55">
        <f>+(AT43*$AZ$2+AL43*$AZ$3)-(AG43/60*1000)</f>
        <v>177.89029934631071</v>
      </c>
      <c r="BC43" s="55">
        <f ca="1">+(AU43*$AZ$2+AM43*$AZ$3)-(AH43/60*1000)</f>
        <v>344.2179159023085</v>
      </c>
      <c r="BD43" s="55">
        <f ca="1">+(AV43*$AZ$2+AN43*$AZ$3)-(AI43/60*1000)</f>
        <v>391.88485575144841</v>
      </c>
      <c r="BE43" s="55">
        <f ca="1">+(AW43*$AZ$2+AO43*$AZ$3)-(AJ43/60*1000)</f>
        <v>340.2244731009846</v>
      </c>
      <c r="BH43" s="32">
        <f t="shared" si="17"/>
        <v>177.89029934631071</v>
      </c>
      <c r="BI43" s="32">
        <f t="shared" ca="1" si="18"/>
        <v>209.76698833751152</v>
      </c>
      <c r="BJ43" s="32">
        <f t="shared" ca="1" si="19"/>
        <v>304.19973887576953</v>
      </c>
      <c r="BK43" s="32">
        <f t="shared" ca="1" si="20"/>
        <v>267.43160955863914</v>
      </c>
    </row>
    <row r="44" spans="2:63" x14ac:dyDescent="0.3">
      <c r="B44" s="17" t="str">
        <f t="shared" si="2"/>
        <v>20246</v>
      </c>
      <c r="C44" s="17">
        <f t="shared" si="21"/>
        <v>45444</v>
      </c>
      <c r="D44" s="24">
        <f>VLOOKUP('Estudo PR'!B44,'Frete ESALQ'!$C$6:$BO$111,36,FALSE)</f>
        <v>168.77</v>
      </c>
      <c r="E44" s="24">
        <f>VLOOKUP('Estudo PR'!B44,'Frete ESALQ'!$C$6:$BO$111,47,FALSE)</f>
        <v>138.86000000000001</v>
      </c>
      <c r="F44" s="24">
        <f>VLOOKUP('Estudo PR'!B44,'Frete ESALQ'!$C$6:$BO$111,59,FALSE)</f>
        <v>144.16999999999999</v>
      </c>
      <c r="G44" s="24">
        <f>VLOOKUP('Estudo PR'!B44,'Frete ESALQ'!$C$6:$BO$111,18,FALSE)</f>
        <v>165.95</v>
      </c>
      <c r="H44" s="24">
        <f>VLOOKUP('Estudo PR'!B44,'Frete ESALQ'!$C$6:$BO$111,60,FALSE)</f>
        <v>162.36000000000001</v>
      </c>
      <c r="I44" s="48">
        <f t="shared" si="3"/>
        <v>85.661309523809521</v>
      </c>
      <c r="K44" s="44">
        <f t="shared" si="4"/>
        <v>0.26661927330173779</v>
      </c>
      <c r="L44" s="44">
        <f t="shared" si="22"/>
        <v>0.29111111111111115</v>
      </c>
      <c r="M44" s="44">
        <f t="shared" si="23"/>
        <v>0.27725</v>
      </c>
      <c r="N44" s="44">
        <f t="shared" si="24"/>
        <v>0.28127118644067794</v>
      </c>
      <c r="O44" s="44">
        <f t="shared" si="25"/>
        <v>0.30066666666666669</v>
      </c>
      <c r="P44" s="44">
        <f t="shared" si="5"/>
        <v>0.41382275132275131</v>
      </c>
      <c r="R44" s="44">
        <f t="shared" si="6"/>
        <v>0.41382275132275131</v>
      </c>
      <c r="S44" s="46">
        <f>AVERAGE(L44:M44,O44)</f>
        <v>0.28967592592592589</v>
      </c>
      <c r="T44" s="46">
        <f>AVERAGE(N44,K44)</f>
        <v>0.27394522987120784</v>
      </c>
      <c r="V44" s="22">
        <f t="shared" si="7"/>
        <v>0.4883108465608465</v>
      </c>
      <c r="W44" s="22">
        <f t="shared" si="0"/>
        <v>0.37657870370370367</v>
      </c>
      <c r="X44" s="22">
        <f t="shared" si="1"/>
        <v>0.36982606032613063</v>
      </c>
      <c r="Z44" s="32">
        <f t="shared" si="8"/>
        <v>234.0998961864407</v>
      </c>
      <c r="AA44" s="32">
        <f t="shared" si="9"/>
        <v>179.62804166666666</v>
      </c>
      <c r="AB44" s="32">
        <f t="shared" si="10"/>
        <v>195.82092592592591</v>
      </c>
      <c r="AC44" s="32">
        <f t="shared" si="11"/>
        <v>218.19737559241707</v>
      </c>
      <c r="AD44" s="32">
        <f t="shared" si="12"/>
        <v>203.35249999999999</v>
      </c>
      <c r="AE44" s="32">
        <f t="shared" si="13"/>
        <v>101.08034523809522</v>
      </c>
      <c r="AG44" s="33">
        <f>+'Modelo Soja'!AJ44</f>
        <v>138.91950000000003</v>
      </c>
      <c r="AH44" s="32">
        <f ca="1">+'Modelo Soja'!AB44</f>
        <v>134.51800000000003</v>
      </c>
      <c r="AI44" s="32">
        <f ca="1">+'Modelo Soja'!AC44</f>
        <v>130.29300000000003</v>
      </c>
      <c r="AJ44" s="32">
        <f ca="1">+'Modelo Soja'!AD44</f>
        <v>132.99299999999999</v>
      </c>
      <c r="AL44" s="32">
        <f>+'Modelo Farelo'!R44</f>
        <v>2156.1386287581768</v>
      </c>
      <c r="AM44" s="32">
        <f ca="1">+'Modelo Farelo'!D44</f>
        <v>2300.8420000000001</v>
      </c>
      <c r="AN44" s="32">
        <f ca="1">+'Modelo Farelo'!E44</f>
        <v>2316.7220000000007</v>
      </c>
      <c r="AO44" s="32">
        <f ca="1">+'Modelo Farelo'!F44</f>
        <v>2285.1759999999999</v>
      </c>
      <c r="AP44" s="32">
        <f t="shared" si="14"/>
        <v>2070.4773192343673</v>
      </c>
      <c r="AQ44" s="32">
        <f t="shared" si="15"/>
        <v>1990.1886287581767</v>
      </c>
      <c r="AR44" s="32">
        <f t="shared" si="16"/>
        <v>2017.2786287581766</v>
      </c>
      <c r="AT44" s="32">
        <f>+'Modelo Oleo'!E44</f>
        <v>5087.6969568000004</v>
      </c>
      <c r="AU44" s="33">
        <f>+AT44-AE44</f>
        <v>4986.6166115619053</v>
      </c>
      <c r="AV44" s="33">
        <f>+AT44-AC44</f>
        <v>4869.4995812075831</v>
      </c>
      <c r="AW44" s="33">
        <f>+AT44-AA44</f>
        <v>4908.0689151333336</v>
      </c>
      <c r="BB44" s="55">
        <f>+(AT44*$AZ$2+AL44*$AZ$3)-(AG44/60*1000)</f>
        <v>272.31849185705005</v>
      </c>
      <c r="BC44" s="55">
        <f ca="1">+(AU44*$AZ$2+AM44*$AZ$3)-(AH44/60*1000)</f>
        <v>433.04665258790465</v>
      </c>
      <c r="BD44" s="55">
        <f ca="1">+(AV44*$AZ$2+AN44*$AZ$3)-(AI44/60*1000)</f>
        <v>492.37669833547852</v>
      </c>
      <c r="BE44" s="55">
        <f ca="1">+(AW44*$AZ$2+AO44*$AZ$3)-(AJ44/60*1000)</f>
        <v>431.553678451</v>
      </c>
      <c r="BH44" s="32">
        <f t="shared" si="17"/>
        <v>272.31849185705005</v>
      </c>
      <c r="BI44" s="32">
        <f t="shared" ca="1" si="18"/>
        <v>296.67076157464999</v>
      </c>
      <c r="BJ44" s="32">
        <f t="shared" ca="1" si="19"/>
        <v>395.72282044789881</v>
      </c>
      <c r="BK44" s="32">
        <f t="shared" ca="1" si="20"/>
        <v>352.25605656342077</v>
      </c>
    </row>
    <row r="45" spans="2:63" x14ac:dyDescent="0.3">
      <c r="B45" s="17" t="str">
        <f t="shared" si="2"/>
        <v>20247</v>
      </c>
      <c r="C45" s="17">
        <f t="shared" si="21"/>
        <v>45474</v>
      </c>
      <c r="D45" s="24">
        <f>VLOOKUP('Estudo PR'!B45,'Frete ESALQ'!$C$6:$BO$111,36,FALSE)</f>
        <v>177</v>
      </c>
      <c r="E45" s="24">
        <f>VLOOKUP('Estudo PR'!B45,'Frete ESALQ'!$C$6:$BO$111,47,FALSE)</f>
        <v>142.22</v>
      </c>
      <c r="F45" s="24">
        <f>VLOOKUP('Estudo PR'!B45,'Frete ESALQ'!$C$6:$BO$111,59,FALSE)</f>
        <v>140.30000000000001</v>
      </c>
      <c r="G45" s="24">
        <f>VLOOKUP('Estudo PR'!B45,'Frete ESALQ'!$C$6:$BO$111,18,FALSE)</f>
        <v>144.83000000000001</v>
      </c>
      <c r="H45" s="24">
        <f>VLOOKUP('Estudo PR'!B45,'Frete ESALQ'!$C$6:$BO$111,60,FALSE)</f>
        <v>156.91999999999999</v>
      </c>
      <c r="I45" s="48">
        <f t="shared" si="3"/>
        <v>84.62903437233625</v>
      </c>
      <c r="K45" s="44">
        <f t="shared" si="4"/>
        <v>0.27962085308056872</v>
      </c>
      <c r="L45" s="44">
        <f t="shared" si="22"/>
        <v>0.29815513626834383</v>
      </c>
      <c r="M45" s="44">
        <f t="shared" si="23"/>
        <v>0.2698076923076923</v>
      </c>
      <c r="N45" s="44">
        <f t="shared" si="24"/>
        <v>0.24547457627118646</v>
      </c>
      <c r="O45" s="44">
        <f t="shared" si="25"/>
        <v>0.29059259259259257</v>
      </c>
      <c r="P45" s="44">
        <f t="shared" si="5"/>
        <v>0.40883591484220411</v>
      </c>
      <c r="R45" s="44">
        <f t="shared" si="6"/>
        <v>0.40883591484220411</v>
      </c>
      <c r="S45" s="46">
        <f>AVERAGE(L45:M45,O45)</f>
        <v>0.28618514038954285</v>
      </c>
      <c r="T45" s="46">
        <f>AVERAGE(N45,K45)</f>
        <v>0.26254771467587756</v>
      </c>
      <c r="V45" s="22">
        <f t="shared" si="7"/>
        <v>0.4824263795138008</v>
      </c>
      <c r="W45" s="22">
        <f t="shared" si="0"/>
        <v>0.37204068250640571</v>
      </c>
      <c r="X45" s="22">
        <f t="shared" si="1"/>
        <v>0.35443941481243474</v>
      </c>
      <c r="Z45" s="32">
        <f t="shared" si="8"/>
        <v>224.3601495762712</v>
      </c>
      <c r="AA45" s="32">
        <f t="shared" si="9"/>
        <v>177.46340555555551</v>
      </c>
      <c r="AB45" s="32">
        <f t="shared" si="10"/>
        <v>193.46115490333096</v>
      </c>
      <c r="AC45" s="32">
        <f t="shared" si="11"/>
        <v>209.1192547393365</v>
      </c>
      <c r="AD45" s="32">
        <f t="shared" si="12"/>
        <v>200.90196855345908</v>
      </c>
      <c r="AE45" s="32">
        <f t="shared" si="13"/>
        <v>99.86226055935677</v>
      </c>
      <c r="AG45" s="33">
        <f>+'Modelo Soja'!AJ45</f>
        <v>138.09130434782611</v>
      </c>
      <c r="AH45" s="32">
        <f ca="1">+'Modelo Soja'!AB45</f>
        <v>133.7026086956522</v>
      </c>
      <c r="AI45" s="32">
        <f ca="1">+'Modelo Soja'!AC45</f>
        <v>130.21695652173912</v>
      </c>
      <c r="AJ45" s="32">
        <f ca="1">+'Modelo Soja'!AD45</f>
        <v>132.76608695652175</v>
      </c>
      <c r="AL45" s="32">
        <f>+'Modelo Farelo'!R45</f>
        <v>2180.5843530928096</v>
      </c>
      <c r="AM45" s="32">
        <f ca="1">+'Modelo Farelo'!D45</f>
        <v>2222.4178260869562</v>
      </c>
      <c r="AN45" s="32">
        <f ca="1">+'Modelo Farelo'!E45</f>
        <v>2156.3695652173915</v>
      </c>
      <c r="AO45" s="32">
        <f ca="1">+'Modelo Farelo'!F45</f>
        <v>2196.4195652173912</v>
      </c>
      <c r="AP45" s="32">
        <f t="shared" si="14"/>
        <v>2095.9553187204733</v>
      </c>
      <c r="AQ45" s="32">
        <f t="shared" si="15"/>
        <v>2035.7543530928097</v>
      </c>
      <c r="AR45" s="32">
        <f t="shared" si="16"/>
        <v>2038.3643530928096</v>
      </c>
      <c r="AT45" s="32">
        <f>+'Modelo Oleo'!E45</f>
        <v>5289.6251895652176</v>
      </c>
      <c r="AU45" s="33">
        <f>+AT45-AE45</f>
        <v>5189.7629290058612</v>
      </c>
      <c r="AV45" s="33">
        <f>+AT45-AC45</f>
        <v>5080.505934825881</v>
      </c>
      <c r="AW45" s="33">
        <f>+AT45-AA45</f>
        <v>5112.1617840096624</v>
      </c>
      <c r="BB45" s="55">
        <f>+(AT45*$AZ$2+AL45*$AZ$3)-(AG45/60*1000)</f>
        <v>343.58759412346126</v>
      </c>
      <c r="BC45" s="55">
        <f ca="1">+(AU45*$AZ$2+AM45*$AZ$3)-(AH45/60*1000)</f>
        <v>428.21615086628708</v>
      </c>
      <c r="BD45" s="55">
        <f ca="1">+(AV45*$AZ$2+AN45*$AZ$3)-(AI45/60*1000)</f>
        <v>416.12952685626442</v>
      </c>
      <c r="BE45" s="55">
        <f ca="1">+(AW45*$AZ$2+AO45*$AZ$3)-(AJ45/60*1000)</f>
        <v>409.45391020072475</v>
      </c>
      <c r="BH45" s="32">
        <f t="shared" si="17"/>
        <v>343.58759412346126</v>
      </c>
      <c r="BI45" s="32">
        <f t="shared" ca="1" si="18"/>
        <v>353.35034650532953</v>
      </c>
      <c r="BJ45" s="32">
        <f t="shared" ca="1" si="19"/>
        <v>380.42742406738853</v>
      </c>
      <c r="BK45" s="32">
        <f t="shared" ca="1" si="20"/>
        <v>362.66956741184822</v>
      </c>
    </row>
    <row r="46" spans="2:63" x14ac:dyDescent="0.3">
      <c r="B46" s="17" t="str">
        <f t="shared" si="2"/>
        <v>20248</v>
      </c>
      <c r="C46" s="17">
        <f t="shared" si="21"/>
        <v>45505</v>
      </c>
      <c r="D46" s="24">
        <f>VLOOKUP('Estudo PR'!B46,'Frete ESALQ'!$C$6:$BO$111,36,FALSE)</f>
        <v>151.75</v>
      </c>
      <c r="E46" s="24">
        <f>VLOOKUP('Estudo PR'!B46,'Frete ESALQ'!$C$6:$BO$111,47,FALSE)</f>
        <v>124.29</v>
      </c>
      <c r="F46" s="24">
        <f>VLOOKUP('Estudo PR'!B46,'Frete ESALQ'!$C$6:$BO$111,59,FALSE)</f>
        <v>125.25</v>
      </c>
      <c r="G46" s="24">
        <f>VLOOKUP('Estudo PR'!B46,'Frete ESALQ'!$C$6:$BO$111,18,FALSE)</f>
        <v>126.73</v>
      </c>
      <c r="H46" s="24">
        <f>VLOOKUP('Estudo PR'!B46,'Frete ESALQ'!$C$6:$BO$111,60,FALSE)</f>
        <v>145</v>
      </c>
      <c r="I46" s="48">
        <f t="shared" si="3"/>
        <v>75.895065600018441</v>
      </c>
      <c r="K46" s="44">
        <f t="shared" si="4"/>
        <v>0.23973143759873616</v>
      </c>
      <c r="L46" s="44">
        <f t="shared" si="22"/>
        <v>0.26056603773584908</v>
      </c>
      <c r="M46" s="44">
        <f t="shared" si="23"/>
        <v>0.24086538461538462</v>
      </c>
      <c r="N46" s="44">
        <f t="shared" si="24"/>
        <v>0.21479661016949153</v>
      </c>
      <c r="O46" s="44">
        <f t="shared" si="25"/>
        <v>0.26851851851851855</v>
      </c>
      <c r="P46" s="44">
        <f t="shared" si="5"/>
        <v>0.36664282898559636</v>
      </c>
      <c r="R46" s="44">
        <f t="shared" si="6"/>
        <v>0.36664282898559636</v>
      </c>
      <c r="S46" s="46">
        <f>AVERAGE(L46:M46,O46)</f>
        <v>0.25664998028991742</v>
      </c>
      <c r="T46" s="46">
        <f>AVERAGE(N46,K46)</f>
        <v>0.22726402388411385</v>
      </c>
      <c r="V46" s="22">
        <f t="shared" si="7"/>
        <v>0.43263853820300369</v>
      </c>
      <c r="W46" s="22">
        <f t="shared" si="0"/>
        <v>0.33364497437689267</v>
      </c>
      <c r="X46" s="22">
        <f t="shared" si="1"/>
        <v>0.3068064322435537</v>
      </c>
      <c r="Z46" s="32">
        <f t="shared" si="8"/>
        <v>194.20847161016948</v>
      </c>
      <c r="AA46" s="32">
        <f t="shared" si="9"/>
        <v>159.14865277777781</v>
      </c>
      <c r="AB46" s="32">
        <f t="shared" si="10"/>
        <v>173.49538667598418</v>
      </c>
      <c r="AC46" s="32">
        <f t="shared" si="11"/>
        <v>181.01579502369668</v>
      </c>
      <c r="AD46" s="32">
        <f t="shared" si="12"/>
        <v>180.16828616352203</v>
      </c>
      <c r="AE46" s="32">
        <f t="shared" si="13"/>
        <v>89.556177408021767</v>
      </c>
      <c r="AG46" s="33">
        <f>+'Modelo Soja'!AJ46</f>
        <v>133.21363636363637</v>
      </c>
      <c r="AH46" s="32">
        <f ca="1">+'Modelo Soja'!AB46</f>
        <v>129.61363636363637</v>
      </c>
      <c r="AI46" s="32">
        <f ca="1">+'Modelo Soja'!AC46</f>
        <v>125.91545454545457</v>
      </c>
      <c r="AJ46" s="32">
        <f ca="1">+'Modelo Soja'!AD46</f>
        <v>128.76954545454544</v>
      </c>
      <c r="AL46" s="32">
        <f>+'Modelo Farelo'!R46</f>
        <v>1974.2525777365845</v>
      </c>
      <c r="AM46" s="32">
        <f ca="1">+'Modelo Farelo'!D46</f>
        <v>2149.6799999999998</v>
      </c>
      <c r="AN46" s="32">
        <f ca="1">+'Modelo Farelo'!E46</f>
        <v>1979.3118181818181</v>
      </c>
      <c r="AO46" s="32">
        <f ca="1">+'Modelo Farelo'!F46</f>
        <v>2074.820454545455</v>
      </c>
      <c r="AP46" s="32">
        <f t="shared" si="14"/>
        <v>1898.3575121365661</v>
      </c>
      <c r="AQ46" s="32">
        <f t="shared" si="15"/>
        <v>1847.5225777365845</v>
      </c>
      <c r="AR46" s="32">
        <f t="shared" si="16"/>
        <v>1849.9625777365845</v>
      </c>
      <c r="AT46" s="32">
        <f>+'Modelo Oleo'!E46</f>
        <v>5129.6955491363642</v>
      </c>
      <c r="AU46" s="33">
        <f>+AT46-AE46</f>
        <v>5040.1393717283427</v>
      </c>
      <c r="AV46" s="33">
        <f>+AT46-AC46</f>
        <v>4948.6797541126671</v>
      </c>
      <c r="AW46" s="33">
        <f>+AT46-AA46</f>
        <v>4970.5468963585863</v>
      </c>
      <c r="BB46" s="55">
        <f>+(AT46*$AZ$2+AL46*$AZ$3)-(AG46/60*1000)</f>
        <v>241.01026687939111</v>
      </c>
      <c r="BC46" s="55">
        <f ca="1">+(AU46*$AZ$2+AM46*$AZ$3)-(AH46/60*1000)</f>
        <v>413.3631047597537</v>
      </c>
      <c r="BD46" s="55">
        <f ca="1">+(AV46*$AZ$2+AN46*$AZ$3)-(AI46/60*1000)</f>
        <v>331.09238841560591</v>
      </c>
      <c r="BE46" s="55">
        <f ca="1">+(AW46*$AZ$2+AO46*$AZ$3)-(AJ46/60*1000)</f>
        <v>358.4646902444706</v>
      </c>
      <c r="BH46" s="32">
        <f t="shared" si="17"/>
        <v>241.01026687939111</v>
      </c>
      <c r="BI46" s="32">
        <f t="shared" ca="1" si="18"/>
        <v>264.58019194460121</v>
      </c>
      <c r="BJ46" s="32">
        <f t="shared" ca="1" si="19"/>
        <v>292.08277324381697</v>
      </c>
      <c r="BK46" s="32">
        <f t="shared" ca="1" si="20"/>
        <v>291.90675870904488</v>
      </c>
    </row>
    <row r="47" spans="2:63" x14ac:dyDescent="0.3">
      <c r="B47" s="17" t="str">
        <f t="shared" si="2"/>
        <v>20249</v>
      </c>
      <c r="C47" s="17">
        <f t="shared" si="21"/>
        <v>45536</v>
      </c>
      <c r="D47" s="24">
        <f>VLOOKUP('Estudo PR'!B47,'Frete ESALQ'!$C$6:$BO$111,36,FALSE)</f>
        <v>144.30000000000001</v>
      </c>
      <c r="E47" s="24">
        <f>VLOOKUP('Estudo PR'!B47,'Frete ESALQ'!$C$6:$BO$111,47,FALSE)</f>
        <v>125.44</v>
      </c>
      <c r="F47" s="24">
        <f>VLOOKUP('Estudo PR'!B47,'Frete ESALQ'!$C$6:$BO$111,59,FALSE)</f>
        <v>124.5</v>
      </c>
      <c r="G47" s="24">
        <f>VLOOKUP('Estudo PR'!B47,'Frete ESALQ'!$C$6:$BO$111,18,FALSE)</f>
        <v>134.08000000000001</v>
      </c>
      <c r="H47" s="24">
        <f>VLOOKUP('Estudo PR'!B47,'Frete ESALQ'!$C$6:$BO$111,60,FALSE)</f>
        <v>144.09</v>
      </c>
      <c r="I47" s="48">
        <f t="shared" si="3"/>
        <v>75.824430161033945</v>
      </c>
      <c r="K47" s="44">
        <f t="shared" si="4"/>
        <v>0.22796208530805689</v>
      </c>
      <c r="L47" s="44">
        <f t="shared" si="22"/>
        <v>0.2629769392033543</v>
      </c>
      <c r="M47" s="44">
        <f t="shared" si="23"/>
        <v>0.23942307692307693</v>
      </c>
      <c r="N47" s="44">
        <f t="shared" si="24"/>
        <v>0.22725423728813562</v>
      </c>
      <c r="O47" s="44">
        <f t="shared" si="25"/>
        <v>0.26683333333333337</v>
      </c>
      <c r="P47" s="44">
        <f t="shared" si="5"/>
        <v>0.36630159498084031</v>
      </c>
      <c r="R47" s="44">
        <f t="shared" si="6"/>
        <v>0.36630159498084031</v>
      </c>
      <c r="S47" s="46">
        <f>AVERAGE(L47:M47,O47)</f>
        <v>0.25641111648658821</v>
      </c>
      <c r="T47" s="46">
        <f>AVERAGE(N47,K47)</f>
        <v>0.22760816129809625</v>
      </c>
      <c r="V47" s="22">
        <f t="shared" si="7"/>
        <v>0.43223588207739155</v>
      </c>
      <c r="W47" s="22">
        <f t="shared" si="0"/>
        <v>0.33333445143256468</v>
      </c>
      <c r="X47" s="22">
        <f t="shared" si="1"/>
        <v>0.30727101775242993</v>
      </c>
      <c r="Z47" s="32">
        <f t="shared" si="8"/>
        <v>194.50255423728814</v>
      </c>
      <c r="AA47" s="32">
        <f t="shared" si="9"/>
        <v>159.00053333333335</v>
      </c>
      <c r="AB47" s="32">
        <f t="shared" si="10"/>
        <v>173.33391474493362</v>
      </c>
      <c r="AC47" s="32">
        <f t="shared" si="11"/>
        <v>181.28990047393367</v>
      </c>
      <c r="AD47" s="32">
        <f t="shared" si="12"/>
        <v>180.00060377358494</v>
      </c>
      <c r="AE47" s="32">
        <f t="shared" si="13"/>
        <v>89.472827590020046</v>
      </c>
      <c r="AG47" s="33">
        <f>+'Modelo Soja'!AJ47</f>
        <v>139.90380952380951</v>
      </c>
      <c r="AH47" s="32">
        <f ca="1">+'Modelo Soja'!AB47</f>
        <v>136.66380952380953</v>
      </c>
      <c r="AI47" s="32">
        <f ca="1">+'Modelo Soja'!AC47</f>
        <v>133.71857142857144</v>
      </c>
      <c r="AJ47" s="32">
        <f ca="1">+'Modelo Soja'!AD47</f>
        <v>136.59000000000003</v>
      </c>
      <c r="AL47" s="32">
        <f>+'Modelo Farelo'!R47</f>
        <v>1965.9172970083116</v>
      </c>
      <c r="AM47" s="32">
        <f ca="1">+'Modelo Farelo'!D47</f>
        <v>2227.537619047619</v>
      </c>
      <c r="AN47" s="32">
        <f ca="1">+'Modelo Farelo'!E47</f>
        <v>2066.7852380952377</v>
      </c>
      <c r="AO47" s="32">
        <f ca="1">+'Modelo Farelo'!F47</f>
        <v>2139.2119047619049</v>
      </c>
      <c r="AP47" s="32">
        <f t="shared" si="14"/>
        <v>1890.0928668472777</v>
      </c>
      <c r="AQ47" s="32">
        <f t="shared" si="15"/>
        <v>1831.8372970083117</v>
      </c>
      <c r="AR47" s="32">
        <f t="shared" si="16"/>
        <v>1840.4772970083116</v>
      </c>
      <c r="AT47" s="32">
        <f>+'Modelo Oleo'!E47</f>
        <v>5315.5726588571442</v>
      </c>
      <c r="AU47" s="33">
        <f>+AT47-AE47</f>
        <v>5226.0998312671245</v>
      </c>
      <c r="AV47" s="33">
        <f>+AT47-AC47</f>
        <v>5134.2827583832104</v>
      </c>
      <c r="AW47" s="33">
        <f>+AT47-AA47</f>
        <v>5156.5721255238113</v>
      </c>
      <c r="BB47" s="55">
        <f>+(AT47*$AZ$2+AL47*$AZ$3)-(AG47/60*1000)</f>
        <v>159.58530953313539</v>
      </c>
      <c r="BC47" s="55">
        <f ca="1">+(AU47*$AZ$2+AM47*$AZ$3)-(AH47/60*1000)</f>
        <v>389.73714646216831</v>
      </c>
      <c r="BD47" s="55">
        <f ca="1">+(AV47*$AZ$2+AN47*$AZ$3)-(AI47/60*1000)</f>
        <v>301.9633569323446</v>
      </c>
      <c r="BE47" s="55">
        <f ca="1">+(AW47*$AZ$2+AO47*$AZ$3)-(AJ47/60*1000)</f>
        <v>312.04837400095221</v>
      </c>
      <c r="BH47" s="32">
        <f t="shared" si="17"/>
        <v>159.58530953313539</v>
      </c>
      <c r="BI47" s="32">
        <f t="shared" ca="1" si="18"/>
        <v>189.96985315956636</v>
      </c>
      <c r="BJ47" s="32">
        <f t="shared" ca="1" si="19"/>
        <v>232.41876637061432</v>
      </c>
      <c r="BK47" s="32">
        <f t="shared" ca="1" si="20"/>
        <v>223.62293010588883</v>
      </c>
    </row>
    <row r="48" spans="2:63" x14ac:dyDescent="0.3">
      <c r="B48" s="17" t="str">
        <f t="shared" si="2"/>
        <v>202410</v>
      </c>
      <c r="C48" s="17">
        <f t="shared" si="21"/>
        <v>45566</v>
      </c>
      <c r="D48" s="24">
        <f>VLOOKUP('Estudo PR'!B48,'Frete ESALQ'!$C$6:$BO$111,36,FALSE)</f>
        <v>137.07</v>
      </c>
      <c r="E48" s="24">
        <f>VLOOKUP('Estudo PR'!B48,'Frete ESALQ'!$C$6:$BO$111,47,FALSE)</f>
        <v>113.57</v>
      </c>
      <c r="F48" s="24">
        <f>VLOOKUP('Estudo PR'!B48,'Frete ESALQ'!$C$6:$BO$111,59,FALSE)</f>
        <v>108.88</v>
      </c>
      <c r="G48" s="24">
        <f>VLOOKUP('Estudo PR'!B48,'Frete ESALQ'!$C$6:$BO$111,18,FALSE)</f>
        <v>119.24</v>
      </c>
      <c r="H48" s="24">
        <f>VLOOKUP('Estudo PR'!B48,'Frete ESALQ'!$C$6:$BO$111,60,FALSE)</f>
        <v>125</v>
      </c>
      <c r="I48" s="48">
        <f t="shared" si="3"/>
        <v>66.925893519478436</v>
      </c>
      <c r="K48" s="44">
        <f t="shared" si="4"/>
        <v>0.21654028436018957</v>
      </c>
      <c r="L48" s="44">
        <f t="shared" si="22"/>
        <v>0.23809224318658279</v>
      </c>
      <c r="M48" s="44">
        <f t="shared" si="23"/>
        <v>0.20938461538461536</v>
      </c>
      <c r="N48" s="44">
        <f t="shared" si="24"/>
        <v>0.20210169491525423</v>
      </c>
      <c r="O48" s="44">
        <f t="shared" si="25"/>
        <v>0.23148148148148148</v>
      </c>
      <c r="P48" s="44">
        <f t="shared" si="5"/>
        <v>0.32331349526318082</v>
      </c>
      <c r="R48" s="44">
        <f t="shared" si="6"/>
        <v>0.32331349526318082</v>
      </c>
      <c r="S48" s="46">
        <f>AVERAGE(L48:M48,O48)</f>
        <v>0.22631944668422654</v>
      </c>
      <c r="T48" s="46">
        <f>AVERAGE(N48,K48)</f>
        <v>0.20932098963772189</v>
      </c>
      <c r="V48" s="22">
        <f t="shared" si="7"/>
        <v>0.38150992441055337</v>
      </c>
      <c r="W48" s="22">
        <f t="shared" si="0"/>
        <v>0.29421528068949454</v>
      </c>
      <c r="X48" s="22">
        <f t="shared" si="1"/>
        <v>0.28258333601092456</v>
      </c>
      <c r="Z48" s="32">
        <f t="shared" si="8"/>
        <v>178.87525169491525</v>
      </c>
      <c r="AA48" s="32">
        <f t="shared" si="9"/>
        <v>140.34068888888891</v>
      </c>
      <c r="AB48" s="32">
        <f t="shared" si="10"/>
        <v>152.99194595853717</v>
      </c>
      <c r="AC48" s="32">
        <f t="shared" si="11"/>
        <v>166.72416824644549</v>
      </c>
      <c r="AD48" s="32">
        <f t="shared" si="12"/>
        <v>158.87625157232705</v>
      </c>
      <c r="AE48" s="32">
        <f t="shared" si="13"/>
        <v>78.972554352984545</v>
      </c>
      <c r="AG48" s="33">
        <f>+'Modelo Soja'!AJ48</f>
        <v>141.8326086956522</v>
      </c>
      <c r="AH48" s="32">
        <f ca="1">+'Modelo Soja'!AB48</f>
        <v>139.96434782608694</v>
      </c>
      <c r="AI48" s="32">
        <f ca="1">+'Modelo Soja'!AC48</f>
        <v>137.83043478260871</v>
      </c>
      <c r="AJ48" s="32">
        <f ca="1">+'Modelo Soja'!AD48</f>
        <v>139.88260869565218</v>
      </c>
      <c r="AL48" s="32">
        <f>+'Modelo Farelo'!R48</f>
        <v>1970.205982260155</v>
      </c>
      <c r="AM48" s="32">
        <f ca="1">+'Modelo Farelo'!D48</f>
        <v>2233.5556521739131</v>
      </c>
      <c r="AN48" s="32">
        <f ca="1">+'Modelo Farelo'!E48</f>
        <v>2149.6726086956523</v>
      </c>
      <c r="AO48" s="32">
        <f ca="1">+'Modelo Farelo'!F48</f>
        <v>2186.9882608695652</v>
      </c>
      <c r="AP48" s="32">
        <f t="shared" si="14"/>
        <v>1903.2800887406765</v>
      </c>
      <c r="AQ48" s="32">
        <f t="shared" si="15"/>
        <v>1850.965982260155</v>
      </c>
      <c r="AR48" s="32">
        <f t="shared" si="16"/>
        <v>1856.6359822601551</v>
      </c>
      <c r="AT48" s="32">
        <f>+'Modelo Oleo'!E48</f>
        <v>5951.5333270000001</v>
      </c>
      <c r="AU48" s="33">
        <f>+AT48-AE48</f>
        <v>5872.5607726470153</v>
      </c>
      <c r="AV48" s="33">
        <f>+AT48-AC48</f>
        <v>5784.8091587535546</v>
      </c>
      <c r="AW48" s="33">
        <f>+AT48-AA48</f>
        <v>5811.1926381111116</v>
      </c>
      <c r="BB48" s="55">
        <f>+(AT48*$AZ$2+AL48*$AZ$3)-(AG48/60*1000)</f>
        <v>254.62461404331134</v>
      </c>
      <c r="BC48" s="55">
        <f ca="1">+(AU48*$AZ$2+AM48*$AZ$3)-(AH48/60*1000)</f>
        <v>465.24140284008172</v>
      </c>
      <c r="BD48" s="55">
        <f ca="1">+(AV48*$AZ$2+AN48*$AZ$3)-(AI48/60*1000)</f>
        <v>421.62160334824739</v>
      </c>
      <c r="BE48" s="55">
        <f ca="1">+(AW48*$AZ$2+AO48*$AZ$3)-(AJ48/60*1000)</f>
        <v>420.17706588094188</v>
      </c>
      <c r="BH48" s="32">
        <f t="shared" si="17"/>
        <v>254.62461404331134</v>
      </c>
      <c r="BI48" s="32">
        <f t="shared" ca="1" si="18"/>
        <v>269.71826928760584</v>
      </c>
      <c r="BJ48" s="32">
        <f t="shared" ca="1" si="19"/>
        <v>333.20444192334026</v>
      </c>
      <c r="BK48" s="32">
        <f t="shared" ca="1" si="20"/>
        <v>322.39279141255656</v>
      </c>
    </row>
    <row r="49" spans="2:63" x14ac:dyDescent="0.3">
      <c r="B49" s="17" t="str">
        <f t="shared" si="2"/>
        <v>202411</v>
      </c>
      <c r="C49" s="17">
        <f t="shared" si="21"/>
        <v>45597</v>
      </c>
      <c r="D49" s="24">
        <f>VLOOKUP('Estudo PR'!B49,'Frete ESALQ'!$C$6:$BO$111,36,FALSE)</f>
        <v>137.66</v>
      </c>
      <c r="E49" s="24">
        <f>VLOOKUP('Estudo PR'!B49,'Frete ESALQ'!$C$6:$BO$111,47,FALSE)</f>
        <v>106.67</v>
      </c>
      <c r="F49" s="24">
        <f>VLOOKUP('Estudo PR'!B49,'Frete ESALQ'!$C$6:$BO$111,59,FALSE)</f>
        <v>101.6</v>
      </c>
      <c r="G49" s="24">
        <f>VLOOKUP('Estudo PR'!B49,'Frete ESALQ'!$C$6:$BO$111,18,FALSE)</f>
        <v>104</v>
      </c>
      <c r="H49" s="24">
        <f>VLOOKUP('Estudo PR'!B49,'Frete ESALQ'!$C$6:$BO$111,60,FALSE)</f>
        <v>110</v>
      </c>
      <c r="I49" s="48">
        <f t="shared" si="3"/>
        <v>61.381922270601528</v>
      </c>
      <c r="K49" s="44">
        <f t="shared" si="4"/>
        <v>0.21747235387045813</v>
      </c>
      <c r="L49" s="44">
        <f t="shared" si="22"/>
        <v>0.22362683438155137</v>
      </c>
      <c r="M49" s="44">
        <f t="shared" si="23"/>
        <v>0.19538461538461538</v>
      </c>
      <c r="N49" s="44">
        <f t="shared" si="24"/>
        <v>0.17627118644067796</v>
      </c>
      <c r="O49" s="44">
        <f t="shared" si="25"/>
        <v>0.20370370370370369</v>
      </c>
      <c r="P49" s="44">
        <f t="shared" si="5"/>
        <v>0.29653102546184312</v>
      </c>
      <c r="R49" s="44">
        <f t="shared" si="6"/>
        <v>0.29653102546184312</v>
      </c>
      <c r="S49" s="46">
        <f>AVERAGE(L49:M49,O49)</f>
        <v>0.20757171782329017</v>
      </c>
      <c r="T49" s="46">
        <f>AVERAGE(N49,K49)</f>
        <v>0.19687177015556806</v>
      </c>
      <c r="V49" s="22">
        <f t="shared" si="7"/>
        <v>0.34990661004497486</v>
      </c>
      <c r="W49" s="22">
        <f t="shared" si="0"/>
        <v>0.26984323317027725</v>
      </c>
      <c r="X49" s="22">
        <f t="shared" si="1"/>
        <v>0.26577688971001689</v>
      </c>
      <c r="Z49" s="32">
        <f t="shared" si="8"/>
        <v>168.23677118644071</v>
      </c>
      <c r="AA49" s="32">
        <f t="shared" si="9"/>
        <v>128.71522222222225</v>
      </c>
      <c r="AB49" s="32">
        <f t="shared" si="10"/>
        <v>140.31848124854417</v>
      </c>
      <c r="AC49" s="32">
        <f t="shared" si="11"/>
        <v>156.80836492890998</v>
      </c>
      <c r="AD49" s="32">
        <f t="shared" si="12"/>
        <v>145.71534591194973</v>
      </c>
      <c r="AE49" s="32">
        <f t="shared" si="13"/>
        <v>72.430668279309799</v>
      </c>
      <c r="AG49" s="33">
        <f>+'Modelo Soja'!AJ49</f>
        <v>143.40736842105261</v>
      </c>
      <c r="AH49" s="32">
        <f ca="1">+'Modelo Soja'!AB49</f>
        <v>139.48315789473682</v>
      </c>
      <c r="AI49" s="32">
        <f ca="1">+'Modelo Soja'!AC49</f>
        <v>138.70631578947368</v>
      </c>
      <c r="AJ49" s="32">
        <f ca="1">+'Modelo Soja'!AD49</f>
        <v>140.46947368421053</v>
      </c>
      <c r="AL49" s="32">
        <f>+'Modelo Farelo'!R49</f>
        <v>1870.3310234804035</v>
      </c>
      <c r="AM49" s="32">
        <f ca="1">+'Modelo Farelo'!D49</f>
        <v>2087.9100000000003</v>
      </c>
      <c r="AN49" s="32">
        <f ca="1">+'Modelo Farelo'!E49</f>
        <v>2007.6984210526314</v>
      </c>
      <c r="AO49" s="32">
        <f ca="1">+'Modelo Farelo'!F49</f>
        <v>2014.7806666666668</v>
      </c>
      <c r="AP49" s="32">
        <f t="shared" si="14"/>
        <v>1808.9491012098019</v>
      </c>
      <c r="AQ49" s="32">
        <f t="shared" si="15"/>
        <v>1766.3310234804035</v>
      </c>
      <c r="AR49" s="32">
        <f t="shared" si="16"/>
        <v>1763.6610234804034</v>
      </c>
      <c r="AT49" s="32">
        <f>+'Modelo Oleo'!E49</f>
        <v>6377.4681748095236</v>
      </c>
      <c r="AU49" s="33">
        <f>+AT49-AE49</f>
        <v>6305.0375065302142</v>
      </c>
      <c r="AV49" s="33">
        <f>+AT49-AC49</f>
        <v>6220.6598098806135</v>
      </c>
      <c r="AW49" s="33">
        <f>+AT49-AA49</f>
        <v>6248.7529525873015</v>
      </c>
      <c r="BB49" s="55">
        <f>+(AT49*$AZ$2+AL49*$AZ$3)-(AG49/60*1000)</f>
        <v>237.52844444581251</v>
      </c>
      <c r="BC49" s="55">
        <f ca="1">+(AU49*$AZ$2+AM49*$AZ$3)-(AH49/60*1000)</f>
        <v>449.81641552777819</v>
      </c>
      <c r="BD49" s="55">
        <f ca="1">+(AV49*$AZ$2+AN49*$AZ$3)-(AI49/60*1000)</f>
        <v>386.95356468110549</v>
      </c>
      <c r="BE49" s="55">
        <f ca="1">+(AW49*$AZ$2+AO49*$AZ$3)-(AJ49/60*1000)</f>
        <v>368.28662435101432</v>
      </c>
      <c r="BH49" s="32">
        <f t="shared" si="17"/>
        <v>237.52844444581251</v>
      </c>
      <c r="BI49" s="32">
        <f t="shared" ca="1" si="18"/>
        <v>284.67156344398109</v>
      </c>
      <c r="BJ49" s="32">
        <f t="shared" ca="1" si="19"/>
        <v>315.50881499972638</v>
      </c>
      <c r="BK49" s="32">
        <f t="shared" ca="1" si="20"/>
        <v>293.95520996788036</v>
      </c>
    </row>
    <row r="50" spans="2:63" x14ac:dyDescent="0.3">
      <c r="B50" s="17" t="str">
        <f t="shared" si="2"/>
        <v>202412</v>
      </c>
      <c r="C50" s="17">
        <f t="shared" si="21"/>
        <v>45627</v>
      </c>
      <c r="D50" s="24">
        <f>VLOOKUP('Estudo PR'!B50,'Frete ESALQ'!$C$6:$BO$111,36,FALSE)</f>
        <v>122.55</v>
      </c>
      <c r="E50" s="24">
        <f>VLOOKUP('Estudo PR'!B50,'Frete ESALQ'!$C$6:$BO$111,47,FALSE)</f>
        <v>102.5</v>
      </c>
      <c r="F50" s="24">
        <f>VLOOKUP('Estudo PR'!B50,'Frete ESALQ'!$C$6:$BO$111,59,FALSE)</f>
        <v>99</v>
      </c>
      <c r="G50" s="24">
        <f>VLOOKUP('Estudo PR'!B50,'Frete ESALQ'!$C$6:$BO$111,18,FALSE)</f>
        <v>100</v>
      </c>
      <c r="H50" s="24">
        <f>VLOOKUP('Estudo PR'!B50,'Frete ESALQ'!$C$6:$BO$111,60,FALSE)</f>
        <v>110</v>
      </c>
      <c r="I50" s="48">
        <f t="shared" si="3"/>
        <v>60.027340060358938</v>
      </c>
      <c r="K50" s="44">
        <f t="shared" si="4"/>
        <v>0.19360189573459716</v>
      </c>
      <c r="L50" s="44">
        <f t="shared" si="22"/>
        <v>0.21488469601677149</v>
      </c>
      <c r="M50" s="44">
        <f t="shared" si="23"/>
        <v>0.19038461538461537</v>
      </c>
      <c r="N50" s="44">
        <f t="shared" si="24"/>
        <v>0.16949152542372881</v>
      </c>
      <c r="O50" s="44">
        <f t="shared" si="25"/>
        <v>0.20370370370370369</v>
      </c>
      <c r="P50" s="44">
        <f t="shared" si="5"/>
        <v>0.28998715005004316</v>
      </c>
      <c r="R50" s="44">
        <f t="shared" si="6"/>
        <v>0.28998715005004316</v>
      </c>
      <c r="S50" s="46">
        <f>AVERAGE(L50:M50,O50)</f>
        <v>0.2029910050350302</v>
      </c>
      <c r="T50" s="46">
        <f>AVERAGE(N50,K50)</f>
        <v>0.181546710579163</v>
      </c>
      <c r="V50" s="22">
        <f t="shared" si="7"/>
        <v>0.34218483705905089</v>
      </c>
      <c r="W50" s="22">
        <f t="shared" si="0"/>
        <v>0.2638883065455393</v>
      </c>
      <c r="X50" s="22">
        <f t="shared" si="1"/>
        <v>0.24508805928187005</v>
      </c>
      <c r="Z50" s="32">
        <f t="shared" si="8"/>
        <v>155.14074152542375</v>
      </c>
      <c r="AA50" s="32">
        <f t="shared" si="9"/>
        <v>125.87472222222225</v>
      </c>
      <c r="AB50" s="32">
        <f t="shared" si="10"/>
        <v>137.22191940368043</v>
      </c>
      <c r="AC50" s="32">
        <f t="shared" si="11"/>
        <v>144.60195497630332</v>
      </c>
      <c r="AD50" s="32">
        <f t="shared" si="12"/>
        <v>142.49968553459121</v>
      </c>
      <c r="AE50" s="32">
        <f t="shared" si="13"/>
        <v>70.83226127122353</v>
      </c>
      <c r="AG50" s="33">
        <f>+'Modelo Soja'!AJ50</f>
        <v>141.16947368421052</v>
      </c>
      <c r="AH50" s="32">
        <f ca="1">+'Modelo Soja'!AB50</f>
        <v>138.64368421052632</v>
      </c>
      <c r="AI50" s="32">
        <f ca="1">+'Modelo Soja'!AC50</f>
        <v>135.31947368421052</v>
      </c>
      <c r="AJ50" s="32">
        <f ca="1">+'Modelo Soja'!AD50</f>
        <v>138.47210526315789</v>
      </c>
      <c r="AL50" s="32">
        <f>+'Modelo Farelo'!R50</f>
        <v>1954.6830696457284</v>
      </c>
      <c r="AM50" s="32">
        <f ca="1">+'Modelo Farelo'!D50</f>
        <v>2096.4563157894736</v>
      </c>
      <c r="AN50" s="32">
        <f ca="1">+'Modelo Farelo'!E50</f>
        <v>1917.9410526315785</v>
      </c>
      <c r="AO50" s="32">
        <f ca="1">+'Modelo Farelo'!F50</f>
        <v>1987.1810526315794</v>
      </c>
      <c r="AP50" s="32">
        <f t="shared" si="14"/>
        <v>1894.6557295853695</v>
      </c>
      <c r="AQ50" s="32">
        <f t="shared" si="15"/>
        <v>1854.6830696457284</v>
      </c>
      <c r="AR50" s="32">
        <f t="shared" si="16"/>
        <v>1852.1830696457284</v>
      </c>
      <c r="AT50" s="32">
        <f>+'Modelo Oleo'!E50</f>
        <v>6125.6739538500015</v>
      </c>
      <c r="AU50" s="33">
        <f>+AT50-AE50</f>
        <v>6054.8416925787778</v>
      </c>
      <c r="AV50" s="33">
        <f>+AT50-AC50</f>
        <v>5981.0719988736982</v>
      </c>
      <c r="AW50" s="33">
        <f>+AT50-AA50</f>
        <v>5999.7992316277796</v>
      </c>
      <c r="BB50" s="55">
        <f>+(AT50*$AZ$2+AL50*$AZ$3)-(AG50/60*1000)</f>
        <v>288.147331135081</v>
      </c>
      <c r="BC50" s="55">
        <f ca="1">+(AU50*$AZ$2+AM50*$AZ$3)-(AH50/60*1000)</f>
        <v>421.34373356163405</v>
      </c>
      <c r="BD50" s="55">
        <f ca="1">+(AV50*$AZ$2+AN50*$AZ$3)-(AI50/60*1000)</f>
        <v>330.26085732423007</v>
      </c>
      <c r="BE50" s="55">
        <f ca="1">+(AW50*$AZ$2+AO50*$AZ$3)-(AJ50/60*1000)</f>
        <v>332.60640806215406</v>
      </c>
      <c r="BH50" s="32">
        <f t="shared" si="17"/>
        <v>288.147331135081</v>
      </c>
      <c r="BI50" s="32">
        <f t="shared" ca="1" si="18"/>
        <v>301.87778652880434</v>
      </c>
      <c r="BJ50" s="32">
        <f t="shared" ca="1" si="19"/>
        <v>311.5364943604186</v>
      </c>
      <c r="BK50" s="32">
        <f t="shared" ca="1" si="20"/>
        <v>292.64700509834211</v>
      </c>
    </row>
    <row r="51" spans="2:63" x14ac:dyDescent="0.3">
      <c r="B51" s="17" t="str">
        <f t="shared" si="2"/>
        <v>20251</v>
      </c>
      <c r="C51" s="17">
        <f t="shared" si="21"/>
        <v>45658</v>
      </c>
      <c r="D51" s="24">
        <f>VLOOKUP('Estudo PR'!B51,'Frete ESALQ'!$C$6:$BO$111,36,FALSE)</f>
        <v>146</v>
      </c>
      <c r="E51" s="24">
        <f>VLOOKUP('Estudo PR'!B51,'Frete ESALQ'!$C$6:$BO$111,47,FALSE)</f>
        <v>113.33</v>
      </c>
      <c r="F51" s="24">
        <f>VLOOKUP('Estudo PR'!B51,'Frete ESALQ'!$C$6:$BO$111,59,FALSE)</f>
        <v>124.67</v>
      </c>
      <c r="G51" s="24">
        <f>VLOOKUP('Estudo PR'!B51,'Frete ESALQ'!$C$6:$BO$111,18,FALSE)</f>
        <v>147.22</v>
      </c>
      <c r="H51" s="24">
        <f>VLOOKUP('Estudo PR'!B51,'Frete ESALQ'!$C$6:$BO$111,60,FALSE)</f>
        <v>152</v>
      </c>
      <c r="I51" s="48">
        <f t="shared" si="3"/>
        <v>74.798028601377652</v>
      </c>
      <c r="K51" s="44">
        <f t="shared" si="4"/>
        <v>0.23064770932069512</v>
      </c>
      <c r="L51" s="44">
        <f t="shared" si="22"/>
        <v>0.23758909853249477</v>
      </c>
      <c r="M51" s="44">
        <f t="shared" si="23"/>
        <v>0.23974999999999999</v>
      </c>
      <c r="N51" s="44">
        <f t="shared" si="24"/>
        <v>0.24952542372881356</v>
      </c>
      <c r="O51" s="44">
        <f t="shared" si="25"/>
        <v>0.2814814814814815</v>
      </c>
      <c r="P51" s="44">
        <f t="shared" si="5"/>
        <v>0.36134313333998869</v>
      </c>
      <c r="R51" s="44">
        <f t="shared" si="6"/>
        <v>0.36134313333998869</v>
      </c>
      <c r="S51" s="46">
        <f>AVERAGE(L51:M51,O51)</f>
        <v>0.25294019333799206</v>
      </c>
      <c r="T51" s="46">
        <f>AVERAGE(N51,K51)</f>
        <v>0.24008656652475435</v>
      </c>
      <c r="V51" s="22">
        <f t="shared" si="7"/>
        <v>0.42638489734118662</v>
      </c>
      <c r="W51" s="22">
        <f t="shared" si="0"/>
        <v>0.32882225133938969</v>
      </c>
      <c r="X51" s="22">
        <f t="shared" si="1"/>
        <v>0.32411686480841839</v>
      </c>
      <c r="Z51" s="32">
        <f t="shared" si="8"/>
        <v>205.16597542372884</v>
      </c>
      <c r="AA51" s="32">
        <f t="shared" si="9"/>
        <v>156.84821388888889</v>
      </c>
      <c r="AB51" s="32">
        <f t="shared" si="10"/>
        <v>170.98757069648263</v>
      </c>
      <c r="AC51" s="32">
        <f t="shared" si="11"/>
        <v>191.22895023696685</v>
      </c>
      <c r="AD51" s="32">
        <f t="shared" si="12"/>
        <v>177.56401572327044</v>
      </c>
      <c r="AE51" s="32">
        <f t="shared" si="13"/>
        <v>88.261673749625629</v>
      </c>
      <c r="AG51" s="33">
        <f>+'Modelo Soja'!AJ51</f>
        <v>134.62181818181816</v>
      </c>
      <c r="AH51" s="32">
        <f ca="1">+'Modelo Soja'!AB51</f>
        <v>130.69818181818184</v>
      </c>
      <c r="AI51" s="32">
        <f ca="1">+'Modelo Soja'!AC51</f>
        <v>126.46045454545452</v>
      </c>
      <c r="AJ51" s="32">
        <f ca="1">+'Modelo Soja'!AD51</f>
        <v>128.16590909090908</v>
      </c>
      <c r="AL51" s="32">
        <f>+'Modelo Farelo'!R51</f>
        <v>2001.7319496949046</v>
      </c>
      <c r="AM51" s="32">
        <f ca="1">+'Modelo Farelo'!D51</f>
        <v>2118.8904545454548</v>
      </c>
      <c r="AN51" s="32">
        <f ca="1">+'Modelo Farelo'!E51</f>
        <v>1972.7595454545444</v>
      </c>
      <c r="AO51" s="32">
        <f ca="1">+'Modelo Farelo'!F51</f>
        <v>2036.2418181818177</v>
      </c>
      <c r="AP51" s="32">
        <f t="shared" si="14"/>
        <v>1926.933921093527</v>
      </c>
      <c r="AQ51" s="32">
        <f t="shared" si="15"/>
        <v>1854.5119496949046</v>
      </c>
      <c r="AR51" s="32">
        <f t="shared" si="16"/>
        <v>1888.4019496949047</v>
      </c>
      <c r="AT51" s="32">
        <f>+'Modelo Oleo'!E51</f>
        <v>6065.2193968695647</v>
      </c>
      <c r="AU51" s="33">
        <f>+AT51-AE51</f>
        <v>5976.9577231199391</v>
      </c>
      <c r="AV51" s="33">
        <f>+AT51-AC51</f>
        <v>5873.9904466325979</v>
      </c>
      <c r="AW51" s="33">
        <f>+AT51-AA51</f>
        <v>5908.3711829806762</v>
      </c>
      <c r="BB51" s="55">
        <f>+(AT51*$AZ$2+AL51*$AZ$3)-(AG51/60*1000)</f>
        <v>420.30245546682499</v>
      </c>
      <c r="BC51" s="55">
        <f ca="1">+(AU51*$AZ$2+AM51*$AZ$3)-(AH51/60*1000)</f>
        <v>555.18266206899398</v>
      </c>
      <c r="BD51" s="55">
        <f ca="1">+(AV51*$AZ$2+AN51*$AZ$3)-(AI51/60*1000)</f>
        <v>497.59595830547687</v>
      </c>
      <c r="BE51" s="55">
        <f ca="1">+(AW51*$AZ$2+AO51*$AZ$3)-(AJ51/60*1000)</f>
        <v>522.85284128729245</v>
      </c>
      <c r="BH51" s="32">
        <f t="shared" si="17"/>
        <v>420.30245546682499</v>
      </c>
      <c r="BI51" s="32">
        <f t="shared" ca="1" si="18"/>
        <v>441.54439426545332</v>
      </c>
      <c r="BJ51" s="32">
        <f t="shared" ca="1" si="19"/>
        <v>462.59466996062338</v>
      </c>
      <c r="BK51" s="32">
        <f t="shared" ca="1" si="20"/>
        <v>479.09224021516593</v>
      </c>
    </row>
    <row r="52" spans="2:63" x14ac:dyDescent="0.3">
      <c r="B52" s="17" t="str">
        <f t="shared" si="2"/>
        <v>20252</v>
      </c>
      <c r="C52" s="17">
        <f t="shared" si="21"/>
        <v>45689</v>
      </c>
      <c r="D52" s="24">
        <f>VLOOKUP('Estudo PR'!B52,'Frete ESALQ'!$C$6:$BO$111,36,FALSE)</f>
        <v>155</v>
      </c>
      <c r="E52" s="24">
        <f>VLOOKUP('Estudo PR'!B52,'Frete ESALQ'!$C$6:$BO$111,47,FALSE)</f>
        <v>146.25</v>
      </c>
      <c r="F52" s="24">
        <f>VLOOKUP('Estudo PR'!B52,'Frete ESALQ'!$C$6:$BO$111,59,FALSE)</f>
        <v>146.88</v>
      </c>
      <c r="G52" s="24">
        <f>VLOOKUP('Estudo PR'!B52,'Frete ESALQ'!$C$6:$BO$111,18,FALSE)</f>
        <v>162.93</v>
      </c>
      <c r="H52" s="24">
        <f>VLOOKUP('Estudo PR'!B52,'Frete ESALQ'!$C$6:$BO$111,60,FALSE)</f>
        <v>159.78</v>
      </c>
      <c r="I52" s="48">
        <f t="shared" si="3"/>
        <v>87.23119980648282</v>
      </c>
      <c r="K52" s="44">
        <f t="shared" si="4"/>
        <v>0.24486571879936808</v>
      </c>
      <c r="L52" s="44">
        <f t="shared" si="22"/>
        <v>0.30660377358490565</v>
      </c>
      <c r="M52" s="44">
        <f t="shared" si="23"/>
        <v>0.28246153846153843</v>
      </c>
      <c r="N52" s="44">
        <f t="shared" si="24"/>
        <v>0.27615254237288139</v>
      </c>
      <c r="O52" s="44">
        <f t="shared" si="25"/>
        <v>0.29588888888888887</v>
      </c>
      <c r="P52" s="44">
        <f t="shared" si="5"/>
        <v>0.42140676235015856</v>
      </c>
      <c r="R52" s="44">
        <f t="shared" si="6"/>
        <v>0.42140676235015856</v>
      </c>
      <c r="S52" s="46">
        <f>AVERAGE(L52:M52,O52)</f>
        <v>0.29498473364511096</v>
      </c>
      <c r="T52" s="46">
        <f>AVERAGE(N52,K52)</f>
        <v>0.26050913058612474</v>
      </c>
      <c r="V52" s="22">
        <f t="shared" si="7"/>
        <v>0.49725997957318707</v>
      </c>
      <c r="W52" s="22">
        <f t="shared" si="0"/>
        <v>0.38348015373864425</v>
      </c>
      <c r="X52" s="22">
        <f t="shared" si="1"/>
        <v>0.35168732629126842</v>
      </c>
      <c r="Z52" s="32">
        <f t="shared" si="8"/>
        <v>222.6180775423729</v>
      </c>
      <c r="AA52" s="32">
        <f t="shared" si="9"/>
        <v>182.92003333333329</v>
      </c>
      <c r="AB52" s="32">
        <f t="shared" si="10"/>
        <v>199.40967994409502</v>
      </c>
      <c r="AC52" s="32">
        <f t="shared" si="11"/>
        <v>207.49552251184838</v>
      </c>
      <c r="AD52" s="32">
        <f t="shared" si="12"/>
        <v>207.0792830188679</v>
      </c>
      <c r="AE52" s="32">
        <f t="shared" si="13"/>
        <v>102.93281577164973</v>
      </c>
      <c r="AG52" s="33">
        <f>+'Modelo Soja'!AJ52</f>
        <v>131.56800000000001</v>
      </c>
      <c r="AH52" s="32">
        <f ca="1">+'Modelo Soja'!AB52</f>
        <v>127.59349999999999</v>
      </c>
      <c r="AI52" s="32">
        <f ca="1">+'Modelo Soja'!AC52</f>
        <v>122.80899999999997</v>
      </c>
      <c r="AJ52" s="32">
        <f ca="1">+'Modelo Soja'!AD52</f>
        <v>123.73000000000002</v>
      </c>
      <c r="AL52" s="32">
        <f>+'Modelo Farelo'!R52</f>
        <v>1891.5294900275112</v>
      </c>
      <c r="AM52" s="32">
        <f ca="1">+'Modelo Farelo'!D52</f>
        <v>2008.0545000000002</v>
      </c>
      <c r="AN52" s="32">
        <f ca="1">+'Modelo Farelo'!E52</f>
        <v>1968.0319999999999</v>
      </c>
      <c r="AO52" s="32">
        <f ca="1">+'Modelo Farelo'!F52</f>
        <v>1957.7020000000005</v>
      </c>
      <c r="AP52" s="32">
        <f t="shared" si="14"/>
        <v>1804.2982902210283</v>
      </c>
      <c r="AQ52" s="32">
        <f t="shared" si="15"/>
        <v>1728.5994900275111</v>
      </c>
      <c r="AR52" s="32">
        <f t="shared" si="16"/>
        <v>1745.2794900275112</v>
      </c>
      <c r="AT52" s="32">
        <f>+'Modelo Oleo'!E52</f>
        <v>6043.3775714499998</v>
      </c>
      <c r="AU52" s="33">
        <f>+AT52-AE52</f>
        <v>5940.4447556783498</v>
      </c>
      <c r="AV52" s="33">
        <f>+AT52-AC52</f>
        <v>5835.8820489381515</v>
      </c>
      <c r="AW52" s="33">
        <f>+AT52-AA52</f>
        <v>5860.4575381166669</v>
      </c>
      <c r="BB52" s="55">
        <f>+(AT52*$AZ$2+AL52*$AZ$3)-(AG52/60*1000)</f>
        <v>385.39044905310811</v>
      </c>
      <c r="BC52" s="55">
        <f ca="1">+(AU52*$AZ$2+AM52*$AZ$3)-(AH52/60*1000)</f>
        <v>517.78872402394563</v>
      </c>
      <c r="BD52" s="55">
        <f ca="1">+(AV52*$AZ$2+AN52*$AZ$3)-(AI52/60*1000)</f>
        <v>547.52401287627345</v>
      </c>
      <c r="BE52" s="55">
        <f ca="1">+(AW52*$AZ$2+AO52*$AZ$3)-(AJ52/60*1000)</f>
        <v>529.32203326608305</v>
      </c>
      <c r="BH52" s="32">
        <f t="shared" si="17"/>
        <v>385.39044905310811</v>
      </c>
      <c r="BI52" s="32">
        <f t="shared" ca="1" si="18"/>
        <v>397.16504783479422</v>
      </c>
      <c r="BJ52" s="32">
        <f t="shared" ca="1" si="19"/>
        <v>476.65198992441674</v>
      </c>
      <c r="BK52" s="32">
        <f t="shared" ca="1" si="20"/>
        <v>466.44497031422634</v>
      </c>
    </row>
    <row r="53" spans="2:63" x14ac:dyDescent="0.3">
      <c r="B53" s="17" t="str">
        <f t="shared" si="2"/>
        <v>20253</v>
      </c>
      <c r="C53" s="17">
        <f t="shared" si="21"/>
        <v>45717</v>
      </c>
      <c r="D53" s="24">
        <f>VLOOKUP('Estudo PR'!B53,'Frete ESALQ'!$C$6:$BO$111,36,FALSE)</f>
        <v>174.1</v>
      </c>
      <c r="E53" s="24">
        <f>VLOOKUP('Estudo PR'!B53,'Frete ESALQ'!$C$6:$BO$111,47,FALSE)</f>
        <v>143.75</v>
      </c>
      <c r="F53" s="24">
        <f>VLOOKUP('Estudo PR'!B53,'Frete ESALQ'!$C$6:$BO$111,59,FALSE)</f>
        <v>138.63</v>
      </c>
      <c r="G53" s="24">
        <f>VLOOKUP('Estudo PR'!B53,'Frete ESALQ'!$C$6:$BO$111,18,FALSE)</f>
        <v>172.14</v>
      </c>
      <c r="H53" s="24">
        <f>VLOOKUP('Estudo PR'!B53,'Frete ESALQ'!$C$6:$BO$111,60,FALSE)</f>
        <v>151.25</v>
      </c>
      <c r="I53" s="48">
        <f t="shared" si="3"/>
        <v>83.593640945008872</v>
      </c>
      <c r="K53" s="44">
        <f t="shared" si="4"/>
        <v>0.27503949447077408</v>
      </c>
      <c r="L53" s="44">
        <f t="shared" si="22"/>
        <v>0.30136268343815514</v>
      </c>
      <c r="M53" s="44">
        <f t="shared" si="23"/>
        <v>0.26659615384615382</v>
      </c>
      <c r="N53" s="44">
        <f t="shared" si="24"/>
        <v>0.29176271186440678</v>
      </c>
      <c r="O53" s="44">
        <f t="shared" si="25"/>
        <v>0.28009259259259262</v>
      </c>
      <c r="P53" s="44">
        <f t="shared" si="5"/>
        <v>0.40383401422709603</v>
      </c>
      <c r="R53" s="44">
        <f t="shared" si="6"/>
        <v>0.40383401422709603</v>
      </c>
      <c r="S53" s="46">
        <f>AVERAGE(L53:M53,O53)</f>
        <v>0.28268380995896719</v>
      </c>
      <c r="T53" s="46">
        <f>AVERAGE(N53,K53)</f>
        <v>0.28340110316759043</v>
      </c>
      <c r="V53" s="22">
        <f t="shared" si="7"/>
        <v>0.47652413678797328</v>
      </c>
      <c r="W53" s="22">
        <f t="shared" si="0"/>
        <v>0.36748895294665734</v>
      </c>
      <c r="X53" s="22">
        <f t="shared" si="1"/>
        <v>0.38259148927624709</v>
      </c>
      <c r="Z53" s="32">
        <f t="shared" si="8"/>
        <v>242.18041271186442</v>
      </c>
      <c r="AA53" s="32">
        <f t="shared" si="9"/>
        <v>175.29223055555556</v>
      </c>
      <c r="AB53" s="32">
        <f t="shared" si="10"/>
        <v>191.09425553226183</v>
      </c>
      <c r="AC53" s="32">
        <f t="shared" si="11"/>
        <v>225.72897867298579</v>
      </c>
      <c r="AD53" s="32">
        <f t="shared" si="12"/>
        <v>198.44403459119496</v>
      </c>
      <c r="AE53" s="32">
        <f t="shared" si="13"/>
        <v>98.640496315110468</v>
      </c>
      <c r="AG53" s="33">
        <f>+'Modelo Soja'!AJ53</f>
        <v>133.49</v>
      </c>
      <c r="AH53" s="32">
        <f ca="1">+'Modelo Soja'!AB53</f>
        <v>129.41000000000005</v>
      </c>
      <c r="AI53" s="32">
        <f ca="1">+'Modelo Soja'!AC53</f>
        <v>124.48368421052629</v>
      </c>
      <c r="AJ53" s="32">
        <f ca="1">+'Modelo Soja'!AD53</f>
        <v>125.90473684210527</v>
      </c>
      <c r="AL53" s="32">
        <f>+'Modelo Farelo'!R53</f>
        <v>1876.0981335147435</v>
      </c>
      <c r="AM53" s="32">
        <f ca="1">+'Modelo Farelo'!D53</f>
        <v>1949.4326315789478</v>
      </c>
      <c r="AN53" s="32">
        <f ca="1">+'Modelo Farelo'!E53</f>
        <v>1823.6768421052627</v>
      </c>
      <c r="AO53" s="32">
        <f ca="1">+'Modelo Farelo'!F53</f>
        <v>1896.3142105263155</v>
      </c>
      <c r="AP53" s="32">
        <f t="shared" si="14"/>
        <v>1792.5044925697346</v>
      </c>
      <c r="AQ53" s="32">
        <f t="shared" si="15"/>
        <v>1703.9581335147436</v>
      </c>
      <c r="AR53" s="32">
        <f t="shared" si="16"/>
        <v>1732.3481335147435</v>
      </c>
      <c r="AT53" s="32">
        <f>+'Modelo Oleo'!E53</f>
        <v>5665.2752707142863</v>
      </c>
      <c r="AU53" s="33">
        <f>+AT53-AE53</f>
        <v>5566.6347743991755</v>
      </c>
      <c r="AV53" s="33">
        <f>+AT53-AC53</f>
        <v>5439.5462920413001</v>
      </c>
      <c r="AW53" s="33">
        <f>+AT53-AA53</f>
        <v>5489.9830401587305</v>
      </c>
      <c r="BB53" s="55">
        <f>+(AT53*$AZ$2+AL53*$AZ$3)-(AG53/60*1000)</f>
        <v>268.20796325686251</v>
      </c>
      <c r="BC53" s="55">
        <f ca="1">+(AU53*$AZ$2+AM53*$AZ$3)-(AH53/60*1000)</f>
        <v>371.24059504292654</v>
      </c>
      <c r="BD53" s="55">
        <f ca="1">+(AV53*$AZ$2+AN53*$AZ$3)-(AI53/60*1000)</f>
        <v>335.50431993050961</v>
      </c>
      <c r="BE53" s="55">
        <f ca="1">+(AW53*$AZ$2+AO53*$AZ$3)-(AJ53/60*1000)</f>
        <v>375.4069279186715</v>
      </c>
      <c r="BH53" s="32">
        <f t="shared" si="17"/>
        <v>268.20796325686251</v>
      </c>
      <c r="BI53" s="32">
        <f t="shared" ca="1" si="18"/>
        <v>278.33913674947235</v>
      </c>
      <c r="BJ53" s="32">
        <f t="shared" ca="1" si="19"/>
        <v>300.06758218771574</v>
      </c>
      <c r="BK53" s="32">
        <f t="shared" ca="1" si="20"/>
        <v>326.87296912324609</v>
      </c>
    </row>
    <row r="54" spans="2:63" x14ac:dyDescent="0.3">
      <c r="B54" s="17" t="str">
        <f t="shared" si="2"/>
        <v>20254</v>
      </c>
      <c r="C54" s="17">
        <f t="shared" si="21"/>
        <v>45748</v>
      </c>
      <c r="D54" s="24">
        <f>VLOOKUP('Estudo PR'!B54,'Frete ESALQ'!$C$6:$BO$111,36,FALSE)</f>
        <v>155.11000000000001</v>
      </c>
      <c r="E54" s="24">
        <f>VLOOKUP('Estudo PR'!B54,'Frete ESALQ'!$C$6:$BO$111,47,FALSE)</f>
        <v>113.83</v>
      </c>
      <c r="F54" s="24">
        <f>VLOOKUP('Estudo PR'!B54,'Frete ESALQ'!$C$6:$BO$111,59,FALSE)</f>
        <v>123</v>
      </c>
      <c r="G54" s="24">
        <f>VLOOKUP('Estudo PR'!B54,'Frete ESALQ'!$C$6:$BO$111,18,FALSE)</f>
        <v>126</v>
      </c>
      <c r="H54" s="24">
        <f>VLOOKUP('Estudo PR'!B54,'Frete ESALQ'!$C$6:$BO$111,60,FALSE)</f>
        <v>128</v>
      </c>
      <c r="I54" s="48">
        <f t="shared" si="3"/>
        <v>70.203834634966725</v>
      </c>
      <c r="K54" s="44">
        <f t="shared" si="4"/>
        <v>0.24503949447077411</v>
      </c>
      <c r="L54" s="44">
        <f t="shared" si="22"/>
        <v>0.23863731656184486</v>
      </c>
      <c r="M54" s="44">
        <f t="shared" si="23"/>
        <v>0.23653846153846153</v>
      </c>
      <c r="N54" s="44">
        <f t="shared" si="24"/>
        <v>0.2135593220338983</v>
      </c>
      <c r="O54" s="44">
        <f t="shared" si="25"/>
        <v>0.23703703703703705</v>
      </c>
      <c r="P54" s="44">
        <f t="shared" si="5"/>
        <v>0.33914895958921121</v>
      </c>
      <c r="R54" s="44">
        <f t="shared" si="6"/>
        <v>0.33914895958921121</v>
      </c>
      <c r="S54" s="46">
        <f>AVERAGE(L54:M54,O54)</f>
        <v>0.23740427171244782</v>
      </c>
      <c r="T54" s="46">
        <f>AVERAGE(N54,K54)</f>
        <v>0.22929940825233619</v>
      </c>
      <c r="V54" s="22">
        <f t="shared" si="7"/>
        <v>0.4001957723152692</v>
      </c>
      <c r="W54" s="22">
        <f t="shared" si="0"/>
        <v>0.30862555322618218</v>
      </c>
      <c r="X54" s="22">
        <f t="shared" si="1"/>
        <v>0.30955420114065385</v>
      </c>
      <c r="Z54" s="32">
        <f t="shared" si="8"/>
        <v>195.94780932203389</v>
      </c>
      <c r="AA54" s="32">
        <f t="shared" si="9"/>
        <v>147.21438888888889</v>
      </c>
      <c r="AB54" s="32">
        <f t="shared" si="10"/>
        <v>160.48528767761474</v>
      </c>
      <c r="AC54" s="32">
        <f t="shared" si="11"/>
        <v>182.63697867298578</v>
      </c>
      <c r="AD54" s="32">
        <f t="shared" si="12"/>
        <v>166.65779874213837</v>
      </c>
      <c r="AE54" s="32">
        <f t="shared" si="13"/>
        <v>82.840524869260719</v>
      </c>
      <c r="AG54" s="33">
        <f>+'Modelo Soja'!AJ54</f>
        <v>134.68</v>
      </c>
      <c r="AH54" s="32">
        <f ca="1">+'Modelo Soja'!AB54</f>
        <v>130.24499999999998</v>
      </c>
      <c r="AI54" s="32">
        <f ca="1">+'Modelo Soja'!AC54</f>
        <v>126.75450000000001</v>
      </c>
      <c r="AJ54" s="32">
        <f ca="1">+'Modelo Soja'!AD54</f>
        <v>128.39699999999996</v>
      </c>
      <c r="AL54" s="32">
        <f>+'Modelo Farelo'!R54</f>
        <v>1857.9691568820522</v>
      </c>
      <c r="AM54" s="32">
        <f ca="1">+'Modelo Farelo'!D54</f>
        <v>1879.5094736842104</v>
      </c>
      <c r="AN54" s="32">
        <f ca="1">+'Modelo Farelo'!E54</f>
        <v>1818.7678947368415</v>
      </c>
      <c r="AO54" s="32">
        <f ca="1">+'Modelo Farelo'!F54</f>
        <v>1831.2557894736838</v>
      </c>
      <c r="AP54" s="32">
        <f t="shared" si="14"/>
        <v>1787.7653222470854</v>
      </c>
      <c r="AQ54" s="32">
        <f t="shared" si="15"/>
        <v>1731.9691568820522</v>
      </c>
      <c r="AR54" s="32">
        <f t="shared" si="16"/>
        <v>1744.1391568820522</v>
      </c>
      <c r="AT54" s="32">
        <f>+'Modelo Oleo'!E54</f>
        <v>5859.9354249500002</v>
      </c>
      <c r="AU54" s="33">
        <f>+AT54-AE54</f>
        <v>5777.0949000807395</v>
      </c>
      <c r="AV54" s="33">
        <f>+AT54-AC54</f>
        <v>5677.2984462770146</v>
      </c>
      <c r="AW54" s="33">
        <f>+AT54-AA54</f>
        <v>5712.7210360611116</v>
      </c>
      <c r="BB54" s="55">
        <f>+(AT54*$AZ$2+AL54*$AZ$3)-(AG54/60*1000)</f>
        <v>272.91791729130182</v>
      </c>
      <c r="BC54" s="55">
        <f ca="1">+(AU54*$AZ$2+AM54*$AZ$3)-(AH54/60*1000)</f>
        <v>346.62051604206044</v>
      </c>
      <c r="BD54" s="55">
        <f ca="1">+(AV54*$AZ$2+AN54*$AZ$3)-(AI54/60*1000)</f>
        <v>340.38643912928046</v>
      </c>
      <c r="BE54" s="55">
        <f ca="1">+(AW54*$AZ$2+AO54*$AZ$3)-(AJ54/60*1000)</f>
        <v>329.15988624244346</v>
      </c>
      <c r="BH54" s="32">
        <f t="shared" si="17"/>
        <v>272.91791729130182</v>
      </c>
      <c r="BI54" s="32">
        <f t="shared" ca="1" si="18"/>
        <v>292.30797839128263</v>
      </c>
      <c r="BJ54" s="32">
        <f t="shared" ca="1" si="19"/>
        <v>314.69401272426285</v>
      </c>
      <c r="BK54" s="32">
        <f t="shared" ca="1" si="20"/>
        <v>303.37336299532035</v>
      </c>
    </row>
    <row r="55" spans="2:63" x14ac:dyDescent="0.3">
      <c r="B55" s="17" t="str">
        <f t="shared" si="2"/>
        <v>20255</v>
      </c>
      <c r="C55" s="17">
        <f t="shared" si="21"/>
        <v>45778</v>
      </c>
      <c r="D55" s="24">
        <f>VLOOKUP('Estudo PR'!B55,'Frete ESALQ'!$C$6:$BO$111,36,FALSE)</f>
        <v>121</v>
      </c>
      <c r="E55" s="24">
        <f>VLOOKUP('Estudo PR'!B55,'Frete ESALQ'!$C$6:$BO$111,47,FALSE)</f>
        <v>125.75</v>
      </c>
      <c r="F55" s="24">
        <f>VLOOKUP('Estudo PR'!B55,'Frete ESALQ'!$C$6:$BO$111,59,FALSE)</f>
        <v>125.83</v>
      </c>
      <c r="G55" s="24">
        <f>VLOOKUP('Estudo PR'!B55,'Frete ESALQ'!$C$6:$BO$111,18,FALSE)</f>
        <v>127.78</v>
      </c>
      <c r="H55" s="24">
        <f>VLOOKUP('Estudo PR'!B55,'Frete ESALQ'!$C$6:$BO$111,60,FALSE)</f>
        <v>132</v>
      </c>
      <c r="I55" s="48">
        <f t="shared" si="3"/>
        <v>73.933701879881127</v>
      </c>
      <c r="K55" s="44">
        <f t="shared" si="4"/>
        <v>0.19115323854660349</v>
      </c>
      <c r="L55" s="44">
        <f t="shared" si="22"/>
        <v>0.26362683438155138</v>
      </c>
      <c r="M55" s="44">
        <f t="shared" si="23"/>
        <v>0.24198076923076922</v>
      </c>
      <c r="N55" s="44">
        <f t="shared" si="24"/>
        <v>0.21657627118644068</v>
      </c>
      <c r="O55" s="44">
        <f t="shared" si="25"/>
        <v>0.24444444444444444</v>
      </c>
      <c r="P55" s="44">
        <f t="shared" si="5"/>
        <v>0.3571676419317929</v>
      </c>
      <c r="R55" s="44">
        <f t="shared" si="6"/>
        <v>0.3571676419317929</v>
      </c>
      <c r="S55" s="46">
        <f>AVERAGE(L55:M55,O55)</f>
        <v>0.250017349352255</v>
      </c>
      <c r="T55" s="46">
        <f>AVERAGE(N55,K55)</f>
        <v>0.20386475486652209</v>
      </c>
      <c r="V55" s="22">
        <f t="shared" si="7"/>
        <v>0.42145781747951561</v>
      </c>
      <c r="W55" s="22">
        <f t="shared" si="0"/>
        <v>0.32502255415793152</v>
      </c>
      <c r="X55" s="22">
        <f t="shared" si="1"/>
        <v>0.27521741906980485</v>
      </c>
      <c r="Z55" s="32">
        <f t="shared" si="8"/>
        <v>174.21262627118648</v>
      </c>
      <c r="AA55" s="32">
        <f t="shared" si="9"/>
        <v>155.03575833333335</v>
      </c>
      <c r="AB55" s="32">
        <f t="shared" si="10"/>
        <v>169.0117281621244</v>
      </c>
      <c r="AC55" s="32">
        <f t="shared" si="11"/>
        <v>162.37827725118487</v>
      </c>
      <c r="AD55" s="32">
        <f t="shared" si="12"/>
        <v>175.51217924528302</v>
      </c>
      <c r="AE55" s="32">
        <f t="shared" si="13"/>
        <v>87.241768218259736</v>
      </c>
      <c r="AG55" s="33">
        <f>+'Modelo Soja'!AJ55</f>
        <v>133.09619047619046</v>
      </c>
      <c r="AH55" s="32">
        <f ca="1">+'Modelo Soja'!AB55</f>
        <v>128.57857142857145</v>
      </c>
      <c r="AI55" s="32">
        <f ca="1">+'Modelo Soja'!AC55</f>
        <v>125.11904761904763</v>
      </c>
      <c r="AJ55" s="32">
        <f ca="1">+'Modelo Soja'!AD55</f>
        <v>126.67666666666666</v>
      </c>
      <c r="AL55" s="32">
        <f>+'Modelo Farelo'!R55</f>
        <v>1821.9995842689905</v>
      </c>
      <c r="AM55" s="32">
        <f ca="1">+'Modelo Farelo'!D55</f>
        <v>1792.5714285714282</v>
      </c>
      <c r="AN55" s="32">
        <f ca="1">+'Modelo Farelo'!E55</f>
        <v>1750.7157142857138</v>
      </c>
      <c r="AO55" s="32">
        <f ca="1">+'Modelo Farelo'!F55</f>
        <v>1774.4284999999995</v>
      </c>
      <c r="AP55" s="32">
        <f t="shared" si="14"/>
        <v>1748.0658823891094</v>
      </c>
      <c r="AQ55" s="32">
        <f t="shared" si="15"/>
        <v>1694.2195842689905</v>
      </c>
      <c r="AR55" s="32">
        <f t="shared" si="16"/>
        <v>1696.2495842689905</v>
      </c>
      <c r="AT55" s="32">
        <f>+'Modelo Oleo'!E55</f>
        <v>5713.5859790952381</v>
      </c>
      <c r="AU55" s="33">
        <f>+AT55-AE55</f>
        <v>5626.3442108769787</v>
      </c>
      <c r="AV55" s="33">
        <f>+AT55-AC55</f>
        <v>5551.2077018440532</v>
      </c>
      <c r="AW55" s="33">
        <f>+AT55-AA55</f>
        <v>5558.5502207619047</v>
      </c>
      <c r="BB55" s="55">
        <f>+(AT55*$AZ$2+AL55*$AZ$3)-(AG55/60*1000)</f>
        <v>244.1591170127831</v>
      </c>
      <c r="BC55" s="55">
        <f ca="1">+(AU55*$AZ$2+AM55*$AZ$3)-(AH55/60*1000)</f>
        <v>280.66378778767694</v>
      </c>
      <c r="BD55" s="55">
        <f ca="1">+(AV55*$AZ$2+AN55*$AZ$3)-(AI55/60*1000)</f>
        <v>292.69767011355816</v>
      </c>
      <c r="BE55" s="55">
        <f ca="1">+(AW55*$AZ$2+AO55*$AZ$3)-(AJ55/60*1000)</f>
        <v>285.71660527079348</v>
      </c>
      <c r="BH55" s="32">
        <f t="shared" si="17"/>
        <v>244.1591170127831</v>
      </c>
      <c r="BI55" s="32">
        <f t="shared" ca="1" si="18"/>
        <v>254.31650444774459</v>
      </c>
      <c r="BJ55" s="32">
        <f t="shared" ca="1" si="19"/>
        <v>275.97481562860821</v>
      </c>
      <c r="BK55" s="32">
        <f t="shared" ca="1" si="20"/>
        <v>262.57564621441543</v>
      </c>
    </row>
    <row r="56" spans="2:63" x14ac:dyDescent="0.3">
      <c r="B56" s="17" t="str">
        <f t="shared" si="2"/>
        <v>20256</v>
      </c>
      <c r="C56" s="17">
        <f t="shared" si="21"/>
        <v>45809</v>
      </c>
      <c r="D56" s="24">
        <f>VLOOKUP('Estudo PR'!B56,'Frete ESALQ'!$C$6:$BO$111,36,FALSE)</f>
        <v>155.13</v>
      </c>
      <c r="E56" s="24">
        <f>VLOOKUP('Estudo PR'!B56,'Frete ESALQ'!$C$6:$BO$111,47,FALSE)</f>
        <v>134.16999999999999</v>
      </c>
      <c r="F56" s="24">
        <f>VLOOKUP('Estudo PR'!B56,'Frete ESALQ'!$C$6:$BO$111,59,FALSE)</f>
        <v>131.25</v>
      </c>
      <c r="G56" s="24">
        <f>VLOOKUP('Estudo PR'!B56,'Frete ESALQ'!$C$6:$BO$111,18,FALSE)</f>
        <v>140.16999999999999</v>
      </c>
      <c r="H56" s="24">
        <f>VLOOKUP('Estudo PR'!B56,'Frete ESALQ'!$C$6:$BO$111,60,FALSE)</f>
        <v>148.6</v>
      </c>
      <c r="I56" s="48">
        <f t="shared" si="3"/>
        <v>79.731260223005506</v>
      </c>
      <c r="K56" s="44">
        <f t="shared" si="4"/>
        <v>0.24507109004739336</v>
      </c>
      <c r="L56" s="44">
        <f t="shared" si="22"/>
        <v>0.28127882599580711</v>
      </c>
      <c r="M56" s="44">
        <f t="shared" si="23"/>
        <v>0.25240384615384615</v>
      </c>
      <c r="N56" s="44">
        <f t="shared" si="24"/>
        <v>0.23757627118644065</v>
      </c>
      <c r="O56" s="44">
        <f t="shared" si="25"/>
        <v>0.2751851851851852</v>
      </c>
      <c r="P56" s="44">
        <f t="shared" si="5"/>
        <v>0.38517517015944691</v>
      </c>
      <c r="R56" s="44">
        <f t="shared" si="6"/>
        <v>0.38517517015944691</v>
      </c>
      <c r="S56" s="46">
        <f>AVERAGE(L56:M56,O56)</f>
        <v>0.26962261911161284</v>
      </c>
      <c r="T56" s="46">
        <f>AVERAGE(N56,K56)</f>
        <v>0.241323680616917</v>
      </c>
      <c r="V56" s="22">
        <f t="shared" si="7"/>
        <v>0.45450670078814731</v>
      </c>
      <c r="W56" s="22">
        <f t="shared" si="0"/>
        <v>0.35050940484509668</v>
      </c>
      <c r="X56" s="22">
        <f t="shared" si="1"/>
        <v>0.32578696883283798</v>
      </c>
      <c r="Z56" s="32">
        <f t="shared" si="8"/>
        <v>206.22315127118645</v>
      </c>
      <c r="AA56" s="32">
        <f t="shared" si="9"/>
        <v>167.19298611111111</v>
      </c>
      <c r="AB56" s="32">
        <f t="shared" si="10"/>
        <v>182.26489051945026</v>
      </c>
      <c r="AC56" s="32">
        <f t="shared" si="11"/>
        <v>192.2143116113744</v>
      </c>
      <c r="AD56" s="32">
        <f t="shared" si="12"/>
        <v>189.2750786163522</v>
      </c>
      <c r="AE56" s="32">
        <f t="shared" si="13"/>
        <v>94.082887063146487</v>
      </c>
      <c r="AG56" s="33">
        <f>+'Modelo Soja'!AJ56</f>
        <v>134.39599999999999</v>
      </c>
      <c r="AH56" s="32">
        <f ca="1">+'Modelo Soja'!AB56</f>
        <v>129.23600000000002</v>
      </c>
      <c r="AI56" s="32">
        <f ca="1">+'Modelo Soja'!AC56</f>
        <v>126.3235</v>
      </c>
      <c r="AJ56" s="32">
        <f ca="1">+'Modelo Soja'!AD56</f>
        <v>127.55700000000004</v>
      </c>
      <c r="AL56" s="32">
        <f>+'Modelo Farelo'!R56</f>
        <v>1752.1872246700661</v>
      </c>
      <c r="AM56" s="32">
        <f ca="1">+'Modelo Farelo'!D56</f>
        <v>1759.1315000000006</v>
      </c>
      <c r="AN56" s="32">
        <f ca="1">+'Modelo Farelo'!E56</f>
        <v>1772.5554999999999</v>
      </c>
      <c r="AO56" s="32">
        <f ca="1">+'Modelo Farelo'!F56</f>
        <v>1755.8890000000004</v>
      </c>
      <c r="AP56" s="32">
        <f t="shared" si="14"/>
        <v>1672.4559644470605</v>
      </c>
      <c r="AQ56" s="32">
        <f t="shared" si="15"/>
        <v>1612.0172246700661</v>
      </c>
      <c r="AR56" s="32">
        <f t="shared" si="16"/>
        <v>1618.0172246700661</v>
      </c>
      <c r="AT56" s="32">
        <f>+'Modelo Oleo'!E56</f>
        <v>5666.0239249999995</v>
      </c>
      <c r="AU56" s="33">
        <f>+AT56-AE56</f>
        <v>5571.9410379368528</v>
      </c>
      <c r="AV56" s="33">
        <f>+AT56-AC56</f>
        <v>5473.8096133886247</v>
      </c>
      <c r="AW56" s="33">
        <f>+AT56-AA56</f>
        <v>5498.8309388888883</v>
      </c>
      <c r="BB56" s="55">
        <f>+(AT56*$AZ$2+AL56*$AZ$3)-(AG56/60*1000)</f>
        <v>161.55987829751621</v>
      </c>
      <c r="BC56" s="55">
        <f ca="1">+(AU56*$AZ$2+AM56*$AZ$3)-(AH56/60*1000)</f>
        <v>234.35247906435279</v>
      </c>
      <c r="BD56" s="55">
        <f ca="1">+(AV56*$AZ$2+AN56*$AZ$3)-(AI56/60*1000)</f>
        <v>273.69227794411472</v>
      </c>
      <c r="BE56" s="55">
        <f ca="1">+(AW56*$AZ$2+AO56*$AZ$3)-(AJ56/60*1000)</f>
        <v>245.6798930833329</v>
      </c>
      <c r="BH56" s="32">
        <f t="shared" si="17"/>
        <v>161.55987829751621</v>
      </c>
      <c r="BI56" s="32">
        <f t="shared" ca="1" si="18"/>
        <v>183.04056201701223</v>
      </c>
      <c r="BJ56" s="32">
        <f t="shared" ca="1" si="19"/>
        <v>226.17294844645448</v>
      </c>
      <c r="BK56" s="32">
        <f t="shared" ca="1" si="20"/>
        <v>204.86984758567223</v>
      </c>
    </row>
    <row r="57" spans="2:63" x14ac:dyDescent="0.3">
      <c r="B57" s="17" t="str">
        <f t="shared" si="2"/>
        <v>20257</v>
      </c>
      <c r="C57" s="17">
        <f t="shared" si="21"/>
        <v>45839</v>
      </c>
      <c r="D57" s="24">
        <f>VLOOKUP('Estudo PR'!B57,'Frete ESALQ'!$C$6:$BO$111,36,FALSE)</f>
        <v>208</v>
      </c>
      <c r="E57" s="24">
        <f>VLOOKUP('Estudo PR'!B57,'Frete ESALQ'!$C$6:$BO$111,47,FALSE)</f>
        <v>181.67</v>
      </c>
      <c r="F57" s="24">
        <f>VLOOKUP('Estudo PR'!B57,'Frete ESALQ'!$C$6:$BO$111,59,FALSE)</f>
        <v>182.5</v>
      </c>
      <c r="G57" s="24">
        <f>VLOOKUP('Estudo PR'!B57,'Frete ESALQ'!$C$6:$BO$111,18,FALSE)</f>
        <v>206.25</v>
      </c>
      <c r="H57" s="24">
        <f>VLOOKUP('Estudo PR'!B57,'Frete ESALQ'!$C$6:$BO$111,60,FALSE)</f>
        <v>206.25</v>
      </c>
      <c r="I57" s="48">
        <f t="shared" si="3"/>
        <v>109.78545856659066</v>
      </c>
      <c r="K57" s="44">
        <f t="shared" si="4"/>
        <v>0.32859399684044233</v>
      </c>
      <c r="L57" s="44">
        <f t="shared" si="22"/>
        <v>0.38085953878406709</v>
      </c>
      <c r="M57" s="44">
        <f t="shared" si="23"/>
        <v>0.35096153846153844</v>
      </c>
      <c r="N57" s="44">
        <f t="shared" si="24"/>
        <v>0.34957627118644069</v>
      </c>
      <c r="O57" s="44">
        <f t="shared" si="25"/>
        <v>0.38194444444444442</v>
      </c>
      <c r="P57" s="44">
        <f t="shared" si="5"/>
        <v>0.53036453413811913</v>
      </c>
      <c r="R57" s="44">
        <f t="shared" si="6"/>
        <v>0.53036453413811913</v>
      </c>
      <c r="S57" s="46">
        <f>AVERAGE(L57:M57,O57)</f>
        <v>0.37125517389668333</v>
      </c>
      <c r="T57" s="46">
        <f>AVERAGE(N57,K57)</f>
        <v>0.33908513401344154</v>
      </c>
      <c r="V57" s="22">
        <f t="shared" si="7"/>
        <v>0.6258301502829805</v>
      </c>
      <c r="W57" s="22">
        <f t="shared" si="0"/>
        <v>0.48263172606568833</v>
      </c>
      <c r="X57" s="22">
        <f t="shared" si="1"/>
        <v>0.45776493091814613</v>
      </c>
      <c r="Z57" s="32">
        <f t="shared" si="8"/>
        <v>289.76520127118653</v>
      </c>
      <c r="AA57" s="32">
        <f t="shared" si="9"/>
        <v>230.21533333333332</v>
      </c>
      <c r="AB57" s="32">
        <f t="shared" si="10"/>
        <v>250.96849755415792</v>
      </c>
      <c r="AC57" s="32">
        <f t="shared" si="11"/>
        <v>270.08130924170621</v>
      </c>
      <c r="AD57" s="32">
        <f t="shared" si="12"/>
        <v>260.62113207547168</v>
      </c>
      <c r="AE57" s="32">
        <f t="shared" si="13"/>
        <v>129.54684110857696</v>
      </c>
      <c r="AG57" s="33">
        <f>+'Modelo Soja'!AJ57</f>
        <v>136.89130434782606</v>
      </c>
      <c r="AH57" s="32">
        <f ca="1">+'Modelo Soja'!AB57</f>
        <v>130.70869565217393</v>
      </c>
      <c r="AI57" s="32">
        <f ca="1">+'Modelo Soja'!AC57</f>
        <v>126.8104347826087</v>
      </c>
      <c r="AJ57" s="32">
        <f ca="1">+'Modelo Soja'!AD57</f>
        <v>128.74782608695656</v>
      </c>
      <c r="AL57" s="32">
        <f>+'Modelo Farelo'!R57</f>
        <v>1634.4722506709104</v>
      </c>
      <c r="AM57" s="32">
        <f ca="1">+'Modelo Farelo'!D57</f>
        <v>1711.7191304347823</v>
      </c>
      <c r="AN57" s="32">
        <f ca="1">+'Modelo Farelo'!E57</f>
        <v>1640.4734782608698</v>
      </c>
      <c r="AO57" s="32">
        <f ca="1">+'Modelo Farelo'!F57</f>
        <v>1663.9830434782609</v>
      </c>
      <c r="AP57" s="32">
        <f t="shared" si="14"/>
        <v>1524.6867921043197</v>
      </c>
      <c r="AQ57" s="32">
        <f t="shared" si="15"/>
        <v>1428.2222506709104</v>
      </c>
      <c r="AR57" s="32">
        <f t="shared" si="16"/>
        <v>1452.8022506709103</v>
      </c>
      <c r="AT57" s="32">
        <f>+'Modelo Oleo'!E57</f>
        <v>6146.3662916956519</v>
      </c>
      <c r="AU57" s="33">
        <f>+AT57-AE57</f>
        <v>6016.8194505870752</v>
      </c>
      <c r="AV57" s="33">
        <f>+AT57-AC57</f>
        <v>5876.2849824539453</v>
      </c>
      <c r="AW57" s="33">
        <f>+AT57-AA57</f>
        <v>5916.1509583623183</v>
      </c>
      <c r="BB57" s="55">
        <f>+(AT57*$AZ$2+AL57*$AZ$3)-(AG57/60*1000)</f>
        <v>126.52915324669129</v>
      </c>
      <c r="BC57" s="55">
        <f ca="1">+(AU57*$AZ$2+AM57*$AZ$3)-(AH57/60*1000)</f>
        <v>261.47368851665351</v>
      </c>
      <c r="BD57" s="55">
        <f ca="1">+(AV57*$AZ$2+AN57*$AZ$3)-(AI57/60*1000)</f>
        <v>246.31869911475178</v>
      </c>
      <c r="BE57" s="55">
        <f ca="1">+(AW57*$AZ$2+AO57*$AZ$3)-(AJ57/60*1000)</f>
        <v>239.1997876052892</v>
      </c>
      <c r="BH57" s="32">
        <f t="shared" si="17"/>
        <v>126.52915324669129</v>
      </c>
      <c r="BI57" s="32">
        <f t="shared" ca="1" si="18"/>
        <v>150.75054422501944</v>
      </c>
      <c r="BJ57" s="32">
        <f t="shared" ca="1" si="19"/>
        <v>183.49233574812342</v>
      </c>
      <c r="BK57" s="32">
        <f t="shared" ca="1" si="20"/>
        <v>176.69027293431373</v>
      </c>
    </row>
    <row r="58" spans="2:63" x14ac:dyDescent="0.3">
      <c r="B58" s="17" t="str">
        <f t="shared" si="2"/>
        <v>20258</v>
      </c>
      <c r="C58" s="17">
        <f t="shared" si="21"/>
        <v>45870</v>
      </c>
      <c r="D58" s="24">
        <f>VLOOKUP('Estudo PR'!B58,'Frete ESALQ'!$C$6:$BO$111,36,FALSE)</f>
        <v>173.91</v>
      </c>
      <c r="E58" s="24">
        <f>VLOOKUP('Estudo PR'!B58,'Frete ESALQ'!$C$6:$BO$111,47,FALSE)</f>
        <v>175</v>
      </c>
      <c r="F58" s="24">
        <f>VLOOKUP('Estudo PR'!B58,'Frete ESALQ'!$C$6:$BO$111,59,FALSE)</f>
        <v>169.17</v>
      </c>
      <c r="G58" s="24">
        <f>VLOOKUP('Estudo PR'!B58,'Frete ESALQ'!$C$6:$BO$111,18,FALSE)</f>
        <v>178.75</v>
      </c>
      <c r="H58" s="24">
        <f>VLOOKUP('Estudo PR'!B58,'Frete ESALQ'!$C$6:$BO$111,60,FALSE)</f>
        <v>186.25</v>
      </c>
      <c r="I58" s="48">
        <f t="shared" si="3"/>
        <v>102.22947744603405</v>
      </c>
      <c r="K58" s="44">
        <f t="shared" si="4"/>
        <v>0.27473933649289101</v>
      </c>
      <c r="L58" s="44">
        <f t="shared" si="22"/>
        <v>0.3668763102725367</v>
      </c>
      <c r="M58" s="44">
        <f t="shared" si="23"/>
        <v>0.32532692307692307</v>
      </c>
      <c r="N58" s="44">
        <f t="shared" si="24"/>
        <v>0.30296610169491528</v>
      </c>
      <c r="O58" s="44">
        <f t="shared" si="25"/>
        <v>0.34490740740740738</v>
      </c>
      <c r="P58" s="44">
        <f t="shared" si="5"/>
        <v>0.49386220988422247</v>
      </c>
      <c r="R58" s="44">
        <f t="shared" si="6"/>
        <v>0.49386220988422247</v>
      </c>
      <c r="S58" s="46">
        <f>AVERAGE(L58:M58,O58)</f>
        <v>0.34570354691895572</v>
      </c>
      <c r="T58" s="46">
        <f>AVERAGE(N58,K58)</f>
        <v>0.28885271909390314</v>
      </c>
      <c r="V58" s="22">
        <f t="shared" si="7"/>
        <v>0.58275740766338247</v>
      </c>
      <c r="W58" s="22">
        <f t="shared" si="0"/>
        <v>0.44941461099464247</v>
      </c>
      <c r="X58" s="22">
        <f t="shared" si="1"/>
        <v>0.38995117077676927</v>
      </c>
      <c r="Z58" s="32">
        <f t="shared" si="8"/>
        <v>246.83909110169495</v>
      </c>
      <c r="AA58" s="32">
        <f t="shared" si="9"/>
        <v>214.37076944444445</v>
      </c>
      <c r="AB58" s="32">
        <f t="shared" si="10"/>
        <v>233.6955977172141</v>
      </c>
      <c r="AC58" s="32">
        <f t="shared" si="11"/>
        <v>230.07119075829388</v>
      </c>
      <c r="AD58" s="32">
        <f t="shared" si="12"/>
        <v>242.68388993710693</v>
      </c>
      <c r="AE58" s="32">
        <f t="shared" si="13"/>
        <v>120.63078338632018</v>
      </c>
      <c r="AG58" s="33">
        <f>+'Modelo Soja'!AJ58</f>
        <v>140.50047619047618</v>
      </c>
      <c r="AH58" s="32">
        <f ca="1">+'Modelo Soja'!AB58</f>
        <v>134.17428571428573</v>
      </c>
      <c r="AI58" s="32">
        <f ca="1">+'Modelo Soja'!AC58</f>
        <v>130.22000000000003</v>
      </c>
      <c r="AJ58" s="32">
        <f ca="1">+'Modelo Soja'!AD58</f>
        <v>132.59238095238098</v>
      </c>
      <c r="AL58" s="32">
        <f>+'Modelo Farelo'!R58</f>
        <v>1698.9947798662815</v>
      </c>
      <c r="AM58" s="32">
        <f ca="1">+'Modelo Farelo'!D58</f>
        <v>1671.200952380952</v>
      </c>
      <c r="AN58" s="32">
        <f ca="1">+'Modelo Farelo'!E58</f>
        <v>1574.8695238095238</v>
      </c>
      <c r="AO58" s="32">
        <f ca="1">+'Modelo Farelo'!F58</f>
        <v>1591.8971428571426</v>
      </c>
      <c r="AP58" s="32">
        <f t="shared" si="14"/>
        <v>1596.7653024202475</v>
      </c>
      <c r="AQ58" s="32">
        <f t="shared" si="15"/>
        <v>1520.2447798662815</v>
      </c>
      <c r="AR58" s="32">
        <f t="shared" si="16"/>
        <v>1523.9947798662815</v>
      </c>
      <c r="AT58" s="32">
        <f>+'Modelo Oleo'!E58</f>
        <v>6020.4455168571421</v>
      </c>
      <c r="AU58" s="33">
        <f>+AT58-AE58</f>
        <v>5899.8147334708219</v>
      </c>
      <c r="AV58" s="33">
        <f>+AT58-AC58</f>
        <v>5790.3743260988485</v>
      </c>
      <c r="AW58" s="33">
        <f>+AT58-AA58</f>
        <v>5806.0747474126974</v>
      </c>
      <c r="BB58" s="55">
        <f>+(AT58*$AZ$2+AL58*$AZ$3)-(AG58/60*1000)</f>
        <v>89.568409713588153</v>
      </c>
      <c r="BC58" s="55">
        <f ca="1">+(AU58*$AZ$2+AM58*$AZ$3)-(AH58/60*1000)</f>
        <v>150.91448255061914</v>
      </c>
      <c r="BD58" s="55">
        <f ca="1">+(AV58*$AZ$2+AN58*$AZ$3)-(AI58/60*1000)</f>
        <v>124.19310787498944</v>
      </c>
      <c r="BE58" s="55">
        <f ca="1">+(AW58*$AZ$2+AO58*$AZ$3)-(AJ58/60*1000)</f>
        <v>100.31544558674523</v>
      </c>
      <c r="BH58" s="32">
        <f t="shared" si="17"/>
        <v>89.568409713588153</v>
      </c>
      <c r="BI58" s="32">
        <f t="shared" ca="1" si="18"/>
        <v>106.84857777388243</v>
      </c>
      <c r="BJ58" s="32">
        <f t="shared" ca="1" si="19"/>
        <v>108.02418366779011</v>
      </c>
      <c r="BK58" s="32">
        <f t="shared" ca="1" si="20"/>
        <v>80.216346141450231</v>
      </c>
    </row>
    <row r="59" spans="2:63" x14ac:dyDescent="0.3">
      <c r="B59" s="17" t="str">
        <f t="shared" si="2"/>
        <v>20259</v>
      </c>
      <c r="C59" s="17">
        <f t="shared" si="21"/>
        <v>45901</v>
      </c>
      <c r="D59" s="24">
        <f>VLOOKUP('Estudo PR'!B59,'Frete ESALQ'!$C$6:$BO$111,36,FALSE)</f>
        <v>165.43</v>
      </c>
      <c r="E59" s="24">
        <f>VLOOKUP('Estudo PR'!B59,'Frete ESALQ'!$C$6:$BO$111,47,FALSE)</f>
        <v>176</v>
      </c>
      <c r="F59" s="24">
        <f>VLOOKUP('Estudo PR'!B59,'Frete ESALQ'!$C$6:$BO$111,59,FALSE)</f>
        <v>160.63</v>
      </c>
      <c r="G59" s="24">
        <f>VLOOKUP('Estudo PR'!B59,'Frete ESALQ'!$C$6:$BO$111,18,FALSE)</f>
        <v>166</v>
      </c>
      <c r="H59" s="24">
        <f>VLOOKUP('Estudo PR'!B59,'Frete ESALQ'!$C$6:$BO$111,60,FALSE)</f>
        <v>175</v>
      </c>
      <c r="I59" s="48">
        <f t="shared" si="3"/>
        <v>98.763708560831205</v>
      </c>
      <c r="K59" s="44">
        <f t="shared" si="4"/>
        <v>0.26134281200631915</v>
      </c>
      <c r="L59" s="44">
        <f t="shared" si="22"/>
        <v>0.36897274633123689</v>
      </c>
      <c r="M59" s="44">
        <f t="shared" si="23"/>
        <v>0.30890384615384614</v>
      </c>
      <c r="N59" s="44">
        <f t="shared" si="24"/>
        <v>0.28135593220338984</v>
      </c>
      <c r="O59" s="44">
        <f t="shared" si="25"/>
        <v>0.32407407407407407</v>
      </c>
      <c r="P59" s="44">
        <f t="shared" si="5"/>
        <v>0.47711936502817009</v>
      </c>
      <c r="R59" s="44">
        <f t="shared" si="6"/>
        <v>0.47711936502817009</v>
      </c>
      <c r="S59" s="46">
        <f>AVERAGE(L59:M59,O59)</f>
        <v>0.33398355551971903</v>
      </c>
      <c r="T59" s="46">
        <f>AVERAGE(N59,K59)</f>
        <v>0.27134937210485449</v>
      </c>
      <c r="V59" s="22">
        <f t="shared" si="7"/>
        <v>0.56300085073324069</v>
      </c>
      <c r="W59" s="22">
        <f t="shared" si="0"/>
        <v>0.43417862217563474</v>
      </c>
      <c r="X59" s="22">
        <f t="shared" si="1"/>
        <v>0.36632165234155356</v>
      </c>
      <c r="Z59" s="32">
        <f t="shared" si="8"/>
        <v>231.8816059322034</v>
      </c>
      <c r="AA59" s="32">
        <f t="shared" si="9"/>
        <v>207.10320277777777</v>
      </c>
      <c r="AB59" s="32">
        <f t="shared" si="10"/>
        <v>225.77288353133008</v>
      </c>
      <c r="AC59" s="32">
        <f t="shared" si="11"/>
        <v>216.1297748815166</v>
      </c>
      <c r="AD59" s="32">
        <f t="shared" si="12"/>
        <v>234.45645597484275</v>
      </c>
      <c r="AE59" s="32">
        <f t="shared" si="13"/>
        <v>116.54117610178082</v>
      </c>
      <c r="AG59" s="33">
        <f>+'Modelo Soja'!AJ59</f>
        <v>138.77409090909092</v>
      </c>
      <c r="AH59" s="32">
        <f ca="1">+'Modelo Soja'!AB59</f>
        <v>133.57909090909089</v>
      </c>
      <c r="AI59" s="32">
        <f ca="1">+'Modelo Soja'!AC59</f>
        <v>129.44818181818184</v>
      </c>
      <c r="AJ59" s="32">
        <f ca="1">+'Modelo Soja'!AD59</f>
        <v>131.5740909090909</v>
      </c>
      <c r="AL59" s="32">
        <f>+'Modelo Farelo'!R59</f>
        <v>1653.3158486758214</v>
      </c>
      <c r="AM59" s="32">
        <f ca="1">+'Modelo Farelo'!D59</f>
        <v>1643.1218181818185</v>
      </c>
      <c r="AN59" s="32">
        <f ca="1">+'Modelo Farelo'!E59</f>
        <v>1621.7709090909091</v>
      </c>
      <c r="AO59" s="32">
        <f ca="1">+'Modelo Farelo'!F59</f>
        <v>1597.7836363636366</v>
      </c>
      <c r="AP59" s="32">
        <f t="shared" si="14"/>
        <v>1554.5521401149902</v>
      </c>
      <c r="AQ59" s="32">
        <f t="shared" si="15"/>
        <v>1487.3158486758214</v>
      </c>
      <c r="AR59" s="32">
        <f t="shared" si="16"/>
        <v>1477.3158486758214</v>
      </c>
      <c r="AT59" s="32">
        <f>+'Modelo Oleo'!E59</f>
        <v>5932.6111845454552</v>
      </c>
      <c r="AU59" s="33">
        <f>+AT59-AE59</f>
        <v>5816.0700084436739</v>
      </c>
      <c r="AV59" s="33">
        <f>+AT59-AC59</f>
        <v>5716.4814096639384</v>
      </c>
      <c r="AW59" s="33">
        <f>+AT59-AA59</f>
        <v>5725.5079817676778</v>
      </c>
      <c r="BB59" s="55">
        <f>+(AT59*$AZ$2+AL59*$AZ$3)-(AG59/60*1000)</f>
        <v>67.411393854955804</v>
      </c>
      <c r="BC59" s="55">
        <f ca="1">+(AU59*$AZ$2+AM59*$AZ$3)-(AH59/60*1000)</f>
        <v>123.72561528288088</v>
      </c>
      <c r="BD59" s="55">
        <f ca="1">+(AV59*$AZ$2+AN59*$AZ$3)-(AI59/60*1000)</f>
        <v>157.354650642043</v>
      </c>
      <c r="BE59" s="55">
        <f ca="1">+(AW59*$AZ$2+AO59*$AZ$3)-(AJ59/60*1000)</f>
        <v>105.9324322022735</v>
      </c>
      <c r="BH59" s="32">
        <f t="shared" si="17"/>
        <v>67.411393854955804</v>
      </c>
      <c r="BI59" s="32">
        <f t="shared" ca="1" si="18"/>
        <v>71.292365867318495</v>
      </c>
      <c r="BJ59" s="32">
        <f t="shared" ca="1" si="19"/>
        <v>117.55595275917722</v>
      </c>
      <c r="BK59" s="32">
        <f t="shared" ca="1" si="20"/>
        <v>70.273967046680355</v>
      </c>
    </row>
    <row r="60" spans="2:63" x14ac:dyDescent="0.3">
      <c r="B60" s="17" t="str">
        <f t="shared" si="2"/>
        <v>202510</v>
      </c>
      <c r="C60" s="17">
        <f t="shared" si="21"/>
        <v>45931</v>
      </c>
      <c r="D60" s="24">
        <f>VLOOKUP('Estudo PR'!B60,'Frete ESALQ'!$C$6:$BO$111,36,FALSE)</f>
        <v>163</v>
      </c>
      <c r="E60" s="24">
        <f>VLOOKUP('Estudo PR'!B60,'Frete ESALQ'!$C$6:$BO$111,47,FALSE)</f>
        <v>166</v>
      </c>
      <c r="F60" s="24">
        <f>VLOOKUP('Estudo PR'!B60,'Frete ESALQ'!$C$6:$BO$111,59,FALSE)</f>
        <v>160.78</v>
      </c>
      <c r="G60" s="24">
        <f>VLOOKUP('Estudo PR'!B60,'Frete ESALQ'!$C$6:$BO$111,18,FALSE)</f>
        <v>169.25</v>
      </c>
      <c r="H60" s="24">
        <f>VLOOKUP('Estudo PR'!B60,'Frete ESALQ'!$C$6:$BO$111,60,FALSE)</f>
        <v>180</v>
      </c>
      <c r="I60" s="48">
        <f t="shared" si="3"/>
        <v>97.638354067316342</v>
      </c>
      <c r="K60" s="44">
        <f t="shared" si="4"/>
        <v>0.25750394944707738</v>
      </c>
      <c r="L60" s="44">
        <f t="shared" si="22"/>
        <v>0.34800838574423482</v>
      </c>
      <c r="M60" s="44">
        <f t="shared" si="23"/>
        <v>0.30919230769230771</v>
      </c>
      <c r="N60" s="44">
        <f t="shared" si="24"/>
        <v>0.28686440677966102</v>
      </c>
      <c r="O60" s="44">
        <f t="shared" si="25"/>
        <v>0.33333333333333331</v>
      </c>
      <c r="P60" s="44">
        <f t="shared" si="5"/>
        <v>0.47168286989041713</v>
      </c>
      <c r="R60" s="44">
        <f t="shared" si="6"/>
        <v>0.47168286989041713</v>
      </c>
      <c r="S60" s="46">
        <f>AVERAGE(L60:M60,O60)</f>
        <v>0.33017800892329197</v>
      </c>
      <c r="T60" s="46">
        <f>AVERAGE(N60,K60)</f>
        <v>0.2721841781133692</v>
      </c>
      <c r="V60" s="22">
        <f t="shared" si="7"/>
        <v>0.55658578647069223</v>
      </c>
      <c r="W60" s="22">
        <f t="shared" si="0"/>
        <v>0.42923141160027956</v>
      </c>
      <c r="X60" s="22">
        <f t="shared" si="1"/>
        <v>0.36744864045304843</v>
      </c>
      <c r="Z60" s="32">
        <f t="shared" si="8"/>
        <v>232.59498940677966</v>
      </c>
      <c r="AA60" s="32">
        <f t="shared" si="9"/>
        <v>204.74338333333336</v>
      </c>
      <c r="AB60" s="32">
        <f t="shared" si="10"/>
        <v>223.20033403214538</v>
      </c>
      <c r="AC60" s="32">
        <f t="shared" si="11"/>
        <v>216.79469786729857</v>
      </c>
      <c r="AD60" s="32">
        <f t="shared" si="12"/>
        <v>231.78496226415095</v>
      </c>
      <c r="AE60" s="32">
        <f t="shared" si="13"/>
        <v>115.21325779943329</v>
      </c>
      <c r="AG60" s="33">
        <f>+'Modelo Soja'!AJ60</f>
        <v>137.86304347826089</v>
      </c>
      <c r="AH60" s="32">
        <f ca="1">+'Modelo Soja'!AB60</f>
        <v>133.71782608695648</v>
      </c>
      <c r="AI60" s="32">
        <f ca="1">+'Modelo Soja'!AC60</f>
        <v>129.13304347826087</v>
      </c>
      <c r="AJ60" s="32">
        <f ca="1">+'Modelo Soja'!AD60</f>
        <v>131.17826086956524</v>
      </c>
      <c r="AL60" s="32">
        <f>+'Modelo Farelo'!R60</f>
        <v>1683.3521595474976</v>
      </c>
      <c r="AM60" s="32">
        <f ca="1">+'Modelo Farelo'!D60</f>
        <v>1637.7156521739132</v>
      </c>
      <c r="AN60" s="32">
        <f ca="1">+'Modelo Farelo'!E60</f>
        <v>1596.0904347826088</v>
      </c>
      <c r="AO60" s="32">
        <f ca="1">+'Modelo Farelo'!F60</f>
        <v>1602.4008695652174</v>
      </c>
      <c r="AP60" s="32">
        <f t="shared" si="14"/>
        <v>1585.7138054801812</v>
      </c>
      <c r="AQ60" s="32">
        <f t="shared" si="15"/>
        <v>1514.1021595474976</v>
      </c>
      <c r="AR60" s="32">
        <f t="shared" si="16"/>
        <v>1517.3521595474976</v>
      </c>
      <c r="AT60" s="32">
        <f>+'Modelo Oleo'!E60</f>
        <v>5982.9964625217408</v>
      </c>
      <c r="AU60" s="33">
        <f>+AT60-AE60</f>
        <v>5867.7832047223073</v>
      </c>
      <c r="AV60" s="33">
        <f>+AT60-AC60</f>
        <v>5766.2017646544418</v>
      </c>
      <c r="AW60" s="33">
        <f>+AT60-AA60</f>
        <v>5778.2530791884074</v>
      </c>
      <c r="BB60" s="55">
        <f>+(AT60*$AZ$2+AL60*$AZ$3)-(AG60/60*1000)</f>
        <v>114.64751695253972</v>
      </c>
      <c r="BC60" s="55">
        <f ca="1">+(AU60*$AZ$2+AM60*$AZ$3)-(AH60/60*1000)</f>
        <v>127.4968727469377</v>
      </c>
      <c r="BD60" s="55">
        <f ca="1">+(AV60*$AZ$2+AN60*$AZ$3)-(AI60/60*1000)</f>
        <v>153.29887454239861</v>
      </c>
      <c r="BE60" s="55">
        <f ca="1">+(AW60*$AZ$2+AO60*$AZ$3)-(AJ60/60*1000)</f>
        <v>126.23164609391324</v>
      </c>
      <c r="BH60" s="32">
        <f t="shared" si="17"/>
        <v>114.64751695253972</v>
      </c>
      <c r="BI60" s="32">
        <f t="shared" ca="1" si="18"/>
        <v>96.711779504248625</v>
      </c>
      <c r="BJ60" s="32">
        <f t="shared" ca="1" si="19"/>
        <v>129.03034507280563</v>
      </c>
      <c r="BK60" s="32">
        <f t="shared" ca="1" si="20"/>
        <v>101.057227928668</v>
      </c>
    </row>
    <row r="61" spans="2:63" x14ac:dyDescent="0.3">
      <c r="B61" s="17" t="str">
        <f t="shared" si="2"/>
        <v>202511</v>
      </c>
      <c r="C61" s="17">
        <f t="shared" si="21"/>
        <v>45962</v>
      </c>
      <c r="D61" s="29">
        <f>(D60+D62)/2</f>
        <v>162.5</v>
      </c>
      <c r="E61" s="29">
        <f t="shared" ref="E61:H61" si="44">(E60+E62)/2</f>
        <v>158</v>
      </c>
      <c r="F61" s="29">
        <f t="shared" si="44"/>
        <v>159.13999999999999</v>
      </c>
      <c r="G61" s="29">
        <f t="shared" si="44"/>
        <v>172.125</v>
      </c>
      <c r="H61" s="29">
        <f t="shared" si="44"/>
        <v>170</v>
      </c>
      <c r="I61" s="48">
        <f t="shared" si="3"/>
        <v>93.848888543322516</v>
      </c>
      <c r="K61" s="44">
        <f t="shared" si="4"/>
        <v>0.25671406003159558</v>
      </c>
      <c r="L61" s="44">
        <f t="shared" si="22"/>
        <v>0.33123689727463312</v>
      </c>
      <c r="M61" s="44">
        <f t="shared" si="23"/>
        <v>0.30603846153846154</v>
      </c>
      <c r="N61" s="44">
        <f t="shared" si="24"/>
        <v>0.29173728813559324</v>
      </c>
      <c r="O61" s="44">
        <f t="shared" si="25"/>
        <v>0.31481481481481483</v>
      </c>
      <c r="P61" s="44">
        <f t="shared" si="5"/>
        <v>0.45337627315614742</v>
      </c>
      <c r="R61" s="44">
        <f t="shared" si="6"/>
        <v>0.45337627315614742</v>
      </c>
      <c r="S61" s="46">
        <f>AVERAGE(L61:M61,O61)</f>
        <v>0.31736339120930318</v>
      </c>
      <c r="T61" s="46">
        <f>AVERAGE(N61,K61)</f>
        <v>0.27422567408359444</v>
      </c>
      <c r="V61" s="22">
        <f t="shared" si="7"/>
        <v>0.53498400232425392</v>
      </c>
      <c r="W61" s="22">
        <f t="shared" si="0"/>
        <v>0.41257240857209415</v>
      </c>
      <c r="X61" s="22">
        <f t="shared" si="1"/>
        <v>0.37020466001285252</v>
      </c>
      <c r="Z61" s="32">
        <f t="shared" si="8"/>
        <v>234.33954978813566</v>
      </c>
      <c r="AA61" s="32">
        <f t="shared" si="9"/>
        <v>196.79703888888892</v>
      </c>
      <c r="AB61" s="32">
        <f t="shared" si="10"/>
        <v>214.53765245748895</v>
      </c>
      <c r="AC61" s="32">
        <f t="shared" si="11"/>
        <v>218.42074940758297</v>
      </c>
      <c r="AD61" s="32">
        <f t="shared" si="12"/>
        <v>222.78910062893084</v>
      </c>
      <c r="AE61" s="32">
        <f t="shared" si="13"/>
        <v>110.74168848112056</v>
      </c>
      <c r="AG61" s="33">
        <f>+'Modelo Soja'!AJ61</f>
        <v>140.47263157894736</v>
      </c>
      <c r="AH61" s="32">
        <f ca="1">+'Modelo Soja'!AB61</f>
        <v>135.81578947368422</v>
      </c>
      <c r="AI61" s="32">
        <f ca="1">+'Modelo Soja'!AC61</f>
        <v>131.22578947368422</v>
      </c>
      <c r="AJ61" s="32">
        <f ca="1">+'Modelo Soja'!AD61</f>
        <v>133.02315789473681</v>
      </c>
      <c r="AL61" s="32">
        <f>+'Modelo Farelo'!R61</f>
        <v>1879.7816846827823</v>
      </c>
      <c r="AM61" s="32">
        <f ca="1">+'Modelo Farelo'!D61</f>
        <v>1775.9126315789476</v>
      </c>
      <c r="AN61" s="32">
        <f ca="1">+'Modelo Farelo'!E61</f>
        <v>1713.957894736842</v>
      </c>
      <c r="AO61" s="32">
        <f ca="1">+'Modelo Farelo'!F61</f>
        <v>1740.3473684210526</v>
      </c>
      <c r="AP61" s="32">
        <f t="shared" si="14"/>
        <v>1785.9327961394597</v>
      </c>
      <c r="AQ61" s="32">
        <f t="shared" si="15"/>
        <v>1707.6566846827823</v>
      </c>
      <c r="AR61" s="32">
        <f t="shared" si="16"/>
        <v>1721.7816846827823</v>
      </c>
      <c r="AT61" s="32">
        <f>+'Modelo Oleo'!E61</f>
        <v>5862.0462835789467</v>
      </c>
      <c r="AU61" s="33">
        <f>+AT61-AE61</f>
        <v>5751.3045950978258</v>
      </c>
      <c r="AV61" s="33">
        <f>+AT61-AC61</f>
        <v>5643.6255341713641</v>
      </c>
      <c r="AW61" s="33">
        <f>+AT61-AA61</f>
        <v>5665.2492446900578</v>
      </c>
      <c r="BB61" s="55">
        <f>+(AT61*$AZ$2+AL61*$AZ$3)-(AG61/60*1000)</f>
        <v>192.92694564736394</v>
      </c>
      <c r="BC61" s="55">
        <f ca="1">+(AU61*$AZ$2+AM61*$AZ$3)-(AH61/60*1000)</f>
        <v>172.08325218442678</v>
      </c>
      <c r="BD61" s="55">
        <f ca="1">+(AV61*$AZ$2+AN61*$AZ$3)-(AI61/60*1000)</f>
        <v>181.73933004060882</v>
      </c>
      <c r="BE61" s="55">
        <f ca="1">+(AW61*$AZ$2+AO61*$AZ$3)-(AJ61/60*1000)</f>
        <v>175.52802376719364</v>
      </c>
      <c r="BH61" s="32">
        <f t="shared" si="17"/>
        <v>192.92694564736394</v>
      </c>
      <c r="BI61" s="32">
        <f t="shared" ca="1" si="18"/>
        <v>178.01518960424983</v>
      </c>
      <c r="BJ61" s="32">
        <f t="shared" ca="1" si="19"/>
        <v>179.87417186460743</v>
      </c>
      <c r="BK61" s="32">
        <f t="shared" ca="1" si="20"/>
        <v>170.03258138066576</v>
      </c>
    </row>
    <row r="62" spans="2:63" x14ac:dyDescent="0.3">
      <c r="B62" s="17" t="str">
        <f t="shared" si="2"/>
        <v>202512</v>
      </c>
      <c r="C62" s="17">
        <f t="shared" si="21"/>
        <v>45992</v>
      </c>
      <c r="D62" s="24">
        <f>VLOOKUP('Estudo PR'!B62,'Frete ESALQ'!$C$6:$BO$111,36,FALSE)</f>
        <v>162</v>
      </c>
      <c r="E62" s="24">
        <f>VLOOKUP('Estudo PR'!B62,'Frete ESALQ'!$C$6:$BO$111,47,FALSE)</f>
        <v>150</v>
      </c>
      <c r="F62" s="24">
        <f>VLOOKUP('Estudo PR'!B62,'Frete ESALQ'!$C$6:$BO$111,59,FALSE)</f>
        <v>157.5</v>
      </c>
      <c r="G62" s="24">
        <f>VLOOKUP('Estudo PR'!B62,'Frete ESALQ'!$C$6:$BO$111,18,FALSE)</f>
        <v>175</v>
      </c>
      <c r="H62" s="24">
        <f>VLOOKUP('Estudo PR'!B62,'Frete ESALQ'!$C$6:$BO$111,60,FALSE)</f>
        <v>160</v>
      </c>
      <c r="I62" s="48">
        <f t="shared" si="3"/>
        <v>90.059423019328676</v>
      </c>
      <c r="K62" s="44">
        <f t="shared" si="4"/>
        <v>0.25592417061611372</v>
      </c>
      <c r="L62" s="44">
        <f t="shared" si="22"/>
        <v>0.31446540880503143</v>
      </c>
      <c r="M62" s="44">
        <f t="shared" si="23"/>
        <v>0.30288461538461536</v>
      </c>
      <c r="N62" s="44">
        <f t="shared" si="24"/>
        <v>0.29661016949152541</v>
      </c>
      <c r="O62" s="44">
        <f t="shared" si="25"/>
        <v>0.29629629629629628</v>
      </c>
      <c r="P62" s="44">
        <f t="shared" si="5"/>
        <v>0.43506967642187766</v>
      </c>
      <c r="R62" s="44">
        <f t="shared" si="6"/>
        <v>0.43506967642187766</v>
      </c>
      <c r="S62" s="46">
        <f>AVERAGE(L62:M62,O62)</f>
        <v>0.30454877349531434</v>
      </c>
      <c r="T62" s="46">
        <f>AVERAGE(N62,K62)</f>
        <v>0.27626717005381957</v>
      </c>
      <c r="V62" s="22">
        <f t="shared" si="7"/>
        <v>0.5133822181778156</v>
      </c>
      <c r="W62" s="22">
        <f t="shared" si="0"/>
        <v>0.39591340554390864</v>
      </c>
      <c r="X62" s="22">
        <f t="shared" si="1"/>
        <v>0.37296067957265644</v>
      </c>
      <c r="Z62" s="32">
        <f t="shared" si="8"/>
        <v>236.08411016949154</v>
      </c>
      <c r="AA62" s="32">
        <f t="shared" si="9"/>
        <v>188.85069444444443</v>
      </c>
      <c r="AB62" s="32">
        <f t="shared" si="10"/>
        <v>205.87497088283249</v>
      </c>
      <c r="AC62" s="32">
        <f t="shared" si="11"/>
        <v>220.0468009478673</v>
      </c>
      <c r="AD62" s="32">
        <f t="shared" si="12"/>
        <v>213.79323899371067</v>
      </c>
      <c r="AE62" s="32">
        <f t="shared" si="13"/>
        <v>106.27011916280783</v>
      </c>
      <c r="AG62" s="33">
        <f>+'Modelo Soja'!AJ62</f>
        <v>142.01349999999996</v>
      </c>
      <c r="AH62" s="32">
        <f ca="1">+'Modelo Soja'!AB62</f>
        <v>136.65700000000001</v>
      </c>
      <c r="AI62" s="32">
        <f ca="1">+'Modelo Soja'!AC62</f>
        <v>132.30200000000002</v>
      </c>
      <c r="AJ62" s="32">
        <f ca="1">+'Modelo Soja'!AD62</f>
        <v>133.58600000000001</v>
      </c>
      <c r="AL62" s="32">
        <f>+'Modelo Farelo'!R62</f>
        <v>1816.9128434708884</v>
      </c>
      <c r="AM62" s="32">
        <f ca="1">+'Modelo Farelo'!D62</f>
        <v>1838.5940000000003</v>
      </c>
      <c r="AN62" s="32">
        <f ca="1">+'Modelo Farelo'!E62</f>
        <v>1863.1280000000002</v>
      </c>
      <c r="AO62" s="32">
        <f ca="1">+'Modelo Farelo'!F62</f>
        <v>1844.9194999999995</v>
      </c>
      <c r="AP62" s="32">
        <f t="shared" si="14"/>
        <v>1726.8534204515597</v>
      </c>
      <c r="AQ62" s="32">
        <f t="shared" si="15"/>
        <v>1641.9128434708884</v>
      </c>
      <c r="AR62" s="32">
        <f t="shared" si="16"/>
        <v>1666.9128434708884</v>
      </c>
      <c r="AT62" s="32">
        <f>+'Modelo Oleo'!E62</f>
        <v>5957.2906355454552</v>
      </c>
      <c r="AU62" s="33">
        <f>+AT62-AE62</f>
        <v>5851.0205163826477</v>
      </c>
      <c r="AV62" s="33">
        <f>+AT62-AC62</f>
        <v>5737.2438345975879</v>
      </c>
      <c r="AW62" s="33">
        <f>+AT62-AA62</f>
        <v>5768.4399411010108</v>
      </c>
      <c r="BB62" s="55">
        <f>+(AT62*$AZ$2+AL62*$AZ$3)-(AG62/60*1000)</f>
        <v>139.2955114331553</v>
      </c>
      <c r="BC62" s="55">
        <f ca="1">+(AU62*$AZ$2+AM62*$AZ$3)-(AH62/60*1000)</f>
        <v>223.89189402795</v>
      </c>
      <c r="BD62" s="55">
        <f ca="1">+(AV62*$AZ$2+AN62*$AZ$3)-(AI62/60*1000)</f>
        <v>292.44393441319608</v>
      </c>
      <c r="BE62" s="55">
        <f ca="1">+(AW62*$AZ$2+AO62*$AZ$3)-(AJ62/60*1000)</f>
        <v>263.65288518136367</v>
      </c>
      <c r="BH62" s="32">
        <f t="shared" si="17"/>
        <v>139.2955114331553</v>
      </c>
      <c r="BI62" s="32">
        <f t="shared" ca="1" si="18"/>
        <v>157.74147093527336</v>
      </c>
      <c r="BJ62" s="32">
        <f t="shared" ca="1" si="19"/>
        <v>226.96424808057873</v>
      </c>
      <c r="BK62" s="32">
        <f t="shared" ca="1" si="20"/>
        <v>210.96291484874655</v>
      </c>
    </row>
    <row r="63" spans="2:63" x14ac:dyDescent="0.3">
      <c r="B63" s="17" t="str">
        <f t="shared" si="2"/>
        <v>20261</v>
      </c>
      <c r="C63" s="17">
        <f t="shared" si="21"/>
        <v>46023</v>
      </c>
      <c r="D63" s="24">
        <f>VLOOKUP('Estudo PR'!B63,'Frete ESALQ'!$C$6:$BO$111,36,FALSE)</f>
        <v>148</v>
      </c>
      <c r="E63" s="24">
        <f>VLOOKUP('Estudo PR'!B63,'Frete ESALQ'!$C$6:$BO$111,47,FALSE)</f>
        <v>151.25</v>
      </c>
      <c r="F63" s="24">
        <f>VLOOKUP('Estudo PR'!B63,'Frete ESALQ'!$C$6:$BO$111,59,FALSE)</f>
        <v>160</v>
      </c>
      <c r="G63" s="24">
        <f>VLOOKUP('Estudo PR'!B63,'Frete ESALQ'!$C$6:$BO$111,18,FALSE)</f>
        <v>172.6</v>
      </c>
      <c r="H63" s="24">
        <f>VLOOKUP('Estudo PR'!B63,'Frete ESALQ'!$C$6:$BO$111,60,FALSE)</f>
        <v>168.75</v>
      </c>
      <c r="I63" s="48">
        <f t="shared" si="3"/>
        <v>92.388857211970446</v>
      </c>
      <c r="K63" s="44">
        <f t="shared" si="4"/>
        <v>0.23380726698262244</v>
      </c>
      <c r="L63" s="44">
        <f t="shared" si="22"/>
        <v>0.31708595387840671</v>
      </c>
      <c r="M63" s="44">
        <f t="shared" si="23"/>
        <v>0.30769230769230771</v>
      </c>
      <c r="N63" s="44">
        <f t="shared" si="24"/>
        <v>0.29254237288135593</v>
      </c>
      <c r="O63" s="44">
        <f t="shared" si="25"/>
        <v>0.3125</v>
      </c>
      <c r="P63" s="44">
        <f t="shared" si="5"/>
        <v>0.44632298170034029</v>
      </c>
      <c r="R63" s="44">
        <f t="shared" si="6"/>
        <v>0.44632298170034029</v>
      </c>
      <c r="S63" s="46">
        <f>AVERAGE(L63:M63,O63)</f>
        <v>0.31242608719023818</v>
      </c>
      <c r="T63" s="46">
        <f>AVERAGE(N63,K63)</f>
        <v>0.26317481993198921</v>
      </c>
      <c r="V63" s="22">
        <f t="shared" si="7"/>
        <v>0.52666111840640151</v>
      </c>
      <c r="W63" s="22">
        <f t="shared" si="0"/>
        <v>0.40615391334730966</v>
      </c>
      <c r="X63" s="22">
        <f t="shared" si="1"/>
        <v>0.35528600690818546</v>
      </c>
      <c r="Z63" s="32">
        <f t="shared" si="8"/>
        <v>224.8960423728814</v>
      </c>
      <c r="AA63" s="32">
        <f t="shared" si="9"/>
        <v>193.73541666666671</v>
      </c>
      <c r="AB63" s="32">
        <f t="shared" si="10"/>
        <v>211.20003494060103</v>
      </c>
      <c r="AC63" s="32">
        <f t="shared" si="11"/>
        <v>209.61874407582943</v>
      </c>
      <c r="AD63" s="32">
        <f t="shared" si="12"/>
        <v>219.32311320754721</v>
      </c>
      <c r="AE63" s="32">
        <f t="shared" si="13"/>
        <v>109.01885151012512</v>
      </c>
      <c r="AG63" s="33">
        <f>+'Modelo Soja'!AJ63</f>
        <v>130.98285714285717</v>
      </c>
      <c r="AH63" s="32">
        <f ca="1">+'Modelo Soja'!AB63</f>
        <v>128.27190476190475</v>
      </c>
      <c r="AI63" s="32">
        <f ca="1">+'Modelo Soja'!AC63</f>
        <v>120.86666666666666</v>
      </c>
      <c r="AJ63" s="32">
        <f ca="1">+'Modelo Soja'!AD63</f>
        <v>121.91857142857143</v>
      </c>
      <c r="AL63" s="32">
        <f>+'Modelo Farelo'!R63</f>
        <v>1731.4949180928313</v>
      </c>
      <c r="AM63" s="32">
        <f ca="1">+'Modelo Farelo'!D63</f>
        <v>1878.3523809523806</v>
      </c>
      <c r="AN63" s="32">
        <f ca="1">+'Modelo Farelo'!E63</f>
        <v>1914.5566666666664</v>
      </c>
      <c r="AO63" s="32">
        <f ca="1">+'Modelo Farelo'!F63</f>
        <v>1900.5214285714292</v>
      </c>
      <c r="AP63" s="32">
        <f t="shared" si="14"/>
        <v>1639.1060608808609</v>
      </c>
      <c r="AQ63" s="32">
        <f t="shared" si="15"/>
        <v>1558.8949180928314</v>
      </c>
      <c r="AR63" s="32">
        <f t="shared" si="16"/>
        <v>1580.2449180928313</v>
      </c>
      <c r="AT63" s="32">
        <f>+'Modelo Oleo'!E63</f>
        <v>6058.312422809523</v>
      </c>
      <c r="AU63" s="33">
        <f>+AT63-AE63</f>
        <v>5949.2935712993976</v>
      </c>
      <c r="AV63" s="33">
        <f>+AT63-AC63</f>
        <v>5848.6936787336936</v>
      </c>
      <c r="AW63" s="33">
        <f>+AT63-AA63</f>
        <v>5864.5770061428566</v>
      </c>
      <c r="BB63" s="55">
        <f>+(AT63*$AZ$2+AL63*$AZ$3)-(AG63/60*1000)</f>
        <v>279.62954278893221</v>
      </c>
      <c r="BC63" s="55">
        <f ca="1">+(AU63*$AZ$2+AM63*$AZ$3)-(AH63/60*1000)</f>
        <v>412.22792894306531</v>
      </c>
      <c r="BD63" s="55">
        <f ca="1">+(AV63*$AZ$2+AN63*$AZ$3)-(AI63/60*1000)</f>
        <v>542.82275624195859</v>
      </c>
      <c r="BE63" s="55">
        <f ca="1">+(AW63*$AZ$2+AO63*$AZ$3)-(AJ63/60*1000)</f>
        <v>518.00218286452423</v>
      </c>
      <c r="BH63" s="32">
        <f t="shared" si="17"/>
        <v>279.62954278893221</v>
      </c>
      <c r="BI63" s="32">
        <f t="shared" ca="1" si="18"/>
        <v>270.59410746072581</v>
      </c>
      <c r="BJ63" s="32">
        <f t="shared" ca="1" si="19"/>
        <v>437.54687866410336</v>
      </c>
      <c r="BK63" s="32">
        <f t="shared" ca="1" si="20"/>
        <v>423.20033576285937</v>
      </c>
    </row>
    <row r="64" spans="2:63" x14ac:dyDescent="0.3">
      <c r="B64" s="17" t="str">
        <f t="shared" si="2"/>
        <v>20262</v>
      </c>
      <c r="C64" s="17">
        <f t="shared" si="21"/>
        <v>46054</v>
      </c>
      <c r="D64" s="24">
        <f>VLOOKUP('Estudo PR'!B64,'Frete ESALQ'!$C$6:$BO$111,36,FALSE)</f>
        <v>167.75</v>
      </c>
      <c r="E64" s="24">
        <f>VLOOKUP('Estudo PR'!B64,'Frete ESALQ'!$C$6:$BO$111,47,FALSE)</f>
        <v>161.25</v>
      </c>
      <c r="F64" s="24">
        <f>VLOOKUP('Estudo PR'!B64,'Frete ESALQ'!$C$6:$BO$111,59,FALSE)</f>
        <v>159.66999999999999</v>
      </c>
      <c r="G64" s="24">
        <f>VLOOKUP('Estudo PR'!B64,'Frete ESALQ'!$C$6:$BO$111,18,FALSE)</f>
        <v>177</v>
      </c>
      <c r="H64" s="24">
        <f>VLOOKUP('Estudo PR'!B64,'Frete ESALQ'!$C$6:$BO$111,60,FALSE)</f>
        <v>188.75</v>
      </c>
      <c r="I64" s="48">
        <f t="shared" si="3"/>
        <v>98.043582889856481</v>
      </c>
      <c r="K64" s="44">
        <f t="shared" si="4"/>
        <v>0.26500789889415483</v>
      </c>
      <c r="L64" s="44">
        <f t="shared" si="22"/>
        <v>0.33805031446540879</v>
      </c>
      <c r="M64" s="44">
        <f t="shared" si="23"/>
        <v>0.30705769230769231</v>
      </c>
      <c r="N64" s="44">
        <f t="shared" si="24"/>
        <v>0.3</v>
      </c>
      <c r="O64" s="44">
        <f t="shared" si="25"/>
        <v>0.34953703703703703</v>
      </c>
      <c r="P64" s="44">
        <f t="shared" si="5"/>
        <v>0.47364049705244676</v>
      </c>
      <c r="R64" s="44">
        <f t="shared" si="6"/>
        <v>0.47364049705244676</v>
      </c>
      <c r="S64" s="46">
        <f>AVERAGE(L64:M64,O64)</f>
        <v>0.33154834793671273</v>
      </c>
      <c r="T64" s="46">
        <f>AVERAGE(N64,K64)</f>
        <v>0.28250394944707741</v>
      </c>
      <c r="V64" s="22">
        <f t="shared" si="7"/>
        <v>0.55889578652188721</v>
      </c>
      <c r="W64" s="22">
        <f t="shared" si="0"/>
        <v>0.43101285231772657</v>
      </c>
      <c r="X64" s="22">
        <f t="shared" si="1"/>
        <v>0.38138033175355451</v>
      </c>
      <c r="Z64" s="32">
        <f t="shared" si="8"/>
        <v>241.41374999999999</v>
      </c>
      <c r="AA64" s="32">
        <f t="shared" si="9"/>
        <v>205.59313055555558</v>
      </c>
      <c r="AB64" s="32">
        <f t="shared" si="10"/>
        <v>224.12668320521783</v>
      </c>
      <c r="AC64" s="32">
        <f t="shared" si="11"/>
        <v>225.01439573459717</v>
      </c>
      <c r="AD64" s="32">
        <f t="shared" si="12"/>
        <v>232.74694025157234</v>
      </c>
      <c r="AE64" s="32">
        <f t="shared" si="13"/>
        <v>115.69142781003065</v>
      </c>
      <c r="AG64" s="33">
        <f>+'Modelo Soja'!AJ64</f>
        <v>126.32944444444446</v>
      </c>
      <c r="AH64" s="32">
        <f ca="1">+'Modelo Soja'!AB64</f>
        <v>121.78833333333331</v>
      </c>
      <c r="AI64" s="32">
        <f ca="1">+'Modelo Soja'!AC64</f>
        <v>115.61999999999999</v>
      </c>
      <c r="AJ64" s="32">
        <f ca="1">+'Modelo Soja'!AD64</f>
        <v>117.57833333333335</v>
      </c>
      <c r="AL64" s="32">
        <f>+'Modelo Farelo'!R64</f>
        <v>1750.9473479991784</v>
      </c>
      <c r="AM64" s="32">
        <f ca="1">+'Modelo Farelo'!D64</f>
        <v>1887.9027777777778</v>
      </c>
      <c r="AN64" s="32">
        <f ca="1">+'Modelo Farelo'!E64</f>
        <v>1893.7277777777781</v>
      </c>
      <c r="AO64" s="32">
        <f ca="1">+'Modelo Farelo'!F64</f>
        <v>1883.3861111111114</v>
      </c>
      <c r="AP64" s="32">
        <f t="shared" si="14"/>
        <v>1652.903765109322</v>
      </c>
      <c r="AQ64" s="32">
        <f t="shared" si="15"/>
        <v>1573.9473479991784</v>
      </c>
      <c r="AR64" s="32">
        <f t="shared" si="16"/>
        <v>1589.6973479991784</v>
      </c>
      <c r="AT64" s="32">
        <f>+'Modelo Oleo'!E64</f>
        <v>6086.0183114444444</v>
      </c>
      <c r="AU64" s="33">
        <f>+AT64-AE64</f>
        <v>5970.3268836344141</v>
      </c>
      <c r="AV64" s="33">
        <f>+AT64-AC64</f>
        <v>5861.0039157098472</v>
      </c>
      <c r="AW64" s="33">
        <f>+AT64-AA64</f>
        <v>5880.4251808888885</v>
      </c>
      <c r="BB64" s="55">
        <f>+(AT64*$AZ$2+AL64*$AZ$3)-(AG64/60*1000)</f>
        <v>376.98386751031785</v>
      </c>
      <c r="BC64" s="55">
        <f ca="1">+(AU64*$AZ$2+AM64*$AZ$3)-(AH64/60*1000)</f>
        <v>531.45624230871113</v>
      </c>
      <c r="BD64" s="55">
        <f ca="1">+(AV64*$AZ$2+AN64*$AZ$3)-(AI64/60*1000)</f>
        <v>617.25431911897635</v>
      </c>
      <c r="BE64" s="55">
        <f ca="1">+(AW64*$AZ$2+AO64*$AZ$3)-(AJ64/60*1000)</f>
        <v>580.74974360666647</v>
      </c>
      <c r="BH64" s="32">
        <f t="shared" si="17"/>
        <v>376.98386751031785</v>
      </c>
      <c r="BI64" s="32">
        <f t="shared" ca="1" si="18"/>
        <v>392.33682680898551</v>
      </c>
      <c r="BJ64" s="32">
        <f t="shared" ca="1" si="19"/>
        <v>522.59931190451084</v>
      </c>
      <c r="BK64" s="32">
        <f t="shared" ca="1" si="20"/>
        <v>493.81786972553482</v>
      </c>
    </row>
    <row r="65" spans="2:63" x14ac:dyDescent="0.3">
      <c r="B65" s="17" t="str">
        <f t="shared" si="2"/>
        <v>20263</v>
      </c>
      <c r="C65" s="17">
        <f t="shared" si="21"/>
        <v>46082</v>
      </c>
      <c r="D65" s="24">
        <f>VLOOKUP('Estudo PR'!B65,'Frete ESALQ'!$C$6:$BO$111,36,FALSE)</f>
        <v>167.75</v>
      </c>
      <c r="E65" s="24">
        <f>VLOOKUP('Estudo PR'!B65,'Frete ESALQ'!$C$6:$BO$111,47,FALSE)</f>
        <v>161.25</v>
      </c>
      <c r="F65" s="24">
        <f>VLOOKUP('Estudo PR'!B65,'Frete ESALQ'!$C$6:$BO$111,59,FALSE)</f>
        <v>159.66999999999999</v>
      </c>
      <c r="G65" s="24">
        <f>VLOOKUP('Estudo PR'!B65,'Frete ESALQ'!$C$6:$BO$111,18,FALSE)</f>
        <v>177</v>
      </c>
      <c r="H65" s="24">
        <f>VLOOKUP('Estudo PR'!B65,'Frete ESALQ'!$C$6:$BO$111,60,FALSE)</f>
        <v>188.75</v>
      </c>
      <c r="I65" s="48">
        <f t="shared" si="3"/>
        <v>98.043582889856481</v>
      </c>
      <c r="K65" s="44">
        <f t="shared" si="4"/>
        <v>0.26500789889415483</v>
      </c>
      <c r="L65" s="44">
        <f t="shared" si="22"/>
        <v>0.33805031446540879</v>
      </c>
      <c r="M65" s="44">
        <f t="shared" si="23"/>
        <v>0.30705769230769231</v>
      </c>
      <c r="N65" s="44">
        <f t="shared" si="24"/>
        <v>0.3</v>
      </c>
      <c r="O65" s="44">
        <f t="shared" si="25"/>
        <v>0.34953703703703703</v>
      </c>
      <c r="P65" s="44">
        <f t="shared" si="5"/>
        <v>0.47364049705244676</v>
      </c>
      <c r="R65" s="44">
        <f t="shared" si="6"/>
        <v>0.47364049705244676</v>
      </c>
      <c r="S65" s="46">
        <f>AVERAGE(L65:M65,O65)</f>
        <v>0.33154834793671273</v>
      </c>
      <c r="T65" s="46">
        <f>AVERAGE(N65,K65)</f>
        <v>0.28250394944707741</v>
      </c>
      <c r="V65" s="22">
        <f t="shared" si="7"/>
        <v>0.55889578652188721</v>
      </c>
      <c r="W65" s="22">
        <f t="shared" si="0"/>
        <v>0.43101285231772657</v>
      </c>
      <c r="X65" s="22">
        <f t="shared" si="1"/>
        <v>0.38138033175355451</v>
      </c>
      <c r="Z65" s="32">
        <f t="shared" si="8"/>
        <v>241.41374999999999</v>
      </c>
      <c r="AA65" s="32">
        <f t="shared" si="9"/>
        <v>205.59313055555558</v>
      </c>
      <c r="AB65" s="32">
        <f t="shared" si="10"/>
        <v>224.12668320521783</v>
      </c>
      <c r="AC65" s="32">
        <f t="shared" si="11"/>
        <v>225.01439573459717</v>
      </c>
      <c r="AD65" s="32">
        <f t="shared" si="12"/>
        <v>232.74694025157234</v>
      </c>
      <c r="AE65" s="32">
        <f t="shared" si="13"/>
        <v>115.69142781003065</v>
      </c>
      <c r="AG65" s="33">
        <f>+'Modelo Soja'!AJ65</f>
        <v>129.22812499999998</v>
      </c>
      <c r="AH65" s="32">
        <f ca="1">+'Modelo Soja'!AB65</f>
        <v>123.26888888888887</v>
      </c>
      <c r="AI65" s="32">
        <f ca="1">+'Modelo Soja'!AC65</f>
        <v>118.09833333333333</v>
      </c>
      <c r="AJ65" s="32">
        <f ca="1">+'Modelo Soja'!AD65</f>
        <v>119.81666666666668</v>
      </c>
      <c r="AL65" s="32">
        <f>+'Modelo Farelo'!R65</f>
        <v>1825.3735628541197</v>
      </c>
      <c r="AM65" s="32">
        <f ca="1">+'Modelo Farelo'!D65</f>
        <v>1860.5555555555557</v>
      </c>
      <c r="AN65" s="32">
        <f ca="1">+'Modelo Farelo'!E65</f>
        <v>1844.8183333333327</v>
      </c>
      <c r="AO65" s="32">
        <f ca="1">+'Modelo Farelo'!F65</f>
        <v>1802.9666666666665</v>
      </c>
      <c r="AP65" s="32">
        <f t="shared" si="14"/>
        <v>1727.3299799642632</v>
      </c>
      <c r="AQ65" s="32">
        <f t="shared" si="15"/>
        <v>1648.3735628541197</v>
      </c>
      <c r="AR65" s="32">
        <f t="shared" si="16"/>
        <v>1664.1235628541197</v>
      </c>
      <c r="AT65" s="32">
        <f>+'Modelo Oleo'!E65</f>
        <v>5857.6831885555557</v>
      </c>
      <c r="AU65" s="33">
        <f>+AT65-AE65</f>
        <v>5741.9917607455254</v>
      </c>
      <c r="AV65" s="33">
        <f>+AT65-AC65</f>
        <v>5632.6687928209585</v>
      </c>
      <c r="AW65" s="33">
        <f>+AT65-AA65</f>
        <v>5652.0900579999998</v>
      </c>
      <c r="BB65" s="55">
        <f>+(AT65*$AZ$2+AL65*$AZ$3)-(AG65/60*1000)</f>
        <v>339.222574947049</v>
      </c>
      <c r="BC65" s="55">
        <f ca="1">+(AU65*$AZ$2+AM65*$AZ$3)-(AH65/60*1000)</f>
        <v>442.01802297500763</v>
      </c>
      <c r="BD65" s="55">
        <f ca="1">+(AV65*$AZ$2+AN65*$AZ$3)-(AI65/60*1000)</f>
        <v>495.23042571119754</v>
      </c>
      <c r="BE65" s="55">
        <f ca="1">+(AW65*$AZ$2+AO65*$AZ$3)-(AJ65/60*1000)</f>
        <v>439.40845019888843</v>
      </c>
      <c r="BH65" s="32">
        <f t="shared" si="17"/>
        <v>339.222574947049</v>
      </c>
      <c r="BI65" s="32">
        <f t="shared" ca="1" si="18"/>
        <v>363.14848222496266</v>
      </c>
      <c r="BJ65" s="32">
        <f t="shared" ca="1" si="19"/>
        <v>437.08277364935043</v>
      </c>
      <c r="BK65" s="32">
        <f t="shared" ca="1" si="20"/>
        <v>398.3108914703746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Preço Soja ESALQ</vt:lpstr>
      <vt:lpstr>Modelo Soja</vt:lpstr>
      <vt:lpstr>Modelo Crushing Margin</vt:lpstr>
      <vt:lpstr>Modelo Farelo</vt:lpstr>
      <vt:lpstr>Modelo Oleo</vt:lpstr>
      <vt:lpstr>Frete ESALQ</vt:lpstr>
      <vt:lpstr>Estudo 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Almeida, Giulia</dc:creator>
  <cp:lastModifiedBy>Lucas Brunetti</cp:lastModifiedBy>
  <dcterms:created xsi:type="dcterms:W3CDTF">2026-03-20T13:15:28Z</dcterms:created>
  <dcterms:modified xsi:type="dcterms:W3CDTF">2026-04-07T22:19:56Z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ffedc7-8dd7-4346-b906-eaa072ee5258_Enabled">
    <vt:lpwstr>true</vt:lpwstr>
  </property>
  <property fmtid="{D5CDD505-2E9C-101B-9397-08002B2CF9AE}" pid="3" name="MSIP_Label_16ffedc7-8dd7-4346-b906-eaa072ee5258_SetDate">
    <vt:lpwstr>2026-03-20T14:10:15Z</vt:lpwstr>
  </property>
  <property fmtid="{D5CDD505-2E9C-101B-9397-08002B2CF9AE}" pid="4" name="MSIP_Label_16ffedc7-8dd7-4346-b906-eaa072ee5258_Method">
    <vt:lpwstr>Standard</vt:lpwstr>
  </property>
  <property fmtid="{D5CDD505-2E9C-101B-9397-08002B2CF9AE}" pid="5" name="MSIP_Label_16ffedc7-8dd7-4346-b906-eaa072ee5258_Name">
    <vt:lpwstr>Corporate</vt:lpwstr>
  </property>
  <property fmtid="{D5CDD505-2E9C-101B-9397-08002B2CF9AE}" pid="6" name="MSIP_Label_16ffedc7-8dd7-4346-b906-eaa072ee5258_SiteId">
    <vt:lpwstr>287e9f0e-91ec-4cf0-b7a4-c63898072181</vt:lpwstr>
  </property>
  <property fmtid="{D5CDD505-2E9C-101B-9397-08002B2CF9AE}" pid="7" name="MSIP_Label_16ffedc7-8dd7-4346-b906-eaa072ee5258_ActionId">
    <vt:lpwstr>e2259e4e-427c-40af-9de3-477a66c50e67</vt:lpwstr>
  </property>
  <property fmtid="{D5CDD505-2E9C-101B-9397-08002B2CF9AE}" pid="8" name="MSIP_Label_16ffedc7-8dd7-4346-b906-eaa072ee5258_ContentBits">
    <vt:lpwstr>1</vt:lpwstr>
  </property>
</Properties>
</file>